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.sharepoint.com/sites/USER-CanaisEstratgicos/Documentos Compartilhados/Canais Estratégicos/Relatórios/Arquivos - Dashboard Canais Estratégicos/"/>
    </mc:Choice>
  </mc:AlternateContent>
  <xr:revisionPtr revIDLastSave="265" documentId="8_{3665CEB0-82D1-4647-870C-1287578B3EBA}" xr6:coauthVersionLast="47" xr6:coauthVersionMax="47" xr10:uidLastSave="{E57309C6-CE29-4980-8C7F-0B244259D101}"/>
  <bookViews>
    <workbookView xWindow="-108" yWindow="-108" windowWidth="23256" windowHeight="12456" xr2:uid="{90C37AA8-6052-4A6E-B04A-32D0A9550591}"/>
  </bookViews>
  <sheets>
    <sheet name="TEND_CANAIS" sheetId="2" r:id="rId1"/>
    <sheet name="LIGACOE_FIXA" sheetId="8" r:id="rId2"/>
    <sheet name="PEDIDOS_FIXA" sheetId="7" r:id="rId3"/>
    <sheet name="PEDIDOS_MÓVEL" sheetId="6" r:id="rId4"/>
    <sheet name="BASE_FIXA_TEND" sheetId="1" r:id="rId5"/>
    <sheet name="BASE_MOVEL_TEND" sheetId="5" r:id="rId6"/>
    <sheet name="obs" sheetId="4" r:id="rId7"/>
  </sheets>
  <definedNames>
    <definedName name="_xlnm._FilterDatabase" localSheetId="4" hidden="1">BASE_FIXA_TEND!$A$1:$AN$5767</definedName>
    <definedName name="_xlnm._FilterDatabase" localSheetId="5" hidden="1">BASE_MOVEL_TEND!$A$1:$D$261</definedName>
    <definedName name="_xlnm._FilterDatabase" localSheetId="0" hidden="1">TEND_CANAIS!$A$1:$M$301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2" i="2" l="1"/>
  <c r="M293" i="2"/>
  <c r="M294" i="2"/>
  <c r="M295" i="2"/>
  <c r="M296" i="2"/>
  <c r="M297" i="2"/>
  <c r="M298" i="2"/>
  <c r="M299" i="2"/>
  <c r="M300" i="2"/>
  <c r="M301" i="2"/>
  <c r="M292" i="2"/>
  <c r="M283" i="2"/>
  <c r="M284" i="2"/>
  <c r="M285" i="2"/>
  <c r="M286" i="2"/>
  <c r="M287" i="2"/>
  <c r="M288" i="2"/>
  <c r="M289" i="2"/>
  <c r="M290" i="2"/>
  <c r="M291" i="2"/>
  <c r="M282" i="2"/>
  <c r="J301" i="2"/>
  <c r="L301" i="2" s="1"/>
  <c r="D301" i="2"/>
  <c r="C301" i="2"/>
  <c r="J300" i="2"/>
  <c r="L300" i="2" s="1"/>
  <c r="D300" i="2"/>
  <c r="C300" i="2"/>
  <c r="J299" i="2"/>
  <c r="L299" i="2" s="1"/>
  <c r="D299" i="2"/>
  <c r="C299" i="2"/>
  <c r="J298" i="2"/>
  <c r="L298" i="2" s="1"/>
  <c r="D298" i="2"/>
  <c r="C298" i="2"/>
  <c r="J297" i="2"/>
  <c r="L297" i="2" s="1"/>
  <c r="D297" i="2"/>
  <c r="C297" i="2"/>
  <c r="J296" i="2"/>
  <c r="L296" i="2" s="1"/>
  <c r="D296" i="2"/>
  <c r="C296" i="2"/>
  <c r="J295" i="2"/>
  <c r="L295" i="2" s="1"/>
  <c r="D295" i="2"/>
  <c r="C295" i="2"/>
  <c r="J294" i="2"/>
  <c r="L294" i="2" s="1"/>
  <c r="D294" i="2"/>
  <c r="C294" i="2"/>
  <c r="J293" i="2"/>
  <c r="L293" i="2" s="1"/>
  <c r="D293" i="2"/>
  <c r="C293" i="2"/>
  <c r="J292" i="2"/>
  <c r="L292" i="2" s="1"/>
  <c r="D292" i="2"/>
  <c r="C292" i="2"/>
  <c r="J291" i="2"/>
  <c r="L291" i="2" s="1"/>
  <c r="D291" i="2"/>
  <c r="C291" i="2"/>
  <c r="J290" i="2"/>
  <c r="L290" i="2" s="1"/>
  <c r="D290" i="2"/>
  <c r="C290" i="2"/>
  <c r="J289" i="2"/>
  <c r="K289" i="2" s="1"/>
  <c r="D289" i="2"/>
  <c r="C289" i="2"/>
  <c r="J288" i="2"/>
  <c r="L288" i="2" s="1"/>
  <c r="D288" i="2"/>
  <c r="C288" i="2"/>
  <c r="J287" i="2"/>
  <c r="K287" i="2" s="1"/>
  <c r="D287" i="2"/>
  <c r="C287" i="2"/>
  <c r="J286" i="2"/>
  <c r="L286" i="2" s="1"/>
  <c r="D286" i="2"/>
  <c r="C286" i="2"/>
  <c r="J285" i="2"/>
  <c r="L285" i="2" s="1"/>
  <c r="D285" i="2"/>
  <c r="C285" i="2"/>
  <c r="J284" i="2"/>
  <c r="L284" i="2" s="1"/>
  <c r="D284" i="2"/>
  <c r="C284" i="2"/>
  <c r="J283" i="2"/>
  <c r="K283" i="2" s="1"/>
  <c r="D283" i="2"/>
  <c r="C283" i="2"/>
  <c r="J282" i="2"/>
  <c r="L282" i="2" s="1"/>
  <c r="D282" i="2"/>
  <c r="C282" i="2"/>
  <c r="C3" i="6"/>
  <c r="L289" i="2" l="1"/>
  <c r="L283" i="2"/>
  <c r="L287" i="2"/>
  <c r="K291" i="2"/>
  <c r="K285" i="2"/>
  <c r="K292" i="2"/>
  <c r="K294" i="2"/>
  <c r="K296" i="2"/>
  <c r="K298" i="2"/>
  <c r="K300" i="2"/>
  <c r="K293" i="2"/>
  <c r="K295" i="2"/>
  <c r="K297" i="2"/>
  <c r="K299" i="2"/>
  <c r="K301" i="2"/>
  <c r="K290" i="2"/>
  <c r="K282" i="2"/>
  <c r="K284" i="2"/>
  <c r="K286" i="2"/>
  <c r="K288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J21" i="2" l="1"/>
  <c r="L21" i="2" s="1"/>
  <c r="D21" i="2"/>
  <c r="C21" i="2"/>
  <c r="J20" i="2"/>
  <c r="L20" i="2" s="1"/>
  <c r="D20" i="2"/>
  <c r="C20" i="2"/>
  <c r="J19" i="2"/>
  <c r="L19" i="2" s="1"/>
  <c r="D19" i="2"/>
  <c r="C19" i="2"/>
  <c r="J18" i="2"/>
  <c r="L18" i="2" s="1"/>
  <c r="D18" i="2"/>
  <c r="C18" i="2"/>
  <c r="J17" i="2"/>
  <c r="L17" i="2" s="1"/>
  <c r="D17" i="2"/>
  <c r="C17" i="2"/>
  <c r="J16" i="2"/>
  <c r="L16" i="2" s="1"/>
  <c r="D16" i="2"/>
  <c r="C16" i="2"/>
  <c r="J15" i="2"/>
  <c r="L15" i="2" s="1"/>
  <c r="D15" i="2"/>
  <c r="C15" i="2"/>
  <c r="J14" i="2"/>
  <c r="L14" i="2" s="1"/>
  <c r="D14" i="2"/>
  <c r="C14" i="2"/>
  <c r="J13" i="2"/>
  <c r="L13" i="2" s="1"/>
  <c r="D13" i="2"/>
  <c r="C13" i="2"/>
  <c r="J12" i="2"/>
  <c r="L12" i="2" s="1"/>
  <c r="D12" i="2"/>
  <c r="C12" i="2"/>
  <c r="J11" i="2"/>
  <c r="L11" i="2" s="1"/>
  <c r="D11" i="2"/>
  <c r="C11" i="2"/>
  <c r="J10" i="2"/>
  <c r="L10" i="2" s="1"/>
  <c r="D10" i="2"/>
  <c r="C10" i="2"/>
  <c r="J9" i="2"/>
  <c r="L9" i="2" s="1"/>
  <c r="D9" i="2"/>
  <c r="C9" i="2"/>
  <c r="J8" i="2"/>
  <c r="L8" i="2" s="1"/>
  <c r="D8" i="2"/>
  <c r="C8" i="2"/>
  <c r="J7" i="2"/>
  <c r="L7" i="2" s="1"/>
  <c r="D7" i="2"/>
  <c r="C7" i="2"/>
  <c r="J6" i="2"/>
  <c r="L6" i="2" s="1"/>
  <c r="D6" i="2"/>
  <c r="C6" i="2"/>
  <c r="J5" i="2"/>
  <c r="L5" i="2" s="1"/>
  <c r="D5" i="2"/>
  <c r="C5" i="2"/>
  <c r="J4" i="2"/>
  <c r="L4" i="2" s="1"/>
  <c r="D4" i="2"/>
  <c r="C4" i="2"/>
  <c r="J3" i="2"/>
  <c r="L3" i="2" s="1"/>
  <c r="D3" i="2"/>
  <c r="C3" i="2"/>
  <c r="J2" i="2"/>
  <c r="L2" i="2" s="1"/>
  <c r="D2" i="2"/>
  <c r="C2" i="2"/>
  <c r="M273" i="2"/>
  <c r="M274" i="2"/>
  <c r="M275" i="2"/>
  <c r="M276" i="2"/>
  <c r="M277" i="2"/>
  <c r="M278" i="2"/>
  <c r="M279" i="2"/>
  <c r="M280" i="2"/>
  <c r="M281" i="2"/>
  <c r="M272" i="2"/>
  <c r="K2" i="2" l="1"/>
  <c r="K4" i="2"/>
  <c r="K6" i="2"/>
  <c r="K8" i="2"/>
  <c r="K10" i="2"/>
  <c r="K12" i="2"/>
  <c r="K14" i="2"/>
  <c r="K16" i="2"/>
  <c r="K18" i="2"/>
  <c r="K20" i="2"/>
  <c r="K3" i="2"/>
  <c r="K5" i="2"/>
  <c r="K7" i="2"/>
  <c r="K9" i="2"/>
  <c r="K11" i="2"/>
  <c r="K13" i="2"/>
  <c r="K15" i="2"/>
  <c r="K17" i="2"/>
  <c r="K19" i="2"/>
  <c r="K21" i="2"/>
  <c r="M265" i="2"/>
  <c r="M266" i="2"/>
  <c r="M268" i="2"/>
  <c r="M269" i="2"/>
  <c r="J281" i="2"/>
  <c r="L281" i="2" s="1"/>
  <c r="D281" i="2"/>
  <c r="C281" i="2"/>
  <c r="J280" i="2"/>
  <c r="L280" i="2" s="1"/>
  <c r="D280" i="2"/>
  <c r="C280" i="2"/>
  <c r="J279" i="2"/>
  <c r="L279" i="2" s="1"/>
  <c r="D279" i="2"/>
  <c r="C279" i="2"/>
  <c r="J278" i="2"/>
  <c r="L278" i="2" s="1"/>
  <c r="D278" i="2"/>
  <c r="C278" i="2"/>
  <c r="J277" i="2"/>
  <c r="L277" i="2" s="1"/>
  <c r="D277" i="2"/>
  <c r="C277" i="2"/>
  <c r="J276" i="2"/>
  <c r="L276" i="2" s="1"/>
  <c r="D276" i="2"/>
  <c r="C276" i="2"/>
  <c r="J275" i="2"/>
  <c r="L275" i="2" s="1"/>
  <c r="D275" i="2"/>
  <c r="C275" i="2"/>
  <c r="J274" i="2"/>
  <c r="K274" i="2" s="1"/>
  <c r="D274" i="2"/>
  <c r="C274" i="2"/>
  <c r="J273" i="2"/>
  <c r="L273" i="2" s="1"/>
  <c r="D273" i="2"/>
  <c r="C273" i="2"/>
  <c r="J272" i="2"/>
  <c r="L272" i="2" s="1"/>
  <c r="D272" i="2"/>
  <c r="C272" i="2"/>
  <c r="J271" i="2"/>
  <c r="L271" i="2" s="1"/>
  <c r="D271" i="2"/>
  <c r="C271" i="2"/>
  <c r="J270" i="2"/>
  <c r="L270" i="2" s="1"/>
  <c r="D270" i="2"/>
  <c r="C270" i="2"/>
  <c r="J269" i="2"/>
  <c r="L269" i="2" s="1"/>
  <c r="D269" i="2"/>
  <c r="C269" i="2"/>
  <c r="J268" i="2"/>
  <c r="L268" i="2" s="1"/>
  <c r="D268" i="2"/>
  <c r="C268" i="2"/>
  <c r="J267" i="2"/>
  <c r="L267" i="2" s="1"/>
  <c r="D267" i="2"/>
  <c r="C267" i="2"/>
  <c r="J266" i="2"/>
  <c r="L266" i="2" s="1"/>
  <c r="D266" i="2"/>
  <c r="C266" i="2"/>
  <c r="J265" i="2"/>
  <c r="L265" i="2" s="1"/>
  <c r="D265" i="2"/>
  <c r="C265" i="2"/>
  <c r="J264" i="2"/>
  <c r="L264" i="2" s="1"/>
  <c r="D264" i="2"/>
  <c r="C264" i="2"/>
  <c r="J263" i="2"/>
  <c r="L263" i="2" s="1"/>
  <c r="D263" i="2"/>
  <c r="C263" i="2"/>
  <c r="J262" i="2"/>
  <c r="L262" i="2" s="1"/>
  <c r="D262" i="2"/>
  <c r="C262" i="2"/>
  <c r="M267" i="2"/>
  <c r="M271" i="2"/>
  <c r="M270" i="2"/>
  <c r="C4" i="6"/>
  <c r="M262" i="2" s="1"/>
  <c r="C5" i="6"/>
  <c r="M263" i="2" s="1"/>
  <c r="C6" i="6"/>
  <c r="M264" i="2" s="1"/>
  <c r="C7" i="6"/>
  <c r="C8" i="6"/>
  <c r="C9" i="6"/>
  <c r="C10" i="6"/>
  <c r="C11" i="6"/>
  <c r="C12" i="6"/>
  <c r="K281" i="2" l="1"/>
  <c r="K267" i="2"/>
  <c r="K265" i="2"/>
  <c r="K271" i="2"/>
  <c r="K275" i="2"/>
  <c r="K279" i="2"/>
  <c r="K269" i="2"/>
  <c r="K273" i="2"/>
  <c r="K263" i="2"/>
  <c r="K277" i="2"/>
  <c r="K280" i="2"/>
  <c r="K276" i="2"/>
  <c r="K262" i="2"/>
  <c r="K264" i="2"/>
  <c r="K266" i="2"/>
  <c r="K268" i="2"/>
  <c r="K270" i="2"/>
  <c r="K272" i="2"/>
  <c r="K278" i="2"/>
  <c r="L274" i="2"/>
  <c r="D23" i="2" l="1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2" i="2"/>
  <c r="J23" i="2"/>
  <c r="L23" i="2" s="1"/>
  <c r="J24" i="2"/>
  <c r="L24" i="2" s="1"/>
  <c r="J25" i="2"/>
  <c r="L25" i="2" s="1"/>
  <c r="J26" i="2"/>
  <c r="L26" i="2" s="1"/>
  <c r="J27" i="2"/>
  <c r="L27" i="2" s="1"/>
  <c r="J28" i="2"/>
  <c r="L28" i="2" s="1"/>
  <c r="J29" i="2"/>
  <c r="L29" i="2" s="1"/>
  <c r="J30" i="2"/>
  <c r="L30" i="2" s="1"/>
  <c r="J31" i="2"/>
  <c r="L31" i="2" s="1"/>
  <c r="J32" i="2"/>
  <c r="L32" i="2" s="1"/>
  <c r="J33" i="2"/>
  <c r="K33" i="2" s="1"/>
  <c r="J34" i="2"/>
  <c r="L34" i="2" s="1"/>
  <c r="J35" i="2"/>
  <c r="L35" i="2" s="1"/>
  <c r="J36" i="2"/>
  <c r="L36" i="2" s="1"/>
  <c r="J37" i="2"/>
  <c r="L37" i="2" s="1"/>
  <c r="J38" i="2"/>
  <c r="L38" i="2" s="1"/>
  <c r="J39" i="2"/>
  <c r="L39" i="2" s="1"/>
  <c r="J40" i="2"/>
  <c r="L40" i="2" s="1"/>
  <c r="J41" i="2"/>
  <c r="L41" i="2" s="1"/>
  <c r="J42" i="2"/>
  <c r="L42" i="2" s="1"/>
  <c r="J43" i="2"/>
  <c r="L43" i="2" s="1"/>
  <c r="J44" i="2"/>
  <c r="L44" i="2" s="1"/>
  <c r="J45" i="2"/>
  <c r="L45" i="2" s="1"/>
  <c r="J46" i="2"/>
  <c r="L46" i="2" s="1"/>
  <c r="J47" i="2"/>
  <c r="L47" i="2" s="1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L61" i="2" s="1"/>
  <c r="J62" i="2"/>
  <c r="L62" i="2" s="1"/>
  <c r="J63" i="2"/>
  <c r="L63" i="2" s="1"/>
  <c r="J64" i="2"/>
  <c r="L64" i="2" s="1"/>
  <c r="J65" i="2"/>
  <c r="L65" i="2" s="1"/>
  <c r="J66" i="2"/>
  <c r="L66" i="2" s="1"/>
  <c r="J67" i="2"/>
  <c r="L67" i="2" s="1"/>
  <c r="J68" i="2"/>
  <c r="L68" i="2" s="1"/>
  <c r="J69" i="2"/>
  <c r="K69" i="2" s="1"/>
  <c r="J70" i="2"/>
  <c r="L70" i="2" s="1"/>
  <c r="J71" i="2"/>
  <c r="L71" i="2" s="1"/>
  <c r="J72" i="2"/>
  <c r="L72" i="2" s="1"/>
  <c r="J73" i="2"/>
  <c r="L73" i="2" s="1"/>
  <c r="J74" i="2"/>
  <c r="L74" i="2" s="1"/>
  <c r="J75" i="2"/>
  <c r="L75" i="2" s="1"/>
  <c r="J76" i="2"/>
  <c r="L76" i="2" s="1"/>
  <c r="J77" i="2"/>
  <c r="L77" i="2" s="1"/>
  <c r="J78" i="2"/>
  <c r="L78" i="2" s="1"/>
  <c r="J79" i="2"/>
  <c r="L79" i="2" s="1"/>
  <c r="J80" i="2"/>
  <c r="L80" i="2" s="1"/>
  <c r="J81" i="2"/>
  <c r="K81" i="2" s="1"/>
  <c r="J82" i="2"/>
  <c r="L82" i="2" s="1"/>
  <c r="J83" i="2"/>
  <c r="L83" i="2" s="1"/>
  <c r="J84" i="2"/>
  <c r="L84" i="2" s="1"/>
  <c r="J85" i="2"/>
  <c r="L85" i="2" s="1"/>
  <c r="J86" i="2"/>
  <c r="L86" i="2" s="1"/>
  <c r="J87" i="2"/>
  <c r="L87" i="2" s="1"/>
  <c r="J88" i="2"/>
  <c r="L88" i="2" s="1"/>
  <c r="J89" i="2"/>
  <c r="L89" i="2" s="1"/>
  <c r="J90" i="2"/>
  <c r="L90" i="2" s="1"/>
  <c r="J91" i="2"/>
  <c r="L91" i="2" s="1"/>
  <c r="J92" i="2"/>
  <c r="L92" i="2" s="1"/>
  <c r="J93" i="2"/>
  <c r="L93" i="2" s="1"/>
  <c r="J94" i="2"/>
  <c r="L94" i="2" s="1"/>
  <c r="J95" i="2"/>
  <c r="L95" i="2" s="1"/>
  <c r="J96" i="2"/>
  <c r="L96" i="2" s="1"/>
  <c r="J97" i="2"/>
  <c r="L97" i="2" s="1"/>
  <c r="J98" i="2"/>
  <c r="L98" i="2" s="1"/>
  <c r="J99" i="2"/>
  <c r="L99" i="2" s="1"/>
  <c r="J100" i="2"/>
  <c r="L100" i="2" s="1"/>
  <c r="J101" i="2"/>
  <c r="L101" i="2" s="1"/>
  <c r="J102" i="2"/>
  <c r="L102" i="2" s="1"/>
  <c r="J103" i="2"/>
  <c r="L103" i="2" s="1"/>
  <c r="J104" i="2"/>
  <c r="L104" i="2" s="1"/>
  <c r="J105" i="2"/>
  <c r="K105" i="2" s="1"/>
  <c r="J106" i="2"/>
  <c r="L106" i="2" s="1"/>
  <c r="J107" i="2"/>
  <c r="L107" i="2" s="1"/>
  <c r="J108" i="2"/>
  <c r="L108" i="2" s="1"/>
  <c r="J109" i="2"/>
  <c r="L109" i="2" s="1"/>
  <c r="J110" i="2"/>
  <c r="L110" i="2" s="1"/>
  <c r="J111" i="2"/>
  <c r="L111" i="2" s="1"/>
  <c r="J112" i="2"/>
  <c r="L112" i="2" s="1"/>
  <c r="J113" i="2"/>
  <c r="L113" i="2" s="1"/>
  <c r="J114" i="2"/>
  <c r="L114" i="2" s="1"/>
  <c r="J115" i="2"/>
  <c r="L115" i="2" s="1"/>
  <c r="J116" i="2"/>
  <c r="L116" i="2" s="1"/>
  <c r="J117" i="2"/>
  <c r="K117" i="2" s="1"/>
  <c r="J118" i="2"/>
  <c r="L118" i="2" s="1"/>
  <c r="J119" i="2"/>
  <c r="L119" i="2" s="1"/>
  <c r="J120" i="2"/>
  <c r="L120" i="2" s="1"/>
  <c r="J121" i="2"/>
  <c r="L121" i="2" s="1"/>
  <c r="J122" i="2"/>
  <c r="L122" i="2" s="1"/>
  <c r="J123" i="2"/>
  <c r="L123" i="2" s="1"/>
  <c r="J124" i="2"/>
  <c r="L124" i="2" s="1"/>
  <c r="J125" i="2"/>
  <c r="L125" i="2" s="1"/>
  <c r="J126" i="2"/>
  <c r="L126" i="2" s="1"/>
  <c r="J127" i="2"/>
  <c r="L127" i="2" s="1"/>
  <c r="J128" i="2"/>
  <c r="L128" i="2" s="1"/>
  <c r="J129" i="2"/>
  <c r="L129" i="2" s="1"/>
  <c r="J130" i="2"/>
  <c r="L130" i="2" s="1"/>
  <c r="J131" i="2"/>
  <c r="L131" i="2" s="1"/>
  <c r="J132" i="2"/>
  <c r="L132" i="2" s="1"/>
  <c r="J133" i="2"/>
  <c r="L133" i="2" s="1"/>
  <c r="J134" i="2"/>
  <c r="L134" i="2" s="1"/>
  <c r="J135" i="2"/>
  <c r="L135" i="2" s="1"/>
  <c r="J136" i="2"/>
  <c r="L136" i="2" s="1"/>
  <c r="J137" i="2"/>
  <c r="L137" i="2" s="1"/>
  <c r="J138" i="2"/>
  <c r="L138" i="2" s="1"/>
  <c r="J139" i="2"/>
  <c r="L139" i="2" s="1"/>
  <c r="J140" i="2"/>
  <c r="L140" i="2" s="1"/>
  <c r="J141" i="2"/>
  <c r="L141" i="2" s="1"/>
  <c r="J142" i="2"/>
  <c r="L142" i="2" s="1"/>
  <c r="J143" i="2"/>
  <c r="L143" i="2" s="1"/>
  <c r="J144" i="2"/>
  <c r="L144" i="2" s="1"/>
  <c r="J145" i="2"/>
  <c r="L145" i="2" s="1"/>
  <c r="J146" i="2"/>
  <c r="L146" i="2" s="1"/>
  <c r="J147" i="2"/>
  <c r="L147" i="2" s="1"/>
  <c r="J148" i="2"/>
  <c r="L148" i="2" s="1"/>
  <c r="J149" i="2"/>
  <c r="L149" i="2" s="1"/>
  <c r="J150" i="2"/>
  <c r="L150" i="2" s="1"/>
  <c r="J151" i="2"/>
  <c r="L151" i="2" s="1"/>
  <c r="J152" i="2"/>
  <c r="L152" i="2" s="1"/>
  <c r="J153" i="2"/>
  <c r="K153" i="2" s="1"/>
  <c r="J154" i="2"/>
  <c r="L154" i="2" s="1"/>
  <c r="J155" i="2"/>
  <c r="L155" i="2" s="1"/>
  <c r="J156" i="2"/>
  <c r="L156" i="2" s="1"/>
  <c r="J157" i="2"/>
  <c r="L157" i="2" s="1"/>
  <c r="J158" i="2"/>
  <c r="L158" i="2" s="1"/>
  <c r="J159" i="2"/>
  <c r="L159" i="2" s="1"/>
  <c r="J160" i="2"/>
  <c r="L160" i="2" s="1"/>
  <c r="J161" i="2"/>
  <c r="L161" i="2" s="1"/>
  <c r="J162" i="2"/>
  <c r="L162" i="2" s="1"/>
  <c r="J163" i="2"/>
  <c r="L163" i="2" s="1"/>
  <c r="J164" i="2"/>
  <c r="L164" i="2" s="1"/>
  <c r="J165" i="2"/>
  <c r="L165" i="2" s="1"/>
  <c r="J166" i="2"/>
  <c r="L166" i="2" s="1"/>
  <c r="J167" i="2"/>
  <c r="L167" i="2" s="1"/>
  <c r="J168" i="2"/>
  <c r="L168" i="2" s="1"/>
  <c r="J169" i="2"/>
  <c r="L169" i="2" s="1"/>
  <c r="J170" i="2"/>
  <c r="L170" i="2" s="1"/>
  <c r="J171" i="2"/>
  <c r="L171" i="2" s="1"/>
  <c r="J172" i="2"/>
  <c r="L172" i="2" s="1"/>
  <c r="J173" i="2"/>
  <c r="L173" i="2" s="1"/>
  <c r="J174" i="2"/>
  <c r="L174" i="2" s="1"/>
  <c r="J175" i="2"/>
  <c r="L175" i="2" s="1"/>
  <c r="J176" i="2"/>
  <c r="L176" i="2" s="1"/>
  <c r="J177" i="2"/>
  <c r="L177" i="2" s="1"/>
  <c r="J178" i="2"/>
  <c r="L178" i="2" s="1"/>
  <c r="J179" i="2"/>
  <c r="L179" i="2" s="1"/>
  <c r="J180" i="2"/>
  <c r="L180" i="2" s="1"/>
  <c r="J181" i="2"/>
  <c r="L181" i="2" s="1"/>
  <c r="J182" i="2"/>
  <c r="L182" i="2" s="1"/>
  <c r="J183" i="2"/>
  <c r="L183" i="2" s="1"/>
  <c r="J184" i="2"/>
  <c r="L184" i="2" s="1"/>
  <c r="J185" i="2"/>
  <c r="L185" i="2" s="1"/>
  <c r="J186" i="2"/>
  <c r="L186" i="2" s="1"/>
  <c r="J187" i="2"/>
  <c r="L187" i="2" s="1"/>
  <c r="J188" i="2"/>
  <c r="L188" i="2" s="1"/>
  <c r="J189" i="2"/>
  <c r="K189" i="2" s="1"/>
  <c r="J190" i="2"/>
  <c r="L190" i="2" s="1"/>
  <c r="J191" i="2"/>
  <c r="L191" i="2" s="1"/>
  <c r="J192" i="2"/>
  <c r="L192" i="2" s="1"/>
  <c r="J193" i="2"/>
  <c r="L193" i="2" s="1"/>
  <c r="J194" i="2"/>
  <c r="L194" i="2" s="1"/>
  <c r="J195" i="2"/>
  <c r="L195" i="2" s="1"/>
  <c r="J196" i="2"/>
  <c r="L196" i="2" s="1"/>
  <c r="J197" i="2"/>
  <c r="L197" i="2" s="1"/>
  <c r="J198" i="2"/>
  <c r="L198" i="2" s="1"/>
  <c r="J199" i="2"/>
  <c r="L199" i="2" s="1"/>
  <c r="J200" i="2"/>
  <c r="L200" i="2" s="1"/>
  <c r="J201" i="2"/>
  <c r="K201" i="2" s="1"/>
  <c r="J202" i="2"/>
  <c r="L202" i="2" s="1"/>
  <c r="J203" i="2"/>
  <c r="L203" i="2" s="1"/>
  <c r="J204" i="2"/>
  <c r="L204" i="2" s="1"/>
  <c r="J205" i="2"/>
  <c r="L205" i="2" s="1"/>
  <c r="J206" i="2"/>
  <c r="L206" i="2" s="1"/>
  <c r="J207" i="2"/>
  <c r="L207" i="2" s="1"/>
  <c r="J208" i="2"/>
  <c r="L208" i="2" s="1"/>
  <c r="J209" i="2"/>
  <c r="L209" i="2" s="1"/>
  <c r="J210" i="2"/>
  <c r="L210" i="2" s="1"/>
  <c r="J211" i="2"/>
  <c r="L211" i="2" s="1"/>
  <c r="J212" i="2"/>
  <c r="L212" i="2" s="1"/>
  <c r="J213" i="2"/>
  <c r="L213" i="2" s="1"/>
  <c r="J214" i="2"/>
  <c r="L214" i="2" s="1"/>
  <c r="J215" i="2"/>
  <c r="L215" i="2" s="1"/>
  <c r="J216" i="2"/>
  <c r="L216" i="2" s="1"/>
  <c r="J217" i="2"/>
  <c r="L217" i="2" s="1"/>
  <c r="J218" i="2"/>
  <c r="L218" i="2" s="1"/>
  <c r="J219" i="2"/>
  <c r="L219" i="2" s="1"/>
  <c r="J220" i="2"/>
  <c r="L220" i="2" s="1"/>
  <c r="J221" i="2"/>
  <c r="L221" i="2" s="1"/>
  <c r="J222" i="2"/>
  <c r="L222" i="2" s="1"/>
  <c r="J223" i="2"/>
  <c r="L223" i="2" s="1"/>
  <c r="J224" i="2"/>
  <c r="L224" i="2" s="1"/>
  <c r="J225" i="2"/>
  <c r="L225" i="2" s="1"/>
  <c r="J226" i="2"/>
  <c r="L226" i="2" s="1"/>
  <c r="J227" i="2"/>
  <c r="L227" i="2" s="1"/>
  <c r="J228" i="2"/>
  <c r="L228" i="2" s="1"/>
  <c r="J229" i="2"/>
  <c r="L229" i="2" s="1"/>
  <c r="J230" i="2"/>
  <c r="L230" i="2" s="1"/>
  <c r="J231" i="2"/>
  <c r="L231" i="2" s="1"/>
  <c r="J232" i="2"/>
  <c r="L232" i="2" s="1"/>
  <c r="J233" i="2"/>
  <c r="L233" i="2" s="1"/>
  <c r="J234" i="2"/>
  <c r="L234" i="2" s="1"/>
  <c r="J235" i="2"/>
  <c r="L235" i="2" s="1"/>
  <c r="J236" i="2"/>
  <c r="L236" i="2" s="1"/>
  <c r="J237" i="2"/>
  <c r="K237" i="2" s="1"/>
  <c r="J238" i="2"/>
  <c r="L238" i="2" s="1"/>
  <c r="J239" i="2"/>
  <c r="L239" i="2" s="1"/>
  <c r="J240" i="2"/>
  <c r="L240" i="2" s="1"/>
  <c r="J241" i="2"/>
  <c r="L241" i="2" s="1"/>
  <c r="J242" i="2"/>
  <c r="L242" i="2" s="1"/>
  <c r="J243" i="2"/>
  <c r="L243" i="2" s="1"/>
  <c r="J244" i="2"/>
  <c r="L244" i="2" s="1"/>
  <c r="J245" i="2"/>
  <c r="L245" i="2" s="1"/>
  <c r="J246" i="2"/>
  <c r="L246" i="2" s="1"/>
  <c r="J247" i="2"/>
  <c r="L247" i="2" s="1"/>
  <c r="J248" i="2"/>
  <c r="L248" i="2" s="1"/>
  <c r="J249" i="2"/>
  <c r="K249" i="2" s="1"/>
  <c r="J250" i="2"/>
  <c r="L250" i="2" s="1"/>
  <c r="J251" i="2"/>
  <c r="L251" i="2" s="1"/>
  <c r="J252" i="2"/>
  <c r="L252" i="2" s="1"/>
  <c r="J253" i="2"/>
  <c r="L253" i="2" s="1"/>
  <c r="J254" i="2"/>
  <c r="L254" i="2" s="1"/>
  <c r="J255" i="2"/>
  <c r="L255" i="2" s="1"/>
  <c r="J256" i="2"/>
  <c r="L256" i="2" s="1"/>
  <c r="J257" i="2"/>
  <c r="L257" i="2" s="1"/>
  <c r="J258" i="2"/>
  <c r="L258" i="2" s="1"/>
  <c r="J259" i="2"/>
  <c r="L259" i="2" s="1"/>
  <c r="J260" i="2"/>
  <c r="L260" i="2" s="1"/>
  <c r="J261" i="2"/>
  <c r="L261" i="2" s="1"/>
  <c r="J22" i="2"/>
  <c r="L22" i="2" s="1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142" i="2"/>
  <c r="K22" i="2" l="1"/>
  <c r="K250" i="2"/>
  <c r="K238" i="2"/>
  <c r="K226" i="2"/>
  <c r="K214" i="2"/>
  <c r="K202" i="2"/>
  <c r="K190" i="2"/>
  <c r="K178" i="2"/>
  <c r="K166" i="2"/>
  <c r="K154" i="2"/>
  <c r="K142" i="2"/>
  <c r="K130" i="2"/>
  <c r="K118" i="2"/>
  <c r="K106" i="2"/>
  <c r="K94" i="2"/>
  <c r="K82" i="2"/>
  <c r="K70" i="2"/>
  <c r="K58" i="2"/>
  <c r="K46" i="2"/>
  <c r="K34" i="2"/>
  <c r="K261" i="2"/>
  <c r="K213" i="2"/>
  <c r="K177" i="2"/>
  <c r="K129" i="2"/>
  <c r="K93" i="2"/>
  <c r="K57" i="2"/>
  <c r="L249" i="2"/>
  <c r="L237" i="2"/>
  <c r="L201" i="2"/>
  <c r="L189" i="2"/>
  <c r="L153" i="2"/>
  <c r="L117" i="2"/>
  <c r="L105" i="2"/>
  <c r="L81" i="2"/>
  <c r="L69" i="2"/>
  <c r="L33" i="2"/>
  <c r="K260" i="2"/>
  <c r="K248" i="2"/>
  <c r="K236" i="2"/>
  <c r="K224" i="2"/>
  <c r="K212" i="2"/>
  <c r="K200" i="2"/>
  <c r="K188" i="2"/>
  <c r="K176" i="2"/>
  <c r="K164" i="2"/>
  <c r="K152" i="2"/>
  <c r="K140" i="2"/>
  <c r="K128" i="2"/>
  <c r="K116" i="2"/>
  <c r="K104" i="2"/>
  <c r="K92" i="2"/>
  <c r="K80" i="2"/>
  <c r="K68" i="2"/>
  <c r="K56" i="2"/>
  <c r="K44" i="2"/>
  <c r="K32" i="2"/>
  <c r="K225" i="2"/>
  <c r="K141" i="2"/>
  <c r="K259" i="2"/>
  <c r="K247" i="2"/>
  <c r="K235" i="2"/>
  <c r="K223" i="2"/>
  <c r="K211" i="2"/>
  <c r="K199" i="2"/>
  <c r="K187" i="2"/>
  <c r="K175" i="2"/>
  <c r="K163" i="2"/>
  <c r="K151" i="2"/>
  <c r="K139" i="2"/>
  <c r="K127" i="2"/>
  <c r="K115" i="2"/>
  <c r="K103" i="2"/>
  <c r="K91" i="2"/>
  <c r="K79" i="2"/>
  <c r="K67" i="2"/>
  <c r="K55" i="2"/>
  <c r="K43" i="2"/>
  <c r="K31" i="2"/>
  <c r="K165" i="2"/>
  <c r="K45" i="2"/>
  <c r="K258" i="2"/>
  <c r="K246" i="2"/>
  <c r="K234" i="2"/>
  <c r="K222" i="2"/>
  <c r="K210" i="2"/>
  <c r="K198" i="2"/>
  <c r="K186" i="2"/>
  <c r="K174" i="2"/>
  <c r="K162" i="2"/>
  <c r="K150" i="2"/>
  <c r="K138" i="2"/>
  <c r="K126" i="2"/>
  <c r="K114" i="2"/>
  <c r="K102" i="2"/>
  <c r="K90" i="2"/>
  <c r="K78" i="2"/>
  <c r="K66" i="2"/>
  <c r="K54" i="2"/>
  <c r="K42" i="2"/>
  <c r="K30" i="2"/>
  <c r="K257" i="2"/>
  <c r="K245" i="2"/>
  <c r="K233" i="2"/>
  <c r="K221" i="2"/>
  <c r="K209" i="2"/>
  <c r="K197" i="2"/>
  <c r="K185" i="2"/>
  <c r="K173" i="2"/>
  <c r="K161" i="2"/>
  <c r="K149" i="2"/>
  <c r="K137" i="2"/>
  <c r="K125" i="2"/>
  <c r="K113" i="2"/>
  <c r="K101" i="2"/>
  <c r="K89" i="2"/>
  <c r="K77" i="2"/>
  <c r="K65" i="2"/>
  <c r="K53" i="2"/>
  <c r="K41" i="2"/>
  <c r="K29" i="2"/>
  <c r="K256" i="2"/>
  <c r="K244" i="2"/>
  <c r="K232" i="2"/>
  <c r="K220" i="2"/>
  <c r="K208" i="2"/>
  <c r="K196" i="2"/>
  <c r="K184" i="2"/>
  <c r="K172" i="2"/>
  <c r="K160" i="2"/>
  <c r="K148" i="2"/>
  <c r="K136" i="2"/>
  <c r="K124" i="2"/>
  <c r="K112" i="2"/>
  <c r="K100" i="2"/>
  <c r="K88" i="2"/>
  <c r="K76" i="2"/>
  <c r="K64" i="2"/>
  <c r="K52" i="2"/>
  <c r="K40" i="2"/>
  <c r="K28" i="2"/>
  <c r="K255" i="2"/>
  <c r="K243" i="2"/>
  <c r="K231" i="2"/>
  <c r="K219" i="2"/>
  <c r="K207" i="2"/>
  <c r="K195" i="2"/>
  <c r="K183" i="2"/>
  <c r="K171" i="2"/>
  <c r="K159" i="2"/>
  <c r="K147" i="2"/>
  <c r="K135" i="2"/>
  <c r="K123" i="2"/>
  <c r="K111" i="2"/>
  <c r="K99" i="2"/>
  <c r="K87" i="2"/>
  <c r="K75" i="2"/>
  <c r="K63" i="2"/>
  <c r="K51" i="2"/>
  <c r="K39" i="2"/>
  <c r="K27" i="2"/>
  <c r="K254" i="2"/>
  <c r="K242" i="2"/>
  <c r="K230" i="2"/>
  <c r="K218" i="2"/>
  <c r="K206" i="2"/>
  <c r="K194" i="2"/>
  <c r="K182" i="2"/>
  <c r="K170" i="2"/>
  <c r="K158" i="2"/>
  <c r="K146" i="2"/>
  <c r="K134" i="2"/>
  <c r="K122" i="2"/>
  <c r="K110" i="2"/>
  <c r="K98" i="2"/>
  <c r="K86" i="2"/>
  <c r="K74" i="2"/>
  <c r="K62" i="2"/>
  <c r="K50" i="2"/>
  <c r="K38" i="2"/>
  <c r="K26" i="2"/>
  <c r="K253" i="2"/>
  <c r="K241" i="2"/>
  <c r="K229" i="2"/>
  <c r="K217" i="2"/>
  <c r="K205" i="2"/>
  <c r="K193" i="2"/>
  <c r="K181" i="2"/>
  <c r="K169" i="2"/>
  <c r="K157" i="2"/>
  <c r="K145" i="2"/>
  <c r="K133" i="2"/>
  <c r="K121" i="2"/>
  <c r="K109" i="2"/>
  <c r="K97" i="2"/>
  <c r="K85" i="2"/>
  <c r="K73" i="2"/>
  <c r="K61" i="2"/>
  <c r="K49" i="2"/>
  <c r="K37" i="2"/>
  <c r="K25" i="2"/>
  <c r="K252" i="2"/>
  <c r="K240" i="2"/>
  <c r="K228" i="2"/>
  <c r="K216" i="2"/>
  <c r="K204" i="2"/>
  <c r="K192" i="2"/>
  <c r="K180" i="2"/>
  <c r="K168" i="2"/>
  <c r="K156" i="2"/>
  <c r="K144" i="2"/>
  <c r="K132" i="2"/>
  <c r="K120" i="2"/>
  <c r="K108" i="2"/>
  <c r="K96" i="2"/>
  <c r="K84" i="2"/>
  <c r="K72" i="2"/>
  <c r="K60" i="2"/>
  <c r="K48" i="2"/>
  <c r="K36" i="2"/>
  <c r="K24" i="2"/>
  <c r="K251" i="2"/>
  <c r="K239" i="2"/>
  <c r="K227" i="2"/>
  <c r="K215" i="2"/>
  <c r="K203" i="2"/>
  <c r="K191" i="2"/>
  <c r="K179" i="2"/>
  <c r="K167" i="2"/>
  <c r="K155" i="2"/>
  <c r="K143" i="2"/>
  <c r="K131" i="2"/>
  <c r="K119" i="2"/>
  <c r="K107" i="2"/>
  <c r="K95" i="2"/>
  <c r="K83" i="2"/>
  <c r="K71" i="2"/>
  <c r="K59" i="2"/>
  <c r="K47" i="2"/>
  <c r="K35" i="2"/>
  <c r="K23" i="2"/>
</calcChain>
</file>

<file path=xl/sharedStrings.xml><?xml version="1.0" encoding="utf-8"?>
<sst xmlns="http://schemas.openxmlformats.org/spreadsheetml/2006/main" count="25000" uniqueCount="769">
  <si>
    <t>REGIONAL</t>
  </si>
  <si>
    <t>NM_CANAL_AJUSTADO</t>
  </si>
  <si>
    <t>NM_MERCADO</t>
  </si>
  <si>
    <t>INDICADOR DE NEGÓCIO</t>
  </si>
  <si>
    <t>NR_ANO_MES</t>
  </si>
  <si>
    <t>NM_PARCEIRO</t>
  </si>
  <si>
    <t>MÊS</t>
  </si>
  <si>
    <t>TEND.</t>
  </si>
  <si>
    <t>RSI</t>
  </si>
  <si>
    <t>Porta Porta Premium</t>
  </si>
  <si>
    <t>Pessoa Jurídica</t>
  </si>
  <si>
    <t>Instalação</t>
  </si>
  <si>
    <t>CLARO S.A. 4016906</t>
  </si>
  <si>
    <t>CLARO SA 4055200</t>
  </si>
  <si>
    <t>Venda Bruta</t>
  </si>
  <si>
    <t>CLARO SA 4094370</t>
  </si>
  <si>
    <t>Pessoa Física</t>
  </si>
  <si>
    <t>Lojas Proprias</t>
  </si>
  <si>
    <t>CLARO S.A.</t>
  </si>
  <si>
    <t>CLARO SA4027770</t>
  </si>
  <si>
    <t>CLARO SA4051990</t>
  </si>
  <si>
    <t>CLARO SA900</t>
  </si>
  <si>
    <t>CLARO S. A.44</t>
  </si>
  <si>
    <t>CLARO S. A.50</t>
  </si>
  <si>
    <t>CLARO SA4091274</t>
  </si>
  <si>
    <t>CLARO SA4052961</t>
  </si>
  <si>
    <t>CLARO  S. A</t>
  </si>
  <si>
    <t>CLARO SA4016817</t>
  </si>
  <si>
    <t>CLARO SA4013478</t>
  </si>
  <si>
    <t>CLARO SA4012072</t>
  </si>
  <si>
    <t>CLARO SA4007664</t>
  </si>
  <si>
    <t>CLARO SA4004649</t>
  </si>
  <si>
    <t>CLARO S. A. 30992</t>
  </si>
  <si>
    <t>CLARO SA4048859</t>
  </si>
  <si>
    <t>CLARO SA4016493</t>
  </si>
  <si>
    <t>CLARO SA4078332</t>
  </si>
  <si>
    <t>CLARO S. A.525</t>
  </si>
  <si>
    <t>CLARO SA4031026</t>
  </si>
  <si>
    <t>CLARO S. A 13800</t>
  </si>
  <si>
    <t>CLARO SA4032006</t>
  </si>
  <si>
    <t>CLARO SA4032189</t>
  </si>
  <si>
    <t>CLARO SA4053003</t>
  </si>
  <si>
    <t>CLARO SA</t>
  </si>
  <si>
    <t>CLARO BRASIL</t>
  </si>
  <si>
    <t>CLARO S. A.067</t>
  </si>
  <si>
    <t>CLARO S. A.</t>
  </si>
  <si>
    <t>CLARO SA4049235</t>
  </si>
  <si>
    <t>Hospitality PME</t>
  </si>
  <si>
    <t>CLARO S.A. 4082798</t>
  </si>
  <si>
    <t>DAC</t>
  </si>
  <si>
    <t>TEL  CENTRO DE CONTATOS LTDA</t>
  </si>
  <si>
    <t>ALMAVIVA DO BRASIL TELEMARKETING E INFORMATICA S/A</t>
  </si>
  <si>
    <t>NAO INFORMADO</t>
  </si>
  <si>
    <t>TEL CENTRO DE CONTATOS LTDA</t>
  </si>
  <si>
    <t>Televendas Receptivo</t>
  </si>
  <si>
    <t>COBMAX CONTACT CENTER LTDA</t>
  </si>
  <si>
    <t>CALLINK SERVICOS DE CALL CENTER LTDA</t>
  </si>
  <si>
    <t>SADDI E SANTOS LTDA.</t>
  </si>
  <si>
    <t>AEC CENTRO DE CONTATOS S/A</t>
  </si>
  <si>
    <t>Agente Autorizado Claro Empresas</t>
  </si>
  <si>
    <t>DATAVOXX SOLUCOES LTDA</t>
  </si>
  <si>
    <t>ALIANCA SUL CONTACT CENTER LTDA</t>
  </si>
  <si>
    <t>INTER SOLUCOES EM SERVICOS LTDA</t>
  </si>
  <si>
    <t>MZ SERVICOS EM TELEFONIA MOVEL E FIXA LTDA</t>
  </si>
  <si>
    <t>DAVI RIBEIRO AVILES ME</t>
  </si>
  <si>
    <t>R &amp; C TELECOM LTDA</t>
  </si>
  <si>
    <t>PRIME SOLUCOES LTDA</t>
  </si>
  <si>
    <t>VFA NASCIMENTO EIRELI ME</t>
  </si>
  <si>
    <t>NEXUS CONSULTORIA EM TELECOMUNICACOES EIRELI</t>
  </si>
  <si>
    <t>VST AGENCIAMENTO E SERVICOS LTDA</t>
  </si>
  <si>
    <t>FUTURA 7 SOLUCOES EM TELECOMUNICACOES LTDA EPP</t>
  </si>
  <si>
    <t>V &amp; A  COMERCIO DE APARELHOS ELETRONICOS LTDA</t>
  </si>
  <si>
    <t>RR PROMOCAO DE VENDAS E COMERCIO LTDA</t>
  </si>
  <si>
    <t>ZERO11 TELECOMUNICACOES LTDA EPP</t>
  </si>
  <si>
    <t>TELEBAT EQUIPAMENTOS ELETRONICOS LTDA ME</t>
  </si>
  <si>
    <t>PROMO M EIRELI ME</t>
  </si>
  <si>
    <t>ALIANCA SUL CONTACT CENTER EIRELI</t>
  </si>
  <si>
    <t>LUCRATIVE SOLUTIONS APOIO AS EMPRESAS NAS NEGOCIACOES DE CONTRATO LTDA</t>
  </si>
  <si>
    <t>BRAVO TELECOM PRESTADORA DE SERVICO LTDA</t>
  </si>
  <si>
    <t>EMPRESARIAL PRIME SERVICOS DE TELECOMUNICACAO LTDA</t>
  </si>
  <si>
    <t>TAK MOVEL SERVICOS EMPRESARIAIS LTDA</t>
  </si>
  <si>
    <t>Porta Porta Massivo</t>
  </si>
  <si>
    <t>SPOROS TELECOM LTDA</t>
  </si>
  <si>
    <t>LIVE ONE TRADE MARKETING LTDA</t>
  </si>
  <si>
    <t>CONEXOES TELECOM LTDA</t>
  </si>
  <si>
    <t>J.J.A. TELECOM PREPRESENTACAO COMERCIAL LTDA</t>
  </si>
  <si>
    <t>ALMAVIVA DO BRASIL S.A.</t>
  </si>
  <si>
    <t>NEW TECHNOLOGIES SERVICOS DE TELECOMUNICACAO E TV POR ASSINATURA EIRELI</t>
  </si>
  <si>
    <t>PRIME CONNEXION LTDA</t>
  </si>
  <si>
    <t>GP TELECOM SERVICOS E REPRESENTACOES LTDA</t>
  </si>
  <si>
    <t>KP DOS SANTOS EIRELI</t>
  </si>
  <si>
    <t>M.A. CURTI INTERMEDIACOES DE VENDAS LTDA</t>
  </si>
  <si>
    <t>KLEBER RODRIGO DA SILVA</t>
  </si>
  <si>
    <t>FARIAS &amp; FARIAS APOIO ADMINISTRATIVO LTDA</t>
  </si>
  <si>
    <t>JB2 COMERCIO E INTERMEDIACAO DE NEGOCIOS LTDA</t>
  </si>
  <si>
    <t>STELL TELECOM COMERCIO E REPRESENTACAO DE CELULARES LTDA</t>
  </si>
  <si>
    <t>JM TELECON LTDA</t>
  </si>
  <si>
    <t>SAGG ASSESSORIA EMPRESARIAL LTDA</t>
  </si>
  <si>
    <t>TCELL COMERCIO DE TELEFONIA LTDA</t>
  </si>
  <si>
    <t>MTM SOLUCOES E REPRESENTACOES LTDA</t>
  </si>
  <si>
    <t>Porta Porta PME</t>
  </si>
  <si>
    <t>CLARO SA 4000147</t>
  </si>
  <si>
    <t>CLARO S A</t>
  </si>
  <si>
    <t>Porta Porta Indireto PME</t>
  </si>
  <si>
    <t>A S BISPO INTERMEDIACOES</t>
  </si>
  <si>
    <t>REITERAR SERVICOS EMPRESARIAIS LTDA</t>
  </si>
  <si>
    <t>MD CORP LTDA</t>
  </si>
  <si>
    <t>STARTECH CONSULTORIA EM TELECOMUNICACOES LTDA</t>
  </si>
  <si>
    <t>ESTEFANIA COSTA VIEIRA</t>
  </si>
  <si>
    <t>SABRINA SANTOS INTERMEDIACOES DE NEGOCIOS LTDA</t>
  </si>
  <si>
    <t>AEC CENTRO DE CONTATOS S A</t>
  </si>
  <si>
    <t>VITORIA TELECOM LTDA</t>
  </si>
  <si>
    <t>SCRIPT CALL CENTER SERVICOS DE TELEATENDIMENTO LTDA ME</t>
  </si>
  <si>
    <t>THIAGO FERREIRA DO AMARAL</t>
  </si>
  <si>
    <t>ALERT BPO SOLUCOES INTEGRADAS LTDA</t>
  </si>
  <si>
    <t>EMBRATECH TELECOMUNICACOES LTDA</t>
  </si>
  <si>
    <t>TEREZINHA DE JESUS ARAUJO ALVES ME</t>
  </si>
  <si>
    <t>PRIME TELECOM LTDA</t>
  </si>
  <si>
    <t>XF7 TELEATENDIMENTO LTDA ME</t>
  </si>
  <si>
    <t>BALDUS E GOMES SERVICOS DE TELEMARKETING LTDA</t>
  </si>
  <si>
    <t>DEISE NOGUEIRA DA SILVA 27166387807</t>
  </si>
  <si>
    <t>AF TELECOMUNICACAO LTDA</t>
  </si>
  <si>
    <t>EMPREENDEDOR WEB NEGOCIOS E SERVICOS LTDA</t>
  </si>
  <si>
    <t>W N &amp; REPRESENTACOES LTDA</t>
  </si>
  <si>
    <t>MEGA CONEXAO FIBRA LTDA</t>
  </si>
  <si>
    <t>FASTSELL LTDA</t>
  </si>
  <si>
    <t>NAVIKA TELECOMUNICACAO LTDA</t>
  </si>
  <si>
    <t>EVOLUCAO TELECOMUNICACOES LTDA</t>
  </si>
  <si>
    <t>TELETOTAL COMUNICACAO LTDA</t>
  </si>
  <si>
    <t>CONECT FIBRA GESTAO EM TELECOMUNICACOES LTDA</t>
  </si>
  <si>
    <t>JANE MARIA CRUZ DE OLIVEIRA LONGUINHOS</t>
  </si>
  <si>
    <t>C2 TECNOLOGIA INTERMEDIACAO E AGENCIAMENTO DE NEGOCIOS LTDA</t>
  </si>
  <si>
    <t>ATIVINET SERVICOS DE TELECOMUNICACAO LTDA ME</t>
  </si>
  <si>
    <t>MARCO REPRESENTATIVO E PROMOCOES LTDA</t>
  </si>
  <si>
    <t>TLGP TELECOM LTDA</t>
  </si>
  <si>
    <t>SUPREMA TELECOMUNICACOES LTDA</t>
  </si>
  <si>
    <t>TOP PME</t>
  </si>
  <si>
    <t>CLARO S.A. 4083255</t>
  </si>
  <si>
    <t>HITSS DO BRASIL SERVICOS TECNOLOGICOS LTDA</t>
  </si>
  <si>
    <t>Agente Autorizado</t>
  </si>
  <si>
    <t>RP COMERCIO E REPRESENTACAO EM TELECOMUNICACOES LTDA</t>
  </si>
  <si>
    <t>HS TELECOM COMERCIO SERVICOS E REPRESENTACAO DE TELEFONIA MOVEL LTDA</t>
  </si>
  <si>
    <t>FLEX CELL COMERCIO DE CELULARES LTDA ME</t>
  </si>
  <si>
    <t>FLEX CELL COMERCIO DE CELULARES LTDA</t>
  </si>
  <si>
    <t>PRIME ARACATUBA CELULARES LTDA ME</t>
  </si>
  <si>
    <t>JP MACHADO TELEFONIA ME</t>
  </si>
  <si>
    <t>FLEX CELL  COMERCIO DE CELULARES LTDA  ME</t>
  </si>
  <si>
    <t>HS TELECOM  COM SERV E REPRESENT DE TELEFONIA MOVEL LTDA</t>
  </si>
  <si>
    <t>FW TELEFONIA LTDA EPP</t>
  </si>
  <si>
    <t>RP COMERCIO E REPRESENTACAO EM TELECOMUNICACOES 0100</t>
  </si>
  <si>
    <t>DOUGLAS LUIZ ELETRONICOS</t>
  </si>
  <si>
    <t>ADESIENE NUNES MACHADO - ME/</t>
  </si>
  <si>
    <t>RP COMERCIO E REPRESENTACAO EM TELECOMUNICACOES 263</t>
  </si>
  <si>
    <t>FB SERVICOS DE TELECOM LTDA</t>
  </si>
  <si>
    <t>JARBAS WILHAN ME</t>
  </si>
  <si>
    <t>HS TELECOM COM SERV E REPRESENT  DE TELEFONIA MOVEL LTDA</t>
  </si>
  <si>
    <t>CLARICELL SANTO AMARO TELECOMUNICACOES LTDA</t>
  </si>
  <si>
    <t>ADESIENE NUNES MACHADO</t>
  </si>
  <si>
    <t>DOM BARRETO COMERCIAL LTDA ME</t>
  </si>
  <si>
    <t>RP COMERCIO E REPRESENTACAO EM TELECOMUNICACOES EIRELI EPP</t>
  </si>
  <si>
    <t>DIEGO FERNANDES PEREIRA</t>
  </si>
  <si>
    <t>RP COMERCIO E REPRESENTACAO EM TELECOMUNICACOES 03207</t>
  </si>
  <si>
    <t>JF CELULARES LTDA</t>
  </si>
  <si>
    <t>BONELI BIAZI CELULARES EIRELI ME</t>
  </si>
  <si>
    <t>E-Commerce</t>
  </si>
  <si>
    <t>CSU CARDSYSTEM S A</t>
  </si>
  <si>
    <t>I. L. DA SILVA - TELEFONIA</t>
  </si>
  <si>
    <t>DOUGLAS RICARDO DA SILVA OLIVEIRA</t>
  </si>
  <si>
    <t>LA/ MA</t>
  </si>
  <si>
    <t>CLARO NXT TELECOMUNICACOES SA</t>
  </si>
  <si>
    <t>S2S</t>
  </si>
  <si>
    <t>BRASILCENTER COMUNICACOES LTDA</t>
  </si>
  <si>
    <t>Porta Porta BCC PME</t>
  </si>
  <si>
    <t>RRE</t>
  </si>
  <si>
    <t>CLARO S.A. 4059036</t>
  </si>
  <si>
    <t>CLARO SA 4082445</t>
  </si>
  <si>
    <t>CLARO S.A. 4030135</t>
  </si>
  <si>
    <t>CLARO SA 4078170</t>
  </si>
  <si>
    <t>CLARO S.A</t>
  </si>
  <si>
    <t>CLARO - S--A.</t>
  </si>
  <si>
    <t>CLARO SA963</t>
  </si>
  <si>
    <t>CLARO SA 4007150</t>
  </si>
  <si>
    <t>CLARO188</t>
  </si>
  <si>
    <t>CLARO SA 4026880</t>
  </si>
  <si>
    <t>CLARO SA 4005378</t>
  </si>
  <si>
    <t>CLARO SA 4028238</t>
  </si>
  <si>
    <t>CLARO SA4086351</t>
  </si>
  <si>
    <t>CLARO S.A. 13710</t>
  </si>
  <si>
    <t>CLARO SA 4005882</t>
  </si>
  <si>
    <t>CLARO SA 4051566</t>
  </si>
  <si>
    <t>CLARO SA4053500</t>
  </si>
  <si>
    <t>CLARO SA 4051728</t>
  </si>
  <si>
    <t>CLARO S.A501</t>
  </si>
  <si>
    <t>CLARO S.A. 5530</t>
  </si>
  <si>
    <t>CLARO S.A---</t>
  </si>
  <si>
    <t>CLARO S.A40289</t>
  </si>
  <si>
    <t>CLARO SA 4049154</t>
  </si>
  <si>
    <t>CLARO S.A--</t>
  </si>
  <si>
    <t>CLARO SA ++</t>
  </si>
  <si>
    <t>CLARO S.A935</t>
  </si>
  <si>
    <t>CLARO.- S.A.</t>
  </si>
  <si>
    <t>CLARO SA 4004487</t>
  </si>
  <si>
    <t>CLARO S.A 707</t>
  </si>
  <si>
    <t>Não Informado</t>
  </si>
  <si>
    <t>HUSBY BRASIL COMERCIO E SERVICOS EIRELI</t>
  </si>
  <si>
    <t>SDC - COMERCIO E SERVICO LTDA</t>
  </si>
  <si>
    <t>ALIANCA SUL CONTACT CENTER EIRELI ME</t>
  </si>
  <si>
    <t>FW CORPORATIVO LTDA</t>
  </si>
  <si>
    <t>NEOCOM CONSULTORIA E INTERMEDIACAO DE NEGOCIOS LTDA</t>
  </si>
  <si>
    <t>TELENET SERVICOS DE TELECOMUNICACOES LTDA</t>
  </si>
  <si>
    <t>AVANT TELECOM EIRELI</t>
  </si>
  <si>
    <t>SINERGIA CONSULTORIA E TELECOMUNICACOES LTDA</t>
  </si>
  <si>
    <t>LEINAD COMERCIO E SERVICO EIRELL</t>
  </si>
  <si>
    <t>MASTER TELECOM AGENCIA DIGITAL LTDA</t>
  </si>
  <si>
    <t>ALO MIDDLE LTDA</t>
  </si>
  <si>
    <t>BR TELECOM SERVICOS EIRELI</t>
  </si>
  <si>
    <t>DS DE CANTUARIA JUNIOR SERVICOS E INTERMEDIACAO COMERCIAL</t>
  </si>
  <si>
    <t>VIVAMAIS TELECOM EIRELI</t>
  </si>
  <si>
    <t>KSSESINSKI AGENCIAMENTO E INVESTIMENTOS LTDA</t>
  </si>
  <si>
    <t>BRUNO DE JESUS SANTOS LTDA</t>
  </si>
  <si>
    <t>MEETING 01234 COMERCIO E SERVICOS DE TELEFONIAS E INFORMATICA LTDA ME</t>
  </si>
  <si>
    <t>JNF TELECOM LTDA</t>
  </si>
  <si>
    <t>CRM CONNECT TELECOM LTDA</t>
  </si>
  <si>
    <t>J3L SOLUCOES LTDA ME</t>
  </si>
  <si>
    <t>KONNECT LTDA</t>
  </si>
  <si>
    <t>ANDRE DA SILVA DA ROSA &amp; CIA LTDA</t>
  </si>
  <si>
    <t>TOP TELECOM LTDA</t>
  </si>
  <si>
    <t>FAJULUTI GAVEA TELECOM COMERCIO DE MATERIAL DE TELECOMUNICACAO LTDA</t>
  </si>
  <si>
    <t>PONTO CERTO COMERCIO  E  COMUNICACOES LTDA</t>
  </si>
  <si>
    <t>PONTO CERTO COMERCIO E COMUNICACOES LTDA</t>
  </si>
  <si>
    <t>GSM FREE TRES RIOS COMERCIO DE CELULARES LTDA ME</t>
  </si>
  <si>
    <t>MEXCELL COMERCIO E SERVICOS DE TELECOMUNICACOES LTDA</t>
  </si>
  <si>
    <t>MULHER DE PEDRA DE TERESOPOLIS COM DE ELETRONICOS  LTDA - ME</t>
  </si>
  <si>
    <t>GSM FREE DE TERESOPOLIS COMERCIO DE CELULARES LTDA ME</t>
  </si>
  <si>
    <t>FW TELEFONIA LTDA</t>
  </si>
  <si>
    <t>LEINAD COMERCIO E SERVICO LTDA</t>
  </si>
  <si>
    <t>INTERFACE CELL II MACAE LTDA</t>
  </si>
  <si>
    <t>GARA COMERCIO DE CELULAR EIRELI</t>
  </si>
  <si>
    <t>Outros</t>
  </si>
  <si>
    <t>EMBRATEL S.A.</t>
  </si>
  <si>
    <t>MOVILWAY COMERCIO E DISTRIBUIDORA LTDA</t>
  </si>
  <si>
    <t>CLARO S.A. 4071753</t>
  </si>
  <si>
    <t>RMG</t>
  </si>
  <si>
    <t>CLARO SA 4066911</t>
  </si>
  <si>
    <t>CLARO S.A.518</t>
  </si>
  <si>
    <t>CLARO SA 415</t>
  </si>
  <si>
    <t>CLARO SA 4050837</t>
  </si>
  <si>
    <t>CLARO S.A.620</t>
  </si>
  <si>
    <t>CLARO S.A. 569</t>
  </si>
  <si>
    <t>CLARO SA4090383</t>
  </si>
  <si>
    <t>CLARO.SA494</t>
  </si>
  <si>
    <t>CLARO S.A. 842</t>
  </si>
  <si>
    <t>CLARO S.A851</t>
  </si>
  <si>
    <t>CLARO S.A.\543</t>
  </si>
  <si>
    <t>CLARO SA4037490</t>
  </si>
  <si>
    <t>CLARO.SA640</t>
  </si>
  <si>
    <t>CLARO902</t>
  </si>
  <si>
    <t>HUSBY BRASIL COMERCIO E SERVIÇOS EIRELI</t>
  </si>
  <si>
    <t>BKOK CONSULTORIA LTDA</t>
  </si>
  <si>
    <t>MAQUINA DE VENDAS REPRESENTACOES COMERCIAIS LTDA</t>
  </si>
  <si>
    <t>JC INTERMEDIACAO E AGENCIAMENTO DE SERVICOS LTDA</t>
  </si>
  <si>
    <t>AFS SOLUCOES EM TELECOM EIRELI ME</t>
  </si>
  <si>
    <t>WESLEY SARAIVA DA SILVA 03072632669</t>
  </si>
  <si>
    <t>MF ENGENHARIA E SERVICOS LTDA</t>
  </si>
  <si>
    <t>AZEVEDO REPRESENTACOES E SERVICOS LTDA</t>
  </si>
  <si>
    <t>JLC CONSULTORIA E NEGOCIOS LTDA</t>
  </si>
  <si>
    <t>GV COMUNICACOES LTDA</t>
  </si>
  <si>
    <t>SAT PLUS ELETRONICA LTDA ME</t>
  </si>
  <si>
    <t>MENEZES E MATOS COMUNICACAO E CONSULTORIA</t>
  </si>
  <si>
    <t>CHAVE MARKETING LTDA</t>
  </si>
  <si>
    <t>WD TELECOM LTDA</t>
  </si>
  <si>
    <t>MAURICIO RODRIGUES DOS SANTOS JUNIOR</t>
  </si>
  <si>
    <t>ATEL COMERCIAL EIRELI LTDA</t>
  </si>
  <si>
    <t>NONNA TERCEIRIZACAO DE SERVICOS LTDA</t>
  </si>
  <si>
    <t>DIGITAL SERVICE LTDA</t>
  </si>
  <si>
    <t>MANFAR REPRESENTACOES LTDA</t>
  </si>
  <si>
    <t>MAFORTE REPRESENTACAO LTDA</t>
  </si>
  <si>
    <t>CLARO S A.</t>
  </si>
  <si>
    <t>ALFA TECNOLOGIA EIRELI</t>
  </si>
  <si>
    <t>GABIATTI E BUENO TELECOM LTDA</t>
  </si>
  <si>
    <t>ROSIMERE DA SILVA CABRAL</t>
  </si>
  <si>
    <t>ATTIVITA SOLUTIONS LTDA</t>
  </si>
  <si>
    <t>TELECELL TELEFONIA LTDA</t>
  </si>
  <si>
    <t>GLZ TELEFONIA MOVEL LTDA</t>
  </si>
  <si>
    <t>FOR CELL TELECOM LTDA</t>
  </si>
  <si>
    <t>SOLAR COMERCIO E SERVICOS DE TELEFONIA LTDA ME</t>
  </si>
  <si>
    <t>RPS</t>
  </si>
  <si>
    <t>CLARO S.A. 75155</t>
  </si>
  <si>
    <t>CLARO S/A - LS PS PATIO CHAPECO</t>
  </si>
  <si>
    <t>CLARO S.A. 727</t>
  </si>
  <si>
    <t>CLARO S.A.646</t>
  </si>
  <si>
    <t>CLARO S.A. 39000</t>
  </si>
  <si>
    <t>CLARO-CL LR PS MARINGA (CNPJ 0104-52)</t>
  </si>
  <si>
    <t>CLARO S.A. 836</t>
  </si>
  <si>
    <t>CLARO S.A. 7079</t>
  </si>
  <si>
    <t>CLARO SA 4043466</t>
  </si>
  <si>
    <t>CLARO-CL LS PS BEIRAMAR FLORIPA(CNPJ 0132-06)</t>
  </si>
  <si>
    <t>CLARO S.A. 22973</t>
  </si>
  <si>
    <t>CLARO SA 4025484</t>
  </si>
  <si>
    <t>CLARO S.A.098</t>
  </si>
  <si>
    <t>CLARO-CL QS PS MULLER - CWB (CNPJ 0148-73)</t>
  </si>
  <si>
    <t>CLARO SA 4050675</t>
  </si>
  <si>
    <t>YAB TELECOM INTERMEDIACAO DE LINHAS TELEFONICAS LTDA</t>
  </si>
  <si>
    <t>ALIANCA SUL CONTACT CENTER EIRELI - ME</t>
  </si>
  <si>
    <t>E JUNQUEIRA DA SILVEIRA LTDA</t>
  </si>
  <si>
    <t>EVERTON F DOS SANTOS VASCONCELLOS</t>
  </si>
  <si>
    <t>BENUZA DE FARIA BENTO SPELTZ</t>
  </si>
  <si>
    <t>AZM PAP SC TELECOMUNICACOES LTDA</t>
  </si>
  <si>
    <t>NEWLUX TECNOLOGIA LTDA</t>
  </si>
  <si>
    <t>MURILO JOSE TOMAZI</t>
  </si>
  <si>
    <t>DLS TELECOM LTDA</t>
  </si>
  <si>
    <t>J P BALLICO MULTISERVICOS CM</t>
  </si>
  <si>
    <t>ANDERSON DE LIMA ME..</t>
  </si>
  <si>
    <t>ULTRA TELECOM LTDA</t>
  </si>
  <si>
    <t>PROSPECT STORE LTDA</t>
  </si>
  <si>
    <t>CONNECT SERVICOS DE TELEFONIA LTDA</t>
  </si>
  <si>
    <t>A AMORIM INTERMEDIACOES LTDA</t>
  </si>
  <si>
    <t>PRUDENTE SOLUCOES E INTERMEDIACAO LTDA</t>
  </si>
  <si>
    <t>PLANEJE - CONSULTORIA LTDA</t>
  </si>
  <si>
    <t>VIAFACIL SOLUCOES LTDA</t>
  </si>
  <si>
    <t>CLICOM MARKETING SALES LTDA</t>
  </si>
  <si>
    <t>CRISTIANO CONCEICAO DA COSTA</t>
  </si>
  <si>
    <t>JL SOLUCOES LTDA</t>
  </si>
  <si>
    <t>CLARO S.A. 4070943</t>
  </si>
  <si>
    <t>CLINTEL COMERCIO DE APARELHOS ELETRONICOS EIRELI ME</t>
  </si>
  <si>
    <t>BANDEIRA TELEFONIA LTDA</t>
  </si>
  <si>
    <t>INTEGRA CONNECT TELECOMUNICACOES LTDA</t>
  </si>
  <si>
    <t>RP COMERCIO E REPRESENTACAO EM TELECOMUNICACOES 7032</t>
  </si>
  <si>
    <t>CARLOS EDUARDO SAVIAN151</t>
  </si>
  <si>
    <t>RP COMERCIO E REPRESENTACAO EM TELECOMUNICACOES 656</t>
  </si>
  <si>
    <t>CARLOS EDUARDO SAVIAN EPP</t>
  </si>
  <si>
    <t>ITAMARY TELEFONIA LTDA</t>
  </si>
  <si>
    <t>IDEAL COMERCIO E SERVICOS EM TELEFONIA LTDA</t>
  </si>
  <si>
    <t>VOICE CENTER CELULARES LTDA</t>
  </si>
  <si>
    <t>RP COMERCIO E REPRESENTACAO7547</t>
  </si>
  <si>
    <t>RP COMERCIO E REPR EM TELECOM LTDA</t>
  </si>
  <si>
    <t>COMERCIO DE CELULARES BANDEIRA LTDA EPP</t>
  </si>
  <si>
    <t>LOPES NICACIO PRESTADORA DE SERVICOS LTDA</t>
  </si>
  <si>
    <t>AGUIA SERVICOS DE TELECOMUNICACOES LTDA</t>
  </si>
  <si>
    <t>RRS</t>
  </si>
  <si>
    <t>CLARO SA 4074183</t>
  </si>
  <si>
    <t>CLARO-CL LS RS CAXIAS DO SUL (CNPJ 0280-76)</t>
  </si>
  <si>
    <t>CLARO-CL LS RG IGUATEMI POA (CNPJ 0091-01)</t>
  </si>
  <si>
    <t>CLARO SA4097205</t>
  </si>
  <si>
    <t>CLARO S.A. 294</t>
  </si>
  <si>
    <t>CLARO SA 4039434</t>
  </si>
  <si>
    <t>CLARO S.A. 8474</t>
  </si>
  <si>
    <t>CLARO S.A.409012</t>
  </si>
  <si>
    <t>CLARO SA4073292</t>
  </si>
  <si>
    <t>CLARO-CL LS RS NOVO HAMBURGO (CNPJ 0117-77)</t>
  </si>
  <si>
    <t>CLARO S.A. 8989</t>
  </si>
  <si>
    <t>CLARO-CL LR RS PELOTAS (CNPJ 0087-17)</t>
  </si>
  <si>
    <t>CLARO S.A. 37652</t>
  </si>
  <si>
    <t>TELECT TELEFONIA CORPORATIVA LTDA ME</t>
  </si>
  <si>
    <t>CSW EMPRESAS LTDA</t>
  </si>
  <si>
    <t>AZM PAP RS TELECOMUNICAÇOES LTDA</t>
  </si>
  <si>
    <t>NEWCO SM - EMPRESA JORNALISTICA LTDA</t>
  </si>
  <si>
    <t>STAR SOLUTION SERVICOS E MANUTENCAO LTDA</t>
  </si>
  <si>
    <t>TALK PAP LTDA</t>
  </si>
  <si>
    <t>TSALEACH SOLUCOES EM VENDAS LTDA</t>
  </si>
  <si>
    <t>M J TOMAZI LTDA</t>
  </si>
  <si>
    <t>FIBERX SOLUCOES LTDA</t>
  </si>
  <si>
    <t>PAX SOLUCOES FINANCEIRAS LTDA</t>
  </si>
  <si>
    <t>D A ADMINISTRACAO DE NEGOCIOS LTDA</t>
  </si>
  <si>
    <t>RC TELECOMUNICACOES LTDA</t>
  </si>
  <si>
    <t>NR VIEIRA TELEMARKETING ME</t>
  </si>
  <si>
    <t>CLARO S.A. 4072130</t>
  </si>
  <si>
    <t>EDUARDO JUNQUEIRA DA SILVEIRA LTDA</t>
  </si>
  <si>
    <t>JOAO LUIS AYRES LTDA</t>
  </si>
  <si>
    <t>EDUARDO JUNQUEIRA DA SILVEIRA ADMINISTRACAO</t>
  </si>
  <si>
    <t>AYRES E STRAGLIOTTO LTDA ME</t>
  </si>
  <si>
    <t>NORTEL COMERCIO DE CELULARES LTDA</t>
  </si>
  <si>
    <t>LAERCIO SOMAVILLA &amp; CIA LTDA</t>
  </si>
  <si>
    <t>CSW POA LTDA</t>
  </si>
  <si>
    <t>AYRES E STRAGLIOTTO LTDA</t>
  </si>
  <si>
    <t>MARISA STRAGLIOTTO</t>
  </si>
  <si>
    <t>EDUARDO JUNQUEIRA SILVEIRA LTDA</t>
  </si>
  <si>
    <t>GARA COMERCIO DE CELULAR EIRELI - T6817297 - 04132535000177</t>
  </si>
  <si>
    <t>NEW POINT CELULAR LTDA - ME</t>
  </si>
  <si>
    <t>Field Sales PME</t>
  </si>
  <si>
    <t>RCO</t>
  </si>
  <si>
    <t>CLARO S.A. 4027347</t>
  </si>
  <si>
    <t>CLARO SA4107537</t>
  </si>
  <si>
    <t>CLARO SA4052880</t>
  </si>
  <si>
    <t>CLARO SA4049669</t>
  </si>
  <si>
    <t>CLARO SA4046724</t>
  </si>
  <si>
    <t>CLARO SA4046996</t>
  </si>
  <si>
    <t>CLARO SA4045400</t>
  </si>
  <si>
    <t>CLARO SA4049740</t>
  </si>
  <si>
    <t>CLARO SA4049820</t>
  </si>
  <si>
    <t>CLARO SA4047291</t>
  </si>
  <si>
    <t>CLARO SA4048778</t>
  </si>
  <si>
    <t>CLARO SA4048697</t>
  </si>
  <si>
    <t>CLARO SA4085541</t>
  </si>
  <si>
    <t>CLARO SA4107456</t>
  </si>
  <si>
    <t>CLARO SA4047534</t>
  </si>
  <si>
    <t>CLARO SA4045833</t>
  </si>
  <si>
    <t>CLARO SA 4046309</t>
  </si>
  <si>
    <t>CLARO SA4045590</t>
  </si>
  <si>
    <t>CLARO SA4047100</t>
  </si>
  <si>
    <t>CLARO SA4053429</t>
  </si>
  <si>
    <t>CLARO SA4045914</t>
  </si>
  <si>
    <t>CLARO SA4045167</t>
  </si>
  <si>
    <t>CLARO S.A. 4046481</t>
  </si>
  <si>
    <t>CLARO SA4048182</t>
  </si>
  <si>
    <t>CLARO SA4047615</t>
  </si>
  <si>
    <t>CLARO SA4046139</t>
  </si>
  <si>
    <t>CLARO SA4045329</t>
  </si>
  <si>
    <t>CLARO SA4047020</t>
  </si>
  <si>
    <t>CLARO SA4047704</t>
  </si>
  <si>
    <t>CLARO SA4045248</t>
  </si>
  <si>
    <t>COMUNICARE CONSULTORIA E TELECOMUNICACOES EIRELI ME</t>
  </si>
  <si>
    <t>VITAL SERVICOS DE APOIO ADMINISTRATIVO LTDA EPP</t>
  </si>
  <si>
    <t>JAQUELINE LOPES MIRANDA LTDA</t>
  </si>
  <si>
    <t>RED CELL TELECOM LTDA</t>
  </si>
  <si>
    <t>FACILITA CRED ASSESSORIA E SERVICOS LTDA</t>
  </si>
  <si>
    <t>ENERGIA TELECOM LTDA</t>
  </si>
  <si>
    <t>3G CELL EIRELI ME</t>
  </si>
  <si>
    <t>BNORTE TELECOM LTDA</t>
  </si>
  <si>
    <t>BARAUNA COMERCIO E SERVICOS EIRELI ME</t>
  </si>
  <si>
    <t>LIDER RV EMPRESARIAL E SERVICOS LTDA</t>
  </si>
  <si>
    <t>EFICIENCIE GESTAO E ECONOMIA LTDA</t>
  </si>
  <si>
    <t>EDUARDO HUSSEIN EL SAYED EIRELI</t>
  </si>
  <si>
    <t>MASTER CELL SOLUÇÕES LTDA</t>
  </si>
  <si>
    <t>TIMES NEGOCIOS E INTERMEDIACOES LTDA</t>
  </si>
  <si>
    <t>FORBS COMERCIO E SERVICE DE COMUNICACAO EIRELI</t>
  </si>
  <si>
    <t>MM TELECOM LTDA</t>
  </si>
  <si>
    <t>C C H MENDES SERVICOS E TRADE MARKETING LTDA</t>
  </si>
  <si>
    <t>46849951000130</t>
  </si>
  <si>
    <t>FENIX SERVIÇOS DE TELECOM LTDA</t>
  </si>
  <si>
    <t>HFM TELECOM LTDA</t>
  </si>
  <si>
    <t>SEVEN TELECOM LTDA</t>
  </si>
  <si>
    <t>JACKSON COSTA DE MORAES LTDA</t>
  </si>
  <si>
    <t>CONTACT SERVICOS E NEGOCIOS LTDA</t>
  </si>
  <si>
    <t>CONTACTUS TRADE MARKETING LTDA ME</t>
  </si>
  <si>
    <t>TCD SAT TELECOMUNICACOES LTDA</t>
  </si>
  <si>
    <t>JWN SOLUCOES INTEGRADAS LTDA</t>
  </si>
  <si>
    <t>CELNET COMERCIO E SERVICOS DE TELEFONIA LTDA</t>
  </si>
  <si>
    <t>AMERICOM COMERCIO DE APARELHOS ELETRONICOS LTDA</t>
  </si>
  <si>
    <t>HIROTA &amp; HIROTA LTDA</t>
  </si>
  <si>
    <t>DERZE &amp; VIDAL LTDA</t>
  </si>
  <si>
    <t>TELEMAIS TELEFONIA LTDA ME</t>
  </si>
  <si>
    <t>TELEMAIS TELEFONIA LTDA</t>
  </si>
  <si>
    <t>HIROTA &amp; HIROTA LTDA ME</t>
  </si>
  <si>
    <t>CELNET COM E SERV DE TELEFONIA LTDA</t>
  </si>
  <si>
    <t>DERZE &amp; VIDAL LTDA ME</t>
  </si>
  <si>
    <t>RNE</t>
  </si>
  <si>
    <t>CLARO S/A 15411</t>
  </si>
  <si>
    <t>CLARO SA 4007745</t>
  </si>
  <si>
    <t>CLARO S.A.40432544014288</t>
  </si>
  <si>
    <t>CLARO S.A.40432544024240</t>
  </si>
  <si>
    <t>CLARO S.A.225</t>
  </si>
  <si>
    <t>CLARO S.A116</t>
  </si>
  <si>
    <t>CLARO SA 4043202</t>
  </si>
  <si>
    <t>CLARO-CL LS NE RECIFERECIFE (CNPJ 0192-47)</t>
  </si>
  <si>
    <t>CLARO SA4053690</t>
  </si>
  <si>
    <t>CLARO SA 4094702</t>
  </si>
  <si>
    <t>CLARO SA 4040955</t>
  </si>
  <si>
    <t>CLARO SA 4052457</t>
  </si>
  <si>
    <t>CLARO SA 4038705</t>
  </si>
  <si>
    <t>CLARO S.A537</t>
  </si>
  <si>
    <t>CLARO S.A 6420</t>
  </si>
  <si>
    <t>CLARO S.A.40432544010371</t>
  </si>
  <si>
    <t>SMART TELECOM EIRELI ME</t>
  </si>
  <si>
    <t>MR SERVICOS E AGENCIAMENTO DE BENS MOVEIS LTDA EPP</t>
  </si>
  <si>
    <t>PIEDRO L B SILVA TELECOMUNICACOES LTDA</t>
  </si>
  <si>
    <t>JONNATHA ELIAS DE LIMA OLIVEIRA</t>
  </si>
  <si>
    <t>APN TELECOMUNICACOES EIRELI ME</t>
  </si>
  <si>
    <t>MV DE MATOS FILHA</t>
  </si>
  <si>
    <t>K V RODRIGUES DE VASCONCELOS</t>
  </si>
  <si>
    <t>AE TELEFONIA E INFORMATICA LTDA ME</t>
  </si>
  <si>
    <t>EDGLAYDSON DA SILVA RAMOS</t>
  </si>
  <si>
    <t>ALIANCA SUL CONTACT CENTER LTDA - T6402949 - 19276792002870</t>
  </si>
  <si>
    <t>MB CONSULTORIA EM TELECOMUNICACOES LTDA ME</t>
  </si>
  <si>
    <t>ITALO CARVALHO &amp; THALITA CORREIA LTDA</t>
  </si>
  <si>
    <t>RECOVER SERVICOS E COMERCIO EM TELEFONIA LTDA</t>
  </si>
  <si>
    <t>DS SOLUCOES CORPORATIVAS LTDA</t>
  </si>
  <si>
    <t>HIKARI TEC TELECOM LTDA</t>
  </si>
  <si>
    <t>TOP BRASIL VENDAS E SERVICOS EM TELECOMUNICACOES LTDA</t>
  </si>
  <si>
    <t>LUMAR NEGOCIOS EM TELECOMUNICACOES LTDA ME</t>
  </si>
  <si>
    <t>UP SERVICOS DE TELECOMUNICACOES LTDA</t>
  </si>
  <si>
    <t>VNA TELECOM LTDA ME</t>
  </si>
  <si>
    <t>UPLIVE BUSINESS SERVICOS DE PRODUCAO E PROMOCAO DE VENDAS LTDA</t>
  </si>
  <si>
    <t>LIDER TELECOM SERVICOS E NEGOCIOS LTDA</t>
  </si>
  <si>
    <t>VOX COM SERV IMP NEGOCIOS EMPRESARIAIS LTDA</t>
  </si>
  <si>
    <t>JG LINS TELECOMUNICACOES LTDA</t>
  </si>
  <si>
    <t>RDT TELECOM LTDA</t>
  </si>
  <si>
    <t>JMS TELECOM LTDA</t>
  </si>
  <si>
    <t>TECH NET COMUNICACAO E TELEFONIA</t>
  </si>
  <si>
    <t>H M SERVICOS DE TELECOMUNICACOES LTDA</t>
  </si>
  <si>
    <t>P D FARIAS MORAIS EIRELI</t>
  </si>
  <si>
    <t>ALEXONSAT LTDA</t>
  </si>
  <si>
    <t>BARRETO SOLUCOES LTDA</t>
  </si>
  <si>
    <t>LM TELECOM LTDA</t>
  </si>
  <si>
    <t>AL SOLUTIONS LTDA</t>
  </si>
  <si>
    <t>CENTERLINE KENNEDY COMERCIO E SERVICOS DE TELEFONIA LTDA</t>
  </si>
  <si>
    <t>DALINE PEREIRA SANTOS DA SILVA</t>
  </si>
  <si>
    <t>J L ELETRONICOS LTDA</t>
  </si>
  <si>
    <t>HARCOS COMERCIO E SERVICOS LTDA</t>
  </si>
  <si>
    <t>KELLY CHRISTINE SANTANA FERNANDES GONCALVES DE LIMA</t>
  </si>
  <si>
    <t>R&amp;R HIPER COMERCIO LTDA</t>
  </si>
  <si>
    <t>NAUM RAONI VARELA DOS SANTOS TELEFONIA E SERVICOS EIRELI</t>
  </si>
  <si>
    <t>NAUM RAONI TELEFONIA E SERVICOS LTDA</t>
  </si>
  <si>
    <t>KELLY CHRISTINE SANTANA FERNANDES GONCALVES DE LIMA ME</t>
  </si>
  <si>
    <t>SANTOS E TENORIO TELECOM LTDA</t>
  </si>
  <si>
    <t>SELF TELECOM REC COMERCIO E SERVICO EM TELEFONIA LTDA</t>
  </si>
  <si>
    <t>DELTA CELL TELECOMUNICACOES LTDA</t>
  </si>
  <si>
    <t>HARCOS COMERCIO E SERVICOS LTDA EPP</t>
  </si>
  <si>
    <t>TOTAL TELECOM LTDA</t>
  </si>
  <si>
    <t>SELF TELECOM SOB COMERCIO E SERVICOS EM TELEFONIA LTDA</t>
  </si>
  <si>
    <t>SELF TELECOM PI COMERCIO E SERVICOS EM TELEFONIA LTDA</t>
  </si>
  <si>
    <t>CAVALCANTI &amp; CORREIA &amp; CIA LTDA</t>
  </si>
  <si>
    <t>BRUNO TARGINO JORDAO DE MENEZES</t>
  </si>
  <si>
    <t>SELF COMERCIO E SERVICOS EM TELEFONIA LTDA</t>
  </si>
  <si>
    <t>E-MEAN SERVICOS DE MARKETING DIRETO LTDA</t>
  </si>
  <si>
    <t>R &amp; R HIPER COMERCIO LTDA</t>
  </si>
  <si>
    <t>RSC</t>
  </si>
  <si>
    <t>CLARO S.A. 29803</t>
  </si>
  <si>
    <t>CLARO SA 4030488</t>
  </si>
  <si>
    <t>CLARO S/A 500</t>
  </si>
  <si>
    <t>CLARO S.A. 340</t>
  </si>
  <si>
    <t>CLARO430</t>
  </si>
  <si>
    <t>CLARO S.A. 298</t>
  </si>
  <si>
    <t>CLARO SA 4002271</t>
  </si>
  <si>
    <t>CLARO S.A. 053</t>
  </si>
  <si>
    <t>CLARO SA 4001623</t>
  </si>
  <si>
    <t>CLARO SA 4018275</t>
  </si>
  <si>
    <t>CLARO SA4087323</t>
  </si>
  <si>
    <t>CLARO. S.A..</t>
  </si>
  <si>
    <t>CLARO SA4053186</t>
  </si>
  <si>
    <t>CLARO SA 4023864</t>
  </si>
  <si>
    <t>CLARO S.A.  3596</t>
  </si>
  <si>
    <t>CLARO SA 4051051</t>
  </si>
  <si>
    <t>CLARO SA 4032693</t>
  </si>
  <si>
    <t>CLARO SA 4012315</t>
  </si>
  <si>
    <t>CLARO SA 4034122</t>
  </si>
  <si>
    <t>CLARO SA 4013630</t>
  </si>
  <si>
    <t>CLARO SA 4037903</t>
  </si>
  <si>
    <t>CLARO SA4031964</t>
  </si>
  <si>
    <t>CLARO SA 4033746</t>
  </si>
  <si>
    <t>CLARO S.A. 2603</t>
  </si>
  <si>
    <t>CLARO SA 4004215</t>
  </si>
  <si>
    <t>CLARO SA 4034041</t>
  </si>
  <si>
    <t>CLARO SA 4021063</t>
  </si>
  <si>
    <t>CLARO SA 4018356</t>
  </si>
  <si>
    <t>CLARO SA 4036680</t>
  </si>
  <si>
    <t>CLARO SA4034394</t>
  </si>
  <si>
    <t>CLARO S.A.521</t>
  </si>
  <si>
    <t>CLARO S.A. 134</t>
  </si>
  <si>
    <t>J.V.A. - COMERCIO DE PRODUTOS DE TELEFONIA LTDA - ME</t>
  </si>
  <si>
    <t>CLARO S.A. 461</t>
  </si>
  <si>
    <t>HIGH SOLUTIONS - REPRESENTACOES COMERCIAIS</t>
  </si>
  <si>
    <t>M DINIZ BALDEZ LTDA</t>
  </si>
  <si>
    <t>ALLEANZA SOLUCOES EM BENEFICIOS LTDA</t>
  </si>
  <si>
    <t>LATITUDE TELECOM LTDA</t>
  </si>
  <si>
    <t>CARLOS COMERCIO E SERVICOS DE TELECOMUNICACAO LTDA</t>
  </si>
  <si>
    <t>MR TELECOM SERVICOS DE TELEFONIA LTDA</t>
  </si>
  <si>
    <t>T-TELECON - LTDA</t>
  </si>
  <si>
    <t>NEW TECHNOLOGIES SERVICOS DE TELECOMUNICACAO E TV POR ASSINATURA LTDA</t>
  </si>
  <si>
    <t>MULTSAT TELECOM EIRELI</t>
  </si>
  <si>
    <t>WC DE FIGUEIREDO NETO SERVICOS DE TELECOMUNICACAO</t>
  </si>
  <si>
    <t>MOTIVA CENTRAL DE ATENDIMENTO TELEFONICO &amp; CONSULTORIA EM TELEVENDAS LTDA</t>
  </si>
  <si>
    <t>ONE CLICK SERVICOS DE TELECOMUNICACOES LTDA</t>
  </si>
  <si>
    <t>CELL AZUL CELULARES LTDA</t>
  </si>
  <si>
    <t>RP COMERCIO E REPRESENTACAO EM TELECOMUNICACOES LTDA EPP</t>
  </si>
  <si>
    <t>LINK TELECOM COMERCIO DE CELULARES LTDA</t>
  </si>
  <si>
    <t>FLEXCELL COMERCIO DE CELULARES</t>
  </si>
  <si>
    <t>KG COMERCIO E SERVICOS DE TELECOMUNICACOES EIRELI ME</t>
  </si>
  <si>
    <t>LINK TELECOM COMERCIO DE CELULARES LTDA ME</t>
  </si>
  <si>
    <t>TATHIANE LEME GOMES DOS SANTOS ME</t>
  </si>
  <si>
    <t>CELL AZUL CELULARES LTDA EPP</t>
  </si>
  <si>
    <t>BRASILCENTER COMUNICACOES LTDA - N6040478 - 02917443000258</t>
  </si>
  <si>
    <t>BRASILCENTER COMUNICACOES  VAR RBS</t>
  </si>
  <si>
    <t>RNO</t>
  </si>
  <si>
    <t>CLARO SA 4084901</t>
  </si>
  <si>
    <t>CLARO SA 4064463</t>
  </si>
  <si>
    <t>CLARO SA 4025999</t>
  </si>
  <si>
    <t>CLARO SA4050918</t>
  </si>
  <si>
    <t>CLARO SA 4027932</t>
  </si>
  <si>
    <t>CLARO SA 4028742</t>
  </si>
  <si>
    <t>CLARO SA 4040440</t>
  </si>
  <si>
    <t>CLARO SA 4041412</t>
  </si>
  <si>
    <t>CLARO SA 4044780</t>
  </si>
  <si>
    <t>CLARO S.A.40432544027002</t>
  </si>
  <si>
    <t>CLARO SA 4045086</t>
  </si>
  <si>
    <t>CLARO S.A.40.432.544/0423-03</t>
  </si>
  <si>
    <t>DIN COMERCIO E SERVICOS DE TELEFONIA LTDA</t>
  </si>
  <si>
    <t>A C CAMPOS DINIZ COELHO</t>
  </si>
  <si>
    <t>DSX TECH COMERCIO E SERVICOS LTDA</t>
  </si>
  <si>
    <t>APF TECNOLOGIA LTDA</t>
  </si>
  <si>
    <t>GNM EMPREENDIMENTOS LTDA</t>
  </si>
  <si>
    <t>INOVACELL LTDA</t>
  </si>
  <si>
    <t>A MACIEL MIRANDA</t>
  </si>
  <si>
    <t>JV COMERCIO DE EQUIPAMENTOS E EPI LTDA</t>
  </si>
  <si>
    <t>M C M HITOTUZI LTDA</t>
  </si>
  <si>
    <t>VIA NET EIRELI ME</t>
  </si>
  <si>
    <t>JNNVB TELECOM REPARACAO E MANUTENCAO DE EQUIPAMENTOS DE COMUNICACAO LTDA</t>
  </si>
  <si>
    <t>VGX CONTACT CENTER NORTE MG SA</t>
  </si>
  <si>
    <t>DIN COM E SERVICOS DE TELEFONIA EIRELI</t>
  </si>
  <si>
    <t>DIN COMERCIO E SERVICOS DE TELEFONIA LTDA.</t>
  </si>
  <si>
    <t>E. DAMA LTDA</t>
  </si>
  <si>
    <t>SELF TELECOM NORTE II COMERCIO E SERVICOS EM TELEFONIA LTDA</t>
  </si>
  <si>
    <t>SELF TELECOM NORTE COMERCIO E SERVICOS EM TELEFONIA LTDA</t>
  </si>
  <si>
    <t>E GALENO DOS SANTOS SERVICOS E COMERCIO ME</t>
  </si>
  <si>
    <t>RV TECNOLOGIA E SISTEMAS SA</t>
  </si>
  <si>
    <t>RBS</t>
  </si>
  <si>
    <t>CLARO S.A. 4084570</t>
  </si>
  <si>
    <t>CLARO</t>
  </si>
  <si>
    <t>CLARO SA4022701</t>
  </si>
  <si>
    <t>CLARO S/A</t>
  </si>
  <si>
    <t>CLARO SA4022540</t>
  </si>
  <si>
    <t>CLARO S.A.SALVADOR</t>
  </si>
  <si>
    <t>CLARO S/A590</t>
  </si>
  <si>
    <t>CLARO S.A528</t>
  </si>
  <si>
    <t>CLARO S.A. 4022892</t>
  </si>
  <si>
    <t>CLARO S/A438</t>
  </si>
  <si>
    <t>CLARO SA4034637</t>
  </si>
  <si>
    <t>INOVARE SOLUCOES EM SERVICOS DE TELEFONIA MOVEL LTDA</t>
  </si>
  <si>
    <t>RTR COMERCIO E SERVICOS EM TELECOMUNICACOES LTDA</t>
  </si>
  <si>
    <t>I.S MACHADO DE OLIVEIRA</t>
  </si>
  <si>
    <t>CONNECTIS TELECOMUNICACOES LTDA</t>
  </si>
  <si>
    <t>PRIMETEL SERVICOS TELECOM II LTDA</t>
  </si>
  <si>
    <t>NIELLA LEMOS TELEFONIA LTDA</t>
  </si>
  <si>
    <t>J.M.G. TELECOM LTDA</t>
  </si>
  <si>
    <t>MEGA SERVIÇOS ADMINISTRATIVOS LTDA</t>
  </si>
  <si>
    <t>HEAD EVOLUTION &amp; CONECTION LTDA</t>
  </si>
  <si>
    <t>START SOLUCOES LTDA</t>
  </si>
  <si>
    <t>MS NOGUEIRA EIRELI</t>
  </si>
  <si>
    <t>EOG TELECOMUNICACOES LTDA</t>
  </si>
  <si>
    <t>SHEILA RIOS OLIVEIRA LTDA</t>
  </si>
  <si>
    <t>NOVA TELECOM E TECNOLOGIA LTDA</t>
  </si>
  <si>
    <t>CLARO. S/A.</t>
  </si>
  <si>
    <t>SIM MAGAZINE CONQUISTA LTDA</t>
  </si>
  <si>
    <t>JOSE ADALBERTO CERQUEIRA JUNIOR ME</t>
  </si>
  <si>
    <t>HS TELECOM COMERCIO, SERVICOS E REPRESENTACAO DE TELEFONIA MOVEL LTDA</t>
  </si>
  <si>
    <t>ELETROSHOPPING EIRELI</t>
  </si>
  <si>
    <t>CLEAR TELECOM COMERCIO E SERVICOS DE TELEFONIA EIRELI</t>
  </si>
  <si>
    <t>LIG COMERCIO E SERVICOS EM TELEFONIA EIRELI ME</t>
  </si>
  <si>
    <t>SIM MAGAZINE VDC BRASIL LTDA</t>
  </si>
  <si>
    <t>SIM MAGAZINE CENTRO LTDA</t>
  </si>
  <si>
    <t>CANAL</t>
  </si>
  <si>
    <t>INDICADOR</t>
  </si>
  <si>
    <t>FIXA</t>
  </si>
  <si>
    <t>Televendas Ativo</t>
  </si>
  <si>
    <t>Inside Sales</t>
  </si>
  <si>
    <t>Lembrar de ajustar o nome dos canais na base</t>
  </si>
  <si>
    <t>CONTA</t>
  </si>
  <si>
    <t>GROSS BRUTO</t>
  </si>
  <si>
    <t>Top PME</t>
  </si>
  <si>
    <t/>
  </si>
  <si>
    <t>Grandes Marcas PME</t>
  </si>
  <si>
    <t>Agente Autorizado PME</t>
  </si>
  <si>
    <t>Parceiros Nacionais</t>
  </si>
  <si>
    <t>FIELD SALES</t>
  </si>
  <si>
    <t>Canais GE</t>
  </si>
  <si>
    <t>Varejo</t>
  </si>
  <si>
    <t>Porta Porta Condominio</t>
  </si>
  <si>
    <t>App Flex</t>
  </si>
  <si>
    <t>FAKE</t>
  </si>
  <si>
    <t>-</t>
  </si>
  <si>
    <t>META 100D</t>
  </si>
  <si>
    <t>Field Sales</t>
  </si>
  <si>
    <t>Porta Porta Condominio BCC</t>
  </si>
  <si>
    <t>Porta Porta Condominio BCC PME</t>
  </si>
  <si>
    <t>GROSS LIQUIDO</t>
  </si>
  <si>
    <t>CANAL_PLAN</t>
  </si>
  <si>
    <t>DAT_MOVIMENTO</t>
  </si>
  <si>
    <t>DAT_MÊS</t>
  </si>
  <si>
    <t>ANO</t>
  </si>
  <si>
    <t>DSC_INDICADOR</t>
  </si>
  <si>
    <t>QTDE</t>
  </si>
  <si>
    <t>DESAFIO_QTD</t>
  </si>
  <si>
    <t>TEND_QTD</t>
  </si>
  <si>
    <t>DAT_MOVIMENTO2</t>
  </si>
  <si>
    <t>dat_tratada</t>
  </si>
  <si>
    <t>dia_semana</t>
  </si>
  <si>
    <t>PEDIDOS - REGIONAL</t>
  </si>
  <si>
    <t>TEND</t>
  </si>
  <si>
    <t>TOTAL REAL</t>
  </si>
  <si>
    <t>TEND_REAL</t>
  </si>
  <si>
    <t>PEDIDOS</t>
  </si>
  <si>
    <t>COD_PLATAFORMA</t>
  </si>
  <si>
    <t>CLARO S/A - LS SP FRANCA</t>
  </si>
  <si>
    <t>FLEX CELL COMERCIO DE CELULARES-LTDA</t>
  </si>
  <si>
    <t>PRIME ARACATUBA CELULARES LTDA</t>
  </si>
  <si>
    <t>WCI CELULARES SERVICOS E TELECOMUNICACOES LTDA</t>
  </si>
  <si>
    <t>CLARO SA 4004800</t>
  </si>
  <si>
    <t>MEX CELL COMERCIO E SERVICOS DE TELECOMUNICACOES EIRELI</t>
  </si>
  <si>
    <t>OTAVIO RAUL SPELTZ</t>
  </si>
  <si>
    <t>CLINTEL COMERCIO DE APARELHOS ELETRONICOS LTDA</t>
  </si>
  <si>
    <t>CLARO SA4073616</t>
  </si>
  <si>
    <t>CLARO S.A. 39353</t>
  </si>
  <si>
    <t>HARCOS COMERCIO E SERVICOS LTDA932</t>
  </si>
  <si>
    <t>CLARO SA 4021578</t>
  </si>
  <si>
    <t>MOBI TELECOM EIRELI ME</t>
  </si>
  <si>
    <t>DIEGO FERNANDES PEREIRA ME</t>
  </si>
  <si>
    <t>CLARO SA4087676</t>
  </si>
  <si>
    <t>DUAL REPRESENTACOES LTDA</t>
  </si>
  <si>
    <t>PAULA C L NIELLA EIRELI</t>
  </si>
  <si>
    <t>LIGACOES</t>
  </si>
  <si>
    <t>CONECTUS SERVICE TECNOLOGIA DA INFORMACAO EIRELI</t>
  </si>
  <si>
    <t>MIRAGENET - TELECOMUNICACOES LTDA</t>
  </si>
  <si>
    <t>PFL NEGOCIO &amp; SERVICOS LTDA</t>
  </si>
  <si>
    <t>ET APOIO ADMINISTRATIVO E SERVICOS ESPECIALIZADOS LTDA</t>
  </si>
  <si>
    <t>ADESIENE NUNES MACHADO STUCCHI</t>
  </si>
  <si>
    <t>JP MACHADO TELEFONIA EIRELI</t>
  </si>
  <si>
    <t>DOUGLAS LUIZ ELETRONICOS ME</t>
  </si>
  <si>
    <t>CLARO SA4095857</t>
  </si>
  <si>
    <t>CLARO SA 4021144</t>
  </si>
  <si>
    <t>ENOVA GESTAO E NEGOCIOS LTDA</t>
  </si>
  <si>
    <t>MAXIMUS SOLUCOES EM ATENDIMENTO</t>
  </si>
  <si>
    <t>PONTO CERTO COMERCIO E COMUNICACOES 4247</t>
  </si>
  <si>
    <t>PONTO CERTO COMERCIO  E  COMUNICACOES  LTDA</t>
  </si>
  <si>
    <t>MAX TELECOMUNICACOES LTDA</t>
  </si>
  <si>
    <t>CLARO S.A.212</t>
  </si>
  <si>
    <t>DC GESTAO INTEGRADA DE CONDOMINIOS LTDA</t>
  </si>
  <si>
    <t>JN CALL CENTER LTDA</t>
  </si>
  <si>
    <t>DR CARDOSO</t>
  </si>
  <si>
    <t>GLAS COMERCIO DE ELETRONICOS LTDA</t>
  </si>
  <si>
    <t>MRZ PRESTADORA DE SERVICOS E COMERCIO ESPECIALIZADO EM TELECOMUNICACOES LTDA</t>
  </si>
  <si>
    <t>CLARO-CL LR RS POA ANDRADAS (CNPJ 0159-26)</t>
  </si>
  <si>
    <t>GA TELECOM LTDA</t>
  </si>
  <si>
    <t>SOMAVILLA &amp; DECKMANN LTDA</t>
  </si>
  <si>
    <t>SILVIA HELENA ULBRICH DE OLIVEIRA &amp; CIA LTDA</t>
  </si>
  <si>
    <t>CLARO SA4046058</t>
  </si>
  <si>
    <t>CLARO SA4051809</t>
  </si>
  <si>
    <t>CELNET COMERCIO E SERVICOS DE TELEFONIA LTDA ME</t>
  </si>
  <si>
    <t>TELECELL TELEFONIA LTDA ME</t>
  </si>
  <si>
    <t>D. R. MEDEIROS &amp; CIA LTDA</t>
  </si>
  <si>
    <t>M. F TELECOMUNICACAO LTDA</t>
  </si>
  <si>
    <t>M LOPES ELETRONICOS ME</t>
  </si>
  <si>
    <t>CLARO S.A. - 40432544023945</t>
  </si>
  <si>
    <t>RM TELECOMUNICACAO E SERVICOS LTDA</t>
  </si>
  <si>
    <t>CLARO SA 4020768</t>
  </si>
  <si>
    <t>CLARO SA 4031530</t>
  </si>
  <si>
    <t>ALMA VIVA DO BRASIL--</t>
  </si>
  <si>
    <t>HI SERVICOM LTDA EPP</t>
  </si>
  <si>
    <t>INTER LIGHT SOLUCOES EM TELEFONIA LTDA</t>
  </si>
  <si>
    <t>CLARO S/A4980</t>
  </si>
  <si>
    <t>ALEX SENA DIAS TELEFONIA E COMUNICACAO</t>
  </si>
  <si>
    <t>INTERFACE CELL COMERCIO E SERVICOS LTDA</t>
  </si>
  <si>
    <t>CERTA TELECOM SERVICOS EM TELEFONIA LTDA</t>
  </si>
  <si>
    <t>NICACIO &amp; SESTAK LTDA</t>
  </si>
  <si>
    <t>S D COMERCIO DE CELULARES LTDA</t>
  </si>
  <si>
    <t>ANA PAULA DECKMANN E CIA LTDA</t>
  </si>
  <si>
    <t>JFA DE OLIVEIRA &amp; CIA LTDA</t>
  </si>
  <si>
    <t>REDEFLEX COMERCIO E SERVICO DE TELEFONIA LTDA</t>
  </si>
  <si>
    <t>MUNDO TELECOM LTDA</t>
  </si>
  <si>
    <t>L A DE P PESSOA</t>
  </si>
  <si>
    <t>CLARO SA4050322</t>
  </si>
  <si>
    <t>MASTERPRISE TELECOMUNICACOES LTDA</t>
  </si>
  <si>
    <t>DIRECTRA NORTE COMERCIO DE PRODUTOS E SERVICOS HOSPITALARES LTDA</t>
  </si>
  <si>
    <t>CLARO. - .S/A.</t>
  </si>
  <si>
    <t>MAXMILIANO COMERCIO E SERVICOS LTDA ME</t>
  </si>
  <si>
    <t>COMERCIO DE CELULARES BANDEIRA LTDA</t>
  </si>
  <si>
    <t>CLARO S.A.157</t>
  </si>
  <si>
    <t>CLARO S.A. 40793</t>
  </si>
  <si>
    <t>GADELHA &amp; SOUSA LTDA</t>
  </si>
  <si>
    <t>CLARO SA301</t>
  </si>
  <si>
    <t>BRASILCENTER COMUNICACOES0339</t>
  </si>
  <si>
    <t>NORTE SERVICE VENDAS E REPRESENTACAO LTDA</t>
  </si>
  <si>
    <t>PACCO COMERCIO DE APARELHOS ELETRONICOS LTDA</t>
  </si>
  <si>
    <t>CALDAS CELULARES LTDA ME</t>
  </si>
  <si>
    <t>CLARO SA4086602</t>
  </si>
  <si>
    <t>BEATRIZ SUELEN VIANA LEITE BENJAMIM 04672448398</t>
  </si>
  <si>
    <t>CARLOS FREDERICO E FILHOS COMERCIO DE TELEFONIA LTDA</t>
  </si>
  <si>
    <t>BCC</t>
  </si>
  <si>
    <t>AEC CENTRO DE CONTATOS S/A - 02.455.233/0024-09</t>
  </si>
  <si>
    <t>A PLAY S COMERCIO E SERVICOS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</si>
</sst>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17" fontId="0" fillId="2" borderId="0" xfId="0" applyNumberFormat="1" applyFill="1"/>
    <xf numFmtId="0" fontId="2" fillId="3" borderId="0" xfId="0" applyFont="1" applyFill="1" applyAlignment="1">
      <alignment horizontal="left" vertical="center"/>
    </xf>
    <xf numFmtId="3" fontId="2" fillId="3" borderId="0" xfId="1" applyNumberFormat="1" applyFont="1" applyFill="1" applyBorder="1" applyAlignment="1">
      <alignment horizontal="center" vertical="center"/>
    </xf>
    <xf numFmtId="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15E5-71F8-42CA-82DF-A07355FCC401}">
  <dimension ref="A1:M301"/>
  <sheetViews>
    <sheetView tabSelected="1" topLeftCell="A145" workbookViewId="0">
      <selection activeCell="F152" sqref="F152"/>
    </sheetView>
  </sheetViews>
  <sheetFormatPr defaultRowHeight="14.4" x14ac:dyDescent="0.3"/>
  <cols>
    <col min="2" max="2" width="10.33203125" bestFit="1" customWidth="1"/>
    <col min="5" max="5" width="18.44140625" bestFit="1" customWidth="1"/>
    <col min="9" max="9" width="12.33203125" bestFit="1" customWidth="1"/>
    <col min="10" max="12" width="12.33203125" customWidth="1"/>
  </cols>
  <sheetData>
    <row r="1" spans="1:13" x14ac:dyDescent="0.3">
      <c r="A1" t="s">
        <v>0</v>
      </c>
      <c r="B1" t="s">
        <v>666</v>
      </c>
      <c r="C1" s="2" t="s">
        <v>667</v>
      </c>
      <c r="D1" s="2" t="s">
        <v>668</v>
      </c>
      <c r="E1" t="s">
        <v>665</v>
      </c>
      <c r="F1" t="s">
        <v>669</v>
      </c>
      <c r="G1" t="s">
        <v>681</v>
      </c>
      <c r="H1" t="s">
        <v>670</v>
      </c>
      <c r="I1" t="s">
        <v>671</v>
      </c>
      <c r="J1" s="2" t="s">
        <v>673</v>
      </c>
      <c r="K1" s="2" t="s">
        <v>674</v>
      </c>
      <c r="L1" s="2" t="s">
        <v>675</v>
      </c>
      <c r="M1" s="3" t="s">
        <v>672</v>
      </c>
    </row>
    <row r="2" spans="1:13" x14ac:dyDescent="0.3">
      <c r="A2" t="s">
        <v>8</v>
      </c>
      <c r="B2" s="1">
        <v>46054</v>
      </c>
      <c r="C2" t="str">
        <f>TEXT(B2,"MM")</f>
        <v>02</v>
      </c>
      <c r="D2">
        <f>YEAR(B2)</f>
        <v>2026</v>
      </c>
      <c r="E2" t="s">
        <v>47</v>
      </c>
      <c r="F2" t="s">
        <v>11</v>
      </c>
      <c r="G2" t="s">
        <v>642</v>
      </c>
      <c r="H2">
        <v>0</v>
      </c>
      <c r="I2">
        <v>0</v>
      </c>
      <c r="J2" s="1">
        <f>B2</f>
        <v>46054</v>
      </c>
      <c r="K2" t="str">
        <f>TEXT(J2,"MMM/AA")</f>
        <v>fev/26</v>
      </c>
      <c r="L2" t="str">
        <f>TEXT(J2,"DDD")</f>
        <v>dom</v>
      </c>
      <c r="M2">
        <f>SUMIFS(BASE_FIXA_TEND!AN:AN,BASE_FIXA_TEND!$A:$A,$A2,BASE_FIXA_TEND!$B:$B,$E2,BASE_FIXA_TEND!$D:$D,$F2)</f>
        <v>4</v>
      </c>
    </row>
    <row r="3" spans="1:13" x14ac:dyDescent="0.3">
      <c r="A3" t="s">
        <v>173</v>
      </c>
      <c r="B3" s="1">
        <v>46054</v>
      </c>
      <c r="C3" t="str">
        <f t="shared" ref="C3:C21" si="0">TEXT(B3,"MM")</f>
        <v>02</v>
      </c>
      <c r="D3">
        <f t="shared" ref="D3:D21" si="1">YEAR(B3)</f>
        <v>2026</v>
      </c>
      <c r="E3" t="s">
        <v>47</v>
      </c>
      <c r="F3" t="s">
        <v>11</v>
      </c>
      <c r="G3" t="s">
        <v>642</v>
      </c>
      <c r="H3">
        <v>0</v>
      </c>
      <c r="I3">
        <v>0</v>
      </c>
      <c r="J3" s="1">
        <f t="shared" ref="J3:J21" si="2">B3</f>
        <v>46054</v>
      </c>
      <c r="K3" t="str">
        <f t="shared" ref="K3:K21" si="3">TEXT(J3,"MMM/AA")</f>
        <v>fev/26</v>
      </c>
      <c r="L3" t="str">
        <f t="shared" ref="L3:L21" si="4">TEXT(J3,"DDD")</f>
        <v>dom</v>
      </c>
      <c r="M3">
        <f>SUMIFS(BASE_FIXA_TEND!AN:AN,BASE_FIXA_TEND!$A:$A,$A3,BASE_FIXA_TEND!$B:$B,$E3,BASE_FIXA_TEND!$D:$D,$F3)</f>
        <v>0</v>
      </c>
    </row>
    <row r="4" spans="1:13" x14ac:dyDescent="0.3">
      <c r="A4" t="s">
        <v>242</v>
      </c>
      <c r="B4" s="1">
        <v>46054</v>
      </c>
      <c r="C4" t="str">
        <f t="shared" si="0"/>
        <v>02</v>
      </c>
      <c r="D4">
        <f t="shared" si="1"/>
        <v>2026</v>
      </c>
      <c r="E4" t="s">
        <v>47</v>
      </c>
      <c r="F4" t="s">
        <v>11</v>
      </c>
      <c r="G4" t="s">
        <v>642</v>
      </c>
      <c r="H4">
        <v>0</v>
      </c>
      <c r="I4">
        <v>0</v>
      </c>
      <c r="J4" s="1">
        <f t="shared" si="2"/>
        <v>46054</v>
      </c>
      <c r="K4" t="str">
        <f t="shared" si="3"/>
        <v>fev/26</v>
      </c>
      <c r="L4" t="str">
        <f t="shared" si="4"/>
        <v>dom</v>
      </c>
      <c r="M4">
        <f>SUMIFS(BASE_FIXA_TEND!AN:AN,BASE_FIXA_TEND!$A:$A,$A4,BASE_FIXA_TEND!$B:$B,$E4,BASE_FIXA_TEND!$D:$D,$F4)</f>
        <v>0</v>
      </c>
    </row>
    <row r="5" spans="1:13" x14ac:dyDescent="0.3">
      <c r="A5" t="s">
        <v>286</v>
      </c>
      <c r="B5" s="1">
        <v>46054</v>
      </c>
      <c r="C5" t="str">
        <f t="shared" si="0"/>
        <v>02</v>
      </c>
      <c r="D5">
        <f t="shared" si="1"/>
        <v>2026</v>
      </c>
      <c r="E5" t="s">
        <v>47</v>
      </c>
      <c r="F5" t="s">
        <v>11</v>
      </c>
      <c r="G5" t="s">
        <v>642</v>
      </c>
      <c r="H5">
        <v>0</v>
      </c>
      <c r="I5">
        <v>0</v>
      </c>
      <c r="J5" s="1">
        <f t="shared" si="2"/>
        <v>46054</v>
      </c>
      <c r="K5" t="str">
        <f t="shared" si="3"/>
        <v>fev/26</v>
      </c>
      <c r="L5" t="str">
        <f t="shared" si="4"/>
        <v>dom</v>
      </c>
      <c r="M5">
        <f>SUMIFS(BASE_FIXA_TEND!AN:AN,BASE_FIXA_TEND!$A:$A,$A5,BASE_FIXA_TEND!$B:$B,$E5,BASE_FIXA_TEND!$D:$D,$F5)</f>
        <v>0</v>
      </c>
    </row>
    <row r="6" spans="1:13" x14ac:dyDescent="0.3">
      <c r="A6" t="s">
        <v>339</v>
      </c>
      <c r="B6" s="1">
        <v>46054</v>
      </c>
      <c r="C6" t="str">
        <f t="shared" si="0"/>
        <v>02</v>
      </c>
      <c r="D6">
        <f t="shared" si="1"/>
        <v>2026</v>
      </c>
      <c r="E6" t="s">
        <v>47</v>
      </c>
      <c r="F6" t="s">
        <v>11</v>
      </c>
      <c r="G6" t="s">
        <v>642</v>
      </c>
      <c r="H6">
        <v>0</v>
      </c>
      <c r="I6">
        <v>0</v>
      </c>
      <c r="J6" s="1">
        <f t="shared" si="2"/>
        <v>46054</v>
      </c>
      <c r="K6" t="str">
        <f t="shared" si="3"/>
        <v>fev/26</v>
      </c>
      <c r="L6" t="str">
        <f t="shared" si="4"/>
        <v>dom</v>
      </c>
      <c r="M6">
        <f>SUMIFS(BASE_FIXA_TEND!AN:AN,BASE_FIXA_TEND!$A:$A,$A6,BASE_FIXA_TEND!$B:$B,$E6,BASE_FIXA_TEND!$D:$D,$F6)</f>
        <v>0</v>
      </c>
    </row>
    <row r="7" spans="1:13" x14ac:dyDescent="0.3">
      <c r="A7" t="s">
        <v>380</v>
      </c>
      <c r="B7" s="1">
        <v>46054</v>
      </c>
      <c r="C7" t="str">
        <f t="shared" si="0"/>
        <v>02</v>
      </c>
      <c r="D7">
        <f t="shared" si="1"/>
        <v>2026</v>
      </c>
      <c r="E7" t="s">
        <v>47</v>
      </c>
      <c r="F7" t="s">
        <v>11</v>
      </c>
      <c r="G7" t="s">
        <v>642</v>
      </c>
      <c r="H7">
        <v>0</v>
      </c>
      <c r="I7">
        <v>0</v>
      </c>
      <c r="J7" s="1">
        <f t="shared" si="2"/>
        <v>46054</v>
      </c>
      <c r="K7" t="str">
        <f t="shared" si="3"/>
        <v>fev/26</v>
      </c>
      <c r="L7" t="str">
        <f t="shared" si="4"/>
        <v>dom</v>
      </c>
      <c r="M7">
        <f>SUMIFS(BASE_FIXA_TEND!AN:AN,BASE_FIXA_TEND!$A:$A,$A7,BASE_FIXA_TEND!$B:$B,$E7,BASE_FIXA_TEND!$D:$D,$F7)</f>
        <v>0</v>
      </c>
    </row>
    <row r="8" spans="1:13" x14ac:dyDescent="0.3">
      <c r="A8" t="s">
        <v>446</v>
      </c>
      <c r="B8" s="1">
        <v>46054</v>
      </c>
      <c r="C8" t="str">
        <f t="shared" si="0"/>
        <v>02</v>
      </c>
      <c r="D8">
        <f t="shared" si="1"/>
        <v>2026</v>
      </c>
      <c r="E8" t="s">
        <v>47</v>
      </c>
      <c r="F8" t="s">
        <v>11</v>
      </c>
      <c r="G8" t="s">
        <v>642</v>
      </c>
      <c r="H8">
        <v>0</v>
      </c>
      <c r="I8">
        <v>0</v>
      </c>
      <c r="J8" s="1">
        <f t="shared" si="2"/>
        <v>46054</v>
      </c>
      <c r="K8" t="str">
        <f t="shared" si="3"/>
        <v>fev/26</v>
      </c>
      <c r="L8" t="str">
        <f t="shared" si="4"/>
        <v>dom</v>
      </c>
      <c r="M8">
        <f>SUMIFS(BASE_FIXA_TEND!AN:AN,BASE_FIXA_TEND!$A:$A,$A8,BASE_FIXA_TEND!$B:$B,$E8,BASE_FIXA_TEND!$D:$D,$F8)</f>
        <v>0</v>
      </c>
    </row>
    <row r="9" spans="1:13" x14ac:dyDescent="0.3">
      <c r="A9" t="s">
        <v>516</v>
      </c>
      <c r="B9" s="1">
        <v>46054</v>
      </c>
      <c r="C9" t="str">
        <f t="shared" si="0"/>
        <v>02</v>
      </c>
      <c r="D9">
        <f t="shared" si="1"/>
        <v>2026</v>
      </c>
      <c r="E9" t="s">
        <v>47</v>
      </c>
      <c r="F9" t="s">
        <v>11</v>
      </c>
      <c r="G9" t="s">
        <v>642</v>
      </c>
      <c r="H9">
        <v>0</v>
      </c>
      <c r="I9">
        <v>0</v>
      </c>
      <c r="J9" s="1">
        <f t="shared" si="2"/>
        <v>46054</v>
      </c>
      <c r="K9" t="str">
        <f t="shared" si="3"/>
        <v>fev/26</v>
      </c>
      <c r="L9" t="str">
        <f t="shared" si="4"/>
        <v>dom</v>
      </c>
      <c r="M9">
        <f>SUMIFS(BASE_FIXA_TEND!AN:AN,BASE_FIXA_TEND!$A:$A,$A9,BASE_FIXA_TEND!$B:$B,$E9,BASE_FIXA_TEND!$D:$D,$F9)</f>
        <v>30.718674490852244</v>
      </c>
    </row>
    <row r="10" spans="1:13" x14ac:dyDescent="0.3">
      <c r="A10" t="s">
        <v>573</v>
      </c>
      <c r="B10" s="1">
        <v>46054</v>
      </c>
      <c r="C10" t="str">
        <f t="shared" si="0"/>
        <v>02</v>
      </c>
      <c r="D10">
        <f t="shared" si="1"/>
        <v>2026</v>
      </c>
      <c r="E10" t="s">
        <v>47</v>
      </c>
      <c r="F10" t="s">
        <v>11</v>
      </c>
      <c r="G10" t="s">
        <v>642</v>
      </c>
      <c r="H10">
        <v>0</v>
      </c>
      <c r="I10">
        <v>0</v>
      </c>
      <c r="J10" s="1">
        <f t="shared" si="2"/>
        <v>46054</v>
      </c>
      <c r="K10" t="str">
        <f t="shared" si="3"/>
        <v>fev/26</v>
      </c>
      <c r="L10" t="str">
        <f t="shared" si="4"/>
        <v>dom</v>
      </c>
      <c r="M10">
        <f>SUMIFS(BASE_FIXA_TEND!AN:AN,BASE_FIXA_TEND!$A:$A,$A10,BASE_FIXA_TEND!$B:$B,$E10,BASE_FIXA_TEND!$D:$D,$F10)</f>
        <v>0</v>
      </c>
    </row>
    <row r="11" spans="1:13" x14ac:dyDescent="0.3">
      <c r="A11" t="s">
        <v>605</v>
      </c>
      <c r="B11" s="1">
        <v>46054</v>
      </c>
      <c r="C11" t="str">
        <f t="shared" si="0"/>
        <v>02</v>
      </c>
      <c r="D11">
        <f t="shared" si="1"/>
        <v>2026</v>
      </c>
      <c r="E11" t="s">
        <v>47</v>
      </c>
      <c r="F11" t="s">
        <v>11</v>
      </c>
      <c r="G11" t="s">
        <v>642</v>
      </c>
      <c r="H11">
        <v>0</v>
      </c>
      <c r="I11">
        <v>0</v>
      </c>
      <c r="J11" s="1">
        <f t="shared" si="2"/>
        <v>46054</v>
      </c>
      <c r="K11" t="str">
        <f t="shared" si="3"/>
        <v>fev/26</v>
      </c>
      <c r="L11" t="str">
        <f t="shared" si="4"/>
        <v>dom</v>
      </c>
      <c r="M11">
        <f>SUMIFS(BASE_FIXA_TEND!AN:AN,BASE_FIXA_TEND!$A:$A,$A11,BASE_FIXA_TEND!$B:$B,$E11,BASE_FIXA_TEND!$D:$D,$F11)</f>
        <v>0</v>
      </c>
    </row>
    <row r="12" spans="1:13" x14ac:dyDescent="0.3">
      <c r="A12" t="s">
        <v>8</v>
      </c>
      <c r="B12" s="1">
        <v>46054</v>
      </c>
      <c r="C12" t="str">
        <f t="shared" si="0"/>
        <v>02</v>
      </c>
      <c r="D12">
        <f t="shared" si="1"/>
        <v>2026</v>
      </c>
      <c r="E12" t="s">
        <v>47</v>
      </c>
      <c r="F12" t="s">
        <v>14</v>
      </c>
      <c r="G12" t="s">
        <v>642</v>
      </c>
      <c r="H12">
        <v>0</v>
      </c>
      <c r="I12">
        <v>0</v>
      </c>
      <c r="J12" s="1">
        <f t="shared" si="2"/>
        <v>46054</v>
      </c>
      <c r="K12" t="str">
        <f t="shared" si="3"/>
        <v>fev/26</v>
      </c>
      <c r="L12" t="str">
        <f t="shared" si="4"/>
        <v>dom</v>
      </c>
      <c r="M12">
        <f>SUMIFS(BASE_FIXA_TEND!AN:AN,BASE_FIXA_TEND!$A:$A,$A12,BASE_FIXA_TEND!$B:$B,$E12,BASE_FIXA_TEND!$D:$D,$F12)</f>
        <v>5</v>
      </c>
    </row>
    <row r="13" spans="1:13" x14ac:dyDescent="0.3">
      <c r="A13" t="s">
        <v>173</v>
      </c>
      <c r="B13" s="1">
        <v>46054</v>
      </c>
      <c r="C13" t="str">
        <f t="shared" si="0"/>
        <v>02</v>
      </c>
      <c r="D13">
        <f t="shared" si="1"/>
        <v>2026</v>
      </c>
      <c r="E13" t="s">
        <v>47</v>
      </c>
      <c r="F13" t="s">
        <v>14</v>
      </c>
      <c r="G13" t="s">
        <v>642</v>
      </c>
      <c r="H13">
        <v>0</v>
      </c>
      <c r="I13">
        <v>0</v>
      </c>
      <c r="J13" s="1">
        <f t="shared" si="2"/>
        <v>46054</v>
      </c>
      <c r="K13" t="str">
        <f t="shared" si="3"/>
        <v>fev/26</v>
      </c>
      <c r="L13" t="str">
        <f t="shared" si="4"/>
        <v>dom</v>
      </c>
      <c r="M13">
        <f>SUMIFS(BASE_FIXA_TEND!AN:AN,BASE_FIXA_TEND!$A:$A,$A13,BASE_FIXA_TEND!$B:$B,$E13,BASE_FIXA_TEND!$D:$D,$F13)</f>
        <v>0</v>
      </c>
    </row>
    <row r="14" spans="1:13" x14ac:dyDescent="0.3">
      <c r="A14" t="s">
        <v>242</v>
      </c>
      <c r="B14" s="1">
        <v>46054</v>
      </c>
      <c r="C14" t="str">
        <f t="shared" si="0"/>
        <v>02</v>
      </c>
      <c r="D14">
        <f t="shared" si="1"/>
        <v>2026</v>
      </c>
      <c r="E14" t="s">
        <v>47</v>
      </c>
      <c r="F14" t="s">
        <v>14</v>
      </c>
      <c r="G14" t="s">
        <v>642</v>
      </c>
      <c r="H14">
        <v>0</v>
      </c>
      <c r="I14">
        <v>0</v>
      </c>
      <c r="J14" s="1">
        <f t="shared" si="2"/>
        <v>46054</v>
      </c>
      <c r="K14" t="str">
        <f t="shared" si="3"/>
        <v>fev/26</v>
      </c>
      <c r="L14" t="str">
        <f t="shared" si="4"/>
        <v>dom</v>
      </c>
      <c r="M14">
        <f>SUMIFS(BASE_FIXA_TEND!AN:AN,BASE_FIXA_TEND!$A:$A,$A14,BASE_FIXA_TEND!$B:$B,$E14,BASE_FIXA_TEND!$D:$D,$F14)</f>
        <v>0</v>
      </c>
    </row>
    <row r="15" spans="1:13" x14ac:dyDescent="0.3">
      <c r="A15" t="s">
        <v>286</v>
      </c>
      <c r="B15" s="1">
        <v>46054</v>
      </c>
      <c r="C15" t="str">
        <f t="shared" si="0"/>
        <v>02</v>
      </c>
      <c r="D15">
        <f t="shared" si="1"/>
        <v>2026</v>
      </c>
      <c r="E15" t="s">
        <v>47</v>
      </c>
      <c r="F15" t="s">
        <v>14</v>
      </c>
      <c r="G15" t="s">
        <v>642</v>
      </c>
      <c r="H15">
        <v>0</v>
      </c>
      <c r="I15">
        <v>0</v>
      </c>
      <c r="J15" s="1">
        <f t="shared" si="2"/>
        <v>46054</v>
      </c>
      <c r="K15" t="str">
        <f t="shared" si="3"/>
        <v>fev/26</v>
      </c>
      <c r="L15" t="str">
        <f t="shared" si="4"/>
        <v>dom</v>
      </c>
      <c r="M15">
        <f>SUMIFS(BASE_FIXA_TEND!AN:AN,BASE_FIXA_TEND!$A:$A,$A15,BASE_FIXA_TEND!$B:$B,$E15,BASE_FIXA_TEND!$D:$D,$F15)</f>
        <v>0</v>
      </c>
    </row>
    <row r="16" spans="1:13" x14ac:dyDescent="0.3">
      <c r="A16" t="s">
        <v>339</v>
      </c>
      <c r="B16" s="1">
        <v>46054</v>
      </c>
      <c r="C16" t="str">
        <f t="shared" si="0"/>
        <v>02</v>
      </c>
      <c r="D16">
        <f t="shared" si="1"/>
        <v>2026</v>
      </c>
      <c r="E16" t="s">
        <v>47</v>
      </c>
      <c r="F16" t="s">
        <v>14</v>
      </c>
      <c r="G16" t="s">
        <v>642</v>
      </c>
      <c r="H16">
        <v>0</v>
      </c>
      <c r="I16">
        <v>0</v>
      </c>
      <c r="J16" s="1">
        <f t="shared" si="2"/>
        <v>46054</v>
      </c>
      <c r="K16" t="str">
        <f t="shared" si="3"/>
        <v>fev/26</v>
      </c>
      <c r="L16" t="str">
        <f t="shared" si="4"/>
        <v>dom</v>
      </c>
      <c r="M16">
        <f>SUMIFS(BASE_FIXA_TEND!AN:AN,BASE_FIXA_TEND!$A:$A,$A16,BASE_FIXA_TEND!$B:$B,$E16,BASE_FIXA_TEND!$D:$D,$F16)</f>
        <v>0</v>
      </c>
    </row>
    <row r="17" spans="1:13" x14ac:dyDescent="0.3">
      <c r="A17" t="s">
        <v>380</v>
      </c>
      <c r="B17" s="1">
        <v>46054</v>
      </c>
      <c r="C17" t="str">
        <f t="shared" si="0"/>
        <v>02</v>
      </c>
      <c r="D17">
        <f t="shared" si="1"/>
        <v>2026</v>
      </c>
      <c r="E17" t="s">
        <v>47</v>
      </c>
      <c r="F17" t="s">
        <v>14</v>
      </c>
      <c r="G17" t="s">
        <v>642</v>
      </c>
      <c r="H17">
        <v>0</v>
      </c>
      <c r="I17">
        <v>0</v>
      </c>
      <c r="J17" s="1">
        <f t="shared" si="2"/>
        <v>46054</v>
      </c>
      <c r="K17" t="str">
        <f t="shared" si="3"/>
        <v>fev/26</v>
      </c>
      <c r="L17" t="str">
        <f t="shared" si="4"/>
        <v>dom</v>
      </c>
      <c r="M17">
        <f>SUMIFS(BASE_FIXA_TEND!AN:AN,BASE_FIXA_TEND!$A:$A,$A17,BASE_FIXA_TEND!$B:$B,$E17,BASE_FIXA_TEND!$D:$D,$F17)</f>
        <v>0</v>
      </c>
    </row>
    <row r="18" spans="1:13" x14ac:dyDescent="0.3">
      <c r="A18" t="s">
        <v>446</v>
      </c>
      <c r="B18" s="1">
        <v>46054</v>
      </c>
      <c r="C18" t="str">
        <f t="shared" si="0"/>
        <v>02</v>
      </c>
      <c r="D18">
        <f t="shared" si="1"/>
        <v>2026</v>
      </c>
      <c r="E18" t="s">
        <v>47</v>
      </c>
      <c r="F18" t="s">
        <v>14</v>
      </c>
      <c r="G18" t="s">
        <v>642</v>
      </c>
      <c r="H18">
        <v>0</v>
      </c>
      <c r="I18">
        <v>0</v>
      </c>
      <c r="J18" s="1">
        <f t="shared" si="2"/>
        <v>46054</v>
      </c>
      <c r="K18" t="str">
        <f t="shared" si="3"/>
        <v>fev/26</v>
      </c>
      <c r="L18" t="str">
        <f t="shared" si="4"/>
        <v>dom</v>
      </c>
      <c r="M18">
        <f>SUMIFS(BASE_FIXA_TEND!AN:AN,BASE_FIXA_TEND!$A:$A,$A18,BASE_FIXA_TEND!$B:$B,$E18,BASE_FIXA_TEND!$D:$D,$F18)</f>
        <v>0</v>
      </c>
    </row>
    <row r="19" spans="1:13" x14ac:dyDescent="0.3">
      <c r="A19" t="s">
        <v>516</v>
      </c>
      <c r="B19" s="1">
        <v>46054</v>
      </c>
      <c r="C19" t="str">
        <f t="shared" si="0"/>
        <v>02</v>
      </c>
      <c r="D19">
        <f t="shared" si="1"/>
        <v>2026</v>
      </c>
      <c r="E19" t="s">
        <v>47</v>
      </c>
      <c r="F19" t="s">
        <v>14</v>
      </c>
      <c r="G19" t="s">
        <v>642</v>
      </c>
      <c r="H19">
        <v>0</v>
      </c>
      <c r="I19">
        <v>0</v>
      </c>
      <c r="J19" s="1">
        <f t="shared" si="2"/>
        <v>46054</v>
      </c>
      <c r="K19" t="str">
        <f t="shared" si="3"/>
        <v>fev/26</v>
      </c>
      <c r="L19" t="str">
        <f t="shared" si="4"/>
        <v>dom</v>
      </c>
      <c r="M19">
        <f>SUMIFS(BASE_FIXA_TEND!AN:AN,BASE_FIXA_TEND!$A:$A,$A19,BASE_FIXA_TEND!$B:$B,$E19,BASE_FIXA_TEND!$D:$D,$F19)</f>
        <v>49.605448567401503</v>
      </c>
    </row>
    <row r="20" spans="1:13" x14ac:dyDescent="0.3">
      <c r="A20" t="s">
        <v>573</v>
      </c>
      <c r="B20" s="1">
        <v>46054</v>
      </c>
      <c r="C20" t="str">
        <f t="shared" si="0"/>
        <v>02</v>
      </c>
      <c r="D20">
        <f t="shared" si="1"/>
        <v>2026</v>
      </c>
      <c r="E20" t="s">
        <v>47</v>
      </c>
      <c r="F20" t="s">
        <v>14</v>
      </c>
      <c r="G20" t="s">
        <v>642</v>
      </c>
      <c r="H20">
        <v>0</v>
      </c>
      <c r="I20">
        <v>0</v>
      </c>
      <c r="J20" s="1">
        <f t="shared" si="2"/>
        <v>46054</v>
      </c>
      <c r="K20" t="str">
        <f t="shared" si="3"/>
        <v>fev/26</v>
      </c>
      <c r="L20" t="str">
        <f t="shared" si="4"/>
        <v>dom</v>
      </c>
      <c r="M20">
        <f>SUMIFS(BASE_FIXA_TEND!AN:AN,BASE_FIXA_TEND!$A:$A,$A20,BASE_FIXA_TEND!$B:$B,$E20,BASE_FIXA_TEND!$D:$D,$F20)</f>
        <v>0</v>
      </c>
    </row>
    <row r="21" spans="1:13" x14ac:dyDescent="0.3">
      <c r="A21" t="s">
        <v>605</v>
      </c>
      <c r="B21" s="1">
        <v>46054</v>
      </c>
      <c r="C21" t="str">
        <f t="shared" si="0"/>
        <v>02</v>
      </c>
      <c r="D21">
        <f t="shared" si="1"/>
        <v>2026</v>
      </c>
      <c r="E21" t="s">
        <v>47</v>
      </c>
      <c r="F21" t="s">
        <v>14</v>
      </c>
      <c r="G21" t="s">
        <v>642</v>
      </c>
      <c r="H21">
        <v>0</v>
      </c>
      <c r="I21">
        <v>0</v>
      </c>
      <c r="J21" s="1">
        <f t="shared" si="2"/>
        <v>46054</v>
      </c>
      <c r="K21" t="str">
        <f t="shared" si="3"/>
        <v>fev/26</v>
      </c>
      <c r="L21" t="str">
        <f t="shared" si="4"/>
        <v>dom</v>
      </c>
      <c r="M21">
        <f>SUMIFS(BASE_FIXA_TEND!AN:AN,BASE_FIXA_TEND!$A:$A,$A21,BASE_FIXA_TEND!$B:$B,$E21,BASE_FIXA_TEND!$D:$D,$F21)</f>
        <v>0</v>
      </c>
    </row>
    <row r="22" spans="1:13" x14ac:dyDescent="0.3">
      <c r="A22" t="s">
        <v>8</v>
      </c>
      <c r="B22" s="1">
        <v>46054</v>
      </c>
      <c r="C22" t="str">
        <f>TEXT(B22,"MM")</f>
        <v>02</v>
      </c>
      <c r="D22">
        <f>YEAR(B22)</f>
        <v>2026</v>
      </c>
      <c r="E22" t="s">
        <v>164</v>
      </c>
      <c r="F22" t="s">
        <v>11</v>
      </c>
      <c r="G22" t="s">
        <v>642</v>
      </c>
      <c r="H22">
        <v>0</v>
      </c>
      <c r="I22">
        <v>0</v>
      </c>
      <c r="J22" s="1">
        <f>B22</f>
        <v>46054</v>
      </c>
      <c r="K22" t="str">
        <f>TEXT(J22,"MMM/AA")</f>
        <v>fev/26</v>
      </c>
      <c r="L22" t="str">
        <f>TEXT(J22,"DDD")</f>
        <v>dom</v>
      </c>
      <c r="M22">
        <f>SUMIFS(BASE_FIXA_TEND!AN:AN,BASE_FIXA_TEND!$A:$A,$A22,BASE_FIXA_TEND!$B:$B,$E22,BASE_FIXA_TEND!$D:$D,$F22)</f>
        <v>486.25647221262727</v>
      </c>
    </row>
    <row r="23" spans="1:13" x14ac:dyDescent="0.3">
      <c r="A23" t="s">
        <v>173</v>
      </c>
      <c r="B23" s="1">
        <v>46054</v>
      </c>
      <c r="C23" t="str">
        <f t="shared" ref="C23:C86" si="5">TEXT(B23,"MM")</f>
        <v>02</v>
      </c>
      <c r="D23">
        <f t="shared" ref="D23:D86" si="6">YEAR(B23)</f>
        <v>2026</v>
      </c>
      <c r="E23" t="s">
        <v>164</v>
      </c>
      <c r="F23" t="s">
        <v>11</v>
      </c>
      <c r="G23" t="s">
        <v>642</v>
      </c>
      <c r="H23">
        <v>0</v>
      </c>
      <c r="I23">
        <v>0</v>
      </c>
      <c r="J23" s="1">
        <f t="shared" ref="J23:J86" si="7">B23</f>
        <v>46054</v>
      </c>
      <c r="K23" t="str">
        <f t="shared" ref="K23:K86" si="8">TEXT(J23,"MMM/AA")</f>
        <v>fev/26</v>
      </c>
      <c r="L23" t="str">
        <f t="shared" ref="L23:L86" si="9">TEXT(J23,"DDD")</f>
        <v>dom</v>
      </c>
      <c r="M23">
        <f>SUMIFS(BASE_FIXA_TEND!AN:AN,BASE_FIXA_TEND!$A:$A,$A23,BASE_FIXA_TEND!$B:$B,$E23,BASE_FIXA_TEND!$D:$D,$F23)</f>
        <v>344.74111149464443</v>
      </c>
    </row>
    <row r="24" spans="1:13" x14ac:dyDescent="0.3">
      <c r="A24" t="s">
        <v>242</v>
      </c>
      <c r="B24" s="1">
        <v>46054</v>
      </c>
      <c r="C24" t="str">
        <f t="shared" si="5"/>
        <v>02</v>
      </c>
      <c r="D24">
        <f t="shared" si="6"/>
        <v>2026</v>
      </c>
      <c r="E24" t="s">
        <v>164</v>
      </c>
      <c r="F24" t="s">
        <v>11</v>
      </c>
      <c r="G24" t="s">
        <v>642</v>
      </c>
      <c r="H24">
        <v>0</v>
      </c>
      <c r="I24">
        <v>0</v>
      </c>
      <c r="J24" s="1">
        <f t="shared" si="7"/>
        <v>46054</v>
      </c>
      <c r="K24" t="str">
        <f t="shared" si="8"/>
        <v>fev/26</v>
      </c>
      <c r="L24" t="str">
        <f t="shared" si="9"/>
        <v>dom</v>
      </c>
      <c r="M24">
        <f>SUMIFS(BASE_FIXA_TEND!AN:AN,BASE_FIXA_TEND!$A:$A,$A24,BASE_FIXA_TEND!$B:$B,$E24,BASE_FIXA_TEND!$D:$D,$F24)</f>
        <v>210.03072143596572</v>
      </c>
    </row>
    <row r="25" spans="1:13" x14ac:dyDescent="0.3">
      <c r="A25" t="s">
        <v>286</v>
      </c>
      <c r="B25" s="1">
        <v>46054</v>
      </c>
      <c r="C25" t="str">
        <f t="shared" si="5"/>
        <v>02</v>
      </c>
      <c r="D25">
        <f t="shared" si="6"/>
        <v>2026</v>
      </c>
      <c r="E25" t="s">
        <v>164</v>
      </c>
      <c r="F25" t="s">
        <v>11</v>
      </c>
      <c r="G25" t="s">
        <v>642</v>
      </c>
      <c r="H25">
        <v>0</v>
      </c>
      <c r="I25">
        <v>0</v>
      </c>
      <c r="J25" s="1">
        <f t="shared" si="7"/>
        <v>46054</v>
      </c>
      <c r="K25" t="str">
        <f t="shared" si="8"/>
        <v>fev/26</v>
      </c>
      <c r="L25" t="str">
        <f t="shared" si="9"/>
        <v>dom</v>
      </c>
      <c r="M25">
        <f>SUMIFS(BASE_FIXA_TEND!AN:AN,BASE_FIXA_TEND!$A:$A,$A25,BASE_FIXA_TEND!$B:$B,$E25,BASE_FIXA_TEND!$D:$D,$F25)</f>
        <v>329.90541939937464</v>
      </c>
    </row>
    <row r="26" spans="1:13" x14ac:dyDescent="0.3">
      <c r="A26" t="s">
        <v>339</v>
      </c>
      <c r="B26" s="1">
        <v>46054</v>
      </c>
      <c r="C26" t="str">
        <f t="shared" si="5"/>
        <v>02</v>
      </c>
      <c r="D26">
        <f t="shared" si="6"/>
        <v>2026</v>
      </c>
      <c r="E26" t="s">
        <v>164</v>
      </c>
      <c r="F26" t="s">
        <v>11</v>
      </c>
      <c r="G26" t="s">
        <v>642</v>
      </c>
      <c r="H26">
        <v>0</v>
      </c>
      <c r="I26">
        <v>0</v>
      </c>
      <c r="J26" s="1">
        <f t="shared" si="7"/>
        <v>46054</v>
      </c>
      <c r="K26" t="str">
        <f t="shared" si="8"/>
        <v>fev/26</v>
      </c>
      <c r="L26" t="str">
        <f t="shared" si="9"/>
        <v>dom</v>
      </c>
      <c r="M26">
        <f>SUMIFS(BASE_FIXA_TEND!AN:AN,BASE_FIXA_TEND!$A:$A,$A26,BASE_FIXA_TEND!$B:$B,$E26,BASE_FIXA_TEND!$D:$D,$F26)</f>
        <v>164.31204694511342</v>
      </c>
    </row>
    <row r="27" spans="1:13" x14ac:dyDescent="0.3">
      <c r="A27" t="s">
        <v>380</v>
      </c>
      <c r="B27" s="1">
        <v>46054</v>
      </c>
      <c r="C27" t="str">
        <f t="shared" si="5"/>
        <v>02</v>
      </c>
      <c r="D27">
        <f t="shared" si="6"/>
        <v>2026</v>
      </c>
      <c r="E27" t="s">
        <v>164</v>
      </c>
      <c r="F27" t="s">
        <v>11</v>
      </c>
      <c r="G27" t="s">
        <v>642</v>
      </c>
      <c r="H27">
        <v>0</v>
      </c>
      <c r="I27">
        <v>0</v>
      </c>
      <c r="J27" s="1">
        <f t="shared" si="7"/>
        <v>46054</v>
      </c>
      <c r="K27" t="str">
        <f t="shared" si="8"/>
        <v>fev/26</v>
      </c>
      <c r="L27" t="str">
        <f t="shared" si="9"/>
        <v>dom</v>
      </c>
      <c r="M27">
        <f>SUMIFS(BASE_FIXA_TEND!AN:AN,BASE_FIXA_TEND!$A:$A,$A27,BASE_FIXA_TEND!$B:$B,$E27,BASE_FIXA_TEND!$D:$D,$F27)</f>
        <v>187.35105281325264</v>
      </c>
    </row>
    <row r="28" spans="1:13" x14ac:dyDescent="0.3">
      <c r="A28" t="s">
        <v>446</v>
      </c>
      <c r="B28" s="1">
        <v>46054</v>
      </c>
      <c r="C28" t="str">
        <f t="shared" si="5"/>
        <v>02</v>
      </c>
      <c r="D28">
        <f t="shared" si="6"/>
        <v>2026</v>
      </c>
      <c r="E28" t="s">
        <v>164</v>
      </c>
      <c r="F28" t="s">
        <v>11</v>
      </c>
      <c r="G28" t="s">
        <v>642</v>
      </c>
      <c r="H28">
        <v>0</v>
      </c>
      <c r="I28">
        <v>0</v>
      </c>
      <c r="J28" s="1">
        <f t="shared" si="7"/>
        <v>46054</v>
      </c>
      <c r="K28" t="str">
        <f t="shared" si="8"/>
        <v>fev/26</v>
      </c>
      <c r="L28" t="str">
        <f t="shared" si="9"/>
        <v>dom</v>
      </c>
      <c r="M28">
        <f>SUMIFS(BASE_FIXA_TEND!AN:AN,BASE_FIXA_TEND!$A:$A,$A28,BASE_FIXA_TEND!$B:$B,$E28,BASE_FIXA_TEND!$D:$D,$F28)</f>
        <v>77.796686227130621</v>
      </c>
    </row>
    <row r="29" spans="1:13" x14ac:dyDescent="0.3">
      <c r="A29" t="s">
        <v>516</v>
      </c>
      <c r="B29" s="1">
        <v>46054</v>
      </c>
      <c r="C29" t="str">
        <f t="shared" si="5"/>
        <v>02</v>
      </c>
      <c r="D29">
        <f t="shared" si="6"/>
        <v>2026</v>
      </c>
      <c r="E29" t="s">
        <v>164</v>
      </c>
      <c r="F29" t="s">
        <v>11</v>
      </c>
      <c r="G29" t="s">
        <v>642</v>
      </c>
      <c r="H29">
        <v>0</v>
      </c>
      <c r="I29">
        <v>0</v>
      </c>
      <c r="J29" s="1">
        <f t="shared" si="7"/>
        <v>46054</v>
      </c>
      <c r="K29" t="str">
        <f t="shared" si="8"/>
        <v>fev/26</v>
      </c>
      <c r="L29" t="str">
        <f t="shared" si="9"/>
        <v>dom</v>
      </c>
      <c r="M29">
        <f>SUMIFS(BASE_FIXA_TEND!AN:AN,BASE_FIXA_TEND!$A:$A,$A29,BASE_FIXA_TEND!$B:$B,$E29,BASE_FIXA_TEND!$D:$D,$F29)</f>
        <v>1027.3486365205245</v>
      </c>
    </row>
    <row r="30" spans="1:13" x14ac:dyDescent="0.3">
      <c r="A30" t="s">
        <v>573</v>
      </c>
      <c r="B30" s="1">
        <v>46054</v>
      </c>
      <c r="C30" t="str">
        <f t="shared" si="5"/>
        <v>02</v>
      </c>
      <c r="D30">
        <f t="shared" si="6"/>
        <v>2026</v>
      </c>
      <c r="E30" t="s">
        <v>164</v>
      </c>
      <c r="F30" t="s">
        <v>11</v>
      </c>
      <c r="G30" t="s">
        <v>642</v>
      </c>
      <c r="H30">
        <v>0</v>
      </c>
      <c r="I30">
        <v>0</v>
      </c>
      <c r="J30" s="1">
        <f t="shared" si="7"/>
        <v>46054</v>
      </c>
      <c r="K30" t="str">
        <f t="shared" si="8"/>
        <v>fev/26</v>
      </c>
      <c r="L30" t="str">
        <f t="shared" si="9"/>
        <v>dom</v>
      </c>
      <c r="M30">
        <f>SUMIFS(BASE_FIXA_TEND!AN:AN,BASE_FIXA_TEND!$A:$A,$A30,BASE_FIXA_TEND!$B:$B,$E30,BASE_FIXA_TEND!$D:$D,$F30)</f>
        <v>127.91370383154815</v>
      </c>
    </row>
    <row r="31" spans="1:13" x14ac:dyDescent="0.3">
      <c r="A31" t="s">
        <v>605</v>
      </c>
      <c r="B31" s="1">
        <v>46054</v>
      </c>
      <c r="C31" t="str">
        <f t="shared" si="5"/>
        <v>02</v>
      </c>
      <c r="D31">
        <f t="shared" si="6"/>
        <v>2026</v>
      </c>
      <c r="E31" t="s">
        <v>164</v>
      </c>
      <c r="F31" t="s">
        <v>11</v>
      </c>
      <c r="G31" t="s">
        <v>642</v>
      </c>
      <c r="H31">
        <v>0</v>
      </c>
      <c r="I31">
        <v>0</v>
      </c>
      <c r="J31" s="1">
        <f t="shared" si="7"/>
        <v>46054</v>
      </c>
      <c r="K31" t="str">
        <f t="shared" si="8"/>
        <v>fev/26</v>
      </c>
      <c r="L31" t="str">
        <f t="shared" si="9"/>
        <v>dom</v>
      </c>
      <c r="M31">
        <f>SUMIFS(BASE_FIXA_TEND!AN:AN,BASE_FIXA_TEND!$A:$A,$A31,BASE_FIXA_TEND!$B:$B,$E31,BASE_FIXA_TEND!$D:$D,$F31)</f>
        <v>58.835692095269792</v>
      </c>
    </row>
    <row r="32" spans="1:13" x14ac:dyDescent="0.3">
      <c r="A32" t="s">
        <v>8</v>
      </c>
      <c r="B32" s="1">
        <v>46054</v>
      </c>
      <c r="C32" t="str">
        <f t="shared" si="5"/>
        <v>02</v>
      </c>
      <c r="D32">
        <f t="shared" si="6"/>
        <v>2026</v>
      </c>
      <c r="E32" t="s">
        <v>164</v>
      </c>
      <c r="F32" t="s">
        <v>14</v>
      </c>
      <c r="G32" t="s">
        <v>642</v>
      </c>
      <c r="H32">
        <v>0</v>
      </c>
      <c r="I32">
        <v>0</v>
      </c>
      <c r="J32" s="1">
        <f t="shared" si="7"/>
        <v>46054</v>
      </c>
      <c r="K32" t="str">
        <f t="shared" si="8"/>
        <v>fev/26</v>
      </c>
      <c r="L32" t="str">
        <f t="shared" si="9"/>
        <v>dom</v>
      </c>
      <c r="M32">
        <f>SUMIFS(BASE_FIXA_TEND!AN:AN,BASE_FIXA_TEND!$A:$A,$A32,BASE_FIXA_TEND!$B:$B,$E32,BASE_FIXA_TEND!$D:$D,$F32)</f>
        <v>628.12141850632418</v>
      </c>
    </row>
    <row r="33" spans="1:13" x14ac:dyDescent="0.3">
      <c r="A33" t="s">
        <v>173</v>
      </c>
      <c r="B33" s="1">
        <v>46054</v>
      </c>
      <c r="C33" t="str">
        <f t="shared" si="5"/>
        <v>02</v>
      </c>
      <c r="D33">
        <f t="shared" si="6"/>
        <v>2026</v>
      </c>
      <c r="E33" t="s">
        <v>164</v>
      </c>
      <c r="F33" t="s">
        <v>14</v>
      </c>
      <c r="G33" t="s">
        <v>642</v>
      </c>
      <c r="H33">
        <v>0</v>
      </c>
      <c r="I33">
        <v>0</v>
      </c>
      <c r="J33" s="1">
        <f t="shared" si="7"/>
        <v>46054</v>
      </c>
      <c r="K33" t="str">
        <f t="shared" si="8"/>
        <v>fev/26</v>
      </c>
      <c r="L33" t="str">
        <f t="shared" si="9"/>
        <v>dom</v>
      </c>
      <c r="M33">
        <f>SUMIFS(BASE_FIXA_TEND!AN:AN,BASE_FIXA_TEND!$A:$A,$A33,BASE_FIXA_TEND!$B:$B,$E33,BASE_FIXA_TEND!$D:$D,$F33)</f>
        <v>468.65993424141652</v>
      </c>
    </row>
    <row r="34" spans="1:13" x14ac:dyDescent="0.3">
      <c r="A34" t="s">
        <v>242</v>
      </c>
      <c r="B34" s="1">
        <v>46054</v>
      </c>
      <c r="C34" t="str">
        <f t="shared" si="5"/>
        <v>02</v>
      </c>
      <c r="D34">
        <f t="shared" si="6"/>
        <v>2026</v>
      </c>
      <c r="E34" t="s">
        <v>164</v>
      </c>
      <c r="F34" t="s">
        <v>14</v>
      </c>
      <c r="G34" t="s">
        <v>642</v>
      </c>
      <c r="H34">
        <v>0</v>
      </c>
      <c r="I34">
        <v>0</v>
      </c>
      <c r="J34" s="1">
        <f t="shared" si="7"/>
        <v>46054</v>
      </c>
      <c r="K34" t="str">
        <f t="shared" si="8"/>
        <v>fev/26</v>
      </c>
      <c r="L34" t="str">
        <f t="shared" si="9"/>
        <v>dom</v>
      </c>
      <c r="M34">
        <f>SUMIFS(BASE_FIXA_TEND!AN:AN,BASE_FIXA_TEND!$A:$A,$A34,BASE_FIXA_TEND!$B:$B,$E34,BASE_FIXA_TEND!$D:$D,$F34)</f>
        <v>281.97510568341147</v>
      </c>
    </row>
    <row r="35" spans="1:13" x14ac:dyDescent="0.3">
      <c r="A35" t="s">
        <v>286</v>
      </c>
      <c r="B35" s="1">
        <v>46054</v>
      </c>
      <c r="C35" t="str">
        <f t="shared" si="5"/>
        <v>02</v>
      </c>
      <c r="D35">
        <f t="shared" si="6"/>
        <v>2026</v>
      </c>
      <c r="E35" t="s">
        <v>164</v>
      </c>
      <c r="F35" t="s">
        <v>14</v>
      </c>
      <c r="G35" t="s">
        <v>642</v>
      </c>
      <c r="H35">
        <v>0</v>
      </c>
      <c r="I35">
        <v>0</v>
      </c>
      <c r="J35" s="1">
        <f t="shared" si="7"/>
        <v>46054</v>
      </c>
      <c r="K35" t="str">
        <f t="shared" si="8"/>
        <v>fev/26</v>
      </c>
      <c r="L35" t="str">
        <f t="shared" si="9"/>
        <v>dom</v>
      </c>
      <c r="M35">
        <f>SUMIFS(BASE_FIXA_TEND!AN:AN,BASE_FIXA_TEND!$A:$A,$A35,BASE_FIXA_TEND!$B:$B,$E35,BASE_FIXA_TEND!$D:$D,$F35)</f>
        <v>484.09417566931677</v>
      </c>
    </row>
    <row r="36" spans="1:13" x14ac:dyDescent="0.3">
      <c r="A36" t="s">
        <v>339</v>
      </c>
      <c r="B36" s="1">
        <v>46054</v>
      </c>
      <c r="C36" t="str">
        <f t="shared" si="5"/>
        <v>02</v>
      </c>
      <c r="D36">
        <f t="shared" si="6"/>
        <v>2026</v>
      </c>
      <c r="E36" t="s">
        <v>164</v>
      </c>
      <c r="F36" t="s">
        <v>14</v>
      </c>
      <c r="G36" t="s">
        <v>642</v>
      </c>
      <c r="H36">
        <v>0</v>
      </c>
      <c r="I36">
        <v>0</v>
      </c>
      <c r="J36" s="1">
        <f t="shared" si="7"/>
        <v>46054</v>
      </c>
      <c r="K36" t="str">
        <f t="shared" si="8"/>
        <v>fev/26</v>
      </c>
      <c r="L36" t="str">
        <f t="shared" si="9"/>
        <v>dom</v>
      </c>
      <c r="M36">
        <f>SUMIFS(BASE_FIXA_TEND!AN:AN,BASE_FIXA_TEND!$A:$A,$A36,BASE_FIXA_TEND!$B:$B,$E36,BASE_FIXA_TEND!$D:$D,$F36)</f>
        <v>198.72451855330672</v>
      </c>
    </row>
    <row r="37" spans="1:13" x14ac:dyDescent="0.3">
      <c r="A37" t="s">
        <v>380</v>
      </c>
      <c r="B37" s="1">
        <v>46054</v>
      </c>
      <c r="C37" t="str">
        <f t="shared" si="5"/>
        <v>02</v>
      </c>
      <c r="D37">
        <f t="shared" si="6"/>
        <v>2026</v>
      </c>
      <c r="E37" t="s">
        <v>164</v>
      </c>
      <c r="F37" t="s">
        <v>14</v>
      </c>
      <c r="G37" t="s">
        <v>642</v>
      </c>
      <c r="H37">
        <v>0</v>
      </c>
      <c r="I37">
        <v>0</v>
      </c>
      <c r="J37" s="1">
        <f t="shared" si="7"/>
        <v>46054</v>
      </c>
      <c r="K37" t="str">
        <f t="shared" si="8"/>
        <v>fev/26</v>
      </c>
      <c r="L37" t="str">
        <f t="shared" si="9"/>
        <v>dom</v>
      </c>
      <c r="M37">
        <f>SUMIFS(BASE_FIXA_TEND!AN:AN,BASE_FIXA_TEND!$A:$A,$A37,BASE_FIXA_TEND!$B:$B,$E37,BASE_FIXA_TEND!$D:$D,$F37)</f>
        <v>262.93541568810974</v>
      </c>
    </row>
    <row r="38" spans="1:13" x14ac:dyDescent="0.3">
      <c r="A38" t="s">
        <v>446</v>
      </c>
      <c r="B38" s="1">
        <v>46054</v>
      </c>
      <c r="C38" t="str">
        <f t="shared" si="5"/>
        <v>02</v>
      </c>
      <c r="D38">
        <f t="shared" si="6"/>
        <v>2026</v>
      </c>
      <c r="E38" t="s">
        <v>164</v>
      </c>
      <c r="F38" t="s">
        <v>14</v>
      </c>
      <c r="G38" t="s">
        <v>642</v>
      </c>
      <c r="H38">
        <v>0</v>
      </c>
      <c r="I38">
        <v>0</v>
      </c>
      <c r="J38" s="1">
        <f t="shared" si="7"/>
        <v>46054</v>
      </c>
      <c r="K38" t="str">
        <f t="shared" si="8"/>
        <v>fev/26</v>
      </c>
      <c r="L38" t="str">
        <f t="shared" si="9"/>
        <v>dom</v>
      </c>
      <c r="M38">
        <f>SUMIFS(BASE_FIXA_TEND!AN:AN,BASE_FIXA_TEND!$A:$A,$A38,BASE_FIXA_TEND!$B:$B,$E38,BASE_FIXA_TEND!$D:$D,$F38)</f>
        <v>131.55331141380552</v>
      </c>
    </row>
    <row r="39" spans="1:13" x14ac:dyDescent="0.3">
      <c r="A39" t="s">
        <v>516</v>
      </c>
      <c r="B39" s="1">
        <v>46054</v>
      </c>
      <c r="C39" t="str">
        <f t="shared" si="5"/>
        <v>02</v>
      </c>
      <c r="D39">
        <f t="shared" si="6"/>
        <v>2026</v>
      </c>
      <c r="E39" t="s">
        <v>164</v>
      </c>
      <c r="F39" t="s">
        <v>14</v>
      </c>
      <c r="G39" t="s">
        <v>642</v>
      </c>
      <c r="H39">
        <v>0</v>
      </c>
      <c r="I39">
        <v>0</v>
      </c>
      <c r="J39" s="1">
        <f t="shared" si="7"/>
        <v>46054</v>
      </c>
      <c r="K39" t="str">
        <f t="shared" si="8"/>
        <v>fev/26</v>
      </c>
      <c r="L39" t="str">
        <f t="shared" si="9"/>
        <v>dom</v>
      </c>
      <c r="M39">
        <f>SUMIFS(BASE_FIXA_TEND!AN:AN,BASE_FIXA_TEND!$A:$A,$A39,BASE_FIXA_TEND!$B:$B,$E39,BASE_FIXA_TEND!$D:$D,$F39)</f>
        <v>1291.8085955847484</v>
      </c>
    </row>
    <row r="40" spans="1:13" x14ac:dyDescent="0.3">
      <c r="A40" t="s">
        <v>573</v>
      </c>
      <c r="B40" s="1">
        <v>46054</v>
      </c>
      <c r="C40" t="str">
        <f t="shared" si="5"/>
        <v>02</v>
      </c>
      <c r="D40">
        <f t="shared" si="6"/>
        <v>2026</v>
      </c>
      <c r="E40" t="s">
        <v>164</v>
      </c>
      <c r="F40" t="s">
        <v>14</v>
      </c>
      <c r="G40" t="s">
        <v>642</v>
      </c>
      <c r="H40">
        <v>0</v>
      </c>
      <c r="I40">
        <v>0</v>
      </c>
      <c r="J40" s="1">
        <f t="shared" si="7"/>
        <v>46054</v>
      </c>
      <c r="K40" t="str">
        <f t="shared" si="8"/>
        <v>fev/26</v>
      </c>
      <c r="L40" t="str">
        <f t="shared" si="9"/>
        <v>dom</v>
      </c>
      <c r="M40">
        <f>SUMIFS(BASE_FIXA_TEND!AN:AN,BASE_FIXA_TEND!$A:$A,$A40,BASE_FIXA_TEND!$B:$B,$E40,BASE_FIXA_TEND!$D:$D,$F40)</f>
        <v>172.158759981207</v>
      </c>
    </row>
    <row r="41" spans="1:13" x14ac:dyDescent="0.3">
      <c r="A41" t="s">
        <v>605</v>
      </c>
      <c r="B41" s="1">
        <v>46054</v>
      </c>
      <c r="C41" t="str">
        <f t="shared" si="5"/>
        <v>02</v>
      </c>
      <c r="D41">
        <f t="shared" si="6"/>
        <v>2026</v>
      </c>
      <c r="E41" t="s">
        <v>164</v>
      </c>
      <c r="F41" t="s">
        <v>14</v>
      </c>
      <c r="G41" t="s">
        <v>642</v>
      </c>
      <c r="H41">
        <v>0</v>
      </c>
      <c r="I41">
        <v>0</v>
      </c>
      <c r="J41" s="1">
        <f t="shared" si="7"/>
        <v>46054</v>
      </c>
      <c r="K41" t="str">
        <f t="shared" si="8"/>
        <v>fev/26</v>
      </c>
      <c r="L41" t="str">
        <f t="shared" si="9"/>
        <v>dom</v>
      </c>
      <c r="M41">
        <f>SUMIFS(BASE_FIXA_TEND!AN:AN,BASE_FIXA_TEND!$A:$A,$A41,BASE_FIXA_TEND!$B:$B,$E41,BASE_FIXA_TEND!$D:$D,$F41)</f>
        <v>75.342414279002497</v>
      </c>
    </row>
    <row r="42" spans="1:13" x14ac:dyDescent="0.3">
      <c r="A42" t="s">
        <v>8</v>
      </c>
      <c r="B42" s="1">
        <v>46054</v>
      </c>
      <c r="C42" t="str">
        <f t="shared" si="5"/>
        <v>02</v>
      </c>
      <c r="D42">
        <f t="shared" si="6"/>
        <v>2026</v>
      </c>
      <c r="E42" t="s">
        <v>643</v>
      </c>
      <c r="F42" t="s">
        <v>11</v>
      </c>
      <c r="G42" t="s">
        <v>642</v>
      </c>
      <c r="H42">
        <v>0</v>
      </c>
      <c r="I42">
        <v>0</v>
      </c>
      <c r="J42" s="1">
        <f t="shared" si="7"/>
        <v>46054</v>
      </c>
      <c r="K42" t="str">
        <f t="shared" si="8"/>
        <v>fev/26</v>
      </c>
      <c r="L42" t="str">
        <f t="shared" si="9"/>
        <v>dom</v>
      </c>
      <c r="M42">
        <f>SUMIFS(BASE_FIXA_TEND!AN:AN,BASE_FIXA_TEND!$A:$A,$A42,BASE_FIXA_TEND!$B:$B,$E42,BASE_FIXA_TEND!$D:$D,$F42)</f>
        <v>183.9917155678265</v>
      </c>
    </row>
    <row r="43" spans="1:13" x14ac:dyDescent="0.3">
      <c r="A43" t="s">
        <v>173</v>
      </c>
      <c r="B43" s="1">
        <v>46054</v>
      </c>
      <c r="C43" t="str">
        <f t="shared" si="5"/>
        <v>02</v>
      </c>
      <c r="D43">
        <f t="shared" si="6"/>
        <v>2026</v>
      </c>
      <c r="E43" t="s">
        <v>643</v>
      </c>
      <c r="F43" t="s">
        <v>11</v>
      </c>
      <c r="G43" t="s">
        <v>642</v>
      </c>
      <c r="H43">
        <v>0</v>
      </c>
      <c r="I43">
        <v>0</v>
      </c>
      <c r="J43" s="1">
        <f t="shared" si="7"/>
        <v>46054</v>
      </c>
      <c r="K43" t="str">
        <f t="shared" si="8"/>
        <v>fev/26</v>
      </c>
      <c r="L43" t="str">
        <f t="shared" si="9"/>
        <v>dom</v>
      </c>
      <c r="M43">
        <f>SUMIFS(BASE_FIXA_TEND!AN:AN,BASE_FIXA_TEND!$A:$A,$A43,BASE_FIXA_TEND!$B:$B,$E43,BASE_FIXA_TEND!$D:$D,$F43)</f>
        <v>148.31204694511345</v>
      </c>
    </row>
    <row r="44" spans="1:13" x14ac:dyDescent="0.3">
      <c r="A44" t="s">
        <v>242</v>
      </c>
      <c r="B44" s="1">
        <v>46054</v>
      </c>
      <c r="C44" t="str">
        <f t="shared" si="5"/>
        <v>02</v>
      </c>
      <c r="D44">
        <f t="shared" si="6"/>
        <v>2026</v>
      </c>
      <c r="E44" t="s">
        <v>643</v>
      </c>
      <c r="F44" t="s">
        <v>11</v>
      </c>
      <c r="G44" t="s">
        <v>642</v>
      </c>
      <c r="H44">
        <v>0</v>
      </c>
      <c r="I44">
        <v>0</v>
      </c>
      <c r="J44" s="1">
        <f t="shared" si="7"/>
        <v>46054</v>
      </c>
      <c r="K44" t="str">
        <f t="shared" si="8"/>
        <v>fev/26</v>
      </c>
      <c r="L44" t="str">
        <f t="shared" si="9"/>
        <v>dom</v>
      </c>
      <c r="M44">
        <f>SUMIFS(BASE_FIXA_TEND!AN:AN,BASE_FIXA_TEND!$A:$A,$A44,BASE_FIXA_TEND!$B:$B,$E44,BASE_FIXA_TEND!$D:$D,$F44)</f>
        <v>132.23403520883511</v>
      </c>
    </row>
    <row r="45" spans="1:13" x14ac:dyDescent="0.3">
      <c r="A45" t="s">
        <v>286</v>
      </c>
      <c r="B45" s="1">
        <v>46054</v>
      </c>
      <c r="C45" t="str">
        <f t="shared" si="5"/>
        <v>02</v>
      </c>
      <c r="D45">
        <f t="shared" si="6"/>
        <v>2026</v>
      </c>
      <c r="E45" t="s">
        <v>643</v>
      </c>
      <c r="F45" t="s">
        <v>11</v>
      </c>
      <c r="G45" t="s">
        <v>642</v>
      </c>
      <c r="H45">
        <v>0</v>
      </c>
      <c r="I45">
        <v>0</v>
      </c>
      <c r="J45" s="1">
        <f t="shared" si="7"/>
        <v>46054</v>
      </c>
      <c r="K45" t="str">
        <f t="shared" si="8"/>
        <v>fev/26</v>
      </c>
      <c r="L45" t="str">
        <f t="shared" si="9"/>
        <v>dom</v>
      </c>
      <c r="M45">
        <f>SUMIFS(BASE_FIXA_TEND!AN:AN,BASE_FIXA_TEND!$A:$A,$A45,BASE_FIXA_TEND!$B:$B,$E45,BASE_FIXA_TEND!$D:$D,$F45)</f>
        <v>161.67138419053958</v>
      </c>
    </row>
    <row r="46" spans="1:13" x14ac:dyDescent="0.3">
      <c r="A46" t="s">
        <v>339</v>
      </c>
      <c r="B46" s="1">
        <v>46054</v>
      </c>
      <c r="C46" t="str">
        <f t="shared" si="5"/>
        <v>02</v>
      </c>
      <c r="D46">
        <f t="shared" si="6"/>
        <v>2026</v>
      </c>
      <c r="E46" t="s">
        <v>643</v>
      </c>
      <c r="F46" t="s">
        <v>11</v>
      </c>
      <c r="G46" t="s">
        <v>642</v>
      </c>
      <c r="H46">
        <v>0</v>
      </c>
      <c r="I46">
        <v>0</v>
      </c>
      <c r="J46" s="1">
        <f t="shared" si="7"/>
        <v>46054</v>
      </c>
      <c r="K46" t="str">
        <f t="shared" si="8"/>
        <v>fev/26</v>
      </c>
      <c r="L46" t="str">
        <f t="shared" si="9"/>
        <v>dom</v>
      </c>
      <c r="M46">
        <f>SUMIFS(BASE_FIXA_TEND!AN:AN,BASE_FIXA_TEND!$A:$A,$A46,BASE_FIXA_TEND!$B:$B,$E46,BASE_FIXA_TEND!$D:$D,$F46)</f>
        <v>87.476354849843673</v>
      </c>
    </row>
    <row r="47" spans="1:13" x14ac:dyDescent="0.3">
      <c r="A47" t="s">
        <v>380</v>
      </c>
      <c r="B47" s="1">
        <v>46054</v>
      </c>
      <c r="C47" t="str">
        <f t="shared" si="5"/>
        <v>02</v>
      </c>
      <c r="D47">
        <f t="shared" si="6"/>
        <v>2026</v>
      </c>
      <c r="E47" t="s">
        <v>643</v>
      </c>
      <c r="F47" t="s">
        <v>11</v>
      </c>
      <c r="G47" t="s">
        <v>642</v>
      </c>
      <c r="H47">
        <v>0</v>
      </c>
      <c r="I47">
        <v>0</v>
      </c>
      <c r="J47" s="1">
        <f t="shared" si="7"/>
        <v>46054</v>
      </c>
      <c r="K47" t="str">
        <f t="shared" si="8"/>
        <v>fev/26</v>
      </c>
      <c r="L47" t="str">
        <f t="shared" si="9"/>
        <v>dom</v>
      </c>
      <c r="M47">
        <f>SUMIFS(BASE_FIXA_TEND!AN:AN,BASE_FIXA_TEND!$A:$A,$A47,BASE_FIXA_TEND!$B:$B,$E47,BASE_FIXA_TEND!$D:$D,$F47)</f>
        <v>162.59337245426121</v>
      </c>
    </row>
    <row r="48" spans="1:13" x14ac:dyDescent="0.3">
      <c r="A48" t="s">
        <v>446</v>
      </c>
      <c r="B48" s="1">
        <v>46054</v>
      </c>
      <c r="C48" t="str">
        <f t="shared" si="5"/>
        <v>02</v>
      </c>
      <c r="D48">
        <f t="shared" si="6"/>
        <v>2026</v>
      </c>
      <c r="E48" t="s">
        <v>643</v>
      </c>
      <c r="F48" t="s">
        <v>11</v>
      </c>
      <c r="G48" t="s">
        <v>642</v>
      </c>
      <c r="H48">
        <v>0</v>
      </c>
      <c r="I48">
        <v>0</v>
      </c>
      <c r="J48" s="1">
        <f t="shared" si="7"/>
        <v>46054</v>
      </c>
      <c r="K48" t="str">
        <f t="shared" si="8"/>
        <v>fev/26</v>
      </c>
      <c r="L48" t="str">
        <f t="shared" si="9"/>
        <v>dom</v>
      </c>
      <c r="M48">
        <f>SUMIFS(BASE_FIXA_TEND!AN:AN,BASE_FIXA_TEND!$A:$A,$A48,BASE_FIXA_TEND!$B:$B,$E48,BASE_FIXA_TEND!$D:$D,$F48)</f>
        <v>48.078011736278363</v>
      </c>
    </row>
    <row r="49" spans="1:13" x14ac:dyDescent="0.3">
      <c r="A49" t="s">
        <v>516</v>
      </c>
      <c r="B49" s="1">
        <v>46054</v>
      </c>
      <c r="C49" t="str">
        <f t="shared" si="5"/>
        <v>02</v>
      </c>
      <c r="D49">
        <f t="shared" si="6"/>
        <v>2026</v>
      </c>
      <c r="E49" t="s">
        <v>643</v>
      </c>
      <c r="F49" t="s">
        <v>11</v>
      </c>
      <c r="G49" t="s">
        <v>642</v>
      </c>
      <c r="H49">
        <v>0</v>
      </c>
      <c r="I49">
        <v>0</v>
      </c>
      <c r="J49" s="1">
        <f t="shared" si="7"/>
        <v>46054</v>
      </c>
      <c r="K49" t="str">
        <f t="shared" si="8"/>
        <v>fev/26</v>
      </c>
      <c r="L49" t="str">
        <f t="shared" si="9"/>
        <v>dom</v>
      </c>
      <c r="M49">
        <f>SUMIFS(BASE_FIXA_TEND!AN:AN,BASE_FIXA_TEND!$A:$A,$A49,BASE_FIXA_TEND!$B:$B,$E49,BASE_FIXA_TEND!$D:$D,$F49)</f>
        <v>323.90541939937458</v>
      </c>
    </row>
    <row r="50" spans="1:13" x14ac:dyDescent="0.3">
      <c r="A50" t="s">
        <v>573</v>
      </c>
      <c r="B50" s="1">
        <v>46054</v>
      </c>
      <c r="C50" t="str">
        <f t="shared" si="5"/>
        <v>02</v>
      </c>
      <c r="D50">
        <f t="shared" si="6"/>
        <v>2026</v>
      </c>
      <c r="E50" t="s">
        <v>643</v>
      </c>
      <c r="F50" t="s">
        <v>11</v>
      </c>
      <c r="G50" t="s">
        <v>642</v>
      </c>
      <c r="H50">
        <v>0</v>
      </c>
      <c r="I50">
        <v>0</v>
      </c>
      <c r="J50" s="1">
        <f t="shared" si="7"/>
        <v>46054</v>
      </c>
      <c r="K50" t="str">
        <f t="shared" si="8"/>
        <v>fev/26</v>
      </c>
      <c r="L50" t="str">
        <f t="shared" si="9"/>
        <v>dom</v>
      </c>
      <c r="M50">
        <f>SUMIFS(BASE_FIXA_TEND!AN:AN,BASE_FIXA_TEND!$A:$A,$A50,BASE_FIXA_TEND!$B:$B,$E50,BASE_FIXA_TEND!$D:$D,$F50)</f>
        <v>90.83569209526982</v>
      </c>
    </row>
    <row r="51" spans="1:13" x14ac:dyDescent="0.3">
      <c r="A51" t="s">
        <v>605</v>
      </c>
      <c r="B51" s="1">
        <v>46054</v>
      </c>
      <c r="C51" t="str">
        <f t="shared" si="5"/>
        <v>02</v>
      </c>
      <c r="D51">
        <f t="shared" si="6"/>
        <v>2026</v>
      </c>
      <c r="E51" t="s">
        <v>643</v>
      </c>
      <c r="F51" t="s">
        <v>11</v>
      </c>
      <c r="G51" t="s">
        <v>642</v>
      </c>
      <c r="H51">
        <v>0</v>
      </c>
      <c r="I51">
        <v>0</v>
      </c>
      <c r="J51" s="1">
        <f t="shared" si="7"/>
        <v>46054</v>
      </c>
      <c r="K51" t="str">
        <f t="shared" si="8"/>
        <v>fev/26</v>
      </c>
      <c r="L51" t="str">
        <f t="shared" si="9"/>
        <v>dom</v>
      </c>
      <c r="M51">
        <f>SUMIFS(BASE_FIXA_TEND!AN:AN,BASE_FIXA_TEND!$A:$A,$A51,BASE_FIXA_TEND!$B:$B,$E51,BASE_FIXA_TEND!$D:$D,$F51)</f>
        <v>42.437348981704488</v>
      </c>
    </row>
    <row r="52" spans="1:13" x14ac:dyDescent="0.3">
      <c r="A52" t="s">
        <v>8</v>
      </c>
      <c r="B52" s="1">
        <v>46054</v>
      </c>
      <c r="C52" t="str">
        <f t="shared" si="5"/>
        <v>02</v>
      </c>
      <c r="D52">
        <f t="shared" si="6"/>
        <v>2026</v>
      </c>
      <c r="E52" t="s">
        <v>643</v>
      </c>
      <c r="F52" t="s">
        <v>14</v>
      </c>
      <c r="G52" t="s">
        <v>642</v>
      </c>
      <c r="H52">
        <v>0</v>
      </c>
      <c r="I52">
        <v>0</v>
      </c>
      <c r="J52" s="1">
        <f t="shared" si="7"/>
        <v>46054</v>
      </c>
      <c r="K52" t="str">
        <f t="shared" si="8"/>
        <v>fev/26</v>
      </c>
      <c r="L52" t="str">
        <f t="shared" si="9"/>
        <v>dom</v>
      </c>
      <c r="M52">
        <f>SUMIFS(BASE_FIXA_TEND!AN:AN,BASE_FIXA_TEND!$A:$A,$A52,BASE_FIXA_TEND!$B:$B,$E52,BASE_FIXA_TEND!$D:$D,$F52)</f>
        <v>285.63269140440894</v>
      </c>
    </row>
    <row r="53" spans="1:13" x14ac:dyDescent="0.3">
      <c r="A53" t="s">
        <v>173</v>
      </c>
      <c r="B53" s="1">
        <v>46054</v>
      </c>
      <c r="C53" t="str">
        <f t="shared" si="5"/>
        <v>02</v>
      </c>
      <c r="D53">
        <f t="shared" si="6"/>
        <v>2026</v>
      </c>
      <c r="E53" t="s">
        <v>643</v>
      </c>
      <c r="F53" t="s">
        <v>14</v>
      </c>
      <c r="G53" t="s">
        <v>642</v>
      </c>
      <c r="H53">
        <v>0</v>
      </c>
      <c r="I53">
        <v>0</v>
      </c>
      <c r="J53" s="1">
        <f t="shared" si="7"/>
        <v>46054</v>
      </c>
      <c r="K53" t="str">
        <f t="shared" si="8"/>
        <v>fev/26</v>
      </c>
      <c r="L53" t="str">
        <f t="shared" si="9"/>
        <v>dom</v>
      </c>
      <c r="M53">
        <f>SUMIFS(BASE_FIXA_TEND!AN:AN,BASE_FIXA_TEND!$A:$A,$A53,BASE_FIXA_TEND!$B:$B,$E53,BASE_FIXA_TEND!$D:$D,$F53)</f>
        <v>217.42179426960598</v>
      </c>
    </row>
    <row r="54" spans="1:13" x14ac:dyDescent="0.3">
      <c r="A54" t="s">
        <v>242</v>
      </c>
      <c r="B54" s="1">
        <v>46054</v>
      </c>
      <c r="C54" t="str">
        <f t="shared" si="5"/>
        <v>02</v>
      </c>
      <c r="D54">
        <f t="shared" si="6"/>
        <v>2026</v>
      </c>
      <c r="E54" t="s">
        <v>643</v>
      </c>
      <c r="F54" t="s">
        <v>14</v>
      </c>
      <c r="G54" t="s">
        <v>642</v>
      </c>
      <c r="H54">
        <v>0</v>
      </c>
      <c r="I54">
        <v>0</v>
      </c>
      <c r="J54" s="1">
        <f t="shared" si="7"/>
        <v>46054</v>
      </c>
      <c r="K54" t="str">
        <f t="shared" si="8"/>
        <v>fev/26</v>
      </c>
      <c r="L54" t="str">
        <f t="shared" si="9"/>
        <v>dom</v>
      </c>
      <c r="M54">
        <f>SUMIFS(BASE_FIXA_TEND!AN:AN,BASE_FIXA_TEND!$A:$A,$A54,BASE_FIXA_TEND!$B:$B,$E54,BASE_FIXA_TEND!$D:$D,$F54)</f>
        <v>189.55331141380546</v>
      </c>
    </row>
    <row r="55" spans="1:13" x14ac:dyDescent="0.3">
      <c r="A55" t="s">
        <v>286</v>
      </c>
      <c r="B55" s="1">
        <v>46054</v>
      </c>
      <c r="C55" t="str">
        <f t="shared" si="5"/>
        <v>02</v>
      </c>
      <c r="D55">
        <f t="shared" si="6"/>
        <v>2026</v>
      </c>
      <c r="E55" t="s">
        <v>643</v>
      </c>
      <c r="F55" t="s">
        <v>14</v>
      </c>
      <c r="G55" t="s">
        <v>642</v>
      </c>
      <c r="H55">
        <v>0</v>
      </c>
      <c r="I55">
        <v>0</v>
      </c>
      <c r="J55" s="1">
        <f t="shared" si="7"/>
        <v>46054</v>
      </c>
      <c r="K55" t="str">
        <f t="shared" si="8"/>
        <v>fev/26</v>
      </c>
      <c r="L55" t="str">
        <f t="shared" si="9"/>
        <v>dom</v>
      </c>
      <c r="M55">
        <f>SUMIFS(BASE_FIXA_TEND!AN:AN,BASE_FIXA_TEND!$A:$A,$A55,BASE_FIXA_TEND!$B:$B,$E55,BASE_FIXA_TEND!$D:$D,$F55)</f>
        <v>260.23813997181048</v>
      </c>
    </row>
    <row r="56" spans="1:13" x14ac:dyDescent="0.3">
      <c r="A56" t="s">
        <v>339</v>
      </c>
      <c r="B56" s="1">
        <v>46054</v>
      </c>
      <c r="C56" t="str">
        <f t="shared" si="5"/>
        <v>02</v>
      </c>
      <c r="D56">
        <f t="shared" si="6"/>
        <v>2026</v>
      </c>
      <c r="E56" t="s">
        <v>643</v>
      </c>
      <c r="F56" t="s">
        <v>14</v>
      </c>
      <c r="G56" t="s">
        <v>642</v>
      </c>
      <c r="H56">
        <v>0</v>
      </c>
      <c r="I56">
        <v>0</v>
      </c>
      <c r="J56" s="1">
        <f t="shared" si="7"/>
        <v>46054</v>
      </c>
      <c r="K56" t="str">
        <f t="shared" si="8"/>
        <v>fev/26</v>
      </c>
      <c r="L56" t="str">
        <f t="shared" si="9"/>
        <v>dom</v>
      </c>
      <c r="M56">
        <f>SUMIFS(BASE_FIXA_TEND!AN:AN,BASE_FIXA_TEND!$A:$A,$A56,BASE_FIXA_TEND!$B:$B,$E56,BASE_FIXA_TEND!$D:$D,$F56)</f>
        <v>152.89572569280801</v>
      </c>
    </row>
    <row r="57" spans="1:13" x14ac:dyDescent="0.3">
      <c r="A57" t="s">
        <v>380</v>
      </c>
      <c r="B57" s="1">
        <v>46054</v>
      </c>
      <c r="C57" t="str">
        <f t="shared" si="5"/>
        <v>02</v>
      </c>
      <c r="D57">
        <f t="shared" si="6"/>
        <v>2026</v>
      </c>
      <c r="E57" t="s">
        <v>643</v>
      </c>
      <c r="F57" t="s">
        <v>14</v>
      </c>
      <c r="G57" t="s">
        <v>642</v>
      </c>
      <c r="H57">
        <v>0</v>
      </c>
      <c r="I57">
        <v>0</v>
      </c>
      <c r="J57" s="1">
        <f t="shared" si="7"/>
        <v>46054</v>
      </c>
      <c r="K57" t="str">
        <f t="shared" si="8"/>
        <v>fev/26</v>
      </c>
      <c r="L57" t="str">
        <f t="shared" si="9"/>
        <v>dom</v>
      </c>
      <c r="M57">
        <f>SUMIFS(BASE_FIXA_TEND!AN:AN,BASE_FIXA_TEND!$A:$A,$A57,BASE_FIXA_TEND!$B:$B,$E57,BASE_FIXA_TEND!$D:$D,$F57)</f>
        <v>240.89572569280796</v>
      </c>
    </row>
    <row r="58" spans="1:13" x14ac:dyDescent="0.3">
      <c r="A58" t="s">
        <v>446</v>
      </c>
      <c r="B58" s="1">
        <v>46054</v>
      </c>
      <c r="C58" t="str">
        <f t="shared" si="5"/>
        <v>02</v>
      </c>
      <c r="D58">
        <f t="shared" si="6"/>
        <v>2026</v>
      </c>
      <c r="E58" t="s">
        <v>643</v>
      </c>
      <c r="F58" t="s">
        <v>14</v>
      </c>
      <c r="G58" t="s">
        <v>642</v>
      </c>
      <c r="H58">
        <v>0</v>
      </c>
      <c r="I58">
        <v>0</v>
      </c>
      <c r="J58" s="1">
        <f t="shared" si="7"/>
        <v>46054</v>
      </c>
      <c r="K58" t="str">
        <f t="shared" si="8"/>
        <v>fev/26</v>
      </c>
      <c r="L58" t="str">
        <f t="shared" si="9"/>
        <v>dom</v>
      </c>
      <c r="M58">
        <f>SUMIFS(BASE_FIXA_TEND!AN:AN,BASE_FIXA_TEND!$A:$A,$A58,BASE_FIXA_TEND!$B:$B,$E58,BASE_FIXA_TEND!$D:$D,$F58)</f>
        <v>76.342414279002497</v>
      </c>
    </row>
    <row r="59" spans="1:13" x14ac:dyDescent="0.3">
      <c r="A59" t="s">
        <v>516</v>
      </c>
      <c r="B59" s="1">
        <v>46054</v>
      </c>
      <c r="C59" t="str">
        <f t="shared" si="5"/>
        <v>02</v>
      </c>
      <c r="D59">
        <f t="shared" si="6"/>
        <v>2026</v>
      </c>
      <c r="E59" t="s">
        <v>643</v>
      </c>
      <c r="F59" t="s">
        <v>14</v>
      </c>
      <c r="G59" t="s">
        <v>642</v>
      </c>
      <c r="H59">
        <v>0</v>
      </c>
      <c r="I59">
        <v>0</v>
      </c>
      <c r="J59" s="1">
        <f t="shared" si="7"/>
        <v>46054</v>
      </c>
      <c r="K59" t="str">
        <f t="shared" si="8"/>
        <v>fev/26</v>
      </c>
      <c r="L59" t="str">
        <f t="shared" si="9"/>
        <v>dom</v>
      </c>
      <c r="M59">
        <f>SUMIFS(BASE_FIXA_TEND!AN:AN,BASE_FIXA_TEND!$A:$A,$A59,BASE_FIXA_TEND!$B:$B,$E59,BASE_FIXA_TEND!$D:$D,$F59)</f>
        <v>445.44903710661345</v>
      </c>
    </row>
    <row r="60" spans="1:13" x14ac:dyDescent="0.3">
      <c r="A60" t="s">
        <v>573</v>
      </c>
      <c r="B60" s="1">
        <v>46054</v>
      </c>
      <c r="C60" t="str">
        <f t="shared" si="5"/>
        <v>02</v>
      </c>
      <c r="D60">
        <f t="shared" si="6"/>
        <v>2026</v>
      </c>
      <c r="E60" t="s">
        <v>643</v>
      </c>
      <c r="F60" t="s">
        <v>14</v>
      </c>
      <c r="G60" t="s">
        <v>642</v>
      </c>
      <c r="H60">
        <v>0</v>
      </c>
      <c r="I60">
        <v>0</v>
      </c>
      <c r="J60" s="1">
        <f t="shared" si="7"/>
        <v>46054</v>
      </c>
      <c r="K60" t="str">
        <f t="shared" si="8"/>
        <v>fev/26</v>
      </c>
      <c r="L60" t="str">
        <f t="shared" si="9"/>
        <v>dom</v>
      </c>
      <c r="M60">
        <f>SUMIFS(BASE_FIXA_TEND!AN:AN,BASE_FIXA_TEND!$A:$A,$A60,BASE_FIXA_TEND!$B:$B,$E60,BASE_FIXA_TEND!$D:$D,$F60)</f>
        <v>135.98755284170574</v>
      </c>
    </row>
    <row r="61" spans="1:13" x14ac:dyDescent="0.3">
      <c r="A61" t="s">
        <v>605</v>
      </c>
      <c r="B61" s="1">
        <v>46054</v>
      </c>
      <c r="C61" t="str">
        <f t="shared" si="5"/>
        <v>02</v>
      </c>
      <c r="D61">
        <f t="shared" si="6"/>
        <v>2026</v>
      </c>
      <c r="E61" t="s">
        <v>643</v>
      </c>
      <c r="F61" t="s">
        <v>14</v>
      </c>
      <c r="G61" t="s">
        <v>642</v>
      </c>
      <c r="H61">
        <v>0</v>
      </c>
      <c r="I61">
        <v>0</v>
      </c>
      <c r="J61" s="1">
        <f t="shared" si="7"/>
        <v>46054</v>
      </c>
      <c r="K61" t="str">
        <f t="shared" si="8"/>
        <v>fev/26</v>
      </c>
      <c r="L61" t="str">
        <f t="shared" si="9"/>
        <v>dom</v>
      </c>
      <c r="M61">
        <f>SUMIFS(BASE_FIXA_TEND!AN:AN,BASE_FIXA_TEND!$A:$A,$A61,BASE_FIXA_TEND!$B:$B,$E61,BASE_FIXA_TEND!$D:$D,$F61)</f>
        <v>57.605448567401496</v>
      </c>
    </row>
    <row r="62" spans="1:13" x14ac:dyDescent="0.3">
      <c r="A62" t="s">
        <v>8</v>
      </c>
      <c r="B62" s="1">
        <v>46054</v>
      </c>
      <c r="C62" t="str">
        <f t="shared" si="5"/>
        <v>02</v>
      </c>
      <c r="D62">
        <f t="shared" si="6"/>
        <v>2026</v>
      </c>
      <c r="E62" t="s">
        <v>54</v>
      </c>
      <c r="F62" t="s">
        <v>11</v>
      </c>
      <c r="G62" t="s">
        <v>642</v>
      </c>
      <c r="H62">
        <v>0</v>
      </c>
      <c r="I62">
        <v>0</v>
      </c>
      <c r="J62" s="1">
        <f t="shared" si="7"/>
        <v>46054</v>
      </c>
      <c r="K62" t="str">
        <f t="shared" si="8"/>
        <v>fev/26</v>
      </c>
      <c r="L62" t="str">
        <f t="shared" si="9"/>
        <v>dom</v>
      </c>
      <c r="M62">
        <f>SUMIFS(BASE_FIXA_TEND!AN:AN,BASE_FIXA_TEND!$A:$A,$A62,BASE_FIXA_TEND!$B:$B,$E62,BASE_FIXA_TEND!$D:$D,$F62)</f>
        <v>298.46807041767016</v>
      </c>
    </row>
    <row r="63" spans="1:13" x14ac:dyDescent="0.3">
      <c r="A63" t="s">
        <v>173</v>
      </c>
      <c r="B63" s="1">
        <v>46054</v>
      </c>
      <c r="C63" t="str">
        <f t="shared" si="5"/>
        <v>02</v>
      </c>
      <c r="D63">
        <f t="shared" si="6"/>
        <v>2026</v>
      </c>
      <c r="E63" t="s">
        <v>54</v>
      </c>
      <c r="F63" t="s">
        <v>11</v>
      </c>
      <c r="G63" t="s">
        <v>642</v>
      </c>
      <c r="H63">
        <v>0</v>
      </c>
      <c r="I63">
        <v>0</v>
      </c>
      <c r="J63" s="1">
        <f t="shared" si="7"/>
        <v>46054</v>
      </c>
      <c r="K63" t="str">
        <f t="shared" si="8"/>
        <v>fev/26</v>
      </c>
      <c r="L63" t="str">
        <f t="shared" si="9"/>
        <v>dom</v>
      </c>
      <c r="M63">
        <f>SUMIFS(BASE_FIXA_TEND!AN:AN,BASE_FIXA_TEND!$A:$A,$A63,BASE_FIXA_TEND!$B:$B,$E63,BASE_FIXA_TEND!$D:$D,$F63)</f>
        <v>293.58508802208769</v>
      </c>
    </row>
    <row r="64" spans="1:13" x14ac:dyDescent="0.3">
      <c r="A64" t="s">
        <v>242</v>
      </c>
      <c r="B64" s="1">
        <v>46054</v>
      </c>
      <c r="C64" t="str">
        <f t="shared" si="5"/>
        <v>02</v>
      </c>
      <c r="D64">
        <f t="shared" si="6"/>
        <v>2026</v>
      </c>
      <c r="E64" t="s">
        <v>54</v>
      </c>
      <c r="F64" t="s">
        <v>11</v>
      </c>
      <c r="G64" t="s">
        <v>642</v>
      </c>
      <c r="H64">
        <v>0</v>
      </c>
      <c r="I64">
        <v>0</v>
      </c>
      <c r="J64" s="1">
        <f t="shared" si="7"/>
        <v>46054</v>
      </c>
      <c r="K64" t="str">
        <f t="shared" si="8"/>
        <v>fev/26</v>
      </c>
      <c r="L64" t="str">
        <f t="shared" si="9"/>
        <v>dom</v>
      </c>
      <c r="M64">
        <f>SUMIFS(BASE_FIXA_TEND!AN:AN,BASE_FIXA_TEND!$A:$A,$A64,BASE_FIXA_TEND!$B:$B,$E64,BASE_FIXA_TEND!$D:$D,$F64)</f>
        <v>169.74939592681795</v>
      </c>
    </row>
    <row r="65" spans="1:13" x14ac:dyDescent="0.3">
      <c r="A65" t="s">
        <v>286</v>
      </c>
      <c r="B65" s="1">
        <v>46054</v>
      </c>
      <c r="C65" t="str">
        <f t="shared" si="5"/>
        <v>02</v>
      </c>
      <c r="D65">
        <f t="shared" si="6"/>
        <v>2026</v>
      </c>
      <c r="E65" t="s">
        <v>54</v>
      </c>
      <c r="F65" t="s">
        <v>11</v>
      </c>
      <c r="G65" t="s">
        <v>642</v>
      </c>
      <c r="H65">
        <v>0</v>
      </c>
      <c r="I65">
        <v>0</v>
      </c>
      <c r="J65" s="1">
        <f t="shared" si="7"/>
        <v>46054</v>
      </c>
      <c r="K65" t="str">
        <f t="shared" si="8"/>
        <v>fev/26</v>
      </c>
      <c r="L65" t="str">
        <f t="shared" si="9"/>
        <v>dom</v>
      </c>
      <c r="M65">
        <f>SUMIFS(BASE_FIXA_TEND!AN:AN,BASE_FIXA_TEND!$A:$A,$A65,BASE_FIXA_TEND!$B:$B,$E65,BASE_FIXA_TEND!$D:$D,$F65)</f>
        <v>211.0697273041049</v>
      </c>
    </row>
    <row r="66" spans="1:13" x14ac:dyDescent="0.3">
      <c r="A66" t="s">
        <v>339</v>
      </c>
      <c r="B66" s="1">
        <v>46054</v>
      </c>
      <c r="C66" t="str">
        <f t="shared" si="5"/>
        <v>02</v>
      </c>
      <c r="D66">
        <f t="shared" si="6"/>
        <v>2026</v>
      </c>
      <c r="E66" t="s">
        <v>54</v>
      </c>
      <c r="F66" t="s">
        <v>11</v>
      </c>
      <c r="G66" t="s">
        <v>642</v>
      </c>
      <c r="H66">
        <v>0</v>
      </c>
      <c r="I66">
        <v>0</v>
      </c>
      <c r="J66" s="1">
        <f t="shared" si="7"/>
        <v>46054</v>
      </c>
      <c r="K66" t="str">
        <f t="shared" si="8"/>
        <v>fev/26</v>
      </c>
      <c r="L66" t="str">
        <f t="shared" si="9"/>
        <v>dom</v>
      </c>
      <c r="M66">
        <f>SUMIFS(BASE_FIXA_TEND!AN:AN,BASE_FIXA_TEND!$A:$A,$A66,BASE_FIXA_TEND!$B:$B,$E66,BASE_FIXA_TEND!$D:$D,$F66)</f>
        <v>71.796686227130621</v>
      </c>
    </row>
    <row r="67" spans="1:13" x14ac:dyDescent="0.3">
      <c r="A67" t="s">
        <v>380</v>
      </c>
      <c r="B67" s="1">
        <v>46054</v>
      </c>
      <c r="C67" t="str">
        <f t="shared" si="5"/>
        <v>02</v>
      </c>
      <c r="D67">
        <f t="shared" si="6"/>
        <v>2026</v>
      </c>
      <c r="E67" t="s">
        <v>54</v>
      </c>
      <c r="F67" t="s">
        <v>11</v>
      </c>
      <c r="G67" t="s">
        <v>642</v>
      </c>
      <c r="H67">
        <v>0</v>
      </c>
      <c r="I67">
        <v>0</v>
      </c>
      <c r="J67" s="1">
        <f t="shared" si="7"/>
        <v>46054</v>
      </c>
      <c r="K67" t="str">
        <f t="shared" si="8"/>
        <v>fev/26</v>
      </c>
      <c r="L67" t="str">
        <f t="shared" si="9"/>
        <v>dom</v>
      </c>
      <c r="M67">
        <f>SUMIFS(BASE_FIXA_TEND!AN:AN,BASE_FIXA_TEND!$A:$A,$A67,BASE_FIXA_TEND!$B:$B,$E67,BASE_FIXA_TEND!$D:$D,$F67)</f>
        <v>195.78840179495711</v>
      </c>
    </row>
    <row r="68" spans="1:13" x14ac:dyDescent="0.3">
      <c r="A68" t="s">
        <v>446</v>
      </c>
      <c r="B68" s="1">
        <v>46054</v>
      </c>
      <c r="C68" t="str">
        <f t="shared" si="5"/>
        <v>02</v>
      </c>
      <c r="D68">
        <f t="shared" si="6"/>
        <v>2026</v>
      </c>
      <c r="E68" t="s">
        <v>54</v>
      </c>
      <c r="F68" t="s">
        <v>11</v>
      </c>
      <c r="G68" t="s">
        <v>642</v>
      </c>
      <c r="H68">
        <v>0</v>
      </c>
      <c r="I68">
        <v>0</v>
      </c>
      <c r="J68" s="1">
        <f t="shared" si="7"/>
        <v>46054</v>
      </c>
      <c r="K68" t="str">
        <f t="shared" si="8"/>
        <v>fev/26</v>
      </c>
      <c r="L68" t="str">
        <f t="shared" si="9"/>
        <v>dom</v>
      </c>
      <c r="M68">
        <f>SUMIFS(BASE_FIXA_TEND!AN:AN,BASE_FIXA_TEND!$A:$A,$A68,BASE_FIXA_TEND!$B:$B,$E68,BASE_FIXA_TEND!$D:$D,$F68)</f>
        <v>67.757680358991422</v>
      </c>
    </row>
    <row r="69" spans="1:13" x14ac:dyDescent="0.3">
      <c r="A69" t="s">
        <v>516</v>
      </c>
      <c r="B69" s="1">
        <v>46054</v>
      </c>
      <c r="C69" t="str">
        <f t="shared" si="5"/>
        <v>02</v>
      </c>
      <c r="D69">
        <f t="shared" si="6"/>
        <v>2026</v>
      </c>
      <c r="E69" t="s">
        <v>54</v>
      </c>
      <c r="F69" t="s">
        <v>11</v>
      </c>
      <c r="G69" t="s">
        <v>642</v>
      </c>
      <c r="H69">
        <v>0</v>
      </c>
      <c r="I69">
        <v>0</v>
      </c>
      <c r="J69" s="1">
        <f t="shared" si="7"/>
        <v>46054</v>
      </c>
      <c r="K69" t="str">
        <f t="shared" si="8"/>
        <v>fev/26</v>
      </c>
      <c r="L69" t="str">
        <f t="shared" si="9"/>
        <v>dom</v>
      </c>
      <c r="M69">
        <f>SUMIFS(BASE_FIXA_TEND!AN:AN,BASE_FIXA_TEND!$A:$A,$A69,BASE_FIXA_TEND!$B:$B,$E69,BASE_FIXA_TEND!$D:$D,$F69)</f>
        <v>950.11460131168928</v>
      </c>
    </row>
    <row r="70" spans="1:13" x14ac:dyDescent="0.3">
      <c r="A70" t="s">
        <v>573</v>
      </c>
      <c r="B70" s="1">
        <v>46054</v>
      </c>
      <c r="C70" t="str">
        <f t="shared" si="5"/>
        <v>02</v>
      </c>
      <c r="D70">
        <f t="shared" si="6"/>
        <v>2026</v>
      </c>
      <c r="E70" t="s">
        <v>54</v>
      </c>
      <c r="F70" t="s">
        <v>11</v>
      </c>
      <c r="G70" t="s">
        <v>642</v>
      </c>
      <c r="H70">
        <v>0</v>
      </c>
      <c r="I70">
        <v>0</v>
      </c>
      <c r="J70" s="1">
        <f t="shared" si="7"/>
        <v>46054</v>
      </c>
      <c r="K70" t="str">
        <f t="shared" si="8"/>
        <v>fev/26</v>
      </c>
      <c r="L70" t="str">
        <f t="shared" si="9"/>
        <v>dom</v>
      </c>
      <c r="M70">
        <f>SUMIFS(BASE_FIXA_TEND!AN:AN,BASE_FIXA_TEND!$A:$A,$A70,BASE_FIXA_TEND!$B:$B,$E70,BASE_FIXA_TEND!$D:$D,$F70)</f>
        <v>110.3983431135653</v>
      </c>
    </row>
    <row r="71" spans="1:13" x14ac:dyDescent="0.3">
      <c r="A71" t="s">
        <v>605</v>
      </c>
      <c r="B71" s="1">
        <v>46054</v>
      </c>
      <c r="C71" t="str">
        <f t="shared" si="5"/>
        <v>02</v>
      </c>
      <c r="D71">
        <f t="shared" si="6"/>
        <v>2026</v>
      </c>
      <c r="E71" t="s">
        <v>54</v>
      </c>
      <c r="F71" t="s">
        <v>11</v>
      </c>
      <c r="G71" t="s">
        <v>642</v>
      </c>
      <c r="H71">
        <v>0</v>
      </c>
      <c r="I71">
        <v>0</v>
      </c>
      <c r="J71" s="1">
        <f t="shared" si="7"/>
        <v>46054</v>
      </c>
      <c r="K71" t="str">
        <f t="shared" si="8"/>
        <v>fev/26</v>
      </c>
      <c r="L71" t="str">
        <f t="shared" si="9"/>
        <v>dom</v>
      </c>
      <c r="M71">
        <f>SUMIFS(BASE_FIXA_TEND!AN:AN,BASE_FIXA_TEND!$A:$A,$A71,BASE_FIXA_TEND!$B:$B,$E71,BASE_FIXA_TEND!$D:$D,$F71)</f>
        <v>34.757680358991422</v>
      </c>
    </row>
    <row r="72" spans="1:13" x14ac:dyDescent="0.3">
      <c r="A72" t="s">
        <v>8</v>
      </c>
      <c r="B72" s="1">
        <v>46054</v>
      </c>
      <c r="C72" t="str">
        <f t="shared" si="5"/>
        <v>02</v>
      </c>
      <c r="D72">
        <f t="shared" si="6"/>
        <v>2026</v>
      </c>
      <c r="E72" t="s">
        <v>54</v>
      </c>
      <c r="F72" t="s">
        <v>14</v>
      </c>
      <c r="G72" t="s">
        <v>642</v>
      </c>
      <c r="H72">
        <v>0</v>
      </c>
      <c r="I72">
        <v>0</v>
      </c>
      <c r="J72" s="1">
        <f t="shared" si="7"/>
        <v>46054</v>
      </c>
      <c r="K72" t="str">
        <f t="shared" si="8"/>
        <v>fev/26</v>
      </c>
      <c r="L72" t="str">
        <f t="shared" si="9"/>
        <v>dom</v>
      </c>
      <c r="M72">
        <f>SUMIFS(BASE_FIXA_TEND!AN:AN,BASE_FIXA_TEND!$A:$A,$A72,BASE_FIXA_TEND!$B:$B,$E72,BASE_FIXA_TEND!$D:$D,$F72)</f>
        <v>424.35720995771567</v>
      </c>
    </row>
    <row r="73" spans="1:13" x14ac:dyDescent="0.3">
      <c r="A73" t="s">
        <v>173</v>
      </c>
      <c r="B73" s="1">
        <v>46054</v>
      </c>
      <c r="C73" t="str">
        <f t="shared" si="5"/>
        <v>02</v>
      </c>
      <c r="D73">
        <f t="shared" si="6"/>
        <v>2026</v>
      </c>
      <c r="E73" t="s">
        <v>54</v>
      </c>
      <c r="F73" t="s">
        <v>14</v>
      </c>
      <c r="G73" t="s">
        <v>642</v>
      </c>
      <c r="H73">
        <v>0</v>
      </c>
      <c r="I73">
        <v>0</v>
      </c>
      <c r="J73" s="1">
        <f t="shared" si="7"/>
        <v>46054</v>
      </c>
      <c r="K73" t="str">
        <f t="shared" si="8"/>
        <v>fev/26</v>
      </c>
      <c r="L73" t="str">
        <f t="shared" si="9"/>
        <v>dom</v>
      </c>
      <c r="M73">
        <f>SUMIFS(BASE_FIXA_TEND!AN:AN,BASE_FIXA_TEND!$A:$A,$A73,BASE_FIXA_TEND!$B:$B,$E73,BASE_FIXA_TEND!$D:$D,$F73)</f>
        <v>386.92296852981542</v>
      </c>
    </row>
    <row r="74" spans="1:13" x14ac:dyDescent="0.3">
      <c r="A74" t="s">
        <v>242</v>
      </c>
      <c r="B74" s="1">
        <v>46054</v>
      </c>
      <c r="C74" t="str">
        <f t="shared" si="5"/>
        <v>02</v>
      </c>
      <c r="D74">
        <f t="shared" si="6"/>
        <v>2026</v>
      </c>
      <c r="E74" t="s">
        <v>54</v>
      </c>
      <c r="F74" t="s">
        <v>14</v>
      </c>
      <c r="G74" t="s">
        <v>642</v>
      </c>
      <c r="H74">
        <v>0</v>
      </c>
      <c r="I74">
        <v>0</v>
      </c>
      <c r="J74" s="1">
        <f t="shared" si="7"/>
        <v>46054</v>
      </c>
      <c r="K74" t="str">
        <f t="shared" si="8"/>
        <v>fev/26</v>
      </c>
      <c r="L74" t="str">
        <f t="shared" si="9"/>
        <v>dom</v>
      </c>
      <c r="M74">
        <f>SUMIFS(BASE_FIXA_TEND!AN:AN,BASE_FIXA_TEND!$A:$A,$A74,BASE_FIXA_TEND!$B:$B,$E74,BASE_FIXA_TEND!$D:$D,$F74)</f>
        <v>214.93541568810974</v>
      </c>
    </row>
    <row r="75" spans="1:13" x14ac:dyDescent="0.3">
      <c r="A75" t="s">
        <v>286</v>
      </c>
      <c r="B75" s="1">
        <v>46054</v>
      </c>
      <c r="C75" t="str">
        <f t="shared" si="5"/>
        <v>02</v>
      </c>
      <c r="D75">
        <f t="shared" si="6"/>
        <v>2026</v>
      </c>
      <c r="E75" t="s">
        <v>54</v>
      </c>
      <c r="F75" t="s">
        <v>14</v>
      </c>
      <c r="G75" t="s">
        <v>642</v>
      </c>
      <c r="H75">
        <v>0</v>
      </c>
      <c r="I75">
        <v>0</v>
      </c>
      <c r="J75" s="1">
        <f t="shared" si="7"/>
        <v>46054</v>
      </c>
      <c r="K75" t="str">
        <f t="shared" si="8"/>
        <v>fev/26</v>
      </c>
      <c r="L75" t="str">
        <f t="shared" si="9"/>
        <v>dom</v>
      </c>
      <c r="M75">
        <f>SUMIFS(BASE_FIXA_TEND!AN:AN,BASE_FIXA_TEND!$A:$A,$A75,BASE_FIXA_TEND!$B:$B,$E75,BASE_FIXA_TEND!$D:$D,$F75)</f>
        <v>268.89572569280801</v>
      </c>
    </row>
    <row r="76" spans="1:13" x14ac:dyDescent="0.3">
      <c r="A76" t="s">
        <v>339</v>
      </c>
      <c r="B76" s="1">
        <v>46054</v>
      </c>
      <c r="C76" t="str">
        <f t="shared" si="5"/>
        <v>02</v>
      </c>
      <c r="D76">
        <f t="shared" si="6"/>
        <v>2026</v>
      </c>
      <c r="E76" t="s">
        <v>54</v>
      </c>
      <c r="F76" t="s">
        <v>14</v>
      </c>
      <c r="G76" t="s">
        <v>642</v>
      </c>
      <c r="H76">
        <v>0</v>
      </c>
      <c r="I76">
        <v>0</v>
      </c>
      <c r="J76" s="1">
        <f t="shared" si="7"/>
        <v>46054</v>
      </c>
      <c r="K76" t="str">
        <f t="shared" si="8"/>
        <v>fev/26</v>
      </c>
      <c r="L76" t="str">
        <f t="shared" si="9"/>
        <v>dom</v>
      </c>
      <c r="M76">
        <f>SUMIFS(BASE_FIXA_TEND!AN:AN,BASE_FIXA_TEND!$A:$A,$A76,BASE_FIXA_TEND!$B:$B,$E76,BASE_FIXA_TEND!$D:$D,$F76)</f>
        <v>108.11906998590526</v>
      </c>
    </row>
    <row r="77" spans="1:13" x14ac:dyDescent="0.3">
      <c r="A77" t="s">
        <v>380</v>
      </c>
      <c r="B77" s="1">
        <v>46054</v>
      </c>
      <c r="C77" t="str">
        <f t="shared" si="5"/>
        <v>02</v>
      </c>
      <c r="D77">
        <f t="shared" si="6"/>
        <v>2026</v>
      </c>
      <c r="E77" t="s">
        <v>54</v>
      </c>
      <c r="F77" t="s">
        <v>14</v>
      </c>
      <c r="G77" t="s">
        <v>642</v>
      </c>
      <c r="H77">
        <v>0</v>
      </c>
      <c r="I77">
        <v>0</v>
      </c>
      <c r="J77" s="1">
        <f t="shared" si="7"/>
        <v>46054</v>
      </c>
      <c r="K77" t="str">
        <f t="shared" si="8"/>
        <v>fev/26</v>
      </c>
      <c r="L77" t="str">
        <f t="shared" si="9"/>
        <v>dom</v>
      </c>
      <c r="M77">
        <f>SUMIFS(BASE_FIXA_TEND!AN:AN,BASE_FIXA_TEND!$A:$A,$A77,BASE_FIXA_TEND!$B:$B,$E77,BASE_FIXA_TEND!$D:$D,$F77)</f>
        <v>269.93541568810974</v>
      </c>
    </row>
    <row r="78" spans="1:13" x14ac:dyDescent="0.3">
      <c r="A78" t="s">
        <v>446</v>
      </c>
      <c r="B78" s="1">
        <v>46054</v>
      </c>
      <c r="C78" t="str">
        <f t="shared" si="5"/>
        <v>02</v>
      </c>
      <c r="D78">
        <f t="shared" si="6"/>
        <v>2026</v>
      </c>
      <c r="E78" t="s">
        <v>54</v>
      </c>
      <c r="F78" t="s">
        <v>14</v>
      </c>
      <c r="G78" t="s">
        <v>642</v>
      </c>
      <c r="H78">
        <v>0</v>
      </c>
      <c r="I78">
        <v>0</v>
      </c>
      <c r="J78" s="1">
        <f t="shared" si="7"/>
        <v>46054</v>
      </c>
      <c r="K78" t="str">
        <f t="shared" si="8"/>
        <v>fev/26</v>
      </c>
      <c r="L78" t="str">
        <f t="shared" si="9"/>
        <v>dom</v>
      </c>
      <c r="M78">
        <f>SUMIFS(BASE_FIXA_TEND!AN:AN,BASE_FIXA_TEND!$A:$A,$A78,BASE_FIXA_TEND!$B:$B,$E78,BASE_FIXA_TEND!$D:$D,$F78)</f>
        <v>112.94786284640401</v>
      </c>
    </row>
    <row r="79" spans="1:13" x14ac:dyDescent="0.3">
      <c r="A79" t="s">
        <v>516</v>
      </c>
      <c r="B79" s="1">
        <v>46054</v>
      </c>
      <c r="C79" t="str">
        <f t="shared" si="5"/>
        <v>02</v>
      </c>
      <c r="D79">
        <f t="shared" si="6"/>
        <v>2026</v>
      </c>
      <c r="E79" t="s">
        <v>54</v>
      </c>
      <c r="F79" t="s">
        <v>14</v>
      </c>
      <c r="G79" t="s">
        <v>642</v>
      </c>
      <c r="H79">
        <v>0</v>
      </c>
      <c r="I79">
        <v>0</v>
      </c>
      <c r="J79" s="1">
        <f t="shared" si="7"/>
        <v>46054</v>
      </c>
      <c r="K79" t="str">
        <f t="shared" si="8"/>
        <v>fev/26</v>
      </c>
      <c r="L79" t="str">
        <f t="shared" si="9"/>
        <v>dom</v>
      </c>
      <c r="M79">
        <f>SUMIFS(BASE_FIXA_TEND!AN:AN,BASE_FIXA_TEND!$A:$A,$A79,BASE_FIXA_TEND!$B:$B,$E79,BASE_FIXA_TEND!$D:$D,$F79)</f>
        <v>1184.4264913104441</v>
      </c>
    </row>
    <row r="80" spans="1:13" x14ac:dyDescent="0.3">
      <c r="A80" t="s">
        <v>573</v>
      </c>
      <c r="B80" s="1">
        <v>46054</v>
      </c>
      <c r="C80" t="str">
        <f t="shared" si="5"/>
        <v>02</v>
      </c>
      <c r="D80">
        <f t="shared" si="6"/>
        <v>2026</v>
      </c>
      <c r="E80" t="s">
        <v>54</v>
      </c>
      <c r="F80" t="s">
        <v>14</v>
      </c>
      <c r="G80" t="s">
        <v>642</v>
      </c>
      <c r="H80">
        <v>0</v>
      </c>
      <c r="I80">
        <v>0</v>
      </c>
      <c r="J80" s="1">
        <f t="shared" si="7"/>
        <v>46054</v>
      </c>
      <c r="K80" t="str">
        <f t="shared" si="8"/>
        <v>fev/26</v>
      </c>
      <c r="L80" t="str">
        <f t="shared" si="9"/>
        <v>dom</v>
      </c>
      <c r="M80">
        <f>SUMIFS(BASE_FIXA_TEND!AN:AN,BASE_FIXA_TEND!$A:$A,$A80,BASE_FIXA_TEND!$B:$B,$E80,BASE_FIXA_TEND!$D:$D,$F80)</f>
        <v>170.94786284640398</v>
      </c>
    </row>
    <row r="81" spans="1:13" x14ac:dyDescent="0.3">
      <c r="A81" t="s">
        <v>605</v>
      </c>
      <c r="B81" s="1">
        <v>46054</v>
      </c>
      <c r="C81" t="str">
        <f t="shared" si="5"/>
        <v>02</v>
      </c>
      <c r="D81">
        <f t="shared" si="6"/>
        <v>2026</v>
      </c>
      <c r="E81" t="s">
        <v>54</v>
      </c>
      <c r="F81" t="s">
        <v>14</v>
      </c>
      <c r="G81" t="s">
        <v>642</v>
      </c>
      <c r="H81">
        <v>0</v>
      </c>
      <c r="I81">
        <v>0</v>
      </c>
      <c r="J81" s="1">
        <f t="shared" si="7"/>
        <v>46054</v>
      </c>
      <c r="K81" t="str">
        <f t="shared" si="8"/>
        <v>fev/26</v>
      </c>
      <c r="L81" t="str">
        <f t="shared" si="9"/>
        <v>dom</v>
      </c>
      <c r="M81">
        <f>SUMIFS(BASE_FIXA_TEND!AN:AN,BASE_FIXA_TEND!$A:$A,$A81,BASE_FIXA_TEND!$B:$B,$E81,BASE_FIXA_TEND!$D:$D,$F81)</f>
        <v>47.302724283700755</v>
      </c>
    </row>
    <row r="82" spans="1:13" x14ac:dyDescent="0.3">
      <c r="A82" t="s">
        <v>8</v>
      </c>
      <c r="B82" s="1">
        <v>46054</v>
      </c>
      <c r="C82" t="str">
        <f t="shared" si="5"/>
        <v>02</v>
      </c>
      <c r="D82">
        <f t="shared" si="6"/>
        <v>2026</v>
      </c>
      <c r="E82" t="s">
        <v>49</v>
      </c>
      <c r="F82" t="s">
        <v>11</v>
      </c>
      <c r="G82" t="s">
        <v>642</v>
      </c>
      <c r="H82">
        <v>0</v>
      </c>
      <c r="I82">
        <v>0</v>
      </c>
      <c r="J82" s="1">
        <f t="shared" si="7"/>
        <v>46054</v>
      </c>
      <c r="K82" t="str">
        <f t="shared" si="8"/>
        <v>fev/26</v>
      </c>
      <c r="L82" t="str">
        <f t="shared" si="9"/>
        <v>dom</v>
      </c>
      <c r="M82">
        <f>SUMIFS(BASE_FIXA_TEND!AN:AN,BASE_FIXA_TEND!$A:$A,$A82,BASE_FIXA_TEND!$B:$B,$E82,BASE_FIXA_TEND!$D:$D,$F82)</f>
        <v>15.679668622713061</v>
      </c>
    </row>
    <row r="83" spans="1:13" x14ac:dyDescent="0.3">
      <c r="A83" t="s">
        <v>173</v>
      </c>
      <c r="B83" s="1">
        <v>46054</v>
      </c>
      <c r="C83" t="str">
        <f t="shared" si="5"/>
        <v>02</v>
      </c>
      <c r="D83">
        <f t="shared" si="6"/>
        <v>2026</v>
      </c>
      <c r="E83" t="s">
        <v>49</v>
      </c>
      <c r="F83" t="s">
        <v>11</v>
      </c>
      <c r="G83" t="s">
        <v>642</v>
      </c>
      <c r="H83">
        <v>0</v>
      </c>
      <c r="I83">
        <v>0</v>
      </c>
      <c r="J83" s="1">
        <f t="shared" si="7"/>
        <v>46054</v>
      </c>
      <c r="K83" t="str">
        <f t="shared" si="8"/>
        <v>fev/26</v>
      </c>
      <c r="L83" t="str">
        <f t="shared" si="9"/>
        <v>dom</v>
      </c>
      <c r="M83">
        <f>SUMIFS(BASE_FIXA_TEND!AN:AN,BASE_FIXA_TEND!$A:$A,$A83,BASE_FIXA_TEND!$B:$B,$E83,BASE_FIXA_TEND!$D:$D,$F83)</f>
        <v>20.679668622713059</v>
      </c>
    </row>
    <row r="84" spans="1:13" x14ac:dyDescent="0.3">
      <c r="A84" t="s">
        <v>242</v>
      </c>
      <c r="B84" s="1">
        <v>46054</v>
      </c>
      <c r="C84" t="str">
        <f t="shared" si="5"/>
        <v>02</v>
      </c>
      <c r="D84">
        <f t="shared" si="6"/>
        <v>2026</v>
      </c>
      <c r="E84" t="s">
        <v>49</v>
      </c>
      <c r="F84" t="s">
        <v>11</v>
      </c>
      <c r="G84" t="s">
        <v>642</v>
      </c>
      <c r="H84">
        <v>0</v>
      </c>
      <c r="I84">
        <v>0</v>
      </c>
      <c r="J84" s="1">
        <f t="shared" si="7"/>
        <v>46054</v>
      </c>
      <c r="K84" t="str">
        <f t="shared" si="8"/>
        <v>fev/26</v>
      </c>
      <c r="L84" t="str">
        <f t="shared" si="9"/>
        <v>dom</v>
      </c>
      <c r="M84">
        <f>SUMIFS(BASE_FIXA_TEND!AN:AN,BASE_FIXA_TEND!$A:$A,$A84,BASE_FIXA_TEND!$B:$B,$E84,BASE_FIXA_TEND!$D:$D,$F84)</f>
        <v>15.718674490852242</v>
      </c>
    </row>
    <row r="85" spans="1:13" x14ac:dyDescent="0.3">
      <c r="A85" t="s">
        <v>286</v>
      </c>
      <c r="B85" s="1">
        <v>46054</v>
      </c>
      <c r="C85" t="str">
        <f t="shared" si="5"/>
        <v>02</v>
      </c>
      <c r="D85">
        <f t="shared" si="6"/>
        <v>2026</v>
      </c>
      <c r="E85" t="s">
        <v>49</v>
      </c>
      <c r="F85" t="s">
        <v>11</v>
      </c>
      <c r="G85" t="s">
        <v>642</v>
      </c>
      <c r="H85">
        <v>0</v>
      </c>
      <c r="I85">
        <v>0</v>
      </c>
      <c r="J85" s="1">
        <f t="shared" si="7"/>
        <v>46054</v>
      </c>
      <c r="K85" t="str">
        <f t="shared" si="8"/>
        <v>fev/26</v>
      </c>
      <c r="L85" t="str">
        <f t="shared" si="9"/>
        <v>dom</v>
      </c>
      <c r="M85">
        <f>SUMIFS(BASE_FIXA_TEND!AN:AN,BASE_FIXA_TEND!$A:$A,$A85,BASE_FIXA_TEND!$B:$B,$E85,BASE_FIXA_TEND!$D:$D,$F85)</f>
        <v>6</v>
      </c>
    </row>
    <row r="86" spans="1:13" x14ac:dyDescent="0.3">
      <c r="A86" t="s">
        <v>339</v>
      </c>
      <c r="B86" s="1">
        <v>46054</v>
      </c>
      <c r="C86" t="str">
        <f t="shared" si="5"/>
        <v>02</v>
      </c>
      <c r="D86">
        <f t="shared" si="6"/>
        <v>2026</v>
      </c>
      <c r="E86" t="s">
        <v>49</v>
      </c>
      <c r="F86" t="s">
        <v>11</v>
      </c>
      <c r="G86" t="s">
        <v>642</v>
      </c>
      <c r="H86">
        <v>0</v>
      </c>
      <c r="I86">
        <v>0</v>
      </c>
      <c r="J86" s="1">
        <f t="shared" si="7"/>
        <v>46054</v>
      </c>
      <c r="K86" t="str">
        <f t="shared" si="8"/>
        <v>fev/26</v>
      </c>
      <c r="L86" t="str">
        <f t="shared" si="9"/>
        <v>dom</v>
      </c>
      <c r="M86">
        <f>SUMIFS(BASE_FIXA_TEND!AN:AN,BASE_FIXA_TEND!$A:$A,$A86,BASE_FIXA_TEND!$B:$B,$E86,BASE_FIXA_TEND!$D:$D,$F86)</f>
        <v>4.6796686227130611</v>
      </c>
    </row>
    <row r="87" spans="1:13" x14ac:dyDescent="0.3">
      <c r="A87" t="s">
        <v>380</v>
      </c>
      <c r="B87" s="1">
        <v>46054</v>
      </c>
      <c r="C87" t="str">
        <f t="shared" ref="C87:C150" si="10">TEXT(B87,"MM")</f>
        <v>02</v>
      </c>
      <c r="D87">
        <f t="shared" ref="D87:D150" si="11">YEAR(B87)</f>
        <v>2026</v>
      </c>
      <c r="E87" t="s">
        <v>49</v>
      </c>
      <c r="F87" t="s">
        <v>11</v>
      </c>
      <c r="G87" t="s">
        <v>642</v>
      </c>
      <c r="H87">
        <v>0</v>
      </c>
      <c r="I87">
        <v>0</v>
      </c>
      <c r="J87" s="1">
        <f t="shared" ref="J87:J150" si="12">B87</f>
        <v>46054</v>
      </c>
      <c r="K87" t="str">
        <f t="shared" ref="K87:K150" si="13">TEXT(J87,"MMM/AA")</f>
        <v>fev/26</v>
      </c>
      <c r="L87" t="str">
        <f t="shared" ref="L87:L150" si="14">TEXT(J87,"DDD")</f>
        <v>dom</v>
      </c>
      <c r="M87">
        <f>SUMIFS(BASE_FIXA_TEND!AN:AN,BASE_FIXA_TEND!$A:$A,$A87,BASE_FIXA_TEND!$B:$B,$E87,BASE_FIXA_TEND!$D:$D,$F87)</f>
        <v>7.6796686227130611</v>
      </c>
    </row>
    <row r="88" spans="1:13" x14ac:dyDescent="0.3">
      <c r="A88" t="s">
        <v>446</v>
      </c>
      <c r="B88" s="1">
        <v>46054</v>
      </c>
      <c r="C88" t="str">
        <f t="shared" si="10"/>
        <v>02</v>
      </c>
      <c r="D88">
        <f t="shared" si="11"/>
        <v>2026</v>
      </c>
      <c r="E88" t="s">
        <v>49</v>
      </c>
      <c r="F88" t="s">
        <v>11</v>
      </c>
      <c r="G88" t="s">
        <v>642</v>
      </c>
      <c r="H88">
        <v>0</v>
      </c>
      <c r="I88">
        <v>0</v>
      </c>
      <c r="J88" s="1">
        <f t="shared" si="12"/>
        <v>46054</v>
      </c>
      <c r="K88" t="str">
        <f t="shared" si="13"/>
        <v>fev/26</v>
      </c>
      <c r="L88" t="str">
        <f t="shared" si="14"/>
        <v>dom</v>
      </c>
      <c r="M88">
        <f>SUMIFS(BASE_FIXA_TEND!AN:AN,BASE_FIXA_TEND!$A:$A,$A88,BASE_FIXA_TEND!$B:$B,$E88,BASE_FIXA_TEND!$D:$D,$F88)</f>
        <v>3.6796686227130611</v>
      </c>
    </row>
    <row r="89" spans="1:13" x14ac:dyDescent="0.3">
      <c r="A89" t="s">
        <v>516</v>
      </c>
      <c r="B89" s="1">
        <v>46054</v>
      </c>
      <c r="C89" t="str">
        <f t="shared" si="10"/>
        <v>02</v>
      </c>
      <c r="D89">
        <f t="shared" si="11"/>
        <v>2026</v>
      </c>
      <c r="E89" t="s">
        <v>49</v>
      </c>
      <c r="F89" t="s">
        <v>11</v>
      </c>
      <c r="G89" t="s">
        <v>642</v>
      </c>
      <c r="H89">
        <v>0</v>
      </c>
      <c r="I89">
        <v>0</v>
      </c>
      <c r="J89" s="1">
        <f t="shared" si="12"/>
        <v>46054</v>
      </c>
      <c r="K89" t="str">
        <f t="shared" si="13"/>
        <v>fev/26</v>
      </c>
      <c r="L89" t="str">
        <f t="shared" si="14"/>
        <v>dom</v>
      </c>
      <c r="M89">
        <f>SUMIFS(BASE_FIXA_TEND!AN:AN,BASE_FIXA_TEND!$A:$A,$A89,BASE_FIXA_TEND!$B:$B,$E89,BASE_FIXA_TEND!$D:$D,$F89)</f>
        <v>72.117017604417555</v>
      </c>
    </row>
    <row r="90" spans="1:13" x14ac:dyDescent="0.3">
      <c r="A90" t="s">
        <v>573</v>
      </c>
      <c r="B90" s="1">
        <v>46054</v>
      </c>
      <c r="C90" t="str">
        <f t="shared" si="10"/>
        <v>02</v>
      </c>
      <c r="D90">
        <f t="shared" si="11"/>
        <v>2026</v>
      </c>
      <c r="E90" t="s">
        <v>49</v>
      </c>
      <c r="F90" t="s">
        <v>11</v>
      </c>
      <c r="G90" t="s">
        <v>642</v>
      </c>
      <c r="H90">
        <v>0</v>
      </c>
      <c r="I90">
        <v>0</v>
      </c>
      <c r="J90" s="1">
        <f t="shared" si="12"/>
        <v>46054</v>
      </c>
      <c r="K90" t="str">
        <f t="shared" si="13"/>
        <v>fev/26</v>
      </c>
      <c r="L90" t="str">
        <f t="shared" si="14"/>
        <v>dom</v>
      </c>
      <c r="M90">
        <f>SUMIFS(BASE_FIXA_TEND!AN:AN,BASE_FIXA_TEND!$A:$A,$A90,BASE_FIXA_TEND!$B:$B,$E90,BASE_FIXA_TEND!$D:$D,$F90)</f>
        <v>6.3593372454261221</v>
      </c>
    </row>
    <row r="91" spans="1:13" x14ac:dyDescent="0.3">
      <c r="A91" t="s">
        <v>605</v>
      </c>
      <c r="B91" s="1">
        <v>46054</v>
      </c>
      <c r="C91" t="str">
        <f t="shared" si="10"/>
        <v>02</v>
      </c>
      <c r="D91">
        <f t="shared" si="11"/>
        <v>2026</v>
      </c>
      <c r="E91" t="s">
        <v>49</v>
      </c>
      <c r="F91" t="s">
        <v>11</v>
      </c>
      <c r="G91" t="s">
        <v>642</v>
      </c>
      <c r="H91">
        <v>0</v>
      </c>
      <c r="I91">
        <v>0</v>
      </c>
      <c r="J91" s="1">
        <f t="shared" si="12"/>
        <v>46054</v>
      </c>
      <c r="K91" t="str">
        <f t="shared" si="13"/>
        <v>fev/26</v>
      </c>
      <c r="L91" t="str">
        <f t="shared" si="14"/>
        <v>dom</v>
      </c>
      <c r="M91">
        <f>SUMIFS(BASE_FIXA_TEND!AN:AN,BASE_FIXA_TEND!$A:$A,$A91,BASE_FIXA_TEND!$B:$B,$E91,BASE_FIXA_TEND!$D:$D,$F91)</f>
        <v>1</v>
      </c>
    </row>
    <row r="92" spans="1:13" x14ac:dyDescent="0.3">
      <c r="A92" t="s">
        <v>8</v>
      </c>
      <c r="B92" s="1">
        <v>46054</v>
      </c>
      <c r="C92" t="str">
        <f t="shared" si="10"/>
        <v>02</v>
      </c>
      <c r="D92">
        <f t="shared" si="11"/>
        <v>2026</v>
      </c>
      <c r="E92" t="s">
        <v>49</v>
      </c>
      <c r="F92" t="s">
        <v>14</v>
      </c>
      <c r="G92" t="s">
        <v>642</v>
      </c>
      <c r="H92">
        <v>0</v>
      </c>
      <c r="I92">
        <v>0</v>
      </c>
      <c r="J92" s="1">
        <f t="shared" si="12"/>
        <v>46054</v>
      </c>
      <c r="K92" t="str">
        <f t="shared" si="13"/>
        <v>fev/26</v>
      </c>
      <c r="L92" t="str">
        <f t="shared" si="14"/>
        <v>dom</v>
      </c>
      <c r="M92">
        <f>SUMIFS(BASE_FIXA_TEND!AN:AN,BASE_FIXA_TEND!$A:$A,$A92,BASE_FIXA_TEND!$B:$B,$E92,BASE_FIXA_TEND!$D:$D,$F92)</f>
        <v>26.43424142790025</v>
      </c>
    </row>
    <row r="93" spans="1:13" x14ac:dyDescent="0.3">
      <c r="A93" t="s">
        <v>173</v>
      </c>
      <c r="B93" s="1">
        <v>46054</v>
      </c>
      <c r="C93" t="str">
        <f t="shared" si="10"/>
        <v>02</v>
      </c>
      <c r="D93">
        <f t="shared" si="11"/>
        <v>2026</v>
      </c>
      <c r="E93" t="s">
        <v>49</v>
      </c>
      <c r="F93" t="s">
        <v>14</v>
      </c>
      <c r="G93" t="s">
        <v>642</v>
      </c>
      <c r="H93">
        <v>0</v>
      </c>
      <c r="I93">
        <v>0</v>
      </c>
      <c r="J93" s="1">
        <f t="shared" si="12"/>
        <v>46054</v>
      </c>
      <c r="K93" t="str">
        <f t="shared" si="13"/>
        <v>fev/26</v>
      </c>
      <c r="L93" t="str">
        <f t="shared" si="14"/>
        <v>dom</v>
      </c>
      <c r="M93">
        <f>SUMIFS(BASE_FIXA_TEND!AN:AN,BASE_FIXA_TEND!$A:$A,$A93,BASE_FIXA_TEND!$B:$B,$E93,BASE_FIXA_TEND!$D:$D,$F93)</f>
        <v>40.171207139501249</v>
      </c>
    </row>
    <row r="94" spans="1:13" x14ac:dyDescent="0.3">
      <c r="A94" t="s">
        <v>242</v>
      </c>
      <c r="B94" s="1">
        <v>46054</v>
      </c>
      <c r="C94" t="str">
        <f t="shared" si="10"/>
        <v>02</v>
      </c>
      <c r="D94">
        <f t="shared" si="11"/>
        <v>2026</v>
      </c>
      <c r="E94" t="s">
        <v>49</v>
      </c>
      <c r="F94" t="s">
        <v>14</v>
      </c>
      <c r="G94" t="s">
        <v>642</v>
      </c>
      <c r="H94">
        <v>0</v>
      </c>
      <c r="I94">
        <v>0</v>
      </c>
      <c r="J94" s="1">
        <f t="shared" si="12"/>
        <v>46054</v>
      </c>
      <c r="K94" t="str">
        <f t="shared" si="13"/>
        <v>fev/26</v>
      </c>
      <c r="L94" t="str">
        <f t="shared" si="14"/>
        <v>dom</v>
      </c>
      <c r="M94">
        <f>SUMIFS(BASE_FIXA_TEND!AN:AN,BASE_FIXA_TEND!$A:$A,$A94,BASE_FIXA_TEND!$B:$B,$E94,BASE_FIXA_TEND!$D:$D,$F94)</f>
        <v>26.03968999530175</v>
      </c>
    </row>
    <row r="95" spans="1:13" x14ac:dyDescent="0.3">
      <c r="A95" t="s">
        <v>286</v>
      </c>
      <c r="B95" s="1">
        <v>46054</v>
      </c>
      <c r="C95" t="str">
        <f t="shared" si="10"/>
        <v>02</v>
      </c>
      <c r="D95">
        <f t="shared" si="11"/>
        <v>2026</v>
      </c>
      <c r="E95" t="s">
        <v>49</v>
      </c>
      <c r="F95" t="s">
        <v>14</v>
      </c>
      <c r="G95" t="s">
        <v>642</v>
      </c>
      <c r="H95">
        <v>0</v>
      </c>
      <c r="I95">
        <v>0</v>
      </c>
      <c r="J95" s="1">
        <f t="shared" si="12"/>
        <v>46054</v>
      </c>
      <c r="K95" t="str">
        <f t="shared" si="13"/>
        <v>fev/26</v>
      </c>
      <c r="L95" t="str">
        <f t="shared" si="14"/>
        <v>dom</v>
      </c>
      <c r="M95">
        <f>SUMIFS(BASE_FIXA_TEND!AN:AN,BASE_FIXA_TEND!$A:$A,$A95,BASE_FIXA_TEND!$B:$B,$E95,BASE_FIXA_TEND!$D:$D,$F95)</f>
        <v>15.868482855800501</v>
      </c>
    </row>
    <row r="96" spans="1:13" x14ac:dyDescent="0.3">
      <c r="A96" t="s">
        <v>339</v>
      </c>
      <c r="B96" s="1">
        <v>46054</v>
      </c>
      <c r="C96" t="str">
        <f t="shared" si="10"/>
        <v>02</v>
      </c>
      <c r="D96">
        <f t="shared" si="11"/>
        <v>2026</v>
      </c>
      <c r="E96" t="s">
        <v>49</v>
      </c>
      <c r="F96" t="s">
        <v>14</v>
      </c>
      <c r="G96" t="s">
        <v>642</v>
      </c>
      <c r="H96">
        <v>0</v>
      </c>
      <c r="I96">
        <v>0</v>
      </c>
      <c r="J96" s="1">
        <f t="shared" si="12"/>
        <v>46054</v>
      </c>
      <c r="K96" t="str">
        <f t="shared" si="13"/>
        <v>fev/26</v>
      </c>
      <c r="L96" t="str">
        <f t="shared" si="14"/>
        <v>dom</v>
      </c>
      <c r="M96">
        <f>SUMIFS(BASE_FIXA_TEND!AN:AN,BASE_FIXA_TEND!$A:$A,$A96,BASE_FIXA_TEND!$B:$B,$E96,BASE_FIXA_TEND!$D:$D,$F96)</f>
        <v>9.4342414279002504</v>
      </c>
    </row>
    <row r="97" spans="1:13" x14ac:dyDescent="0.3">
      <c r="A97" t="s">
        <v>380</v>
      </c>
      <c r="B97" s="1">
        <v>46054</v>
      </c>
      <c r="C97" t="str">
        <f t="shared" si="10"/>
        <v>02</v>
      </c>
      <c r="D97">
        <f t="shared" si="11"/>
        <v>2026</v>
      </c>
      <c r="E97" t="s">
        <v>49</v>
      </c>
      <c r="F97" t="s">
        <v>14</v>
      </c>
      <c r="G97" t="s">
        <v>642</v>
      </c>
      <c r="H97">
        <v>0</v>
      </c>
      <c r="I97">
        <v>0</v>
      </c>
      <c r="J97" s="1">
        <f t="shared" si="12"/>
        <v>46054</v>
      </c>
      <c r="K97" t="str">
        <f t="shared" si="13"/>
        <v>fev/26</v>
      </c>
      <c r="L97" t="str">
        <f t="shared" si="14"/>
        <v>dom</v>
      </c>
      <c r="M97">
        <f>SUMIFS(BASE_FIXA_TEND!AN:AN,BASE_FIXA_TEND!$A:$A,$A97,BASE_FIXA_TEND!$B:$B,$E97,BASE_FIXA_TEND!$D:$D,$F97)</f>
        <v>15.43424142790025</v>
      </c>
    </row>
    <row r="98" spans="1:13" x14ac:dyDescent="0.3">
      <c r="A98" t="s">
        <v>446</v>
      </c>
      <c r="B98" s="1">
        <v>46054</v>
      </c>
      <c r="C98" t="str">
        <f t="shared" si="10"/>
        <v>02</v>
      </c>
      <c r="D98">
        <f t="shared" si="11"/>
        <v>2026</v>
      </c>
      <c r="E98" t="s">
        <v>49</v>
      </c>
      <c r="F98" t="s">
        <v>14</v>
      </c>
      <c r="G98" t="s">
        <v>642</v>
      </c>
      <c r="H98">
        <v>0</v>
      </c>
      <c r="I98">
        <v>0</v>
      </c>
      <c r="J98" s="1">
        <f t="shared" si="12"/>
        <v>46054</v>
      </c>
      <c r="K98" t="str">
        <f t="shared" si="13"/>
        <v>fev/26</v>
      </c>
      <c r="L98" t="str">
        <f t="shared" si="14"/>
        <v>dom</v>
      </c>
      <c r="M98">
        <f>SUMIFS(BASE_FIXA_TEND!AN:AN,BASE_FIXA_TEND!$A:$A,$A98,BASE_FIXA_TEND!$B:$B,$E98,BASE_FIXA_TEND!$D:$D,$F98)</f>
        <v>5.4342414279002504</v>
      </c>
    </row>
    <row r="99" spans="1:13" x14ac:dyDescent="0.3">
      <c r="A99" t="s">
        <v>516</v>
      </c>
      <c r="B99" s="1">
        <v>46054</v>
      </c>
      <c r="C99" t="str">
        <f t="shared" si="10"/>
        <v>02</v>
      </c>
      <c r="D99">
        <f t="shared" si="11"/>
        <v>2026</v>
      </c>
      <c r="E99" t="s">
        <v>49</v>
      </c>
      <c r="F99" t="s">
        <v>14</v>
      </c>
      <c r="G99" t="s">
        <v>642</v>
      </c>
      <c r="H99">
        <v>0</v>
      </c>
      <c r="I99">
        <v>0</v>
      </c>
      <c r="J99" s="1">
        <f t="shared" si="12"/>
        <v>46054</v>
      </c>
      <c r="K99" t="str">
        <f t="shared" si="13"/>
        <v>fev/26</v>
      </c>
      <c r="L99" t="str">
        <f t="shared" si="14"/>
        <v>dom</v>
      </c>
      <c r="M99">
        <f>SUMIFS(BASE_FIXA_TEND!AN:AN,BASE_FIXA_TEND!$A:$A,$A99,BASE_FIXA_TEND!$B:$B,$E99,BASE_FIXA_TEND!$D:$D,$F99)</f>
        <v>97.342414279002483</v>
      </c>
    </row>
    <row r="100" spans="1:13" x14ac:dyDescent="0.3">
      <c r="A100" t="s">
        <v>573</v>
      </c>
      <c r="B100" s="1">
        <v>46054</v>
      </c>
      <c r="C100" t="str">
        <f t="shared" si="10"/>
        <v>02</v>
      </c>
      <c r="D100">
        <f t="shared" si="11"/>
        <v>2026</v>
      </c>
      <c r="E100" t="s">
        <v>49</v>
      </c>
      <c r="F100" t="s">
        <v>14</v>
      </c>
      <c r="G100" t="s">
        <v>642</v>
      </c>
      <c r="H100">
        <v>0</v>
      </c>
      <c r="I100">
        <v>0</v>
      </c>
      <c r="J100" s="1">
        <f t="shared" si="12"/>
        <v>46054</v>
      </c>
      <c r="K100" t="str">
        <f t="shared" si="13"/>
        <v>fev/26</v>
      </c>
      <c r="L100" t="str">
        <f t="shared" si="14"/>
        <v>dom</v>
      </c>
      <c r="M100">
        <f>SUMIFS(BASE_FIXA_TEND!AN:AN,BASE_FIXA_TEND!$A:$A,$A100,BASE_FIXA_TEND!$B:$B,$E100,BASE_FIXA_TEND!$D:$D,$F100)</f>
        <v>7.4342414279002504</v>
      </c>
    </row>
    <row r="101" spans="1:13" x14ac:dyDescent="0.3">
      <c r="A101" t="s">
        <v>605</v>
      </c>
      <c r="B101" s="1">
        <v>46054</v>
      </c>
      <c r="C101" t="str">
        <f t="shared" si="10"/>
        <v>02</v>
      </c>
      <c r="D101">
        <f t="shared" si="11"/>
        <v>2026</v>
      </c>
      <c r="E101" t="s">
        <v>49</v>
      </c>
      <c r="F101" t="s">
        <v>14</v>
      </c>
      <c r="G101" t="s">
        <v>642</v>
      </c>
      <c r="H101">
        <v>0</v>
      </c>
      <c r="I101">
        <v>0</v>
      </c>
      <c r="J101" s="1">
        <f t="shared" si="12"/>
        <v>46054</v>
      </c>
      <c r="K101" t="str">
        <f t="shared" si="13"/>
        <v>fev/26</v>
      </c>
      <c r="L101" t="str">
        <f t="shared" si="14"/>
        <v>dom</v>
      </c>
      <c r="M101">
        <f>SUMIFS(BASE_FIXA_TEND!AN:AN,BASE_FIXA_TEND!$A:$A,$A101,BASE_FIXA_TEND!$B:$B,$E101,BASE_FIXA_TEND!$D:$D,$F101)</f>
        <v>2</v>
      </c>
    </row>
    <row r="102" spans="1:13" x14ac:dyDescent="0.3">
      <c r="A102" t="s">
        <v>8</v>
      </c>
      <c r="B102" s="1">
        <v>46054</v>
      </c>
      <c r="C102" t="str">
        <f t="shared" si="10"/>
        <v>02</v>
      </c>
      <c r="D102">
        <f t="shared" si="11"/>
        <v>2026</v>
      </c>
      <c r="E102" t="s">
        <v>644</v>
      </c>
      <c r="F102" t="s">
        <v>11</v>
      </c>
      <c r="G102" t="s">
        <v>642</v>
      </c>
      <c r="H102">
        <v>0</v>
      </c>
      <c r="I102">
        <v>0</v>
      </c>
      <c r="J102" s="1">
        <f t="shared" si="12"/>
        <v>46054</v>
      </c>
      <c r="K102" t="str">
        <f t="shared" si="13"/>
        <v>fev/26</v>
      </c>
      <c r="L102" t="str">
        <f t="shared" si="14"/>
        <v>dom</v>
      </c>
      <c r="M102">
        <f>SUMIFS(BASE_FIXA_TEND!AN:AN,BASE_FIXA_TEND!$A:$A,$A102,BASE_FIXA_TEND!$B:$B,$E102,BASE_FIXA_TEND!$D:$D,$F102)</f>
        <v>15.359337245426122</v>
      </c>
    </row>
    <row r="103" spans="1:13" x14ac:dyDescent="0.3">
      <c r="A103" t="s">
        <v>173</v>
      </c>
      <c r="B103" s="1">
        <v>46054</v>
      </c>
      <c r="C103" t="str">
        <f t="shared" si="10"/>
        <v>02</v>
      </c>
      <c r="D103">
        <f t="shared" si="11"/>
        <v>2026</v>
      </c>
      <c r="E103" t="s">
        <v>644</v>
      </c>
      <c r="F103" t="s">
        <v>11</v>
      </c>
      <c r="G103" t="s">
        <v>642</v>
      </c>
      <c r="H103">
        <v>0</v>
      </c>
      <c r="I103">
        <v>0</v>
      </c>
      <c r="J103" s="1">
        <f t="shared" si="12"/>
        <v>46054</v>
      </c>
      <c r="K103" t="str">
        <f t="shared" si="13"/>
        <v>fev/26</v>
      </c>
      <c r="L103" t="str">
        <f t="shared" si="14"/>
        <v>dom</v>
      </c>
      <c r="M103">
        <f>SUMIFS(BASE_FIXA_TEND!AN:AN,BASE_FIXA_TEND!$A:$A,$A103,BASE_FIXA_TEND!$B:$B,$E103,BASE_FIXA_TEND!$D:$D,$F103)</f>
        <v>5</v>
      </c>
    </row>
    <row r="104" spans="1:13" x14ac:dyDescent="0.3">
      <c r="A104" t="s">
        <v>242</v>
      </c>
      <c r="B104" s="1">
        <v>46054</v>
      </c>
      <c r="C104" t="str">
        <f t="shared" si="10"/>
        <v>02</v>
      </c>
      <c r="D104">
        <f t="shared" si="11"/>
        <v>2026</v>
      </c>
      <c r="E104" t="s">
        <v>644</v>
      </c>
      <c r="F104" t="s">
        <v>11</v>
      </c>
      <c r="G104" t="s">
        <v>642</v>
      </c>
      <c r="H104">
        <v>0</v>
      </c>
      <c r="I104">
        <v>0</v>
      </c>
      <c r="J104" s="1">
        <f t="shared" si="12"/>
        <v>46054</v>
      </c>
      <c r="K104" t="str">
        <f t="shared" si="13"/>
        <v>fev/26</v>
      </c>
      <c r="L104" t="str">
        <f t="shared" si="14"/>
        <v>dom</v>
      </c>
      <c r="M104">
        <f>SUMIFS(BASE_FIXA_TEND!AN:AN,BASE_FIXA_TEND!$A:$A,$A104,BASE_FIXA_TEND!$B:$B,$E104,BASE_FIXA_TEND!$D:$D,$F104)</f>
        <v>6.6796686227130611</v>
      </c>
    </row>
    <row r="105" spans="1:13" x14ac:dyDescent="0.3">
      <c r="A105" t="s">
        <v>286</v>
      </c>
      <c r="B105" s="1">
        <v>46054</v>
      </c>
      <c r="C105" t="str">
        <f t="shared" si="10"/>
        <v>02</v>
      </c>
      <c r="D105">
        <f t="shared" si="11"/>
        <v>2026</v>
      </c>
      <c r="E105" t="s">
        <v>644</v>
      </c>
      <c r="F105" t="s">
        <v>11</v>
      </c>
      <c r="G105" t="s">
        <v>642</v>
      </c>
      <c r="H105">
        <v>0</v>
      </c>
      <c r="I105">
        <v>0</v>
      </c>
      <c r="J105" s="1">
        <f t="shared" si="12"/>
        <v>46054</v>
      </c>
      <c r="K105" t="str">
        <f t="shared" si="13"/>
        <v>fev/26</v>
      </c>
      <c r="L105" t="str">
        <f t="shared" si="14"/>
        <v>dom</v>
      </c>
      <c r="M105">
        <f>SUMIFS(BASE_FIXA_TEND!AN:AN,BASE_FIXA_TEND!$A:$A,$A105,BASE_FIXA_TEND!$B:$B,$E105,BASE_FIXA_TEND!$D:$D,$F105)</f>
        <v>9.6796686227130611</v>
      </c>
    </row>
    <row r="106" spans="1:13" x14ac:dyDescent="0.3">
      <c r="A106" t="s">
        <v>339</v>
      </c>
      <c r="B106" s="1">
        <v>46054</v>
      </c>
      <c r="C106" t="str">
        <f t="shared" si="10"/>
        <v>02</v>
      </c>
      <c r="D106">
        <f t="shared" si="11"/>
        <v>2026</v>
      </c>
      <c r="E106" t="s">
        <v>644</v>
      </c>
      <c r="F106" t="s">
        <v>11</v>
      </c>
      <c r="G106" t="s">
        <v>642</v>
      </c>
      <c r="H106">
        <v>0</v>
      </c>
      <c r="I106">
        <v>0</v>
      </c>
      <c r="J106" s="1">
        <f t="shared" si="12"/>
        <v>46054</v>
      </c>
      <c r="K106" t="str">
        <f t="shared" si="13"/>
        <v>fev/26</v>
      </c>
      <c r="L106" t="str">
        <f t="shared" si="14"/>
        <v>dom</v>
      </c>
      <c r="M106">
        <f>SUMIFS(BASE_FIXA_TEND!AN:AN,BASE_FIXA_TEND!$A:$A,$A106,BASE_FIXA_TEND!$B:$B,$E106,BASE_FIXA_TEND!$D:$D,$F106)</f>
        <v>4</v>
      </c>
    </row>
    <row r="107" spans="1:13" x14ac:dyDescent="0.3">
      <c r="A107" t="s">
        <v>380</v>
      </c>
      <c r="B107" s="1">
        <v>46054</v>
      </c>
      <c r="C107" t="str">
        <f t="shared" si="10"/>
        <v>02</v>
      </c>
      <c r="D107">
        <f t="shared" si="11"/>
        <v>2026</v>
      </c>
      <c r="E107" t="s">
        <v>644</v>
      </c>
      <c r="F107" t="s">
        <v>11</v>
      </c>
      <c r="G107" t="s">
        <v>642</v>
      </c>
      <c r="H107">
        <v>0</v>
      </c>
      <c r="I107">
        <v>0</v>
      </c>
      <c r="J107" s="1">
        <f t="shared" si="12"/>
        <v>46054</v>
      </c>
      <c r="K107" t="str">
        <f t="shared" si="13"/>
        <v>fev/26</v>
      </c>
      <c r="L107" t="str">
        <f t="shared" si="14"/>
        <v>dom</v>
      </c>
      <c r="M107">
        <f>SUMIFS(BASE_FIXA_TEND!AN:AN,BASE_FIXA_TEND!$A:$A,$A107,BASE_FIXA_TEND!$B:$B,$E107,BASE_FIXA_TEND!$D:$D,$F107)</f>
        <v>9.6796686227130611</v>
      </c>
    </row>
    <row r="108" spans="1:13" x14ac:dyDescent="0.3">
      <c r="A108" t="s">
        <v>446</v>
      </c>
      <c r="B108" s="1">
        <v>46054</v>
      </c>
      <c r="C108" t="str">
        <f t="shared" si="10"/>
        <v>02</v>
      </c>
      <c r="D108">
        <f t="shared" si="11"/>
        <v>2026</v>
      </c>
      <c r="E108" t="s">
        <v>644</v>
      </c>
      <c r="F108" t="s">
        <v>11</v>
      </c>
      <c r="G108" t="s">
        <v>642</v>
      </c>
      <c r="H108">
        <v>0</v>
      </c>
      <c r="I108">
        <v>0</v>
      </c>
      <c r="J108" s="1">
        <f t="shared" si="12"/>
        <v>46054</v>
      </c>
      <c r="K108" t="str">
        <f t="shared" si="13"/>
        <v>fev/26</v>
      </c>
      <c r="L108" t="str">
        <f t="shared" si="14"/>
        <v>dom</v>
      </c>
      <c r="M108">
        <f>SUMIFS(BASE_FIXA_TEND!AN:AN,BASE_FIXA_TEND!$A:$A,$A108,BASE_FIXA_TEND!$B:$B,$E108,BASE_FIXA_TEND!$D:$D,$F108)</f>
        <v>1</v>
      </c>
    </row>
    <row r="109" spans="1:13" x14ac:dyDescent="0.3">
      <c r="A109" t="s">
        <v>516</v>
      </c>
      <c r="B109" s="1">
        <v>46054</v>
      </c>
      <c r="C109" t="str">
        <f t="shared" si="10"/>
        <v>02</v>
      </c>
      <c r="D109">
        <f t="shared" si="11"/>
        <v>2026</v>
      </c>
      <c r="E109" t="s">
        <v>644</v>
      </c>
      <c r="F109" t="s">
        <v>11</v>
      </c>
      <c r="G109" t="s">
        <v>642</v>
      </c>
      <c r="H109">
        <v>0</v>
      </c>
      <c r="I109">
        <v>0</v>
      </c>
      <c r="J109" s="1">
        <f t="shared" si="12"/>
        <v>46054</v>
      </c>
      <c r="K109" t="str">
        <f t="shared" si="13"/>
        <v>fev/26</v>
      </c>
      <c r="L109" t="str">
        <f t="shared" si="14"/>
        <v>dom</v>
      </c>
      <c r="M109">
        <f>SUMIFS(BASE_FIXA_TEND!AN:AN,BASE_FIXA_TEND!$A:$A,$A109,BASE_FIXA_TEND!$B:$B,$E109,BASE_FIXA_TEND!$D:$D,$F109)</f>
        <v>59.437348981704481</v>
      </c>
    </row>
    <row r="110" spans="1:13" x14ac:dyDescent="0.3">
      <c r="A110" t="s">
        <v>573</v>
      </c>
      <c r="B110" s="1">
        <v>46054</v>
      </c>
      <c r="C110" t="str">
        <f t="shared" si="10"/>
        <v>02</v>
      </c>
      <c r="D110">
        <f t="shared" si="11"/>
        <v>2026</v>
      </c>
      <c r="E110" t="s">
        <v>644</v>
      </c>
      <c r="F110" t="s">
        <v>11</v>
      </c>
      <c r="G110" t="s">
        <v>642</v>
      </c>
      <c r="H110">
        <v>0</v>
      </c>
      <c r="I110">
        <v>0</v>
      </c>
      <c r="J110" s="1">
        <f t="shared" si="12"/>
        <v>46054</v>
      </c>
      <c r="K110" t="str">
        <f t="shared" si="13"/>
        <v>fev/26</v>
      </c>
      <c r="L110" t="str">
        <f t="shared" si="14"/>
        <v>dom</v>
      </c>
      <c r="M110">
        <f>SUMIFS(BASE_FIXA_TEND!AN:AN,BASE_FIXA_TEND!$A:$A,$A110,BASE_FIXA_TEND!$B:$B,$E110,BASE_FIXA_TEND!$D:$D,$F110)</f>
        <v>5.6796686227130611</v>
      </c>
    </row>
    <row r="111" spans="1:13" x14ac:dyDescent="0.3">
      <c r="A111" t="s">
        <v>605</v>
      </c>
      <c r="B111" s="1">
        <v>46054</v>
      </c>
      <c r="C111" t="str">
        <f t="shared" si="10"/>
        <v>02</v>
      </c>
      <c r="D111">
        <f t="shared" si="11"/>
        <v>2026</v>
      </c>
      <c r="E111" t="s">
        <v>644</v>
      </c>
      <c r="F111" t="s">
        <v>11</v>
      </c>
      <c r="G111" t="s">
        <v>642</v>
      </c>
      <c r="H111">
        <v>0</v>
      </c>
      <c r="I111">
        <v>0</v>
      </c>
      <c r="J111" s="1">
        <f t="shared" si="12"/>
        <v>46054</v>
      </c>
      <c r="K111" t="str">
        <f t="shared" si="13"/>
        <v>fev/26</v>
      </c>
      <c r="L111" t="str">
        <f t="shared" si="14"/>
        <v>dom</v>
      </c>
      <c r="M111">
        <f>SUMIFS(BASE_FIXA_TEND!AN:AN,BASE_FIXA_TEND!$A:$A,$A111,BASE_FIXA_TEND!$B:$B,$E111,BASE_FIXA_TEND!$D:$D,$F111)</f>
        <v>1</v>
      </c>
    </row>
    <row r="112" spans="1:13" x14ac:dyDescent="0.3">
      <c r="A112" t="s">
        <v>8</v>
      </c>
      <c r="B112" s="1">
        <v>46054</v>
      </c>
      <c r="C112" t="str">
        <f t="shared" si="10"/>
        <v>02</v>
      </c>
      <c r="D112">
        <f t="shared" si="11"/>
        <v>2026</v>
      </c>
      <c r="E112" t="s">
        <v>644</v>
      </c>
      <c r="F112" t="s">
        <v>14</v>
      </c>
      <c r="G112" t="s">
        <v>642</v>
      </c>
      <c r="H112">
        <v>0</v>
      </c>
      <c r="I112">
        <v>0</v>
      </c>
      <c r="J112" s="1">
        <f t="shared" si="12"/>
        <v>46054</v>
      </c>
      <c r="K112" t="str">
        <f t="shared" si="13"/>
        <v>fev/26</v>
      </c>
      <c r="L112" t="str">
        <f t="shared" si="14"/>
        <v>dom</v>
      </c>
      <c r="M112">
        <f>SUMIFS(BASE_FIXA_TEND!AN:AN,BASE_FIXA_TEND!$A:$A,$A112,BASE_FIXA_TEND!$B:$B,$E112,BASE_FIXA_TEND!$D:$D,$F112)</f>
        <v>25.736965711601002</v>
      </c>
    </row>
    <row r="113" spans="1:13" x14ac:dyDescent="0.3">
      <c r="A113" t="s">
        <v>173</v>
      </c>
      <c r="B113" s="1">
        <v>46054</v>
      </c>
      <c r="C113" t="str">
        <f t="shared" si="10"/>
        <v>02</v>
      </c>
      <c r="D113">
        <f t="shared" si="11"/>
        <v>2026</v>
      </c>
      <c r="E113" t="s">
        <v>644</v>
      </c>
      <c r="F113" t="s">
        <v>14</v>
      </c>
      <c r="G113" t="s">
        <v>642</v>
      </c>
      <c r="H113">
        <v>0</v>
      </c>
      <c r="I113">
        <v>0</v>
      </c>
      <c r="J113" s="1">
        <f t="shared" si="12"/>
        <v>46054</v>
      </c>
      <c r="K113" t="str">
        <f t="shared" si="13"/>
        <v>fev/26</v>
      </c>
      <c r="L113" t="str">
        <f t="shared" si="14"/>
        <v>dom</v>
      </c>
      <c r="M113">
        <f>SUMIFS(BASE_FIXA_TEND!AN:AN,BASE_FIXA_TEND!$A:$A,$A113,BASE_FIXA_TEND!$B:$B,$E113,BASE_FIXA_TEND!$D:$D,$F113)</f>
        <v>16.302724283700751</v>
      </c>
    </row>
    <row r="114" spans="1:13" x14ac:dyDescent="0.3">
      <c r="A114" t="s">
        <v>242</v>
      </c>
      <c r="B114" s="1">
        <v>46054</v>
      </c>
      <c r="C114" t="str">
        <f t="shared" si="10"/>
        <v>02</v>
      </c>
      <c r="D114">
        <f t="shared" si="11"/>
        <v>2026</v>
      </c>
      <c r="E114" t="s">
        <v>644</v>
      </c>
      <c r="F114" t="s">
        <v>14</v>
      </c>
      <c r="G114" t="s">
        <v>642</v>
      </c>
      <c r="H114">
        <v>0</v>
      </c>
      <c r="I114">
        <v>0</v>
      </c>
      <c r="J114" s="1">
        <f t="shared" si="12"/>
        <v>46054</v>
      </c>
      <c r="K114" t="str">
        <f t="shared" si="13"/>
        <v>fev/26</v>
      </c>
      <c r="L114" t="str">
        <f t="shared" si="14"/>
        <v>dom</v>
      </c>
      <c r="M114">
        <f>SUMIFS(BASE_FIXA_TEND!AN:AN,BASE_FIXA_TEND!$A:$A,$A114,BASE_FIXA_TEND!$B:$B,$E114,BASE_FIXA_TEND!$D:$D,$F114)</f>
        <v>11.868482855800501</v>
      </c>
    </row>
    <row r="115" spans="1:13" x14ac:dyDescent="0.3">
      <c r="A115" t="s">
        <v>286</v>
      </c>
      <c r="B115" s="1">
        <v>46054</v>
      </c>
      <c r="C115" t="str">
        <f t="shared" si="10"/>
        <v>02</v>
      </c>
      <c r="D115">
        <f t="shared" si="11"/>
        <v>2026</v>
      </c>
      <c r="E115" t="s">
        <v>644</v>
      </c>
      <c r="F115" t="s">
        <v>14</v>
      </c>
      <c r="G115" t="s">
        <v>642</v>
      </c>
      <c r="H115">
        <v>0</v>
      </c>
      <c r="I115">
        <v>0</v>
      </c>
      <c r="J115" s="1">
        <f t="shared" si="12"/>
        <v>46054</v>
      </c>
      <c r="K115" t="str">
        <f t="shared" si="13"/>
        <v>fev/26</v>
      </c>
      <c r="L115" t="str">
        <f t="shared" si="14"/>
        <v>dom</v>
      </c>
      <c r="M115">
        <f>SUMIFS(BASE_FIXA_TEND!AN:AN,BASE_FIXA_TEND!$A:$A,$A115,BASE_FIXA_TEND!$B:$B,$E115,BASE_FIXA_TEND!$D:$D,$F115)</f>
        <v>9.8684828558005009</v>
      </c>
    </row>
    <row r="116" spans="1:13" x14ac:dyDescent="0.3">
      <c r="A116" t="s">
        <v>339</v>
      </c>
      <c r="B116" s="1">
        <v>46054</v>
      </c>
      <c r="C116" t="str">
        <f t="shared" si="10"/>
        <v>02</v>
      </c>
      <c r="D116">
        <f t="shared" si="11"/>
        <v>2026</v>
      </c>
      <c r="E116" t="s">
        <v>644</v>
      </c>
      <c r="F116" t="s">
        <v>14</v>
      </c>
      <c r="G116" t="s">
        <v>642</v>
      </c>
      <c r="H116">
        <v>0</v>
      </c>
      <c r="I116">
        <v>0</v>
      </c>
      <c r="J116" s="1">
        <f t="shared" si="12"/>
        <v>46054</v>
      </c>
      <c r="K116" t="str">
        <f t="shared" si="13"/>
        <v>fev/26</v>
      </c>
      <c r="L116" t="str">
        <f t="shared" si="14"/>
        <v>dom</v>
      </c>
      <c r="M116">
        <f>SUMIFS(BASE_FIXA_TEND!AN:AN,BASE_FIXA_TEND!$A:$A,$A116,BASE_FIXA_TEND!$B:$B,$E116,BASE_FIXA_TEND!$D:$D,$F116)</f>
        <v>7.8684828558005</v>
      </c>
    </row>
    <row r="117" spans="1:13" x14ac:dyDescent="0.3">
      <c r="A117" t="s">
        <v>380</v>
      </c>
      <c r="B117" s="1">
        <v>46054</v>
      </c>
      <c r="C117" t="str">
        <f t="shared" si="10"/>
        <v>02</v>
      </c>
      <c r="D117">
        <f t="shared" si="11"/>
        <v>2026</v>
      </c>
      <c r="E117" t="s">
        <v>644</v>
      </c>
      <c r="F117" t="s">
        <v>14</v>
      </c>
      <c r="G117" t="s">
        <v>642</v>
      </c>
      <c r="H117">
        <v>0</v>
      </c>
      <c r="I117">
        <v>0</v>
      </c>
      <c r="J117" s="1">
        <f t="shared" si="12"/>
        <v>46054</v>
      </c>
      <c r="K117" t="str">
        <f t="shared" si="13"/>
        <v>fev/26</v>
      </c>
      <c r="L117" t="str">
        <f t="shared" si="14"/>
        <v>dom</v>
      </c>
      <c r="M117">
        <f>SUMIFS(BASE_FIXA_TEND!AN:AN,BASE_FIXA_TEND!$A:$A,$A117,BASE_FIXA_TEND!$B:$B,$E117,BASE_FIXA_TEND!$D:$D,$F117)</f>
        <v>16.868482855800501</v>
      </c>
    </row>
    <row r="118" spans="1:13" x14ac:dyDescent="0.3">
      <c r="A118" t="s">
        <v>446</v>
      </c>
      <c r="B118" s="1">
        <v>46054</v>
      </c>
      <c r="C118" t="str">
        <f t="shared" si="10"/>
        <v>02</v>
      </c>
      <c r="D118">
        <f t="shared" si="11"/>
        <v>2026</v>
      </c>
      <c r="E118" t="s">
        <v>644</v>
      </c>
      <c r="F118" t="s">
        <v>14</v>
      </c>
      <c r="G118" t="s">
        <v>642</v>
      </c>
      <c r="H118">
        <v>0</v>
      </c>
      <c r="I118">
        <v>0</v>
      </c>
      <c r="J118" s="1">
        <f t="shared" si="12"/>
        <v>46054</v>
      </c>
      <c r="K118" t="str">
        <f t="shared" si="13"/>
        <v>fev/26</v>
      </c>
      <c r="L118" t="str">
        <f t="shared" si="14"/>
        <v>dom</v>
      </c>
      <c r="M118">
        <f>SUMIFS(BASE_FIXA_TEND!AN:AN,BASE_FIXA_TEND!$A:$A,$A118,BASE_FIXA_TEND!$B:$B,$E118,BASE_FIXA_TEND!$D:$D,$F118)</f>
        <v>2</v>
      </c>
    </row>
    <row r="119" spans="1:13" x14ac:dyDescent="0.3">
      <c r="A119" t="s">
        <v>516</v>
      </c>
      <c r="B119" s="1">
        <v>46054</v>
      </c>
      <c r="C119" t="str">
        <f t="shared" si="10"/>
        <v>02</v>
      </c>
      <c r="D119">
        <f t="shared" si="11"/>
        <v>2026</v>
      </c>
      <c r="E119" t="s">
        <v>644</v>
      </c>
      <c r="F119" t="s">
        <v>14</v>
      </c>
      <c r="G119" t="s">
        <v>642</v>
      </c>
      <c r="H119">
        <v>0</v>
      </c>
      <c r="I119">
        <v>0</v>
      </c>
      <c r="J119" s="1">
        <f t="shared" si="12"/>
        <v>46054</v>
      </c>
      <c r="K119" t="str">
        <f t="shared" si="13"/>
        <v>fev/26</v>
      </c>
      <c r="L119" t="str">
        <f t="shared" si="14"/>
        <v>dom</v>
      </c>
      <c r="M119">
        <f>SUMIFS(BASE_FIXA_TEND!AN:AN,BASE_FIXA_TEND!$A:$A,$A119,BASE_FIXA_TEND!$B:$B,$E119,BASE_FIXA_TEND!$D:$D,$F119)</f>
        <v>68.90817285110225</v>
      </c>
    </row>
    <row r="120" spans="1:13" x14ac:dyDescent="0.3">
      <c r="A120" t="s">
        <v>573</v>
      </c>
      <c r="B120" s="1">
        <v>46054</v>
      </c>
      <c r="C120" t="str">
        <f t="shared" si="10"/>
        <v>02</v>
      </c>
      <c r="D120">
        <f t="shared" si="11"/>
        <v>2026</v>
      </c>
      <c r="E120" t="s">
        <v>644</v>
      </c>
      <c r="F120" t="s">
        <v>14</v>
      </c>
      <c r="G120" t="s">
        <v>642</v>
      </c>
      <c r="H120">
        <v>0</v>
      </c>
      <c r="I120">
        <v>0</v>
      </c>
      <c r="J120" s="1">
        <f t="shared" si="12"/>
        <v>46054</v>
      </c>
      <c r="K120" t="str">
        <f t="shared" si="13"/>
        <v>fev/26</v>
      </c>
      <c r="L120" t="str">
        <f t="shared" si="14"/>
        <v>dom</v>
      </c>
      <c r="M120">
        <f>SUMIFS(BASE_FIXA_TEND!AN:AN,BASE_FIXA_TEND!$A:$A,$A120,BASE_FIXA_TEND!$B:$B,$E120,BASE_FIXA_TEND!$D:$D,$F120)</f>
        <v>8.8684828558005009</v>
      </c>
    </row>
    <row r="121" spans="1:13" x14ac:dyDescent="0.3">
      <c r="A121" t="s">
        <v>605</v>
      </c>
      <c r="B121" s="1">
        <v>46054</v>
      </c>
      <c r="C121" t="str">
        <f t="shared" si="10"/>
        <v>02</v>
      </c>
      <c r="D121">
        <f t="shared" si="11"/>
        <v>2026</v>
      </c>
      <c r="E121" t="s">
        <v>644</v>
      </c>
      <c r="F121" t="s">
        <v>14</v>
      </c>
      <c r="G121" t="s">
        <v>642</v>
      </c>
      <c r="H121">
        <v>0</v>
      </c>
      <c r="I121">
        <v>0</v>
      </c>
      <c r="J121" s="1">
        <f t="shared" si="12"/>
        <v>46054</v>
      </c>
      <c r="K121" t="str">
        <f t="shared" si="13"/>
        <v>fev/26</v>
      </c>
      <c r="L121" t="str">
        <f t="shared" si="14"/>
        <v>dom</v>
      </c>
      <c r="M121">
        <f>SUMIFS(BASE_FIXA_TEND!AN:AN,BASE_FIXA_TEND!$A:$A,$A121,BASE_FIXA_TEND!$B:$B,$E121,BASE_FIXA_TEND!$D:$D,$F121)</f>
        <v>2</v>
      </c>
    </row>
    <row r="122" spans="1:13" x14ac:dyDescent="0.3">
      <c r="A122" t="s">
        <v>8</v>
      </c>
      <c r="B122" s="1">
        <v>46054</v>
      </c>
      <c r="C122" t="str">
        <f t="shared" si="10"/>
        <v>02</v>
      </c>
      <c r="D122">
        <f t="shared" si="11"/>
        <v>2026</v>
      </c>
      <c r="E122" t="s">
        <v>170</v>
      </c>
      <c r="F122" t="s">
        <v>11</v>
      </c>
      <c r="G122" t="s">
        <v>642</v>
      </c>
      <c r="H122">
        <v>0</v>
      </c>
      <c r="I122">
        <v>0</v>
      </c>
      <c r="J122" s="1">
        <f t="shared" si="12"/>
        <v>46054</v>
      </c>
      <c r="K122" t="str">
        <f t="shared" si="13"/>
        <v>fev/26</v>
      </c>
      <c r="L122" t="str">
        <f t="shared" si="14"/>
        <v>dom</v>
      </c>
      <c r="M122">
        <f>SUMIFS(BASE_FIXA_TEND!AN:AN,BASE_FIXA_TEND!$A:$A,$A122,BASE_FIXA_TEND!$B:$B,$E122,BASE_FIXA_TEND!$D:$D,$F122)</f>
        <v>13.359337245426122</v>
      </c>
    </row>
    <row r="123" spans="1:13" x14ac:dyDescent="0.3">
      <c r="A123" t="s">
        <v>173</v>
      </c>
      <c r="B123" s="1">
        <v>46054</v>
      </c>
      <c r="C123" t="str">
        <f t="shared" si="10"/>
        <v>02</v>
      </c>
      <c r="D123">
        <f t="shared" si="11"/>
        <v>2026</v>
      </c>
      <c r="E123" t="s">
        <v>170</v>
      </c>
      <c r="F123" t="s">
        <v>11</v>
      </c>
      <c r="G123" t="s">
        <v>642</v>
      </c>
      <c r="H123">
        <v>0</v>
      </c>
      <c r="I123">
        <v>0</v>
      </c>
      <c r="J123" s="1">
        <f t="shared" si="12"/>
        <v>46054</v>
      </c>
      <c r="K123" t="str">
        <f t="shared" si="13"/>
        <v>fev/26</v>
      </c>
      <c r="L123" t="str">
        <f t="shared" si="14"/>
        <v>dom</v>
      </c>
      <c r="M123">
        <f>SUMIFS(BASE_FIXA_TEND!AN:AN,BASE_FIXA_TEND!$A:$A,$A123,BASE_FIXA_TEND!$B:$B,$E123,BASE_FIXA_TEND!$D:$D,$F123)</f>
        <v>16.359337245426122</v>
      </c>
    </row>
    <row r="124" spans="1:13" x14ac:dyDescent="0.3">
      <c r="A124" t="s">
        <v>242</v>
      </c>
      <c r="B124" s="1">
        <v>46054</v>
      </c>
      <c r="C124" t="str">
        <f t="shared" si="10"/>
        <v>02</v>
      </c>
      <c r="D124">
        <f t="shared" si="11"/>
        <v>2026</v>
      </c>
      <c r="E124" t="s">
        <v>170</v>
      </c>
      <c r="F124" t="s">
        <v>11</v>
      </c>
      <c r="G124" t="s">
        <v>642</v>
      </c>
      <c r="H124">
        <v>0</v>
      </c>
      <c r="I124">
        <v>0</v>
      </c>
      <c r="J124" s="1">
        <f t="shared" si="12"/>
        <v>46054</v>
      </c>
      <c r="K124" t="str">
        <f t="shared" si="13"/>
        <v>fev/26</v>
      </c>
      <c r="L124" t="str">
        <f t="shared" si="14"/>
        <v>dom</v>
      </c>
      <c r="M124">
        <f>SUMIFS(BASE_FIXA_TEND!AN:AN,BASE_FIXA_TEND!$A:$A,$A124,BASE_FIXA_TEND!$B:$B,$E124,BASE_FIXA_TEND!$D:$D,$F124)</f>
        <v>12.039005868139181</v>
      </c>
    </row>
    <row r="125" spans="1:13" x14ac:dyDescent="0.3">
      <c r="A125" t="s">
        <v>286</v>
      </c>
      <c r="B125" s="1">
        <v>46054</v>
      </c>
      <c r="C125" t="str">
        <f t="shared" si="10"/>
        <v>02</v>
      </c>
      <c r="D125">
        <f t="shared" si="11"/>
        <v>2026</v>
      </c>
      <c r="E125" t="s">
        <v>170</v>
      </c>
      <c r="F125" t="s">
        <v>11</v>
      </c>
      <c r="G125" t="s">
        <v>642</v>
      </c>
      <c r="H125">
        <v>0</v>
      </c>
      <c r="I125">
        <v>0</v>
      </c>
      <c r="J125" s="1">
        <f t="shared" si="12"/>
        <v>46054</v>
      </c>
      <c r="K125" t="str">
        <f t="shared" si="13"/>
        <v>fev/26</v>
      </c>
      <c r="L125" t="str">
        <f t="shared" si="14"/>
        <v>dom</v>
      </c>
      <c r="M125">
        <f>SUMIFS(BASE_FIXA_TEND!AN:AN,BASE_FIXA_TEND!$A:$A,$A125,BASE_FIXA_TEND!$B:$B,$E125,BASE_FIXA_TEND!$D:$D,$F125)</f>
        <v>5.6796686227130611</v>
      </c>
    </row>
    <row r="126" spans="1:13" x14ac:dyDescent="0.3">
      <c r="A126" t="s">
        <v>339</v>
      </c>
      <c r="B126" s="1">
        <v>46054</v>
      </c>
      <c r="C126" t="str">
        <f t="shared" si="10"/>
        <v>02</v>
      </c>
      <c r="D126">
        <f t="shared" si="11"/>
        <v>2026</v>
      </c>
      <c r="E126" t="s">
        <v>170</v>
      </c>
      <c r="F126" t="s">
        <v>11</v>
      </c>
      <c r="G126" t="s">
        <v>642</v>
      </c>
      <c r="H126">
        <v>0</v>
      </c>
      <c r="I126">
        <v>0</v>
      </c>
      <c r="J126" s="1">
        <f t="shared" si="12"/>
        <v>46054</v>
      </c>
      <c r="K126" t="str">
        <f t="shared" si="13"/>
        <v>fev/26</v>
      </c>
      <c r="L126" t="str">
        <f t="shared" si="14"/>
        <v>dom</v>
      </c>
      <c r="M126">
        <f>SUMIFS(BASE_FIXA_TEND!AN:AN,BASE_FIXA_TEND!$A:$A,$A126,BASE_FIXA_TEND!$B:$B,$E126,BASE_FIXA_TEND!$D:$D,$F126)</f>
        <v>3</v>
      </c>
    </row>
    <row r="127" spans="1:13" x14ac:dyDescent="0.3">
      <c r="A127" t="s">
        <v>380</v>
      </c>
      <c r="B127" s="1">
        <v>46054</v>
      </c>
      <c r="C127" t="str">
        <f t="shared" si="10"/>
        <v>02</v>
      </c>
      <c r="D127">
        <f t="shared" si="11"/>
        <v>2026</v>
      </c>
      <c r="E127" t="s">
        <v>170</v>
      </c>
      <c r="F127" t="s">
        <v>11</v>
      </c>
      <c r="G127" t="s">
        <v>642</v>
      </c>
      <c r="H127">
        <v>0</v>
      </c>
      <c r="I127">
        <v>0</v>
      </c>
      <c r="J127" s="1">
        <f t="shared" si="12"/>
        <v>46054</v>
      </c>
      <c r="K127" t="str">
        <f t="shared" si="13"/>
        <v>fev/26</v>
      </c>
      <c r="L127" t="str">
        <f t="shared" si="14"/>
        <v>dom</v>
      </c>
      <c r="M127">
        <f>SUMIFS(BASE_FIXA_TEND!AN:AN,BASE_FIXA_TEND!$A:$A,$A127,BASE_FIXA_TEND!$B:$B,$E127,BASE_FIXA_TEND!$D:$D,$F127)</f>
        <v>4</v>
      </c>
    </row>
    <row r="128" spans="1:13" x14ac:dyDescent="0.3">
      <c r="A128" t="s">
        <v>446</v>
      </c>
      <c r="B128" s="1">
        <v>46054</v>
      </c>
      <c r="C128" t="str">
        <f t="shared" si="10"/>
        <v>02</v>
      </c>
      <c r="D128">
        <f t="shared" si="11"/>
        <v>2026</v>
      </c>
      <c r="E128" t="s">
        <v>170</v>
      </c>
      <c r="F128" t="s">
        <v>11</v>
      </c>
      <c r="G128" t="s">
        <v>642</v>
      </c>
      <c r="H128">
        <v>0</v>
      </c>
      <c r="I128">
        <v>0</v>
      </c>
      <c r="J128" s="1">
        <f t="shared" si="12"/>
        <v>46054</v>
      </c>
      <c r="K128" t="str">
        <f t="shared" si="13"/>
        <v>fev/26</v>
      </c>
      <c r="L128" t="str">
        <f t="shared" si="14"/>
        <v>dom</v>
      </c>
      <c r="M128">
        <f>SUMIFS(BASE_FIXA_TEND!AN:AN,BASE_FIXA_TEND!$A:$A,$A128,BASE_FIXA_TEND!$B:$B,$E128,BASE_FIXA_TEND!$D:$D,$F128)</f>
        <v>1</v>
      </c>
    </row>
    <row r="129" spans="1:13" x14ac:dyDescent="0.3">
      <c r="A129" t="s">
        <v>516</v>
      </c>
      <c r="B129" s="1">
        <v>46054</v>
      </c>
      <c r="C129" t="str">
        <f t="shared" si="10"/>
        <v>02</v>
      </c>
      <c r="D129">
        <f t="shared" si="11"/>
        <v>2026</v>
      </c>
      <c r="E129" t="s">
        <v>170</v>
      </c>
      <c r="F129" t="s">
        <v>11</v>
      </c>
      <c r="G129" t="s">
        <v>642</v>
      </c>
      <c r="H129">
        <v>0</v>
      </c>
      <c r="I129">
        <v>0</v>
      </c>
      <c r="J129" s="1">
        <f t="shared" si="12"/>
        <v>46054</v>
      </c>
      <c r="K129" t="str">
        <f t="shared" si="13"/>
        <v>fev/26</v>
      </c>
      <c r="L129" t="str">
        <f t="shared" si="14"/>
        <v>dom</v>
      </c>
      <c r="M129">
        <f>SUMIFS(BASE_FIXA_TEND!AN:AN,BASE_FIXA_TEND!$A:$A,$A129,BASE_FIXA_TEND!$B:$B,$E129,BASE_FIXA_TEND!$D:$D,$F129)</f>
        <v>24.039005868139181</v>
      </c>
    </row>
    <row r="130" spans="1:13" x14ac:dyDescent="0.3">
      <c r="A130" t="s">
        <v>573</v>
      </c>
      <c r="B130" s="1">
        <v>46054</v>
      </c>
      <c r="C130" t="str">
        <f t="shared" si="10"/>
        <v>02</v>
      </c>
      <c r="D130">
        <f t="shared" si="11"/>
        <v>2026</v>
      </c>
      <c r="E130" t="s">
        <v>170</v>
      </c>
      <c r="F130" t="s">
        <v>11</v>
      </c>
      <c r="G130" t="s">
        <v>642</v>
      </c>
      <c r="H130">
        <v>0</v>
      </c>
      <c r="I130">
        <v>0</v>
      </c>
      <c r="J130" s="1">
        <f t="shared" si="12"/>
        <v>46054</v>
      </c>
      <c r="K130" t="str">
        <f t="shared" si="13"/>
        <v>fev/26</v>
      </c>
      <c r="L130" t="str">
        <f t="shared" si="14"/>
        <v>dom</v>
      </c>
      <c r="M130">
        <f>SUMIFS(BASE_FIXA_TEND!AN:AN,BASE_FIXA_TEND!$A:$A,$A130,BASE_FIXA_TEND!$B:$B,$E130,BASE_FIXA_TEND!$D:$D,$F130)</f>
        <v>3.6796686227130611</v>
      </c>
    </row>
    <row r="131" spans="1:13" x14ac:dyDescent="0.3">
      <c r="A131" t="s">
        <v>605</v>
      </c>
      <c r="B131" s="1">
        <v>46054</v>
      </c>
      <c r="C131" t="str">
        <f t="shared" si="10"/>
        <v>02</v>
      </c>
      <c r="D131">
        <f t="shared" si="11"/>
        <v>2026</v>
      </c>
      <c r="E131" t="s">
        <v>170</v>
      </c>
      <c r="F131" t="s">
        <v>11</v>
      </c>
      <c r="G131" t="s">
        <v>642</v>
      </c>
      <c r="H131">
        <v>0</v>
      </c>
      <c r="I131">
        <v>0</v>
      </c>
      <c r="J131" s="1">
        <f t="shared" si="12"/>
        <v>46054</v>
      </c>
      <c r="K131" t="str">
        <f t="shared" si="13"/>
        <v>fev/26</v>
      </c>
      <c r="L131" t="str">
        <f t="shared" si="14"/>
        <v>dom</v>
      </c>
      <c r="M131">
        <f>SUMIFS(BASE_FIXA_TEND!AN:AN,BASE_FIXA_TEND!$A:$A,$A131,BASE_FIXA_TEND!$B:$B,$E131,BASE_FIXA_TEND!$D:$D,$F131)</f>
        <v>2</v>
      </c>
    </row>
    <row r="132" spans="1:13" x14ac:dyDescent="0.3">
      <c r="A132" t="s">
        <v>8</v>
      </c>
      <c r="B132" s="1">
        <v>46054</v>
      </c>
      <c r="C132" t="str">
        <f t="shared" si="10"/>
        <v>02</v>
      </c>
      <c r="D132">
        <f t="shared" si="11"/>
        <v>2026</v>
      </c>
      <c r="E132" t="s">
        <v>170</v>
      </c>
      <c r="F132" t="s">
        <v>14</v>
      </c>
      <c r="G132" t="s">
        <v>642</v>
      </c>
      <c r="H132">
        <v>0</v>
      </c>
      <c r="I132">
        <v>0</v>
      </c>
      <c r="J132" s="1">
        <f t="shared" si="12"/>
        <v>46054</v>
      </c>
      <c r="K132" t="str">
        <f t="shared" si="13"/>
        <v>fev/26</v>
      </c>
      <c r="L132" t="str">
        <f t="shared" si="14"/>
        <v>dom</v>
      </c>
      <c r="M132">
        <f>SUMIFS(BASE_FIXA_TEND!AN:AN,BASE_FIXA_TEND!$A:$A,$A132,BASE_FIXA_TEND!$B:$B,$E132,BASE_FIXA_TEND!$D:$D,$F132)</f>
        <v>18</v>
      </c>
    </row>
    <row r="133" spans="1:13" x14ac:dyDescent="0.3">
      <c r="A133" t="s">
        <v>173</v>
      </c>
      <c r="B133" s="1">
        <v>46054</v>
      </c>
      <c r="C133" t="str">
        <f t="shared" si="10"/>
        <v>02</v>
      </c>
      <c r="D133">
        <f t="shared" si="11"/>
        <v>2026</v>
      </c>
      <c r="E133" t="s">
        <v>170</v>
      </c>
      <c r="F133" t="s">
        <v>14</v>
      </c>
      <c r="G133" t="s">
        <v>642</v>
      </c>
      <c r="H133">
        <v>0</v>
      </c>
      <c r="I133">
        <v>0</v>
      </c>
      <c r="J133" s="1">
        <f t="shared" si="12"/>
        <v>46054</v>
      </c>
      <c r="K133" t="str">
        <f t="shared" si="13"/>
        <v>fev/26</v>
      </c>
      <c r="L133" t="str">
        <f t="shared" si="14"/>
        <v>dom</v>
      </c>
      <c r="M133">
        <f>SUMIFS(BASE_FIXA_TEND!AN:AN,BASE_FIXA_TEND!$A:$A,$A133,BASE_FIXA_TEND!$B:$B,$E133,BASE_FIXA_TEND!$D:$D,$F133)</f>
        <v>22.302724283700751</v>
      </c>
    </row>
    <row r="134" spans="1:13" x14ac:dyDescent="0.3">
      <c r="A134" t="s">
        <v>242</v>
      </c>
      <c r="B134" s="1">
        <v>46054</v>
      </c>
      <c r="C134" t="str">
        <f t="shared" si="10"/>
        <v>02</v>
      </c>
      <c r="D134">
        <f t="shared" si="11"/>
        <v>2026</v>
      </c>
      <c r="E134" t="s">
        <v>170</v>
      </c>
      <c r="F134" t="s">
        <v>14</v>
      </c>
      <c r="G134" t="s">
        <v>642</v>
      </c>
      <c r="H134">
        <v>0</v>
      </c>
      <c r="I134">
        <v>0</v>
      </c>
      <c r="J134" s="1">
        <f t="shared" si="12"/>
        <v>46054</v>
      </c>
      <c r="K134" t="str">
        <f t="shared" si="13"/>
        <v>fev/26</v>
      </c>
      <c r="L134" t="str">
        <f t="shared" si="14"/>
        <v>dom</v>
      </c>
      <c r="M134">
        <f>SUMIFS(BASE_FIXA_TEND!AN:AN,BASE_FIXA_TEND!$A:$A,$A134,BASE_FIXA_TEND!$B:$B,$E134,BASE_FIXA_TEND!$D:$D,$F134)</f>
        <v>14.736965711601</v>
      </c>
    </row>
    <row r="135" spans="1:13" x14ac:dyDescent="0.3">
      <c r="A135" t="s">
        <v>286</v>
      </c>
      <c r="B135" s="1">
        <v>46054</v>
      </c>
      <c r="C135" t="str">
        <f t="shared" si="10"/>
        <v>02</v>
      </c>
      <c r="D135">
        <f t="shared" si="11"/>
        <v>2026</v>
      </c>
      <c r="E135" t="s">
        <v>170</v>
      </c>
      <c r="F135" t="s">
        <v>14</v>
      </c>
      <c r="G135" t="s">
        <v>642</v>
      </c>
      <c r="H135">
        <v>0</v>
      </c>
      <c r="I135">
        <v>0</v>
      </c>
      <c r="J135" s="1">
        <f t="shared" si="12"/>
        <v>46054</v>
      </c>
      <c r="K135" t="str">
        <f t="shared" si="13"/>
        <v>fev/26</v>
      </c>
      <c r="L135" t="str">
        <f t="shared" si="14"/>
        <v>dom</v>
      </c>
      <c r="M135">
        <f>SUMIFS(BASE_FIXA_TEND!AN:AN,BASE_FIXA_TEND!$A:$A,$A135,BASE_FIXA_TEND!$B:$B,$E135,BASE_FIXA_TEND!$D:$D,$F135)</f>
        <v>16.605448567401503</v>
      </c>
    </row>
    <row r="136" spans="1:13" x14ac:dyDescent="0.3">
      <c r="A136" t="s">
        <v>339</v>
      </c>
      <c r="B136" s="1">
        <v>46054</v>
      </c>
      <c r="C136" t="str">
        <f t="shared" si="10"/>
        <v>02</v>
      </c>
      <c r="D136">
        <f t="shared" si="11"/>
        <v>2026</v>
      </c>
      <c r="E136" t="s">
        <v>170</v>
      </c>
      <c r="F136" t="s">
        <v>14</v>
      </c>
      <c r="G136" t="s">
        <v>642</v>
      </c>
      <c r="H136">
        <v>0</v>
      </c>
      <c r="I136">
        <v>0</v>
      </c>
      <c r="J136" s="1">
        <f t="shared" si="12"/>
        <v>46054</v>
      </c>
      <c r="K136" t="str">
        <f t="shared" si="13"/>
        <v>fev/26</v>
      </c>
      <c r="L136" t="str">
        <f t="shared" si="14"/>
        <v>dom</v>
      </c>
      <c r="M136">
        <f>SUMIFS(BASE_FIXA_TEND!AN:AN,BASE_FIXA_TEND!$A:$A,$A136,BASE_FIXA_TEND!$B:$B,$E136,BASE_FIXA_TEND!$D:$D,$F136)</f>
        <v>3</v>
      </c>
    </row>
    <row r="137" spans="1:13" x14ac:dyDescent="0.3">
      <c r="A137" t="s">
        <v>380</v>
      </c>
      <c r="B137" s="1">
        <v>46054</v>
      </c>
      <c r="C137" t="str">
        <f t="shared" si="10"/>
        <v>02</v>
      </c>
      <c r="D137">
        <f t="shared" si="11"/>
        <v>2026</v>
      </c>
      <c r="E137" t="s">
        <v>170</v>
      </c>
      <c r="F137" t="s">
        <v>14</v>
      </c>
      <c r="G137" t="s">
        <v>642</v>
      </c>
      <c r="H137">
        <v>0</v>
      </c>
      <c r="I137">
        <v>0</v>
      </c>
      <c r="J137" s="1">
        <f t="shared" si="12"/>
        <v>46054</v>
      </c>
      <c r="K137" t="str">
        <f t="shared" si="13"/>
        <v>fev/26</v>
      </c>
      <c r="L137" t="str">
        <f t="shared" si="14"/>
        <v>dom</v>
      </c>
      <c r="M137">
        <f>SUMIFS(BASE_FIXA_TEND!AN:AN,BASE_FIXA_TEND!$A:$A,$A137,BASE_FIXA_TEND!$B:$B,$E137,BASE_FIXA_TEND!$D:$D,$F137)</f>
        <v>9</v>
      </c>
    </row>
    <row r="138" spans="1:13" x14ac:dyDescent="0.3">
      <c r="A138" t="s">
        <v>446</v>
      </c>
      <c r="B138" s="1">
        <v>46054</v>
      </c>
      <c r="C138" t="str">
        <f t="shared" si="10"/>
        <v>02</v>
      </c>
      <c r="D138">
        <f t="shared" si="11"/>
        <v>2026</v>
      </c>
      <c r="E138" t="s">
        <v>170</v>
      </c>
      <c r="F138" t="s">
        <v>14</v>
      </c>
      <c r="G138" t="s">
        <v>642</v>
      </c>
      <c r="H138">
        <v>0</v>
      </c>
      <c r="I138">
        <v>0</v>
      </c>
      <c r="J138" s="1">
        <f t="shared" si="12"/>
        <v>46054</v>
      </c>
      <c r="K138" t="str">
        <f t="shared" si="13"/>
        <v>fev/26</v>
      </c>
      <c r="L138" t="str">
        <f t="shared" si="14"/>
        <v>dom</v>
      </c>
      <c r="M138">
        <f>SUMIFS(BASE_FIXA_TEND!AN:AN,BASE_FIXA_TEND!$A:$A,$A138,BASE_FIXA_TEND!$B:$B,$E138,BASE_FIXA_TEND!$D:$D,$F138)</f>
        <v>5.8684828558005</v>
      </c>
    </row>
    <row r="139" spans="1:13" x14ac:dyDescent="0.3">
      <c r="A139" t="s">
        <v>516</v>
      </c>
      <c r="B139" s="1">
        <v>46054</v>
      </c>
      <c r="C139" t="str">
        <f t="shared" si="10"/>
        <v>02</v>
      </c>
      <c r="D139">
        <f t="shared" si="11"/>
        <v>2026</v>
      </c>
      <c r="E139" t="s">
        <v>170</v>
      </c>
      <c r="F139" t="s">
        <v>14</v>
      </c>
      <c r="G139" t="s">
        <v>642</v>
      </c>
      <c r="H139">
        <v>0</v>
      </c>
      <c r="I139">
        <v>0</v>
      </c>
      <c r="J139" s="1">
        <f t="shared" si="12"/>
        <v>46054</v>
      </c>
      <c r="K139" t="str">
        <f t="shared" si="13"/>
        <v>fev/26</v>
      </c>
      <c r="L139" t="str">
        <f t="shared" si="14"/>
        <v>dom</v>
      </c>
      <c r="M139">
        <f>SUMIFS(BASE_FIXA_TEND!AN:AN,BASE_FIXA_TEND!$A:$A,$A139,BASE_FIXA_TEND!$B:$B,$E139,BASE_FIXA_TEND!$D:$D,$F139)</f>
        <v>31.302724283700751</v>
      </c>
    </row>
    <row r="140" spans="1:13" x14ac:dyDescent="0.3">
      <c r="A140" t="s">
        <v>573</v>
      </c>
      <c r="B140" s="1">
        <v>46054</v>
      </c>
      <c r="C140" t="str">
        <f t="shared" si="10"/>
        <v>02</v>
      </c>
      <c r="D140">
        <f t="shared" si="11"/>
        <v>2026</v>
      </c>
      <c r="E140" t="s">
        <v>170</v>
      </c>
      <c r="F140" t="s">
        <v>14</v>
      </c>
      <c r="G140" t="s">
        <v>642</v>
      </c>
      <c r="H140">
        <v>0</v>
      </c>
      <c r="I140">
        <v>0</v>
      </c>
      <c r="J140" s="1">
        <f t="shared" si="12"/>
        <v>46054</v>
      </c>
      <c r="K140" t="str">
        <f t="shared" si="13"/>
        <v>fev/26</v>
      </c>
      <c r="L140" t="str">
        <f t="shared" si="14"/>
        <v>dom</v>
      </c>
      <c r="M140">
        <f>SUMIFS(BASE_FIXA_TEND!AN:AN,BASE_FIXA_TEND!$A:$A,$A140,BASE_FIXA_TEND!$B:$B,$E140,BASE_FIXA_TEND!$D:$D,$F140)</f>
        <v>1</v>
      </c>
    </row>
    <row r="141" spans="1:13" x14ac:dyDescent="0.3">
      <c r="A141" t="s">
        <v>605</v>
      </c>
      <c r="B141" s="1">
        <v>46054</v>
      </c>
      <c r="C141" t="str">
        <f t="shared" si="10"/>
        <v>02</v>
      </c>
      <c r="D141">
        <f t="shared" si="11"/>
        <v>2026</v>
      </c>
      <c r="E141" t="s">
        <v>170</v>
      </c>
      <c r="F141" t="s">
        <v>14</v>
      </c>
      <c r="G141" t="s">
        <v>642</v>
      </c>
      <c r="H141">
        <v>0</v>
      </c>
      <c r="I141">
        <v>0</v>
      </c>
      <c r="J141" s="1">
        <f t="shared" si="12"/>
        <v>46054</v>
      </c>
      <c r="K141" t="str">
        <f t="shared" si="13"/>
        <v>fev/26</v>
      </c>
      <c r="L141" t="str">
        <f t="shared" si="14"/>
        <v>dom</v>
      </c>
      <c r="M141">
        <f>SUMIFS(BASE_FIXA_TEND!AN:AN,BASE_FIXA_TEND!$A:$A,$A141,BASE_FIXA_TEND!$B:$B,$E141,BASE_FIXA_TEND!$D:$D,$F141)</f>
        <v>2</v>
      </c>
    </row>
    <row r="142" spans="1:13" x14ac:dyDescent="0.3">
      <c r="A142" t="s">
        <v>8</v>
      </c>
      <c r="B142" s="1">
        <v>46054</v>
      </c>
      <c r="C142" t="str">
        <f t="shared" si="10"/>
        <v>02</v>
      </c>
      <c r="D142">
        <f t="shared" si="11"/>
        <v>2026</v>
      </c>
      <c r="E142" t="s">
        <v>164</v>
      </c>
      <c r="F142" t="s">
        <v>647</v>
      </c>
      <c r="G142" t="s">
        <v>646</v>
      </c>
      <c r="H142">
        <v>0</v>
      </c>
      <c r="I142">
        <v>0</v>
      </c>
      <c r="J142" s="1">
        <f t="shared" si="12"/>
        <v>46054</v>
      </c>
      <c r="K142" t="str">
        <f t="shared" si="13"/>
        <v>fev/26</v>
      </c>
      <c r="L142" t="str">
        <f t="shared" si="14"/>
        <v>dom</v>
      </c>
      <c r="M142">
        <f>SUMIFS(BASE_MOVEL_TEND!$D:$D,BASE_MOVEL_TEND!$A:$A,$F142,BASE_MOVEL_TEND!$B:$B,$E142,BASE_MOVEL_TEND!$C:$C,$A142)</f>
        <v>393.56056962262016</v>
      </c>
    </row>
    <row r="143" spans="1:13" x14ac:dyDescent="0.3">
      <c r="A143" t="s">
        <v>173</v>
      </c>
      <c r="B143" s="1">
        <v>46054</v>
      </c>
      <c r="C143" t="str">
        <f t="shared" si="10"/>
        <v>02</v>
      </c>
      <c r="D143">
        <f t="shared" si="11"/>
        <v>2026</v>
      </c>
      <c r="E143" t="s">
        <v>164</v>
      </c>
      <c r="F143" t="s">
        <v>647</v>
      </c>
      <c r="G143" t="s">
        <v>646</v>
      </c>
      <c r="H143">
        <v>0</v>
      </c>
      <c r="I143">
        <v>0</v>
      </c>
      <c r="J143" s="1">
        <f t="shared" si="12"/>
        <v>46054</v>
      </c>
      <c r="K143" t="str">
        <f t="shared" si="13"/>
        <v>fev/26</v>
      </c>
      <c r="L143" t="str">
        <f t="shared" si="14"/>
        <v>dom</v>
      </c>
      <c r="M143">
        <f>SUMIFS(BASE_MOVEL_TEND!$D:$D,BASE_MOVEL_TEND!$A:$A,$F143,BASE_MOVEL_TEND!$B:$B,$E143,BASE_MOVEL_TEND!$C:$C,$A143)</f>
        <v>465.04540953382491</v>
      </c>
    </row>
    <row r="144" spans="1:13" x14ac:dyDescent="0.3">
      <c r="A144" t="s">
        <v>242</v>
      </c>
      <c r="B144" s="1">
        <v>46054</v>
      </c>
      <c r="C144" t="str">
        <f t="shared" si="10"/>
        <v>02</v>
      </c>
      <c r="D144">
        <f t="shared" si="11"/>
        <v>2026</v>
      </c>
      <c r="E144" t="s">
        <v>164</v>
      </c>
      <c r="F144" t="s">
        <v>647</v>
      </c>
      <c r="G144" t="s">
        <v>646</v>
      </c>
      <c r="H144">
        <v>0</v>
      </c>
      <c r="I144">
        <v>0</v>
      </c>
      <c r="J144" s="1">
        <f t="shared" si="12"/>
        <v>46054</v>
      </c>
      <c r="K144" t="str">
        <f t="shared" si="13"/>
        <v>fev/26</v>
      </c>
      <c r="L144" t="str">
        <f t="shared" si="14"/>
        <v>dom</v>
      </c>
      <c r="M144">
        <f>SUMIFS(BASE_MOVEL_TEND!$D:$D,BASE_MOVEL_TEND!$A:$A,$F144,BASE_MOVEL_TEND!$B:$B,$E144,BASE_MOVEL_TEND!$C:$C,$A144)</f>
        <v>202.79921723916397</v>
      </c>
    </row>
    <row r="145" spans="1:13" x14ac:dyDescent="0.3">
      <c r="A145" t="s">
        <v>286</v>
      </c>
      <c r="B145" s="1">
        <v>46054</v>
      </c>
      <c r="C145" t="str">
        <f t="shared" si="10"/>
        <v>02</v>
      </c>
      <c r="D145">
        <f t="shared" si="11"/>
        <v>2026</v>
      </c>
      <c r="E145" t="s">
        <v>164</v>
      </c>
      <c r="F145" t="s">
        <v>647</v>
      </c>
      <c r="G145" t="s">
        <v>646</v>
      </c>
      <c r="H145">
        <v>0</v>
      </c>
      <c r="I145">
        <v>0</v>
      </c>
      <c r="J145" s="1">
        <f t="shared" si="12"/>
        <v>46054</v>
      </c>
      <c r="K145" t="str">
        <f t="shared" si="13"/>
        <v>fev/26</v>
      </c>
      <c r="L145" t="str">
        <f t="shared" si="14"/>
        <v>dom</v>
      </c>
      <c r="M145">
        <f>SUMIFS(BASE_MOVEL_TEND!$D:$D,BASE_MOVEL_TEND!$A:$A,$F145,BASE_MOVEL_TEND!$B:$B,$E145,BASE_MOVEL_TEND!$C:$C,$A145)</f>
        <v>400.04845569809618</v>
      </c>
    </row>
    <row r="146" spans="1:13" x14ac:dyDescent="0.3">
      <c r="A146" t="s">
        <v>339</v>
      </c>
      <c r="B146" s="1">
        <v>46054</v>
      </c>
      <c r="C146" t="str">
        <f t="shared" si="10"/>
        <v>02</v>
      </c>
      <c r="D146">
        <f t="shared" si="11"/>
        <v>2026</v>
      </c>
      <c r="E146" t="s">
        <v>164</v>
      </c>
      <c r="F146" t="s">
        <v>647</v>
      </c>
      <c r="G146" t="s">
        <v>646</v>
      </c>
      <c r="H146">
        <v>0</v>
      </c>
      <c r="I146">
        <v>0</v>
      </c>
      <c r="J146" s="1">
        <f t="shared" si="12"/>
        <v>46054</v>
      </c>
      <c r="K146" t="str">
        <f t="shared" si="13"/>
        <v>fev/26</v>
      </c>
      <c r="L146" t="str">
        <f t="shared" si="14"/>
        <v>dom</v>
      </c>
      <c r="M146">
        <f>SUMIFS(BASE_MOVEL_TEND!$D:$D,BASE_MOVEL_TEND!$A:$A,$F146,BASE_MOVEL_TEND!$B:$B,$E146,BASE_MOVEL_TEND!$C:$C,$A146)</f>
        <v>176.6590748335089</v>
      </c>
    </row>
    <row r="147" spans="1:13" x14ac:dyDescent="0.3">
      <c r="A147" t="s">
        <v>380</v>
      </c>
      <c r="B147" s="1">
        <v>46054</v>
      </c>
      <c r="C147" t="str">
        <f t="shared" si="10"/>
        <v>02</v>
      </c>
      <c r="D147">
        <f t="shared" si="11"/>
        <v>2026</v>
      </c>
      <c r="E147" t="s">
        <v>164</v>
      </c>
      <c r="F147" t="s">
        <v>647</v>
      </c>
      <c r="G147" t="s">
        <v>646</v>
      </c>
      <c r="H147">
        <v>0</v>
      </c>
      <c r="I147">
        <v>0</v>
      </c>
      <c r="J147" s="1">
        <f t="shared" si="12"/>
        <v>46054</v>
      </c>
      <c r="K147" t="str">
        <f t="shared" si="13"/>
        <v>fev/26</v>
      </c>
      <c r="L147" t="str">
        <f t="shared" si="14"/>
        <v>dom</v>
      </c>
      <c r="M147">
        <f>SUMIFS(BASE_MOVEL_TEND!$D:$D,BASE_MOVEL_TEND!$A:$A,$F147,BASE_MOVEL_TEND!$B:$B,$E147,BASE_MOVEL_TEND!$C:$C,$A147)</f>
        <v>434.18177960042135</v>
      </c>
    </row>
    <row r="148" spans="1:13" x14ac:dyDescent="0.3">
      <c r="A148" t="s">
        <v>446</v>
      </c>
      <c r="B148" s="1">
        <v>46054</v>
      </c>
      <c r="C148" t="str">
        <f t="shared" si="10"/>
        <v>02</v>
      </c>
      <c r="D148">
        <f t="shared" si="11"/>
        <v>2026</v>
      </c>
      <c r="E148" t="s">
        <v>164</v>
      </c>
      <c r="F148" t="s">
        <v>647</v>
      </c>
      <c r="G148" t="s">
        <v>646</v>
      </c>
      <c r="H148">
        <v>0</v>
      </c>
      <c r="I148">
        <v>0</v>
      </c>
      <c r="J148" s="1">
        <f t="shared" si="12"/>
        <v>46054</v>
      </c>
      <c r="K148" t="str">
        <f t="shared" si="13"/>
        <v>fev/26</v>
      </c>
      <c r="L148" t="str">
        <f t="shared" si="14"/>
        <v>dom</v>
      </c>
      <c r="M148">
        <f>SUMIFS(BASE_MOVEL_TEND!$D:$D,BASE_MOVEL_TEND!$A:$A,$F148,BASE_MOVEL_TEND!$B:$B,$E148,BASE_MOVEL_TEND!$C:$C,$A148)</f>
        <v>262.11664073139434</v>
      </c>
    </row>
    <row r="149" spans="1:13" x14ac:dyDescent="0.3">
      <c r="A149" t="s">
        <v>516</v>
      </c>
      <c r="B149" s="1">
        <v>46054</v>
      </c>
      <c r="C149" t="str">
        <f t="shared" si="10"/>
        <v>02</v>
      </c>
      <c r="D149">
        <f t="shared" si="11"/>
        <v>2026</v>
      </c>
      <c r="E149" t="s">
        <v>164</v>
      </c>
      <c r="F149" t="s">
        <v>647</v>
      </c>
      <c r="G149" t="s">
        <v>646</v>
      </c>
      <c r="H149">
        <v>0</v>
      </c>
      <c r="I149">
        <v>0</v>
      </c>
      <c r="J149" s="1">
        <f t="shared" si="12"/>
        <v>46054</v>
      </c>
      <c r="K149" t="str">
        <f t="shared" si="13"/>
        <v>fev/26</v>
      </c>
      <c r="L149" t="str">
        <f t="shared" si="14"/>
        <v>dom</v>
      </c>
      <c r="M149">
        <f>SUMIFS(BASE_MOVEL_TEND!$D:$D,BASE_MOVEL_TEND!$A:$A,$F149,BASE_MOVEL_TEND!$B:$B,$E149,BASE_MOVEL_TEND!$C:$C,$A149)</f>
        <v>983.50370160649777</v>
      </c>
    </row>
    <row r="150" spans="1:13" x14ac:dyDescent="0.3">
      <c r="A150" t="s">
        <v>573</v>
      </c>
      <c r="B150" s="1">
        <v>46054</v>
      </c>
      <c r="C150" t="str">
        <f t="shared" si="10"/>
        <v>02</v>
      </c>
      <c r="D150">
        <f t="shared" si="11"/>
        <v>2026</v>
      </c>
      <c r="E150" t="s">
        <v>164</v>
      </c>
      <c r="F150" t="s">
        <v>647</v>
      </c>
      <c r="G150" t="s">
        <v>646</v>
      </c>
      <c r="H150">
        <v>0</v>
      </c>
      <c r="I150">
        <v>0</v>
      </c>
      <c r="J150" s="1">
        <f t="shared" si="12"/>
        <v>46054</v>
      </c>
      <c r="K150" t="str">
        <f t="shared" si="13"/>
        <v>fev/26</v>
      </c>
      <c r="L150" t="str">
        <f t="shared" si="14"/>
        <v>dom</v>
      </c>
      <c r="M150">
        <f>SUMIFS(BASE_MOVEL_TEND!$D:$D,BASE_MOVEL_TEND!$A:$A,$F150,BASE_MOVEL_TEND!$B:$B,$E150,BASE_MOVEL_TEND!$C:$C,$A150)</f>
        <v>123.0924128823463</v>
      </c>
    </row>
    <row r="151" spans="1:13" x14ac:dyDescent="0.3">
      <c r="A151" t="s">
        <v>605</v>
      </c>
      <c r="B151" s="1">
        <v>46054</v>
      </c>
      <c r="C151" t="str">
        <f t="shared" ref="C151:C214" si="15">TEXT(B151,"MM")</f>
        <v>02</v>
      </c>
      <c r="D151">
        <f t="shared" ref="D151:D214" si="16">YEAR(B151)</f>
        <v>2026</v>
      </c>
      <c r="E151" t="s">
        <v>164</v>
      </c>
      <c r="F151" t="s">
        <v>647</v>
      </c>
      <c r="G151" t="s">
        <v>646</v>
      </c>
      <c r="H151">
        <v>0</v>
      </c>
      <c r="I151">
        <v>0</v>
      </c>
      <c r="J151" s="1">
        <f t="shared" ref="J151:J214" si="17">B151</f>
        <v>46054</v>
      </c>
      <c r="K151" t="str">
        <f t="shared" ref="K151:K214" si="18">TEXT(J151,"MMM/AA")</f>
        <v>fev/26</v>
      </c>
      <c r="L151" t="str">
        <f t="shared" ref="L151:L214" si="19">TEXT(J151,"DDD")</f>
        <v>dom</v>
      </c>
      <c r="M151">
        <f>SUMIFS(BASE_MOVEL_TEND!$D:$D,BASE_MOVEL_TEND!$A:$A,$F151,BASE_MOVEL_TEND!$B:$B,$E151,BASE_MOVEL_TEND!$C:$C,$A151)</f>
        <v>138.38256236125741</v>
      </c>
    </row>
    <row r="152" spans="1:13" x14ac:dyDescent="0.3">
      <c r="A152" t="s">
        <v>8</v>
      </c>
      <c r="B152" s="1">
        <v>46054</v>
      </c>
      <c r="C152" t="str">
        <f t="shared" si="15"/>
        <v>02</v>
      </c>
      <c r="D152">
        <f t="shared" si="16"/>
        <v>2026</v>
      </c>
      <c r="E152" t="s">
        <v>164</v>
      </c>
      <c r="F152" t="s">
        <v>664</v>
      </c>
      <c r="G152" t="s">
        <v>646</v>
      </c>
      <c r="H152">
        <v>0</v>
      </c>
      <c r="I152">
        <v>0</v>
      </c>
      <c r="J152" s="1">
        <f t="shared" si="17"/>
        <v>46054</v>
      </c>
      <c r="K152" t="str">
        <f t="shared" si="18"/>
        <v>fev/26</v>
      </c>
      <c r="L152" t="str">
        <f t="shared" si="19"/>
        <v>dom</v>
      </c>
      <c r="M152">
        <f>SUMIFS(BASE_MOVEL_TEND!$D:$D,BASE_MOVEL_TEND!$A:$A,$F152,BASE_MOVEL_TEND!$B:$B,$E152,BASE_MOVEL_TEND!$C:$C,$A152)</f>
        <v>367.31814966701779</v>
      </c>
    </row>
    <row r="153" spans="1:13" x14ac:dyDescent="0.3">
      <c r="A153" t="s">
        <v>173</v>
      </c>
      <c r="B153" s="1">
        <v>46054</v>
      </c>
      <c r="C153" t="str">
        <f t="shared" si="15"/>
        <v>02</v>
      </c>
      <c r="D153">
        <f t="shared" si="16"/>
        <v>2026</v>
      </c>
      <c r="E153" t="s">
        <v>164</v>
      </c>
      <c r="F153" t="s">
        <v>664</v>
      </c>
      <c r="G153" t="s">
        <v>646</v>
      </c>
      <c r="H153">
        <v>0</v>
      </c>
      <c r="I153">
        <v>0</v>
      </c>
      <c r="J153" s="1">
        <f t="shared" si="17"/>
        <v>46054</v>
      </c>
      <c r="K153" t="str">
        <f t="shared" si="18"/>
        <v>fev/26</v>
      </c>
      <c r="L153" t="str">
        <f t="shared" si="19"/>
        <v>dom</v>
      </c>
      <c r="M153">
        <f>SUMIFS(BASE_MOVEL_TEND!$D:$D,BASE_MOVEL_TEND!$A:$A,$F153,BASE_MOVEL_TEND!$B:$B,$E153,BASE_MOVEL_TEND!$C:$C,$A153)</f>
        <v>414.47192907933248</v>
      </c>
    </row>
    <row r="154" spans="1:13" x14ac:dyDescent="0.3">
      <c r="A154" t="s">
        <v>242</v>
      </c>
      <c r="B154" s="1">
        <v>46054</v>
      </c>
      <c r="C154" t="str">
        <f t="shared" si="15"/>
        <v>02</v>
      </c>
      <c r="D154">
        <f t="shared" si="16"/>
        <v>2026</v>
      </c>
      <c r="E154" t="s">
        <v>164</v>
      </c>
      <c r="F154" t="s">
        <v>664</v>
      </c>
      <c r="G154" t="s">
        <v>646</v>
      </c>
      <c r="H154">
        <v>0</v>
      </c>
      <c r="I154">
        <v>0</v>
      </c>
      <c r="J154" s="1">
        <f t="shared" si="17"/>
        <v>46054</v>
      </c>
      <c r="K154" t="str">
        <f t="shared" si="18"/>
        <v>fev/26</v>
      </c>
      <c r="L154" t="str">
        <f t="shared" si="19"/>
        <v>dom</v>
      </c>
      <c r="M154">
        <f>SUMIFS(BASE_MOVEL_TEND!$D:$D,BASE_MOVEL_TEND!$A:$A,$F154,BASE_MOVEL_TEND!$B:$B,$E154,BASE_MOVEL_TEND!$C:$C,$A154)</f>
        <v>173.48179374693356</v>
      </c>
    </row>
    <row r="155" spans="1:13" x14ac:dyDescent="0.3">
      <c r="A155" t="s">
        <v>286</v>
      </c>
      <c r="B155" s="1">
        <v>46054</v>
      </c>
      <c r="C155" t="str">
        <f t="shared" si="15"/>
        <v>02</v>
      </c>
      <c r="D155">
        <f t="shared" si="16"/>
        <v>2026</v>
      </c>
      <c r="E155" t="s">
        <v>164</v>
      </c>
      <c r="F155" t="s">
        <v>664</v>
      </c>
      <c r="G155" t="s">
        <v>646</v>
      </c>
      <c r="H155">
        <v>0</v>
      </c>
      <c r="I155">
        <v>0</v>
      </c>
      <c r="J155" s="1">
        <f t="shared" si="17"/>
        <v>46054</v>
      </c>
      <c r="K155" t="str">
        <f t="shared" si="18"/>
        <v>fev/26</v>
      </c>
      <c r="L155" t="str">
        <f t="shared" si="19"/>
        <v>dom</v>
      </c>
      <c r="M155">
        <f>SUMIFS(BASE_MOVEL_TEND!$D:$D,BASE_MOVEL_TEND!$A:$A,$F155,BASE_MOVEL_TEND!$B:$B,$E155,BASE_MOVEL_TEND!$C:$C,$A155)</f>
        <v>366.44088272695461</v>
      </c>
    </row>
    <row r="156" spans="1:13" x14ac:dyDescent="0.3">
      <c r="A156" t="s">
        <v>339</v>
      </c>
      <c r="B156" s="1">
        <v>46054</v>
      </c>
      <c r="C156" t="str">
        <f t="shared" si="15"/>
        <v>02</v>
      </c>
      <c r="D156">
        <f t="shared" si="16"/>
        <v>2026</v>
      </c>
      <c r="E156" t="s">
        <v>164</v>
      </c>
      <c r="F156" t="s">
        <v>664</v>
      </c>
      <c r="G156" t="s">
        <v>646</v>
      </c>
      <c r="H156">
        <v>0</v>
      </c>
      <c r="I156">
        <v>0</v>
      </c>
      <c r="J156" s="1">
        <f t="shared" si="17"/>
        <v>46054</v>
      </c>
      <c r="K156" t="str">
        <f t="shared" si="18"/>
        <v>fev/26</v>
      </c>
      <c r="L156" t="str">
        <f t="shared" si="19"/>
        <v>dom</v>
      </c>
      <c r="M156">
        <f>SUMIFS(BASE_MOVEL_TEND!$D:$D,BASE_MOVEL_TEND!$A:$A,$F156,BASE_MOVEL_TEND!$B:$B,$E156,BASE_MOVEL_TEND!$C:$C,$A156)</f>
        <v>156.03786485570771</v>
      </c>
    </row>
    <row r="157" spans="1:13" x14ac:dyDescent="0.3">
      <c r="A157" t="s">
        <v>380</v>
      </c>
      <c r="B157" s="1">
        <v>46054</v>
      </c>
      <c r="C157" t="str">
        <f t="shared" si="15"/>
        <v>02</v>
      </c>
      <c r="D157">
        <f t="shared" si="16"/>
        <v>2026</v>
      </c>
      <c r="E157" t="s">
        <v>164</v>
      </c>
      <c r="F157" t="s">
        <v>664</v>
      </c>
      <c r="G157" t="s">
        <v>646</v>
      </c>
      <c r="H157">
        <v>0</v>
      </c>
      <c r="I157">
        <v>0</v>
      </c>
      <c r="J157" s="1">
        <f t="shared" si="17"/>
        <v>46054</v>
      </c>
      <c r="K157" t="str">
        <f t="shared" si="18"/>
        <v>fev/26</v>
      </c>
      <c r="L157" t="str">
        <f t="shared" si="19"/>
        <v>dom</v>
      </c>
      <c r="M157">
        <f>SUMIFS(BASE_MOVEL_TEND!$D:$D,BASE_MOVEL_TEND!$A:$A,$F157,BASE_MOVEL_TEND!$B:$B,$E157,BASE_MOVEL_TEND!$C:$C,$A157)</f>
        <v>376.0075446781172</v>
      </c>
    </row>
    <row r="158" spans="1:13" x14ac:dyDescent="0.3">
      <c r="A158" t="s">
        <v>446</v>
      </c>
      <c r="B158" s="1">
        <v>46054</v>
      </c>
      <c r="C158" t="str">
        <f t="shared" si="15"/>
        <v>02</v>
      </c>
      <c r="D158">
        <f t="shared" si="16"/>
        <v>2026</v>
      </c>
      <c r="E158" t="s">
        <v>164</v>
      </c>
      <c r="F158" t="s">
        <v>664</v>
      </c>
      <c r="G158" t="s">
        <v>646</v>
      </c>
      <c r="H158">
        <v>0</v>
      </c>
      <c r="I158">
        <v>0</v>
      </c>
      <c r="J158" s="1">
        <f t="shared" si="17"/>
        <v>46054</v>
      </c>
      <c r="K158" t="str">
        <f t="shared" si="18"/>
        <v>fev/26</v>
      </c>
      <c r="L158" t="str">
        <f t="shared" si="19"/>
        <v>dom</v>
      </c>
      <c r="M158">
        <f>SUMIFS(BASE_MOVEL_TEND!$D:$D,BASE_MOVEL_TEND!$A:$A,$F158,BASE_MOVEL_TEND!$B:$B,$E158,BASE_MOVEL_TEND!$C:$C,$A158)</f>
        <v>229.83330975581305</v>
      </c>
    </row>
    <row r="159" spans="1:13" x14ac:dyDescent="0.3">
      <c r="A159" t="s">
        <v>516</v>
      </c>
      <c r="B159" s="1">
        <v>46054</v>
      </c>
      <c r="C159" t="str">
        <f t="shared" si="15"/>
        <v>02</v>
      </c>
      <c r="D159">
        <f t="shared" si="16"/>
        <v>2026</v>
      </c>
      <c r="E159" t="s">
        <v>164</v>
      </c>
      <c r="F159" t="s">
        <v>664</v>
      </c>
      <c r="G159" t="s">
        <v>646</v>
      </c>
      <c r="H159">
        <v>0</v>
      </c>
      <c r="I159">
        <v>0</v>
      </c>
      <c r="J159" s="1">
        <f t="shared" si="17"/>
        <v>46054</v>
      </c>
      <c r="K159" t="str">
        <f t="shared" si="18"/>
        <v>fev/26</v>
      </c>
      <c r="L159" t="str">
        <f t="shared" si="19"/>
        <v>dom</v>
      </c>
      <c r="M159">
        <f>SUMIFS(BASE_MOVEL_TEND!$D:$D,BASE_MOVEL_TEND!$A:$A,$F159,BASE_MOVEL_TEND!$B:$B,$E159,BASE_MOVEL_TEND!$C:$C,$A159)</f>
        <v>877.57870514312583</v>
      </c>
    </row>
    <row r="160" spans="1:13" x14ac:dyDescent="0.3">
      <c r="A160" t="s">
        <v>573</v>
      </c>
      <c r="B160" s="1">
        <v>46054</v>
      </c>
      <c r="C160" t="str">
        <f t="shared" si="15"/>
        <v>02</v>
      </c>
      <c r="D160">
        <f t="shared" si="16"/>
        <v>2026</v>
      </c>
      <c r="E160" t="s">
        <v>164</v>
      </c>
      <c r="F160" t="s">
        <v>664</v>
      </c>
      <c r="G160" t="s">
        <v>646</v>
      </c>
      <c r="H160">
        <v>0</v>
      </c>
      <c r="I160">
        <v>0</v>
      </c>
      <c r="J160" s="1">
        <f t="shared" si="17"/>
        <v>46054</v>
      </c>
      <c r="K160" t="str">
        <f t="shared" si="18"/>
        <v>fev/26</v>
      </c>
      <c r="L160" t="str">
        <f t="shared" si="19"/>
        <v>dom</v>
      </c>
      <c r="M160">
        <f>SUMIFS(BASE_MOVEL_TEND!$D:$D,BASE_MOVEL_TEND!$A:$A,$F160,BASE_MOVEL_TEND!$B:$B,$E160,BASE_MOVEL_TEND!$C:$C,$A160)</f>
        <v>116.77498939011588</v>
      </c>
    </row>
    <row r="161" spans="1:13" x14ac:dyDescent="0.3">
      <c r="A161" t="s">
        <v>605</v>
      </c>
      <c r="B161" s="1">
        <v>46054</v>
      </c>
      <c r="C161" t="str">
        <f t="shared" si="15"/>
        <v>02</v>
      </c>
      <c r="D161">
        <f t="shared" si="16"/>
        <v>2026</v>
      </c>
      <c r="E161" t="s">
        <v>164</v>
      </c>
      <c r="F161" t="s">
        <v>664</v>
      </c>
      <c r="G161" t="s">
        <v>646</v>
      </c>
      <c r="H161">
        <v>0</v>
      </c>
      <c r="I161">
        <v>0</v>
      </c>
      <c r="J161" s="1">
        <f t="shared" si="17"/>
        <v>46054</v>
      </c>
      <c r="K161" t="str">
        <f t="shared" si="18"/>
        <v>fev/26</v>
      </c>
      <c r="L161" t="str">
        <f t="shared" si="19"/>
        <v>dom</v>
      </c>
      <c r="M161">
        <f>SUMIFS(BASE_MOVEL_TEND!$D:$D,BASE_MOVEL_TEND!$A:$A,$F161,BASE_MOVEL_TEND!$B:$B,$E161,BASE_MOVEL_TEND!$C:$C,$A161)</f>
        <v>129.72044136347731</v>
      </c>
    </row>
    <row r="162" spans="1:13" x14ac:dyDescent="0.3">
      <c r="A162" t="s">
        <v>8</v>
      </c>
      <c r="B162" s="1">
        <v>46054</v>
      </c>
      <c r="C162" t="str">
        <f t="shared" si="15"/>
        <v>02</v>
      </c>
      <c r="D162">
        <f t="shared" si="16"/>
        <v>2026</v>
      </c>
      <c r="E162" t="s">
        <v>643</v>
      </c>
      <c r="F162" t="s">
        <v>647</v>
      </c>
      <c r="G162" t="s">
        <v>646</v>
      </c>
      <c r="H162">
        <v>0</v>
      </c>
      <c r="I162">
        <v>0</v>
      </c>
      <c r="J162" s="1">
        <f t="shared" si="17"/>
        <v>46054</v>
      </c>
      <c r="K162" t="str">
        <f t="shared" si="18"/>
        <v>fev/26</v>
      </c>
      <c r="L162" t="str">
        <f t="shared" si="19"/>
        <v>dom</v>
      </c>
      <c r="M162">
        <f>SUMIFS(BASE_MOVEL_TEND!$D:$D,BASE_MOVEL_TEND!$A:$A,$F162,BASE_MOVEL_TEND!$B:$B,$E162,BASE_MOVEL_TEND!$C:$C,$A162)</f>
        <v>76.546206441173155</v>
      </c>
    </row>
    <row r="163" spans="1:13" x14ac:dyDescent="0.3">
      <c r="A163" t="s">
        <v>173</v>
      </c>
      <c r="B163" s="1">
        <v>46054</v>
      </c>
      <c r="C163" t="str">
        <f t="shared" si="15"/>
        <v>02</v>
      </c>
      <c r="D163">
        <f t="shared" si="16"/>
        <v>2026</v>
      </c>
      <c r="E163" t="s">
        <v>643</v>
      </c>
      <c r="F163" t="s">
        <v>647</v>
      </c>
      <c r="G163" t="s">
        <v>646</v>
      </c>
      <c r="H163">
        <v>0</v>
      </c>
      <c r="I163">
        <v>0</v>
      </c>
      <c r="J163" s="1">
        <f t="shared" si="17"/>
        <v>46054</v>
      </c>
      <c r="K163" t="str">
        <f t="shared" si="18"/>
        <v>fev/26</v>
      </c>
      <c r="L163" t="str">
        <f t="shared" si="19"/>
        <v>dom</v>
      </c>
      <c r="M163">
        <f>SUMIFS(BASE_MOVEL_TEND!$D:$D,BASE_MOVEL_TEND!$A:$A,$F163,BASE_MOVEL_TEND!$B:$B,$E163,BASE_MOVEL_TEND!$C:$C,$A163)</f>
        <v>76.843174423414098</v>
      </c>
    </row>
    <row r="164" spans="1:13" x14ac:dyDescent="0.3">
      <c r="A164" t="s">
        <v>242</v>
      </c>
      <c r="B164" s="1">
        <v>46054</v>
      </c>
      <c r="C164" t="str">
        <f t="shared" si="15"/>
        <v>02</v>
      </c>
      <c r="D164">
        <f t="shared" si="16"/>
        <v>2026</v>
      </c>
      <c r="E164" t="s">
        <v>643</v>
      </c>
      <c r="F164" t="s">
        <v>647</v>
      </c>
      <c r="G164" t="s">
        <v>646</v>
      </c>
      <c r="H164">
        <v>0</v>
      </c>
      <c r="I164">
        <v>0</v>
      </c>
      <c r="J164" s="1">
        <f t="shared" si="17"/>
        <v>46054</v>
      </c>
      <c r="K164" t="str">
        <f t="shared" si="18"/>
        <v>fev/26</v>
      </c>
      <c r="L164" t="str">
        <f t="shared" si="19"/>
        <v>dom</v>
      </c>
      <c r="M164">
        <f>SUMIFS(BASE_MOVEL_TEND!$D:$D,BASE_MOVEL_TEND!$A:$A,$F164,BASE_MOVEL_TEND!$B:$B,$E164,BASE_MOVEL_TEND!$C:$C,$A164)</f>
        <v>37.587117461152076</v>
      </c>
    </row>
    <row r="165" spans="1:13" x14ac:dyDescent="0.3">
      <c r="A165" t="s">
        <v>286</v>
      </c>
      <c r="B165" s="1">
        <v>46054</v>
      </c>
      <c r="C165" t="str">
        <f t="shared" si="15"/>
        <v>02</v>
      </c>
      <c r="D165">
        <f t="shared" si="16"/>
        <v>2026</v>
      </c>
      <c r="E165" t="s">
        <v>643</v>
      </c>
      <c r="F165" t="s">
        <v>647</v>
      </c>
      <c r="G165" t="s">
        <v>646</v>
      </c>
      <c r="H165">
        <v>0</v>
      </c>
      <c r="I165">
        <v>0</v>
      </c>
      <c r="J165" s="1">
        <f t="shared" si="17"/>
        <v>46054</v>
      </c>
      <c r="K165" t="str">
        <f t="shared" si="18"/>
        <v>fev/26</v>
      </c>
      <c r="L165" t="str">
        <f t="shared" si="19"/>
        <v>dom</v>
      </c>
      <c r="M165">
        <f>SUMIFS(BASE_MOVEL_TEND!$D:$D,BASE_MOVEL_TEND!$A:$A,$F165,BASE_MOVEL_TEND!$B:$B,$E165,BASE_MOVEL_TEND!$C:$C,$A165)</f>
        <v>76.849992926743923</v>
      </c>
    </row>
    <row r="166" spans="1:13" x14ac:dyDescent="0.3">
      <c r="A166" t="s">
        <v>339</v>
      </c>
      <c r="B166" s="1">
        <v>46054</v>
      </c>
      <c r="C166" t="str">
        <f t="shared" si="15"/>
        <v>02</v>
      </c>
      <c r="D166">
        <f t="shared" si="16"/>
        <v>2026</v>
      </c>
      <c r="E166" t="s">
        <v>643</v>
      </c>
      <c r="F166" t="s">
        <v>647</v>
      </c>
      <c r="G166" t="s">
        <v>646</v>
      </c>
      <c r="H166">
        <v>0</v>
      </c>
      <c r="I166">
        <v>0</v>
      </c>
      <c r="J166" s="1">
        <f t="shared" si="17"/>
        <v>46054</v>
      </c>
      <c r="K166" t="str">
        <f t="shared" si="18"/>
        <v>fev/26</v>
      </c>
      <c r="L166" t="str">
        <f t="shared" si="19"/>
        <v>dom</v>
      </c>
      <c r="M166">
        <f>SUMIFS(BASE_MOVEL_TEND!$D:$D,BASE_MOVEL_TEND!$A:$A,$F166,BASE_MOVEL_TEND!$B:$B,$E166,BASE_MOVEL_TEND!$C:$C,$A166)</f>
        <v>42.931814966701779</v>
      </c>
    </row>
    <row r="167" spans="1:13" x14ac:dyDescent="0.3">
      <c r="A167" t="s">
        <v>380</v>
      </c>
      <c r="B167" s="1">
        <v>46054</v>
      </c>
      <c r="C167" t="str">
        <f t="shared" si="15"/>
        <v>02</v>
      </c>
      <c r="D167">
        <f t="shared" si="16"/>
        <v>2026</v>
      </c>
      <c r="E167" t="s">
        <v>643</v>
      </c>
      <c r="F167" t="s">
        <v>647</v>
      </c>
      <c r="G167" t="s">
        <v>646</v>
      </c>
      <c r="H167">
        <v>0</v>
      </c>
      <c r="I167">
        <v>0</v>
      </c>
      <c r="J167" s="1">
        <f t="shared" si="17"/>
        <v>46054</v>
      </c>
      <c r="K167" t="str">
        <f t="shared" si="18"/>
        <v>fev/26</v>
      </c>
      <c r="L167" t="str">
        <f t="shared" si="19"/>
        <v>dom</v>
      </c>
      <c r="M167">
        <f>SUMIFS(BASE_MOVEL_TEND!$D:$D,BASE_MOVEL_TEND!$A:$A,$F167,BASE_MOVEL_TEND!$B:$B,$E167,BASE_MOVEL_TEND!$C:$C,$A167)</f>
        <v>77.553024944502965</v>
      </c>
    </row>
    <row r="168" spans="1:13" x14ac:dyDescent="0.3">
      <c r="A168" t="s">
        <v>446</v>
      </c>
      <c r="B168" s="1">
        <v>46054</v>
      </c>
      <c r="C168" t="str">
        <f t="shared" si="15"/>
        <v>02</v>
      </c>
      <c r="D168">
        <f t="shared" si="16"/>
        <v>2026</v>
      </c>
      <c r="E168" t="s">
        <v>643</v>
      </c>
      <c r="F168" t="s">
        <v>647</v>
      </c>
      <c r="G168" t="s">
        <v>646</v>
      </c>
      <c r="H168">
        <v>0</v>
      </c>
      <c r="I168">
        <v>0</v>
      </c>
      <c r="J168" s="1">
        <f t="shared" si="17"/>
        <v>46054</v>
      </c>
      <c r="K168" t="str">
        <f t="shared" si="18"/>
        <v>fev/26</v>
      </c>
      <c r="L168" t="str">
        <f t="shared" si="19"/>
        <v>dom</v>
      </c>
      <c r="M168">
        <f>SUMIFS(BASE_MOVEL_TEND!$D:$D,BASE_MOVEL_TEND!$A:$A,$F168,BASE_MOVEL_TEND!$B:$B,$E168,BASE_MOVEL_TEND!$C:$C,$A168)</f>
        <v>39.952270476691247</v>
      </c>
    </row>
    <row r="169" spans="1:13" x14ac:dyDescent="0.3">
      <c r="A169" t="s">
        <v>516</v>
      </c>
      <c r="B169" s="1">
        <v>46054</v>
      </c>
      <c r="C169" t="str">
        <f t="shared" si="15"/>
        <v>02</v>
      </c>
      <c r="D169">
        <f t="shared" si="16"/>
        <v>2026</v>
      </c>
      <c r="E169" t="s">
        <v>643</v>
      </c>
      <c r="F169" t="s">
        <v>647</v>
      </c>
      <c r="G169" t="s">
        <v>646</v>
      </c>
      <c r="H169">
        <v>0</v>
      </c>
      <c r="I169">
        <v>0</v>
      </c>
      <c r="J169" s="1">
        <f t="shared" si="17"/>
        <v>46054</v>
      </c>
      <c r="K169" t="str">
        <f t="shared" si="18"/>
        <v>fev/26</v>
      </c>
      <c r="L169" t="str">
        <f t="shared" si="19"/>
        <v>dom</v>
      </c>
      <c r="M169">
        <f>SUMIFS(BASE_MOVEL_TEND!$D:$D,BASE_MOVEL_TEND!$A:$A,$F169,BASE_MOVEL_TEND!$B:$B,$E169,BASE_MOVEL_TEND!$C:$C,$A169)</f>
        <v>177.07877587568666</v>
      </c>
    </row>
    <row r="170" spans="1:13" x14ac:dyDescent="0.3">
      <c r="A170" t="s">
        <v>573</v>
      </c>
      <c r="B170" s="1">
        <v>46054</v>
      </c>
      <c r="C170" t="str">
        <f t="shared" si="15"/>
        <v>02</v>
      </c>
      <c r="D170">
        <f t="shared" si="16"/>
        <v>2026</v>
      </c>
      <c r="E170" t="s">
        <v>643</v>
      </c>
      <c r="F170" t="s">
        <v>647</v>
      </c>
      <c r="G170" t="s">
        <v>646</v>
      </c>
      <c r="H170">
        <v>0</v>
      </c>
      <c r="I170">
        <v>0</v>
      </c>
      <c r="J170" s="1">
        <f t="shared" si="17"/>
        <v>46054</v>
      </c>
      <c r="K170" t="str">
        <f t="shared" si="18"/>
        <v>fev/26</v>
      </c>
      <c r="L170" t="str">
        <f t="shared" si="19"/>
        <v>dom</v>
      </c>
      <c r="M170">
        <f>SUMIFS(BASE_MOVEL_TEND!$D:$D,BASE_MOVEL_TEND!$A:$A,$F170,BASE_MOVEL_TEND!$B:$B,$E170,BASE_MOVEL_TEND!$C:$C,$A170)</f>
        <v>28.283330975581308</v>
      </c>
    </row>
    <row r="171" spans="1:13" x14ac:dyDescent="0.3">
      <c r="A171" t="s">
        <v>605</v>
      </c>
      <c r="B171" s="1">
        <v>46054</v>
      </c>
      <c r="C171" t="str">
        <f t="shared" si="15"/>
        <v>02</v>
      </c>
      <c r="D171">
        <f t="shared" si="16"/>
        <v>2026</v>
      </c>
      <c r="E171" t="s">
        <v>643</v>
      </c>
      <c r="F171" t="s">
        <v>647</v>
      </c>
      <c r="G171" t="s">
        <v>646</v>
      </c>
      <c r="H171">
        <v>0</v>
      </c>
      <c r="I171">
        <v>0</v>
      </c>
      <c r="J171" s="1">
        <f t="shared" si="17"/>
        <v>46054</v>
      </c>
      <c r="K171" t="str">
        <f t="shared" si="18"/>
        <v>fev/26</v>
      </c>
      <c r="L171" t="str">
        <f t="shared" si="19"/>
        <v>dom</v>
      </c>
      <c r="M171">
        <f>SUMIFS(BASE_MOVEL_TEND!$D:$D,BASE_MOVEL_TEND!$A:$A,$F171,BASE_MOVEL_TEND!$B:$B,$E171,BASE_MOVEL_TEND!$C:$C,$A171)</f>
        <v>26.96590748335089</v>
      </c>
    </row>
    <row r="172" spans="1:13" x14ac:dyDescent="0.3">
      <c r="A172" t="s">
        <v>8</v>
      </c>
      <c r="B172" s="1">
        <v>46054</v>
      </c>
      <c r="C172" t="str">
        <f t="shared" si="15"/>
        <v>02</v>
      </c>
      <c r="D172">
        <f t="shared" si="16"/>
        <v>2026</v>
      </c>
      <c r="E172" t="s">
        <v>643</v>
      </c>
      <c r="F172" t="s">
        <v>664</v>
      </c>
      <c r="G172" t="s">
        <v>646</v>
      </c>
      <c r="H172">
        <v>0</v>
      </c>
      <c r="I172">
        <v>0</v>
      </c>
      <c r="J172" s="1">
        <f t="shared" si="17"/>
        <v>46054</v>
      </c>
      <c r="K172" t="str">
        <f t="shared" si="18"/>
        <v>fev/26</v>
      </c>
      <c r="L172" t="str">
        <f t="shared" si="19"/>
        <v>dom</v>
      </c>
      <c r="M172">
        <f>SUMIFS(BASE_MOVEL_TEND!$D:$D,BASE_MOVEL_TEND!$A:$A,$F172,BASE_MOVEL_TEND!$B:$B,$E172,BASE_MOVEL_TEND!$C:$C,$A172)</f>
        <v>74.221964445612912</v>
      </c>
    </row>
    <row r="173" spans="1:13" x14ac:dyDescent="0.3">
      <c r="A173" t="s">
        <v>173</v>
      </c>
      <c r="B173" s="1">
        <v>46054</v>
      </c>
      <c r="C173" t="str">
        <f t="shared" si="15"/>
        <v>02</v>
      </c>
      <c r="D173">
        <f t="shared" si="16"/>
        <v>2026</v>
      </c>
      <c r="E173" t="s">
        <v>643</v>
      </c>
      <c r="F173" t="s">
        <v>664</v>
      </c>
      <c r="G173" t="s">
        <v>646</v>
      </c>
      <c r="H173">
        <v>0</v>
      </c>
      <c r="I173">
        <v>0</v>
      </c>
      <c r="J173" s="1">
        <f t="shared" si="17"/>
        <v>46054</v>
      </c>
      <c r="K173" t="str">
        <f t="shared" si="18"/>
        <v>fev/26</v>
      </c>
      <c r="L173" t="str">
        <f t="shared" si="19"/>
        <v>dom</v>
      </c>
      <c r="M173">
        <f>SUMIFS(BASE_MOVEL_TEND!$D:$D,BASE_MOVEL_TEND!$A:$A,$F173,BASE_MOVEL_TEND!$B:$B,$E173,BASE_MOVEL_TEND!$C:$C,$A173)</f>
        <v>70.532569434513505</v>
      </c>
    </row>
    <row r="174" spans="1:13" x14ac:dyDescent="0.3">
      <c r="A174" t="s">
        <v>242</v>
      </c>
      <c r="B174" s="1">
        <v>46054</v>
      </c>
      <c r="C174" t="str">
        <f t="shared" si="15"/>
        <v>02</v>
      </c>
      <c r="D174">
        <f t="shared" si="16"/>
        <v>2026</v>
      </c>
      <c r="E174" t="s">
        <v>643</v>
      </c>
      <c r="F174" t="s">
        <v>664</v>
      </c>
      <c r="G174" t="s">
        <v>646</v>
      </c>
      <c r="H174">
        <v>0</v>
      </c>
      <c r="I174">
        <v>0</v>
      </c>
      <c r="J174" s="1">
        <f t="shared" si="17"/>
        <v>46054</v>
      </c>
      <c r="K174" t="str">
        <f t="shared" si="18"/>
        <v>fev/26</v>
      </c>
      <c r="L174" t="str">
        <f t="shared" si="19"/>
        <v>dom</v>
      </c>
      <c r="M174">
        <f>SUMIFS(BASE_MOVEL_TEND!$D:$D,BASE_MOVEL_TEND!$A:$A,$F174,BASE_MOVEL_TEND!$B:$B,$E174,BASE_MOVEL_TEND!$C:$C,$A174)</f>
        <v>30.587117461152076</v>
      </c>
    </row>
    <row r="175" spans="1:13" x14ac:dyDescent="0.3">
      <c r="A175" t="s">
        <v>286</v>
      </c>
      <c r="B175" s="1">
        <v>46054</v>
      </c>
      <c r="C175" t="str">
        <f t="shared" si="15"/>
        <v>02</v>
      </c>
      <c r="D175">
        <f t="shared" si="16"/>
        <v>2026</v>
      </c>
      <c r="E175" t="s">
        <v>643</v>
      </c>
      <c r="F175" t="s">
        <v>664</v>
      </c>
      <c r="G175" t="s">
        <v>646</v>
      </c>
      <c r="H175">
        <v>0</v>
      </c>
      <c r="I175">
        <v>0</v>
      </c>
      <c r="J175" s="1">
        <f t="shared" si="17"/>
        <v>46054</v>
      </c>
      <c r="K175" t="str">
        <f t="shared" si="18"/>
        <v>fev/26</v>
      </c>
      <c r="L175" t="str">
        <f t="shared" si="19"/>
        <v>dom</v>
      </c>
      <c r="M175">
        <f>SUMIFS(BASE_MOVEL_TEND!$D:$D,BASE_MOVEL_TEND!$A:$A,$F175,BASE_MOVEL_TEND!$B:$B,$E175,BASE_MOVEL_TEND!$C:$C,$A175)</f>
        <v>69.52575093118368</v>
      </c>
    </row>
    <row r="176" spans="1:13" x14ac:dyDescent="0.3">
      <c r="A176" t="s">
        <v>339</v>
      </c>
      <c r="B176" s="1">
        <v>46054</v>
      </c>
      <c r="C176" t="str">
        <f t="shared" si="15"/>
        <v>02</v>
      </c>
      <c r="D176">
        <f t="shared" si="16"/>
        <v>2026</v>
      </c>
      <c r="E176" t="s">
        <v>643</v>
      </c>
      <c r="F176" t="s">
        <v>664</v>
      </c>
      <c r="G176" t="s">
        <v>646</v>
      </c>
      <c r="H176">
        <v>0</v>
      </c>
      <c r="I176">
        <v>0</v>
      </c>
      <c r="J176" s="1">
        <f t="shared" si="17"/>
        <v>46054</v>
      </c>
      <c r="K176" t="str">
        <f t="shared" si="18"/>
        <v>fev/26</v>
      </c>
      <c r="L176" t="str">
        <f t="shared" si="19"/>
        <v>dom</v>
      </c>
      <c r="M176">
        <f>SUMIFS(BASE_MOVEL_TEND!$D:$D,BASE_MOVEL_TEND!$A:$A,$F176,BASE_MOVEL_TEND!$B:$B,$E176,BASE_MOVEL_TEND!$C:$C,$A176)</f>
        <v>41.600754467811718</v>
      </c>
    </row>
    <row r="177" spans="1:13" x14ac:dyDescent="0.3">
      <c r="A177" t="s">
        <v>380</v>
      </c>
      <c r="B177" s="1">
        <v>46054</v>
      </c>
      <c r="C177" t="str">
        <f t="shared" si="15"/>
        <v>02</v>
      </c>
      <c r="D177">
        <f t="shared" si="16"/>
        <v>2026</v>
      </c>
      <c r="E177" t="s">
        <v>643</v>
      </c>
      <c r="F177" t="s">
        <v>664</v>
      </c>
      <c r="G177" t="s">
        <v>646</v>
      </c>
      <c r="H177">
        <v>0</v>
      </c>
      <c r="I177">
        <v>0</v>
      </c>
      <c r="J177" s="1">
        <f t="shared" si="17"/>
        <v>46054</v>
      </c>
      <c r="K177" t="str">
        <f t="shared" si="18"/>
        <v>fev/26</v>
      </c>
      <c r="L177" t="str">
        <f t="shared" si="19"/>
        <v>dom</v>
      </c>
      <c r="M177">
        <f>SUMIFS(BASE_MOVEL_TEND!$D:$D,BASE_MOVEL_TEND!$A:$A,$F177,BASE_MOVEL_TEND!$B:$B,$E177,BASE_MOVEL_TEND!$C:$C,$A177)</f>
        <v>64.566661951162615</v>
      </c>
    </row>
    <row r="178" spans="1:13" x14ac:dyDescent="0.3">
      <c r="A178" t="s">
        <v>446</v>
      </c>
      <c r="B178" s="1">
        <v>46054</v>
      </c>
      <c r="C178" t="str">
        <f t="shared" si="15"/>
        <v>02</v>
      </c>
      <c r="D178">
        <f t="shared" si="16"/>
        <v>2026</v>
      </c>
      <c r="E178" t="s">
        <v>643</v>
      </c>
      <c r="F178" t="s">
        <v>664</v>
      </c>
      <c r="G178" t="s">
        <v>646</v>
      </c>
      <c r="H178">
        <v>0</v>
      </c>
      <c r="I178">
        <v>0</v>
      </c>
      <c r="J178" s="1">
        <f t="shared" si="17"/>
        <v>46054</v>
      </c>
      <c r="K178" t="str">
        <f t="shared" si="18"/>
        <v>fev/26</v>
      </c>
      <c r="L178" t="str">
        <f t="shared" si="19"/>
        <v>dom</v>
      </c>
      <c r="M178">
        <f>SUMIFS(BASE_MOVEL_TEND!$D:$D,BASE_MOVEL_TEND!$A:$A,$F178,BASE_MOVEL_TEND!$B:$B,$E178,BASE_MOVEL_TEND!$C:$C,$A178)</f>
        <v>39.952270476691247</v>
      </c>
    </row>
    <row r="179" spans="1:13" x14ac:dyDescent="0.3">
      <c r="A179" t="s">
        <v>516</v>
      </c>
      <c r="B179" s="1">
        <v>46054</v>
      </c>
      <c r="C179" t="str">
        <f t="shared" si="15"/>
        <v>02</v>
      </c>
      <c r="D179">
        <f t="shared" si="16"/>
        <v>2026</v>
      </c>
      <c r="E179" t="s">
        <v>643</v>
      </c>
      <c r="F179" t="s">
        <v>664</v>
      </c>
      <c r="G179" t="s">
        <v>646</v>
      </c>
      <c r="H179">
        <v>0</v>
      </c>
      <c r="I179">
        <v>0</v>
      </c>
      <c r="J179" s="1">
        <f t="shared" si="17"/>
        <v>46054</v>
      </c>
      <c r="K179" t="str">
        <f t="shared" si="18"/>
        <v>fev/26</v>
      </c>
      <c r="L179" t="str">
        <f t="shared" si="19"/>
        <v>dom</v>
      </c>
      <c r="M179">
        <f>SUMIFS(BASE_MOVEL_TEND!$D:$D,BASE_MOVEL_TEND!$A:$A,$F179,BASE_MOVEL_TEND!$B:$B,$E179,BASE_MOVEL_TEND!$C:$C,$A179)</f>
        <v>158.78862639677553</v>
      </c>
    </row>
    <row r="180" spans="1:13" x14ac:dyDescent="0.3">
      <c r="A180" t="s">
        <v>573</v>
      </c>
      <c r="B180" s="1">
        <v>46054</v>
      </c>
      <c r="C180" t="str">
        <f t="shared" si="15"/>
        <v>02</v>
      </c>
      <c r="D180">
        <f t="shared" si="16"/>
        <v>2026</v>
      </c>
      <c r="E180" t="s">
        <v>643</v>
      </c>
      <c r="F180" t="s">
        <v>664</v>
      </c>
      <c r="G180" t="s">
        <v>646</v>
      </c>
      <c r="H180">
        <v>0</v>
      </c>
      <c r="I180">
        <v>0</v>
      </c>
      <c r="J180" s="1">
        <f t="shared" si="17"/>
        <v>46054</v>
      </c>
      <c r="K180" t="str">
        <f t="shared" si="18"/>
        <v>fev/26</v>
      </c>
      <c r="L180" t="str">
        <f t="shared" si="19"/>
        <v>dom</v>
      </c>
      <c r="M180">
        <f>SUMIFS(BASE_MOVEL_TEND!$D:$D,BASE_MOVEL_TEND!$A:$A,$F180,BASE_MOVEL_TEND!$B:$B,$E180,BASE_MOVEL_TEND!$C:$C,$A180)</f>
        <v>26.959088980021072</v>
      </c>
    </row>
    <row r="181" spans="1:13" x14ac:dyDescent="0.3">
      <c r="A181" t="s">
        <v>605</v>
      </c>
      <c r="B181" s="1">
        <v>46054</v>
      </c>
      <c r="C181" t="str">
        <f t="shared" si="15"/>
        <v>02</v>
      </c>
      <c r="D181">
        <f t="shared" si="16"/>
        <v>2026</v>
      </c>
      <c r="E181" t="s">
        <v>643</v>
      </c>
      <c r="F181" t="s">
        <v>664</v>
      </c>
      <c r="G181" t="s">
        <v>646</v>
      </c>
      <c r="H181">
        <v>0</v>
      </c>
      <c r="I181">
        <v>0</v>
      </c>
      <c r="J181" s="1">
        <f t="shared" si="17"/>
        <v>46054</v>
      </c>
      <c r="K181" t="str">
        <f t="shared" si="18"/>
        <v>fev/26</v>
      </c>
      <c r="L181" t="str">
        <f t="shared" si="19"/>
        <v>dom</v>
      </c>
      <c r="M181">
        <f>SUMIFS(BASE_MOVEL_TEND!$D:$D,BASE_MOVEL_TEND!$A:$A,$F181,BASE_MOVEL_TEND!$B:$B,$E181,BASE_MOVEL_TEND!$C:$C,$A181)</f>
        <v>25.634846984460829</v>
      </c>
    </row>
    <row r="182" spans="1:13" x14ac:dyDescent="0.3">
      <c r="A182" t="s">
        <v>8</v>
      </c>
      <c r="B182" s="1">
        <v>46054</v>
      </c>
      <c r="C182" t="str">
        <f t="shared" si="15"/>
        <v>02</v>
      </c>
      <c r="D182">
        <f t="shared" si="16"/>
        <v>2026</v>
      </c>
      <c r="E182" t="s">
        <v>54</v>
      </c>
      <c r="F182" t="s">
        <v>647</v>
      </c>
      <c r="G182" t="s">
        <v>646</v>
      </c>
      <c r="H182">
        <v>0</v>
      </c>
      <c r="I182">
        <v>0</v>
      </c>
      <c r="J182" s="1">
        <f t="shared" si="17"/>
        <v>46054</v>
      </c>
      <c r="K182" t="str">
        <f t="shared" si="18"/>
        <v>fev/26</v>
      </c>
      <c r="L182" t="str">
        <f t="shared" si="19"/>
        <v>dom</v>
      </c>
      <c r="M182">
        <f>SUMIFS(BASE_MOVEL_TEND!$D:$D,BASE_MOVEL_TEND!$A:$A,$F182,BASE_MOVEL_TEND!$B:$B,$E182,BASE_MOVEL_TEND!$C:$C,$A182)</f>
        <v>162.72044136347731</v>
      </c>
    </row>
    <row r="183" spans="1:13" x14ac:dyDescent="0.3">
      <c r="A183" t="s">
        <v>173</v>
      </c>
      <c r="B183" s="1">
        <v>46054</v>
      </c>
      <c r="C183" t="str">
        <f t="shared" si="15"/>
        <v>02</v>
      </c>
      <c r="D183">
        <f t="shared" si="16"/>
        <v>2026</v>
      </c>
      <c r="E183" t="s">
        <v>54</v>
      </c>
      <c r="F183" t="s">
        <v>647</v>
      </c>
      <c r="G183" t="s">
        <v>646</v>
      </c>
      <c r="H183">
        <v>0</v>
      </c>
      <c r="I183">
        <v>0</v>
      </c>
      <c r="J183" s="1">
        <f t="shared" si="17"/>
        <v>46054</v>
      </c>
      <c r="K183" t="str">
        <f t="shared" si="18"/>
        <v>fev/26</v>
      </c>
      <c r="L183" t="str">
        <f t="shared" si="19"/>
        <v>dom</v>
      </c>
      <c r="M183">
        <f>SUMIFS(BASE_MOVEL_TEND!$D:$D,BASE_MOVEL_TEND!$A:$A,$F183,BASE_MOVEL_TEND!$B:$B,$E183,BASE_MOVEL_TEND!$C:$C,$A183)</f>
        <v>149.39619936791706</v>
      </c>
    </row>
    <row r="184" spans="1:13" x14ac:dyDescent="0.3">
      <c r="A184" t="s">
        <v>242</v>
      </c>
      <c r="B184" s="1">
        <v>46054</v>
      </c>
      <c r="C184" t="str">
        <f t="shared" si="15"/>
        <v>02</v>
      </c>
      <c r="D184">
        <f t="shared" si="16"/>
        <v>2026</v>
      </c>
      <c r="E184" t="s">
        <v>54</v>
      </c>
      <c r="F184" t="s">
        <v>647</v>
      </c>
      <c r="G184" t="s">
        <v>646</v>
      </c>
      <c r="H184">
        <v>0</v>
      </c>
      <c r="I184">
        <v>0</v>
      </c>
      <c r="J184" s="1">
        <f t="shared" si="17"/>
        <v>46054</v>
      </c>
      <c r="K184" t="str">
        <f t="shared" si="18"/>
        <v>fev/26</v>
      </c>
      <c r="L184" t="str">
        <f t="shared" si="19"/>
        <v>dom</v>
      </c>
      <c r="M184">
        <f>SUMIFS(BASE_MOVEL_TEND!$D:$D,BASE_MOVEL_TEND!$A:$A,$F184,BASE_MOVEL_TEND!$B:$B,$E184,BASE_MOVEL_TEND!$C:$C,$A184)</f>
        <v>83.870448436733383</v>
      </c>
    </row>
    <row r="185" spans="1:13" x14ac:dyDescent="0.3">
      <c r="A185" t="s">
        <v>286</v>
      </c>
      <c r="B185" s="1">
        <v>46054</v>
      </c>
      <c r="C185" t="str">
        <f t="shared" si="15"/>
        <v>02</v>
      </c>
      <c r="D185">
        <f t="shared" si="16"/>
        <v>2026</v>
      </c>
      <c r="E185" t="s">
        <v>54</v>
      </c>
      <c r="F185" t="s">
        <v>647</v>
      </c>
      <c r="G185" t="s">
        <v>646</v>
      </c>
      <c r="H185">
        <v>0</v>
      </c>
      <c r="I185">
        <v>0</v>
      </c>
      <c r="J185" s="1">
        <f t="shared" si="17"/>
        <v>46054</v>
      </c>
      <c r="K185" t="str">
        <f t="shared" si="18"/>
        <v>fev/26</v>
      </c>
      <c r="L185" t="str">
        <f t="shared" si="19"/>
        <v>dom</v>
      </c>
      <c r="M185">
        <f>SUMIFS(BASE_MOVEL_TEND!$D:$D,BASE_MOVEL_TEND!$A:$A,$F185,BASE_MOVEL_TEND!$B:$B,$E185,BASE_MOVEL_TEND!$C:$C,$A185)</f>
        <v>129.78862639677553</v>
      </c>
    </row>
    <row r="186" spans="1:13" x14ac:dyDescent="0.3">
      <c r="A186" t="s">
        <v>339</v>
      </c>
      <c r="B186" s="1">
        <v>46054</v>
      </c>
      <c r="C186" t="str">
        <f t="shared" si="15"/>
        <v>02</v>
      </c>
      <c r="D186">
        <f t="shared" si="16"/>
        <v>2026</v>
      </c>
      <c r="E186" t="s">
        <v>54</v>
      </c>
      <c r="F186" t="s">
        <v>647</v>
      </c>
      <c r="G186" t="s">
        <v>646</v>
      </c>
      <c r="H186">
        <v>0</v>
      </c>
      <c r="I186">
        <v>0</v>
      </c>
      <c r="J186" s="1">
        <f t="shared" si="17"/>
        <v>46054</v>
      </c>
      <c r="K186" t="str">
        <f t="shared" si="18"/>
        <v>fev/26</v>
      </c>
      <c r="L186" t="str">
        <f t="shared" si="19"/>
        <v>dom</v>
      </c>
      <c r="M186">
        <f>SUMIFS(BASE_MOVEL_TEND!$D:$D,BASE_MOVEL_TEND!$A:$A,$F186,BASE_MOVEL_TEND!$B:$B,$E186,BASE_MOVEL_TEND!$C:$C,$A186)</f>
        <v>73.228782948942737</v>
      </c>
    </row>
    <row r="187" spans="1:13" x14ac:dyDescent="0.3">
      <c r="A187" t="s">
        <v>380</v>
      </c>
      <c r="B187" s="1">
        <v>46054</v>
      </c>
      <c r="C187" t="str">
        <f t="shared" si="15"/>
        <v>02</v>
      </c>
      <c r="D187">
        <f t="shared" si="16"/>
        <v>2026</v>
      </c>
      <c r="E187" t="s">
        <v>54</v>
      </c>
      <c r="F187" t="s">
        <v>647</v>
      </c>
      <c r="G187" t="s">
        <v>646</v>
      </c>
      <c r="H187">
        <v>0</v>
      </c>
      <c r="I187">
        <v>0</v>
      </c>
      <c r="J187" s="1">
        <f t="shared" si="17"/>
        <v>46054</v>
      </c>
      <c r="K187" t="str">
        <f t="shared" si="18"/>
        <v>fev/26</v>
      </c>
      <c r="L187" t="str">
        <f t="shared" si="19"/>
        <v>dom</v>
      </c>
      <c r="M187">
        <f>SUMIFS(BASE_MOVEL_TEND!$D:$D,BASE_MOVEL_TEND!$A:$A,$F187,BASE_MOVEL_TEND!$B:$B,$E187,BASE_MOVEL_TEND!$C:$C,$A187)</f>
        <v>131.40983637457671</v>
      </c>
    </row>
    <row r="188" spans="1:13" x14ac:dyDescent="0.3">
      <c r="A188" t="s">
        <v>446</v>
      </c>
      <c r="B188" s="1">
        <v>46054</v>
      </c>
      <c r="C188" t="str">
        <f t="shared" si="15"/>
        <v>02</v>
      </c>
      <c r="D188">
        <f t="shared" si="16"/>
        <v>2026</v>
      </c>
      <c r="E188" t="s">
        <v>54</v>
      </c>
      <c r="F188" t="s">
        <v>647</v>
      </c>
      <c r="G188" t="s">
        <v>646</v>
      </c>
      <c r="H188">
        <v>0</v>
      </c>
      <c r="I188">
        <v>0</v>
      </c>
      <c r="J188" s="1">
        <f t="shared" si="17"/>
        <v>46054</v>
      </c>
      <c r="K188" t="str">
        <f t="shared" si="18"/>
        <v>fev/26</v>
      </c>
      <c r="L188" t="str">
        <f t="shared" si="19"/>
        <v>dom</v>
      </c>
      <c r="M188">
        <f>SUMIFS(BASE_MOVEL_TEND!$D:$D,BASE_MOVEL_TEND!$A:$A,$F188,BASE_MOVEL_TEND!$B:$B,$E188,BASE_MOVEL_TEND!$C:$C,$A188)</f>
        <v>59.890903946722851</v>
      </c>
    </row>
    <row r="189" spans="1:13" x14ac:dyDescent="0.3">
      <c r="A189" t="s">
        <v>516</v>
      </c>
      <c r="B189" s="1">
        <v>46054</v>
      </c>
      <c r="C189" t="str">
        <f t="shared" si="15"/>
        <v>02</v>
      </c>
      <c r="D189">
        <f t="shared" si="16"/>
        <v>2026</v>
      </c>
      <c r="E189" t="s">
        <v>54</v>
      </c>
      <c r="F189" t="s">
        <v>647</v>
      </c>
      <c r="G189" t="s">
        <v>646</v>
      </c>
      <c r="H189">
        <v>0</v>
      </c>
      <c r="I189">
        <v>0</v>
      </c>
      <c r="J189" s="1">
        <f t="shared" si="17"/>
        <v>46054</v>
      </c>
      <c r="K189" t="str">
        <f t="shared" si="18"/>
        <v>fev/26</v>
      </c>
      <c r="L189" t="str">
        <f t="shared" si="19"/>
        <v>dom</v>
      </c>
      <c r="M189">
        <f>SUMIFS(BASE_MOVEL_TEND!$D:$D,BASE_MOVEL_TEND!$A:$A,$F189,BASE_MOVEL_TEND!$B:$B,$E189,BASE_MOVEL_TEND!$C:$C,$A189)</f>
        <v>473.55375111929038</v>
      </c>
    </row>
    <row r="190" spans="1:13" x14ac:dyDescent="0.3">
      <c r="A190" t="s">
        <v>573</v>
      </c>
      <c r="B190" s="1">
        <v>46054</v>
      </c>
      <c r="C190" t="str">
        <f t="shared" si="15"/>
        <v>02</v>
      </c>
      <c r="D190">
        <f t="shared" si="16"/>
        <v>2026</v>
      </c>
      <c r="E190" t="s">
        <v>54</v>
      </c>
      <c r="F190" t="s">
        <v>647</v>
      </c>
      <c r="G190" t="s">
        <v>646</v>
      </c>
      <c r="H190">
        <v>0</v>
      </c>
      <c r="I190">
        <v>0</v>
      </c>
      <c r="J190" s="1">
        <f t="shared" si="17"/>
        <v>46054</v>
      </c>
      <c r="K190" t="str">
        <f t="shared" si="18"/>
        <v>fev/26</v>
      </c>
      <c r="L190" t="str">
        <f t="shared" si="19"/>
        <v>dom</v>
      </c>
      <c r="M190">
        <f>SUMIFS(BASE_MOVEL_TEND!$D:$D,BASE_MOVEL_TEND!$A:$A,$F190,BASE_MOVEL_TEND!$B:$B,$E190,BASE_MOVEL_TEND!$C:$C,$A190)</f>
        <v>28.593935964481901</v>
      </c>
    </row>
    <row r="191" spans="1:13" x14ac:dyDescent="0.3">
      <c r="A191" t="s">
        <v>605</v>
      </c>
      <c r="B191" s="1">
        <v>46054</v>
      </c>
      <c r="C191" t="str">
        <f t="shared" si="15"/>
        <v>02</v>
      </c>
      <c r="D191">
        <f t="shared" si="16"/>
        <v>2026</v>
      </c>
      <c r="E191" t="s">
        <v>54</v>
      </c>
      <c r="F191" t="s">
        <v>647</v>
      </c>
      <c r="G191" t="s">
        <v>646</v>
      </c>
      <c r="H191">
        <v>0</v>
      </c>
      <c r="I191">
        <v>0</v>
      </c>
      <c r="J191" s="1">
        <f t="shared" si="17"/>
        <v>46054</v>
      </c>
      <c r="K191" t="str">
        <f t="shared" si="18"/>
        <v>fev/26</v>
      </c>
      <c r="L191" t="str">
        <f t="shared" si="19"/>
        <v>dom</v>
      </c>
      <c r="M191">
        <f>SUMIFS(BASE_MOVEL_TEND!$D:$D,BASE_MOVEL_TEND!$A:$A,$F191,BASE_MOVEL_TEND!$B:$B,$E191,BASE_MOVEL_TEND!$C:$C,$A191)</f>
        <v>29.26287546559184</v>
      </c>
    </row>
    <row r="192" spans="1:13" x14ac:dyDescent="0.3">
      <c r="A192" t="s">
        <v>8</v>
      </c>
      <c r="B192" s="1">
        <v>46054</v>
      </c>
      <c r="C192" t="str">
        <f t="shared" si="15"/>
        <v>02</v>
      </c>
      <c r="D192">
        <f t="shared" si="16"/>
        <v>2026</v>
      </c>
      <c r="E192" t="s">
        <v>54</v>
      </c>
      <c r="F192" t="s">
        <v>664</v>
      </c>
      <c r="G192" t="s">
        <v>646</v>
      </c>
      <c r="H192">
        <v>0</v>
      </c>
      <c r="I192">
        <v>0</v>
      </c>
      <c r="J192" s="1">
        <f t="shared" si="17"/>
        <v>46054</v>
      </c>
      <c r="K192" t="str">
        <f t="shared" si="18"/>
        <v>fev/26</v>
      </c>
      <c r="L192" t="str">
        <f t="shared" si="19"/>
        <v>dom</v>
      </c>
      <c r="M192">
        <f>SUMIFS(BASE_MOVEL_TEND!$D:$D,BASE_MOVEL_TEND!$A:$A,$F192,BASE_MOVEL_TEND!$B:$B,$E192,BASE_MOVEL_TEND!$C:$C,$A192)</f>
        <v>153.72725986680712</v>
      </c>
    </row>
    <row r="193" spans="1:13" x14ac:dyDescent="0.3">
      <c r="A193" t="s">
        <v>173</v>
      </c>
      <c r="B193" s="1">
        <v>46054</v>
      </c>
      <c r="C193" t="str">
        <f t="shared" si="15"/>
        <v>02</v>
      </c>
      <c r="D193">
        <f t="shared" si="16"/>
        <v>2026</v>
      </c>
      <c r="E193" t="s">
        <v>54</v>
      </c>
      <c r="F193" t="s">
        <v>664</v>
      </c>
      <c r="G193" t="s">
        <v>646</v>
      </c>
      <c r="H193">
        <v>0</v>
      </c>
      <c r="I193">
        <v>0</v>
      </c>
      <c r="J193" s="1">
        <f t="shared" si="17"/>
        <v>46054</v>
      </c>
      <c r="K193" t="str">
        <f t="shared" si="18"/>
        <v>fev/26</v>
      </c>
      <c r="L193" t="str">
        <f t="shared" si="19"/>
        <v>dom</v>
      </c>
      <c r="M193">
        <f>SUMIFS(BASE_MOVEL_TEND!$D:$D,BASE_MOVEL_TEND!$A:$A,$F193,BASE_MOVEL_TEND!$B:$B,$E193,BASE_MOVEL_TEND!$C:$C,$A193)</f>
        <v>141.07877587568666</v>
      </c>
    </row>
    <row r="194" spans="1:13" x14ac:dyDescent="0.3">
      <c r="A194" t="s">
        <v>242</v>
      </c>
      <c r="B194" s="1">
        <v>46054</v>
      </c>
      <c r="C194" t="str">
        <f t="shared" si="15"/>
        <v>02</v>
      </c>
      <c r="D194">
        <f t="shared" si="16"/>
        <v>2026</v>
      </c>
      <c r="E194" t="s">
        <v>54</v>
      </c>
      <c r="F194" t="s">
        <v>664</v>
      </c>
      <c r="G194" t="s">
        <v>646</v>
      </c>
      <c r="H194">
        <v>0</v>
      </c>
      <c r="I194">
        <v>0</v>
      </c>
      <c r="J194" s="1">
        <f t="shared" si="17"/>
        <v>46054</v>
      </c>
      <c r="K194" t="str">
        <f t="shared" si="18"/>
        <v>fev/26</v>
      </c>
      <c r="L194" t="str">
        <f t="shared" si="19"/>
        <v>dom</v>
      </c>
      <c r="M194">
        <f>SUMIFS(BASE_MOVEL_TEND!$D:$D,BASE_MOVEL_TEND!$A:$A,$F194,BASE_MOVEL_TEND!$B:$B,$E194,BASE_MOVEL_TEND!$C:$C,$A194)</f>
        <v>76.208327438953262</v>
      </c>
    </row>
    <row r="195" spans="1:13" x14ac:dyDescent="0.3">
      <c r="A195" t="s">
        <v>286</v>
      </c>
      <c r="B195" s="1">
        <v>46054</v>
      </c>
      <c r="C195" t="str">
        <f t="shared" si="15"/>
        <v>02</v>
      </c>
      <c r="D195">
        <f t="shared" si="16"/>
        <v>2026</v>
      </c>
      <c r="E195" t="s">
        <v>54</v>
      </c>
      <c r="F195" t="s">
        <v>664</v>
      </c>
      <c r="G195" t="s">
        <v>646</v>
      </c>
      <c r="H195">
        <v>0</v>
      </c>
      <c r="I195">
        <v>0</v>
      </c>
      <c r="J195" s="1">
        <f t="shared" si="17"/>
        <v>46054</v>
      </c>
      <c r="K195" t="str">
        <f t="shared" si="18"/>
        <v>fev/26</v>
      </c>
      <c r="L195" t="str">
        <f t="shared" si="19"/>
        <v>dom</v>
      </c>
      <c r="M195">
        <f>SUMIFS(BASE_MOVEL_TEND!$D:$D,BASE_MOVEL_TEND!$A:$A,$F195,BASE_MOVEL_TEND!$B:$B,$E195,BASE_MOVEL_TEND!$C:$C,$A195)</f>
        <v>121.12650539899541</v>
      </c>
    </row>
    <row r="196" spans="1:13" x14ac:dyDescent="0.3">
      <c r="A196" t="s">
        <v>339</v>
      </c>
      <c r="B196" s="1">
        <v>46054</v>
      </c>
      <c r="C196" t="str">
        <f t="shared" si="15"/>
        <v>02</v>
      </c>
      <c r="D196">
        <f t="shared" si="16"/>
        <v>2026</v>
      </c>
      <c r="E196" t="s">
        <v>54</v>
      </c>
      <c r="F196" t="s">
        <v>664</v>
      </c>
      <c r="G196" t="s">
        <v>646</v>
      </c>
      <c r="H196">
        <v>0</v>
      </c>
      <c r="I196">
        <v>0</v>
      </c>
      <c r="J196" s="1">
        <f t="shared" si="17"/>
        <v>46054</v>
      </c>
      <c r="K196" t="str">
        <f t="shared" si="18"/>
        <v>fev/26</v>
      </c>
      <c r="L196" t="str">
        <f t="shared" si="19"/>
        <v>dom</v>
      </c>
      <c r="M196">
        <f>SUMIFS(BASE_MOVEL_TEND!$D:$D,BASE_MOVEL_TEND!$A:$A,$F196,BASE_MOVEL_TEND!$B:$B,$E196,BASE_MOVEL_TEND!$C:$C,$A196)</f>
        <v>67.57348045449244</v>
      </c>
    </row>
    <row r="197" spans="1:13" x14ac:dyDescent="0.3">
      <c r="A197" t="s">
        <v>380</v>
      </c>
      <c r="B197" s="1">
        <v>46054</v>
      </c>
      <c r="C197" t="str">
        <f t="shared" si="15"/>
        <v>02</v>
      </c>
      <c r="D197">
        <f t="shared" si="16"/>
        <v>2026</v>
      </c>
      <c r="E197" t="s">
        <v>54</v>
      </c>
      <c r="F197" t="s">
        <v>664</v>
      </c>
      <c r="G197" t="s">
        <v>646</v>
      </c>
      <c r="H197">
        <v>0</v>
      </c>
      <c r="I197">
        <v>0</v>
      </c>
      <c r="J197" s="1">
        <f t="shared" si="17"/>
        <v>46054</v>
      </c>
      <c r="K197" t="str">
        <f t="shared" si="18"/>
        <v>fev/26</v>
      </c>
      <c r="L197" t="str">
        <f t="shared" si="19"/>
        <v>dom</v>
      </c>
      <c r="M197">
        <f>SUMIFS(BASE_MOVEL_TEND!$D:$D,BASE_MOVEL_TEND!$A:$A,$F197,BASE_MOVEL_TEND!$B:$B,$E197,BASE_MOVEL_TEND!$C:$C,$A197)</f>
        <v>116.41665487790654</v>
      </c>
    </row>
    <row r="198" spans="1:13" x14ac:dyDescent="0.3">
      <c r="A198" t="s">
        <v>446</v>
      </c>
      <c r="B198" s="1">
        <v>46054</v>
      </c>
      <c r="C198" t="str">
        <f t="shared" si="15"/>
        <v>02</v>
      </c>
      <c r="D198">
        <f t="shared" si="16"/>
        <v>2026</v>
      </c>
      <c r="E198" t="s">
        <v>54</v>
      </c>
      <c r="F198" t="s">
        <v>664</v>
      </c>
      <c r="G198" t="s">
        <v>646</v>
      </c>
      <c r="H198">
        <v>0</v>
      </c>
      <c r="I198">
        <v>0</v>
      </c>
      <c r="J198" s="1">
        <f t="shared" si="17"/>
        <v>46054</v>
      </c>
      <c r="K198" t="str">
        <f t="shared" si="18"/>
        <v>fev/26</v>
      </c>
      <c r="L198" t="str">
        <f t="shared" si="19"/>
        <v>dom</v>
      </c>
      <c r="M198">
        <f>SUMIFS(BASE_MOVEL_TEND!$D:$D,BASE_MOVEL_TEND!$A:$A,$F198,BASE_MOVEL_TEND!$B:$B,$E198,BASE_MOVEL_TEND!$C:$C,$A198)</f>
        <v>53.22878294894273</v>
      </c>
    </row>
    <row r="199" spans="1:13" x14ac:dyDescent="0.3">
      <c r="A199" t="s">
        <v>516</v>
      </c>
      <c r="B199" s="1">
        <v>46054</v>
      </c>
      <c r="C199" t="str">
        <f t="shared" si="15"/>
        <v>02</v>
      </c>
      <c r="D199">
        <f t="shared" si="16"/>
        <v>2026</v>
      </c>
      <c r="E199" t="s">
        <v>54</v>
      </c>
      <c r="F199" t="s">
        <v>664</v>
      </c>
      <c r="G199" t="s">
        <v>646</v>
      </c>
      <c r="H199">
        <v>0</v>
      </c>
      <c r="I199">
        <v>0</v>
      </c>
      <c r="J199" s="1">
        <f t="shared" si="17"/>
        <v>46054</v>
      </c>
      <c r="K199" t="str">
        <f t="shared" si="18"/>
        <v>fev/26</v>
      </c>
      <c r="L199" t="str">
        <f t="shared" si="19"/>
        <v>dom</v>
      </c>
      <c r="M199">
        <f>SUMIFS(BASE_MOVEL_TEND!$D:$D,BASE_MOVEL_TEND!$A:$A,$F199,BASE_MOVEL_TEND!$B:$B,$E199,BASE_MOVEL_TEND!$C:$C,$A199)</f>
        <v>433.61511764925876</v>
      </c>
    </row>
    <row r="200" spans="1:13" x14ac:dyDescent="0.3">
      <c r="A200" t="s">
        <v>573</v>
      </c>
      <c r="B200" s="1">
        <v>46054</v>
      </c>
      <c r="C200" t="str">
        <f t="shared" si="15"/>
        <v>02</v>
      </c>
      <c r="D200">
        <f t="shared" si="16"/>
        <v>2026</v>
      </c>
      <c r="E200" t="s">
        <v>54</v>
      </c>
      <c r="F200" t="s">
        <v>664</v>
      </c>
      <c r="G200" t="s">
        <v>646</v>
      </c>
      <c r="H200">
        <v>0</v>
      </c>
      <c r="I200">
        <v>0</v>
      </c>
      <c r="J200" s="1">
        <f t="shared" si="17"/>
        <v>46054</v>
      </c>
      <c r="K200" t="str">
        <f t="shared" si="18"/>
        <v>fev/26</v>
      </c>
      <c r="L200" t="str">
        <f t="shared" si="19"/>
        <v>dom</v>
      </c>
      <c r="M200">
        <f>SUMIFS(BASE_MOVEL_TEND!$D:$D,BASE_MOVEL_TEND!$A:$A,$F200,BASE_MOVEL_TEND!$B:$B,$E200,BASE_MOVEL_TEND!$C:$C,$A200)</f>
        <v>28.26287546559184</v>
      </c>
    </row>
    <row r="201" spans="1:13" x14ac:dyDescent="0.3">
      <c r="A201" t="s">
        <v>605</v>
      </c>
      <c r="B201" s="1">
        <v>46054</v>
      </c>
      <c r="C201" t="str">
        <f t="shared" si="15"/>
        <v>02</v>
      </c>
      <c r="D201">
        <f t="shared" si="16"/>
        <v>2026</v>
      </c>
      <c r="E201" t="s">
        <v>54</v>
      </c>
      <c r="F201" t="s">
        <v>664</v>
      </c>
      <c r="G201" t="s">
        <v>646</v>
      </c>
      <c r="H201">
        <v>0</v>
      </c>
      <c r="I201">
        <v>0</v>
      </c>
      <c r="J201" s="1">
        <f t="shared" si="17"/>
        <v>46054</v>
      </c>
      <c r="K201" t="str">
        <f t="shared" si="18"/>
        <v>fev/26</v>
      </c>
      <c r="L201" t="str">
        <f t="shared" si="19"/>
        <v>dom</v>
      </c>
      <c r="M201">
        <f>SUMIFS(BASE_MOVEL_TEND!$D:$D,BASE_MOVEL_TEND!$A:$A,$F201,BASE_MOVEL_TEND!$B:$B,$E201,BASE_MOVEL_TEND!$C:$C,$A201)</f>
        <v>27.26287546559184</v>
      </c>
    </row>
    <row r="202" spans="1:13" x14ac:dyDescent="0.3">
      <c r="A202" t="s">
        <v>8</v>
      </c>
      <c r="B202" s="1">
        <v>46054</v>
      </c>
      <c r="C202" t="str">
        <f t="shared" si="15"/>
        <v>02</v>
      </c>
      <c r="D202">
        <f t="shared" si="16"/>
        <v>2026</v>
      </c>
      <c r="E202" t="s">
        <v>49</v>
      </c>
      <c r="F202" t="s">
        <v>647</v>
      </c>
      <c r="G202" t="s">
        <v>646</v>
      </c>
      <c r="H202">
        <v>0</v>
      </c>
      <c r="I202">
        <v>0</v>
      </c>
      <c r="J202" s="1">
        <f t="shared" si="17"/>
        <v>46054</v>
      </c>
      <c r="K202" t="str">
        <f t="shared" si="18"/>
        <v>fev/26</v>
      </c>
      <c r="L202" t="str">
        <f t="shared" si="19"/>
        <v>dom</v>
      </c>
      <c r="M202">
        <f>SUMIFS(BASE_MOVEL_TEND!$D:$D,BASE_MOVEL_TEND!$A:$A,$F202,BASE_MOVEL_TEND!$B:$B,$E202,BASE_MOVEL_TEND!$C:$C,$A202)</f>
        <v>0</v>
      </c>
    </row>
    <row r="203" spans="1:13" x14ac:dyDescent="0.3">
      <c r="A203" t="s">
        <v>173</v>
      </c>
      <c r="B203" s="1">
        <v>46054</v>
      </c>
      <c r="C203" t="str">
        <f t="shared" si="15"/>
        <v>02</v>
      </c>
      <c r="D203">
        <f t="shared" si="16"/>
        <v>2026</v>
      </c>
      <c r="E203" t="s">
        <v>49</v>
      </c>
      <c r="F203" t="s">
        <v>647</v>
      </c>
      <c r="G203" t="s">
        <v>646</v>
      </c>
      <c r="H203">
        <v>0</v>
      </c>
      <c r="I203">
        <v>0</v>
      </c>
      <c r="J203" s="1">
        <f t="shared" si="17"/>
        <v>46054</v>
      </c>
      <c r="K203" t="str">
        <f t="shared" si="18"/>
        <v>fev/26</v>
      </c>
      <c r="L203" t="str">
        <f t="shared" si="19"/>
        <v>dom</v>
      </c>
      <c r="M203">
        <f>SUMIFS(BASE_MOVEL_TEND!$D:$D,BASE_MOVEL_TEND!$A:$A,$F203,BASE_MOVEL_TEND!$B:$B,$E203,BASE_MOVEL_TEND!$C:$C,$A203)</f>
        <v>0</v>
      </c>
    </row>
    <row r="204" spans="1:13" x14ac:dyDescent="0.3">
      <c r="A204" t="s">
        <v>242</v>
      </c>
      <c r="B204" s="1">
        <v>46054</v>
      </c>
      <c r="C204" t="str">
        <f t="shared" si="15"/>
        <v>02</v>
      </c>
      <c r="D204">
        <f t="shared" si="16"/>
        <v>2026</v>
      </c>
      <c r="E204" t="s">
        <v>49</v>
      </c>
      <c r="F204" t="s">
        <v>647</v>
      </c>
      <c r="G204" t="s">
        <v>646</v>
      </c>
      <c r="H204">
        <v>0</v>
      </c>
      <c r="I204">
        <v>0</v>
      </c>
      <c r="J204" s="1">
        <f t="shared" si="17"/>
        <v>46054</v>
      </c>
      <c r="K204" t="str">
        <f t="shared" si="18"/>
        <v>fev/26</v>
      </c>
      <c r="L204" t="str">
        <f t="shared" si="19"/>
        <v>dom</v>
      </c>
      <c r="M204">
        <f>SUMIFS(BASE_MOVEL_TEND!$D:$D,BASE_MOVEL_TEND!$A:$A,$F204,BASE_MOVEL_TEND!$B:$B,$E204,BASE_MOVEL_TEND!$C:$C,$A204)</f>
        <v>0</v>
      </c>
    </row>
    <row r="205" spans="1:13" x14ac:dyDescent="0.3">
      <c r="A205" t="s">
        <v>286</v>
      </c>
      <c r="B205" s="1">
        <v>46054</v>
      </c>
      <c r="C205" t="str">
        <f t="shared" si="15"/>
        <v>02</v>
      </c>
      <c r="D205">
        <f t="shared" si="16"/>
        <v>2026</v>
      </c>
      <c r="E205" t="s">
        <v>49</v>
      </c>
      <c r="F205" t="s">
        <v>647</v>
      </c>
      <c r="G205" t="s">
        <v>646</v>
      </c>
      <c r="H205">
        <v>0</v>
      </c>
      <c r="I205">
        <v>0</v>
      </c>
      <c r="J205" s="1">
        <f t="shared" si="17"/>
        <v>46054</v>
      </c>
      <c r="K205" t="str">
        <f t="shared" si="18"/>
        <v>fev/26</v>
      </c>
      <c r="L205" t="str">
        <f t="shared" si="19"/>
        <v>dom</v>
      </c>
      <c r="M205">
        <f>SUMIFS(BASE_MOVEL_TEND!$D:$D,BASE_MOVEL_TEND!$A:$A,$F205,BASE_MOVEL_TEND!$B:$B,$E205,BASE_MOVEL_TEND!$C:$C,$A205)</f>
        <v>0</v>
      </c>
    </row>
    <row r="206" spans="1:13" x14ac:dyDescent="0.3">
      <c r="A206" t="s">
        <v>339</v>
      </c>
      <c r="B206" s="1">
        <v>46054</v>
      </c>
      <c r="C206" t="str">
        <f t="shared" si="15"/>
        <v>02</v>
      </c>
      <c r="D206">
        <f t="shared" si="16"/>
        <v>2026</v>
      </c>
      <c r="E206" t="s">
        <v>49</v>
      </c>
      <c r="F206" t="s">
        <v>647</v>
      </c>
      <c r="G206" t="s">
        <v>646</v>
      </c>
      <c r="H206">
        <v>0</v>
      </c>
      <c r="I206">
        <v>0</v>
      </c>
      <c r="J206" s="1">
        <f t="shared" si="17"/>
        <v>46054</v>
      </c>
      <c r="K206" t="str">
        <f t="shared" si="18"/>
        <v>fev/26</v>
      </c>
      <c r="L206" t="str">
        <f t="shared" si="19"/>
        <v>dom</v>
      </c>
      <c r="M206">
        <f>SUMIFS(BASE_MOVEL_TEND!$D:$D,BASE_MOVEL_TEND!$A:$A,$F206,BASE_MOVEL_TEND!$B:$B,$E206,BASE_MOVEL_TEND!$C:$C,$A206)</f>
        <v>0</v>
      </c>
    </row>
    <row r="207" spans="1:13" x14ac:dyDescent="0.3">
      <c r="A207" t="s">
        <v>380</v>
      </c>
      <c r="B207" s="1">
        <v>46054</v>
      </c>
      <c r="C207" t="str">
        <f t="shared" si="15"/>
        <v>02</v>
      </c>
      <c r="D207">
        <f t="shared" si="16"/>
        <v>2026</v>
      </c>
      <c r="E207" t="s">
        <v>49</v>
      </c>
      <c r="F207" t="s">
        <v>647</v>
      </c>
      <c r="G207" t="s">
        <v>646</v>
      </c>
      <c r="H207">
        <v>0</v>
      </c>
      <c r="I207">
        <v>0</v>
      </c>
      <c r="J207" s="1">
        <f t="shared" si="17"/>
        <v>46054</v>
      </c>
      <c r="K207" t="str">
        <f t="shared" si="18"/>
        <v>fev/26</v>
      </c>
      <c r="L207" t="str">
        <f t="shared" si="19"/>
        <v>dom</v>
      </c>
      <c r="M207">
        <f>SUMIFS(BASE_MOVEL_TEND!$D:$D,BASE_MOVEL_TEND!$A:$A,$F207,BASE_MOVEL_TEND!$B:$B,$E207,BASE_MOVEL_TEND!$C:$C,$A207)</f>
        <v>0</v>
      </c>
    </row>
    <row r="208" spans="1:13" x14ac:dyDescent="0.3">
      <c r="A208" t="s">
        <v>446</v>
      </c>
      <c r="B208" s="1">
        <v>46054</v>
      </c>
      <c r="C208" t="str">
        <f t="shared" si="15"/>
        <v>02</v>
      </c>
      <c r="D208">
        <f t="shared" si="16"/>
        <v>2026</v>
      </c>
      <c r="E208" t="s">
        <v>49</v>
      </c>
      <c r="F208" t="s">
        <v>647</v>
      </c>
      <c r="G208" t="s">
        <v>646</v>
      </c>
      <c r="H208">
        <v>0</v>
      </c>
      <c r="I208">
        <v>0</v>
      </c>
      <c r="J208" s="1">
        <f t="shared" si="17"/>
        <v>46054</v>
      </c>
      <c r="K208" t="str">
        <f t="shared" si="18"/>
        <v>fev/26</v>
      </c>
      <c r="L208" t="str">
        <f t="shared" si="19"/>
        <v>dom</v>
      </c>
      <c r="M208">
        <f>SUMIFS(BASE_MOVEL_TEND!$D:$D,BASE_MOVEL_TEND!$A:$A,$F208,BASE_MOVEL_TEND!$B:$B,$E208,BASE_MOVEL_TEND!$C:$C,$A208)</f>
        <v>0</v>
      </c>
    </row>
    <row r="209" spans="1:13" x14ac:dyDescent="0.3">
      <c r="A209" t="s">
        <v>516</v>
      </c>
      <c r="B209" s="1">
        <v>46054</v>
      </c>
      <c r="C209" t="str">
        <f t="shared" si="15"/>
        <v>02</v>
      </c>
      <c r="D209">
        <f t="shared" si="16"/>
        <v>2026</v>
      </c>
      <c r="E209" t="s">
        <v>49</v>
      </c>
      <c r="F209" t="s">
        <v>647</v>
      </c>
      <c r="G209" t="s">
        <v>646</v>
      </c>
      <c r="H209">
        <v>0</v>
      </c>
      <c r="I209">
        <v>0</v>
      </c>
      <c r="J209" s="1">
        <f t="shared" si="17"/>
        <v>46054</v>
      </c>
      <c r="K209" t="str">
        <f t="shared" si="18"/>
        <v>fev/26</v>
      </c>
      <c r="L209" t="str">
        <f t="shared" si="19"/>
        <v>dom</v>
      </c>
      <c r="M209">
        <f>SUMIFS(BASE_MOVEL_TEND!$D:$D,BASE_MOVEL_TEND!$A:$A,$F209,BASE_MOVEL_TEND!$B:$B,$E209,BASE_MOVEL_TEND!$C:$C,$A209)</f>
        <v>0</v>
      </c>
    </row>
    <row r="210" spans="1:13" x14ac:dyDescent="0.3">
      <c r="A210" t="s">
        <v>573</v>
      </c>
      <c r="B210" s="1">
        <v>46054</v>
      </c>
      <c r="C210" t="str">
        <f t="shared" si="15"/>
        <v>02</v>
      </c>
      <c r="D210">
        <f t="shared" si="16"/>
        <v>2026</v>
      </c>
      <c r="E210" t="s">
        <v>49</v>
      </c>
      <c r="F210" t="s">
        <v>647</v>
      </c>
      <c r="G210" t="s">
        <v>646</v>
      </c>
      <c r="H210">
        <v>0</v>
      </c>
      <c r="I210">
        <v>0</v>
      </c>
      <c r="J210" s="1">
        <f t="shared" si="17"/>
        <v>46054</v>
      </c>
      <c r="K210" t="str">
        <f t="shared" si="18"/>
        <v>fev/26</v>
      </c>
      <c r="L210" t="str">
        <f t="shared" si="19"/>
        <v>dom</v>
      </c>
      <c r="M210">
        <f>SUMIFS(BASE_MOVEL_TEND!$D:$D,BASE_MOVEL_TEND!$A:$A,$F210,BASE_MOVEL_TEND!$B:$B,$E210,BASE_MOVEL_TEND!$C:$C,$A210)</f>
        <v>0</v>
      </c>
    </row>
    <row r="211" spans="1:13" x14ac:dyDescent="0.3">
      <c r="A211" t="s">
        <v>605</v>
      </c>
      <c r="B211" s="1">
        <v>46054</v>
      </c>
      <c r="C211" t="str">
        <f t="shared" si="15"/>
        <v>02</v>
      </c>
      <c r="D211">
        <f t="shared" si="16"/>
        <v>2026</v>
      </c>
      <c r="E211" t="s">
        <v>49</v>
      </c>
      <c r="F211" t="s">
        <v>647</v>
      </c>
      <c r="G211" t="s">
        <v>646</v>
      </c>
      <c r="H211">
        <v>0</v>
      </c>
      <c r="I211">
        <v>0</v>
      </c>
      <c r="J211" s="1">
        <f t="shared" si="17"/>
        <v>46054</v>
      </c>
      <c r="K211" t="str">
        <f t="shared" si="18"/>
        <v>fev/26</v>
      </c>
      <c r="L211" t="str">
        <f t="shared" si="19"/>
        <v>dom</v>
      </c>
      <c r="M211">
        <f>SUMIFS(BASE_MOVEL_TEND!$D:$D,BASE_MOVEL_TEND!$A:$A,$F211,BASE_MOVEL_TEND!$B:$B,$E211,BASE_MOVEL_TEND!$C:$C,$A211)</f>
        <v>0</v>
      </c>
    </row>
    <row r="212" spans="1:13" x14ac:dyDescent="0.3">
      <c r="A212" t="s">
        <v>8</v>
      </c>
      <c r="B212" s="1">
        <v>46054</v>
      </c>
      <c r="C212" t="str">
        <f t="shared" si="15"/>
        <v>02</v>
      </c>
      <c r="D212">
        <f t="shared" si="16"/>
        <v>2026</v>
      </c>
      <c r="E212" t="s">
        <v>49</v>
      </c>
      <c r="F212" t="s">
        <v>664</v>
      </c>
      <c r="G212" t="s">
        <v>646</v>
      </c>
      <c r="H212">
        <v>0</v>
      </c>
      <c r="I212">
        <v>0</v>
      </c>
      <c r="J212" s="1">
        <f t="shared" si="17"/>
        <v>46054</v>
      </c>
      <c r="K212" t="str">
        <f t="shared" si="18"/>
        <v>fev/26</v>
      </c>
      <c r="L212" t="str">
        <f t="shared" si="19"/>
        <v>dom</v>
      </c>
      <c r="M212">
        <f>SUMIFS(BASE_MOVEL_TEND!$D:$D,BASE_MOVEL_TEND!$A:$A,$F212,BASE_MOVEL_TEND!$B:$B,$E212,BASE_MOVEL_TEND!$C:$C,$A212)</f>
        <v>0</v>
      </c>
    </row>
    <row r="213" spans="1:13" x14ac:dyDescent="0.3">
      <c r="A213" t="s">
        <v>173</v>
      </c>
      <c r="B213" s="1">
        <v>46054</v>
      </c>
      <c r="C213" t="str">
        <f t="shared" si="15"/>
        <v>02</v>
      </c>
      <c r="D213">
        <f t="shared" si="16"/>
        <v>2026</v>
      </c>
      <c r="E213" t="s">
        <v>49</v>
      </c>
      <c r="F213" t="s">
        <v>664</v>
      </c>
      <c r="G213" t="s">
        <v>646</v>
      </c>
      <c r="H213">
        <v>0</v>
      </c>
      <c r="I213">
        <v>0</v>
      </c>
      <c r="J213" s="1">
        <f t="shared" si="17"/>
        <v>46054</v>
      </c>
      <c r="K213" t="str">
        <f t="shared" si="18"/>
        <v>fev/26</v>
      </c>
      <c r="L213" t="str">
        <f t="shared" si="19"/>
        <v>dom</v>
      </c>
      <c r="M213">
        <f>SUMIFS(BASE_MOVEL_TEND!$D:$D,BASE_MOVEL_TEND!$A:$A,$F213,BASE_MOVEL_TEND!$B:$B,$E213,BASE_MOVEL_TEND!$C:$C,$A213)</f>
        <v>0</v>
      </c>
    </row>
    <row r="214" spans="1:13" x14ac:dyDescent="0.3">
      <c r="A214" t="s">
        <v>242</v>
      </c>
      <c r="B214" s="1">
        <v>46054</v>
      </c>
      <c r="C214" t="str">
        <f t="shared" si="15"/>
        <v>02</v>
      </c>
      <c r="D214">
        <f t="shared" si="16"/>
        <v>2026</v>
      </c>
      <c r="E214" t="s">
        <v>49</v>
      </c>
      <c r="F214" t="s">
        <v>664</v>
      </c>
      <c r="G214" t="s">
        <v>646</v>
      </c>
      <c r="H214">
        <v>0</v>
      </c>
      <c r="I214">
        <v>0</v>
      </c>
      <c r="J214" s="1">
        <f t="shared" si="17"/>
        <v>46054</v>
      </c>
      <c r="K214" t="str">
        <f t="shared" si="18"/>
        <v>fev/26</v>
      </c>
      <c r="L214" t="str">
        <f t="shared" si="19"/>
        <v>dom</v>
      </c>
      <c r="M214">
        <f>SUMIFS(BASE_MOVEL_TEND!$D:$D,BASE_MOVEL_TEND!$A:$A,$F214,BASE_MOVEL_TEND!$B:$B,$E214,BASE_MOVEL_TEND!$C:$C,$A214)</f>
        <v>0</v>
      </c>
    </row>
    <row r="215" spans="1:13" x14ac:dyDescent="0.3">
      <c r="A215" t="s">
        <v>286</v>
      </c>
      <c r="B215" s="1">
        <v>46054</v>
      </c>
      <c r="C215" t="str">
        <f t="shared" ref="C215:C261" si="20">TEXT(B215,"MM")</f>
        <v>02</v>
      </c>
      <c r="D215">
        <f t="shared" ref="D215:D261" si="21">YEAR(B215)</f>
        <v>2026</v>
      </c>
      <c r="E215" t="s">
        <v>49</v>
      </c>
      <c r="F215" t="s">
        <v>664</v>
      </c>
      <c r="G215" t="s">
        <v>646</v>
      </c>
      <c r="H215">
        <v>0</v>
      </c>
      <c r="I215">
        <v>0</v>
      </c>
      <c r="J215" s="1">
        <f t="shared" ref="J215:J261" si="22">B215</f>
        <v>46054</v>
      </c>
      <c r="K215" t="str">
        <f t="shared" ref="K215:K261" si="23">TEXT(J215,"MMM/AA")</f>
        <v>fev/26</v>
      </c>
      <c r="L215" t="str">
        <f t="shared" ref="L215:L261" si="24">TEXT(J215,"DDD")</f>
        <v>dom</v>
      </c>
      <c r="M215">
        <f>SUMIFS(BASE_MOVEL_TEND!$D:$D,BASE_MOVEL_TEND!$A:$A,$F215,BASE_MOVEL_TEND!$B:$B,$E215,BASE_MOVEL_TEND!$C:$C,$A215)</f>
        <v>0</v>
      </c>
    </row>
    <row r="216" spans="1:13" x14ac:dyDescent="0.3">
      <c r="A216" t="s">
        <v>339</v>
      </c>
      <c r="B216" s="1">
        <v>46054</v>
      </c>
      <c r="C216" t="str">
        <f t="shared" si="20"/>
        <v>02</v>
      </c>
      <c r="D216">
        <f t="shared" si="21"/>
        <v>2026</v>
      </c>
      <c r="E216" t="s">
        <v>49</v>
      </c>
      <c r="F216" t="s">
        <v>664</v>
      </c>
      <c r="G216" t="s">
        <v>646</v>
      </c>
      <c r="H216">
        <v>0</v>
      </c>
      <c r="I216">
        <v>0</v>
      </c>
      <c r="J216" s="1">
        <f t="shared" si="22"/>
        <v>46054</v>
      </c>
      <c r="K216" t="str">
        <f t="shared" si="23"/>
        <v>fev/26</v>
      </c>
      <c r="L216" t="str">
        <f t="shared" si="24"/>
        <v>dom</v>
      </c>
      <c r="M216">
        <f>SUMIFS(BASE_MOVEL_TEND!$D:$D,BASE_MOVEL_TEND!$A:$A,$F216,BASE_MOVEL_TEND!$B:$B,$E216,BASE_MOVEL_TEND!$C:$C,$A216)</f>
        <v>0</v>
      </c>
    </row>
    <row r="217" spans="1:13" x14ac:dyDescent="0.3">
      <c r="A217" t="s">
        <v>380</v>
      </c>
      <c r="B217" s="1">
        <v>46054</v>
      </c>
      <c r="C217" t="str">
        <f t="shared" si="20"/>
        <v>02</v>
      </c>
      <c r="D217">
        <f t="shared" si="21"/>
        <v>2026</v>
      </c>
      <c r="E217" t="s">
        <v>49</v>
      </c>
      <c r="F217" t="s">
        <v>664</v>
      </c>
      <c r="G217" t="s">
        <v>646</v>
      </c>
      <c r="H217">
        <v>0</v>
      </c>
      <c r="I217">
        <v>0</v>
      </c>
      <c r="J217" s="1">
        <f t="shared" si="22"/>
        <v>46054</v>
      </c>
      <c r="K217" t="str">
        <f t="shared" si="23"/>
        <v>fev/26</v>
      </c>
      <c r="L217" t="str">
        <f t="shared" si="24"/>
        <v>dom</v>
      </c>
      <c r="M217">
        <f>SUMIFS(BASE_MOVEL_TEND!$D:$D,BASE_MOVEL_TEND!$A:$A,$F217,BASE_MOVEL_TEND!$B:$B,$E217,BASE_MOVEL_TEND!$C:$C,$A217)</f>
        <v>0</v>
      </c>
    </row>
    <row r="218" spans="1:13" x14ac:dyDescent="0.3">
      <c r="A218" t="s">
        <v>446</v>
      </c>
      <c r="B218" s="1">
        <v>46054</v>
      </c>
      <c r="C218" t="str">
        <f t="shared" si="20"/>
        <v>02</v>
      </c>
      <c r="D218">
        <f t="shared" si="21"/>
        <v>2026</v>
      </c>
      <c r="E218" t="s">
        <v>49</v>
      </c>
      <c r="F218" t="s">
        <v>664</v>
      </c>
      <c r="G218" t="s">
        <v>646</v>
      </c>
      <c r="H218">
        <v>0</v>
      </c>
      <c r="I218">
        <v>0</v>
      </c>
      <c r="J218" s="1">
        <f t="shared" si="22"/>
        <v>46054</v>
      </c>
      <c r="K218" t="str">
        <f t="shared" si="23"/>
        <v>fev/26</v>
      </c>
      <c r="L218" t="str">
        <f t="shared" si="24"/>
        <v>dom</v>
      </c>
      <c r="M218">
        <f>SUMIFS(BASE_MOVEL_TEND!$D:$D,BASE_MOVEL_TEND!$A:$A,$F218,BASE_MOVEL_TEND!$B:$B,$E218,BASE_MOVEL_TEND!$C:$C,$A218)</f>
        <v>0</v>
      </c>
    </row>
    <row r="219" spans="1:13" x14ac:dyDescent="0.3">
      <c r="A219" t="s">
        <v>516</v>
      </c>
      <c r="B219" s="1">
        <v>46054</v>
      </c>
      <c r="C219" t="str">
        <f t="shared" si="20"/>
        <v>02</v>
      </c>
      <c r="D219">
        <f t="shared" si="21"/>
        <v>2026</v>
      </c>
      <c r="E219" t="s">
        <v>49</v>
      </c>
      <c r="F219" t="s">
        <v>664</v>
      </c>
      <c r="G219" t="s">
        <v>646</v>
      </c>
      <c r="H219">
        <v>0</v>
      </c>
      <c r="I219">
        <v>0</v>
      </c>
      <c r="J219" s="1">
        <f t="shared" si="22"/>
        <v>46054</v>
      </c>
      <c r="K219" t="str">
        <f t="shared" si="23"/>
        <v>fev/26</v>
      </c>
      <c r="L219" t="str">
        <f t="shared" si="24"/>
        <v>dom</v>
      </c>
      <c r="M219">
        <f>SUMIFS(BASE_MOVEL_TEND!$D:$D,BASE_MOVEL_TEND!$A:$A,$F219,BASE_MOVEL_TEND!$B:$B,$E219,BASE_MOVEL_TEND!$C:$C,$A219)</f>
        <v>0</v>
      </c>
    </row>
    <row r="220" spans="1:13" x14ac:dyDescent="0.3">
      <c r="A220" t="s">
        <v>573</v>
      </c>
      <c r="B220" s="1">
        <v>46054</v>
      </c>
      <c r="C220" t="str">
        <f t="shared" si="20"/>
        <v>02</v>
      </c>
      <c r="D220">
        <f t="shared" si="21"/>
        <v>2026</v>
      </c>
      <c r="E220" t="s">
        <v>49</v>
      </c>
      <c r="F220" t="s">
        <v>664</v>
      </c>
      <c r="G220" t="s">
        <v>646</v>
      </c>
      <c r="H220">
        <v>0</v>
      </c>
      <c r="I220">
        <v>0</v>
      </c>
      <c r="J220" s="1">
        <f t="shared" si="22"/>
        <v>46054</v>
      </c>
      <c r="K220" t="str">
        <f t="shared" si="23"/>
        <v>fev/26</v>
      </c>
      <c r="L220" t="str">
        <f t="shared" si="24"/>
        <v>dom</v>
      </c>
      <c r="M220">
        <f>SUMIFS(BASE_MOVEL_TEND!$D:$D,BASE_MOVEL_TEND!$A:$A,$F220,BASE_MOVEL_TEND!$B:$B,$E220,BASE_MOVEL_TEND!$C:$C,$A220)</f>
        <v>0</v>
      </c>
    </row>
    <row r="221" spans="1:13" x14ac:dyDescent="0.3">
      <c r="A221" t="s">
        <v>605</v>
      </c>
      <c r="B221" s="1">
        <v>46054</v>
      </c>
      <c r="C221" t="str">
        <f t="shared" si="20"/>
        <v>02</v>
      </c>
      <c r="D221">
        <f t="shared" si="21"/>
        <v>2026</v>
      </c>
      <c r="E221" t="s">
        <v>49</v>
      </c>
      <c r="F221" t="s">
        <v>664</v>
      </c>
      <c r="G221" t="s">
        <v>646</v>
      </c>
      <c r="H221">
        <v>0</v>
      </c>
      <c r="I221">
        <v>0</v>
      </c>
      <c r="J221" s="1">
        <f t="shared" si="22"/>
        <v>46054</v>
      </c>
      <c r="K221" t="str">
        <f t="shared" si="23"/>
        <v>fev/26</v>
      </c>
      <c r="L221" t="str">
        <f t="shared" si="24"/>
        <v>dom</v>
      </c>
      <c r="M221">
        <f>SUMIFS(BASE_MOVEL_TEND!$D:$D,BASE_MOVEL_TEND!$A:$A,$F221,BASE_MOVEL_TEND!$B:$B,$E221,BASE_MOVEL_TEND!$C:$C,$A221)</f>
        <v>0</v>
      </c>
    </row>
    <row r="222" spans="1:13" x14ac:dyDescent="0.3">
      <c r="A222" t="s">
        <v>8</v>
      </c>
      <c r="B222" s="1">
        <v>46054</v>
      </c>
      <c r="C222" t="str">
        <f t="shared" si="20"/>
        <v>02</v>
      </c>
      <c r="D222">
        <f t="shared" si="21"/>
        <v>2026</v>
      </c>
      <c r="E222" t="s">
        <v>644</v>
      </c>
      <c r="F222" t="s">
        <v>647</v>
      </c>
      <c r="G222" t="s">
        <v>646</v>
      </c>
      <c r="H222">
        <v>0</v>
      </c>
      <c r="I222">
        <v>0</v>
      </c>
      <c r="J222" s="1">
        <f t="shared" si="22"/>
        <v>46054</v>
      </c>
      <c r="K222" t="str">
        <f t="shared" si="23"/>
        <v>fev/26</v>
      </c>
      <c r="L222" t="str">
        <f t="shared" si="24"/>
        <v>dom</v>
      </c>
      <c r="M222">
        <f>SUMIFS(BASE_MOVEL_TEND!$D:$D,BASE_MOVEL_TEND!$A:$A,$F222,BASE_MOVEL_TEND!$B:$B,$E222,BASE_MOVEL_TEND!$C:$C,$A222)</f>
        <v>296.1787334361502</v>
      </c>
    </row>
    <row r="223" spans="1:13" x14ac:dyDescent="0.3">
      <c r="A223" t="s">
        <v>173</v>
      </c>
      <c r="B223" s="1">
        <v>46054</v>
      </c>
      <c r="C223" t="str">
        <f t="shared" si="20"/>
        <v>02</v>
      </c>
      <c r="D223">
        <f t="shared" si="21"/>
        <v>2026</v>
      </c>
      <c r="E223" t="s">
        <v>644</v>
      </c>
      <c r="F223" t="s">
        <v>647</v>
      </c>
      <c r="G223" t="s">
        <v>646</v>
      </c>
      <c r="H223">
        <v>0</v>
      </c>
      <c r="I223">
        <v>0</v>
      </c>
      <c r="J223" s="1">
        <f t="shared" si="22"/>
        <v>46054</v>
      </c>
      <c r="K223" t="str">
        <f t="shared" si="23"/>
        <v>fev/26</v>
      </c>
      <c r="L223" t="str">
        <f t="shared" si="24"/>
        <v>dom</v>
      </c>
      <c r="M223">
        <f>SUMIFS(BASE_MOVEL_TEND!$D:$D,BASE_MOVEL_TEND!$A:$A,$F223,BASE_MOVEL_TEND!$B:$B,$E223,BASE_MOVEL_TEND!$C:$C,$A223)</f>
        <v>316.27114631849645</v>
      </c>
    </row>
    <row r="224" spans="1:13" x14ac:dyDescent="0.3">
      <c r="A224" t="s">
        <v>242</v>
      </c>
      <c r="B224" s="1">
        <v>46054</v>
      </c>
      <c r="C224" t="str">
        <f t="shared" si="20"/>
        <v>02</v>
      </c>
      <c r="D224">
        <f t="shared" si="21"/>
        <v>2026</v>
      </c>
      <c r="E224" t="s">
        <v>644</v>
      </c>
      <c r="F224" t="s">
        <v>647</v>
      </c>
      <c r="G224" t="s">
        <v>646</v>
      </c>
      <c r="H224">
        <v>0</v>
      </c>
      <c r="I224">
        <v>0</v>
      </c>
      <c r="J224" s="1">
        <f t="shared" si="22"/>
        <v>46054</v>
      </c>
      <c r="K224" t="str">
        <f t="shared" si="23"/>
        <v>fev/26</v>
      </c>
      <c r="L224" t="str">
        <f t="shared" si="24"/>
        <v>dom</v>
      </c>
      <c r="M224">
        <f>SUMIFS(BASE_MOVEL_TEND!$D:$D,BASE_MOVEL_TEND!$A:$A,$F224,BASE_MOVEL_TEND!$B:$B,$E224,BASE_MOVEL_TEND!$C:$C,$A224)</f>
        <v>116.5363417735721</v>
      </c>
    </row>
    <row r="225" spans="1:13" x14ac:dyDescent="0.3">
      <c r="A225" t="s">
        <v>286</v>
      </c>
      <c r="B225" s="1">
        <v>46054</v>
      </c>
      <c r="C225" t="str">
        <f t="shared" si="20"/>
        <v>02</v>
      </c>
      <c r="D225">
        <f t="shared" si="21"/>
        <v>2026</v>
      </c>
      <c r="E225" t="s">
        <v>644</v>
      </c>
      <c r="F225" t="s">
        <v>647</v>
      </c>
      <c r="G225" t="s">
        <v>646</v>
      </c>
      <c r="H225">
        <v>0</v>
      </c>
      <c r="I225">
        <v>0</v>
      </c>
      <c r="J225" s="1">
        <f t="shared" si="22"/>
        <v>46054</v>
      </c>
      <c r="K225" t="str">
        <f t="shared" si="23"/>
        <v>fev/26</v>
      </c>
      <c r="L225" t="str">
        <f t="shared" si="24"/>
        <v>dom</v>
      </c>
      <c r="M225">
        <f>SUMIFS(BASE_MOVEL_TEND!$D:$D,BASE_MOVEL_TEND!$A:$A,$F225,BASE_MOVEL_TEND!$B:$B,$E225,BASE_MOVEL_TEND!$C:$C,$A225)</f>
        <v>122.21209977801188</v>
      </c>
    </row>
    <row r="226" spans="1:13" x14ac:dyDescent="0.3">
      <c r="A226" t="s">
        <v>339</v>
      </c>
      <c r="B226" s="1">
        <v>46054</v>
      </c>
      <c r="C226" t="str">
        <f t="shared" si="20"/>
        <v>02</v>
      </c>
      <c r="D226">
        <f t="shared" si="21"/>
        <v>2026</v>
      </c>
      <c r="E226" t="s">
        <v>644</v>
      </c>
      <c r="F226" t="s">
        <v>647</v>
      </c>
      <c r="G226" t="s">
        <v>646</v>
      </c>
      <c r="H226">
        <v>0</v>
      </c>
      <c r="I226">
        <v>0</v>
      </c>
      <c r="J226" s="1">
        <f t="shared" si="22"/>
        <v>46054</v>
      </c>
      <c r="K226" t="str">
        <f t="shared" si="23"/>
        <v>fev/26</v>
      </c>
      <c r="L226" t="str">
        <f t="shared" si="24"/>
        <v>dom</v>
      </c>
      <c r="M226">
        <f>SUMIFS(BASE_MOVEL_TEND!$D:$D,BASE_MOVEL_TEND!$A:$A,$F226,BASE_MOVEL_TEND!$B:$B,$E226,BASE_MOVEL_TEND!$C:$C,$A226)</f>
        <v>37.856811430073741</v>
      </c>
    </row>
    <row r="227" spans="1:13" x14ac:dyDescent="0.3">
      <c r="A227" t="s">
        <v>380</v>
      </c>
      <c r="B227" s="1">
        <v>46054</v>
      </c>
      <c r="C227" t="str">
        <f t="shared" si="20"/>
        <v>02</v>
      </c>
      <c r="D227">
        <f t="shared" si="21"/>
        <v>2026</v>
      </c>
      <c r="E227" t="s">
        <v>644</v>
      </c>
      <c r="F227" t="s">
        <v>647</v>
      </c>
      <c r="G227" t="s">
        <v>646</v>
      </c>
      <c r="H227">
        <v>0</v>
      </c>
      <c r="I227">
        <v>0</v>
      </c>
      <c r="J227" s="1">
        <f t="shared" si="22"/>
        <v>46054</v>
      </c>
      <c r="K227" t="str">
        <f t="shared" si="23"/>
        <v>fev/26</v>
      </c>
      <c r="L227" t="str">
        <f t="shared" si="24"/>
        <v>dom</v>
      </c>
      <c r="M227">
        <f>SUMIFS(BASE_MOVEL_TEND!$D:$D,BASE_MOVEL_TEND!$A:$A,$F227,BASE_MOVEL_TEND!$B:$B,$E227,BASE_MOVEL_TEND!$C:$C,$A227)</f>
        <v>154.33178667367747</v>
      </c>
    </row>
    <row r="228" spans="1:13" x14ac:dyDescent="0.3">
      <c r="A228" t="s">
        <v>446</v>
      </c>
      <c r="B228" s="1">
        <v>46054</v>
      </c>
      <c r="C228" t="str">
        <f t="shared" si="20"/>
        <v>02</v>
      </c>
      <c r="D228">
        <f t="shared" si="21"/>
        <v>2026</v>
      </c>
      <c r="E228" t="s">
        <v>644</v>
      </c>
      <c r="F228" t="s">
        <v>647</v>
      </c>
      <c r="G228" t="s">
        <v>646</v>
      </c>
      <c r="H228">
        <v>0</v>
      </c>
      <c r="I228">
        <v>0</v>
      </c>
      <c r="J228" s="1">
        <f t="shared" si="22"/>
        <v>46054</v>
      </c>
      <c r="K228" t="str">
        <f t="shared" si="23"/>
        <v>fev/26</v>
      </c>
      <c r="L228" t="str">
        <f t="shared" si="24"/>
        <v>dom</v>
      </c>
      <c r="M228">
        <f>SUMIFS(BASE_MOVEL_TEND!$D:$D,BASE_MOVEL_TEND!$A:$A,$F228,BASE_MOVEL_TEND!$B:$B,$E228,BASE_MOVEL_TEND!$C:$C,$A228)</f>
        <v>157.40983637457671</v>
      </c>
    </row>
    <row r="229" spans="1:13" x14ac:dyDescent="0.3">
      <c r="A229" t="s">
        <v>516</v>
      </c>
      <c r="B229" s="1">
        <v>46054</v>
      </c>
      <c r="C229" t="str">
        <f t="shared" si="20"/>
        <v>02</v>
      </c>
      <c r="D229">
        <f t="shared" si="21"/>
        <v>2026</v>
      </c>
      <c r="E229" t="s">
        <v>644</v>
      </c>
      <c r="F229" t="s">
        <v>647</v>
      </c>
      <c r="G229" t="s">
        <v>646</v>
      </c>
      <c r="H229">
        <v>0</v>
      </c>
      <c r="I229">
        <v>0</v>
      </c>
      <c r="J229" s="1">
        <f t="shared" si="22"/>
        <v>46054</v>
      </c>
      <c r="K229" t="str">
        <f t="shared" si="23"/>
        <v>fev/26</v>
      </c>
      <c r="L229" t="str">
        <f t="shared" si="24"/>
        <v>dom</v>
      </c>
      <c r="M229">
        <f>SUMIFS(BASE_MOVEL_TEND!$D:$D,BASE_MOVEL_TEND!$A:$A,$F229,BASE_MOVEL_TEND!$B:$B,$E229,BASE_MOVEL_TEND!$C:$C,$A229)</f>
        <v>738.58247748218446</v>
      </c>
    </row>
    <row r="230" spans="1:13" x14ac:dyDescent="0.3">
      <c r="A230" t="s">
        <v>573</v>
      </c>
      <c r="B230" s="1">
        <v>46054</v>
      </c>
      <c r="C230" t="str">
        <f t="shared" si="20"/>
        <v>02</v>
      </c>
      <c r="D230">
        <f t="shared" si="21"/>
        <v>2026</v>
      </c>
      <c r="E230" t="s">
        <v>644</v>
      </c>
      <c r="F230" t="s">
        <v>647</v>
      </c>
      <c r="G230" t="s">
        <v>646</v>
      </c>
      <c r="H230">
        <v>0</v>
      </c>
      <c r="I230">
        <v>0</v>
      </c>
      <c r="J230" s="1">
        <f t="shared" si="22"/>
        <v>46054</v>
      </c>
      <c r="K230" t="str">
        <f t="shared" si="23"/>
        <v>fev/26</v>
      </c>
      <c r="L230" t="str">
        <f t="shared" si="24"/>
        <v>dom</v>
      </c>
      <c r="M230">
        <f>SUMIFS(BASE_MOVEL_TEND!$D:$D,BASE_MOVEL_TEND!$A:$A,$F230,BASE_MOVEL_TEND!$B:$B,$E230,BASE_MOVEL_TEND!$C:$C,$A230)</f>
        <v>82.53938793784333</v>
      </c>
    </row>
    <row r="231" spans="1:13" x14ac:dyDescent="0.3">
      <c r="A231" t="s">
        <v>605</v>
      </c>
      <c r="B231" s="1">
        <v>46054</v>
      </c>
      <c r="C231" t="str">
        <f t="shared" si="20"/>
        <v>02</v>
      </c>
      <c r="D231">
        <f t="shared" si="21"/>
        <v>2026</v>
      </c>
      <c r="E231" t="s">
        <v>644</v>
      </c>
      <c r="F231" t="s">
        <v>647</v>
      </c>
      <c r="G231" t="s">
        <v>646</v>
      </c>
      <c r="H231">
        <v>0</v>
      </c>
      <c r="I231">
        <v>0</v>
      </c>
      <c r="J231" s="1">
        <f t="shared" si="22"/>
        <v>46054</v>
      </c>
      <c r="K231" t="str">
        <f t="shared" si="23"/>
        <v>fev/26</v>
      </c>
      <c r="L231" t="str">
        <f t="shared" si="24"/>
        <v>dom</v>
      </c>
      <c r="M231">
        <f>SUMIFS(BASE_MOVEL_TEND!$D:$D,BASE_MOVEL_TEND!$A:$A,$F231,BASE_MOVEL_TEND!$B:$B,$E231,BASE_MOVEL_TEND!$C:$C,$A231)</f>
        <v>117.7818078934457</v>
      </c>
    </row>
    <row r="232" spans="1:13" x14ac:dyDescent="0.3">
      <c r="A232" t="s">
        <v>8</v>
      </c>
      <c r="B232" s="1">
        <v>46054</v>
      </c>
      <c r="C232" t="str">
        <f t="shared" si="20"/>
        <v>02</v>
      </c>
      <c r="D232">
        <f t="shared" si="21"/>
        <v>2026</v>
      </c>
      <c r="E232" t="s">
        <v>644</v>
      </c>
      <c r="F232" t="s">
        <v>664</v>
      </c>
      <c r="G232" t="s">
        <v>646</v>
      </c>
      <c r="H232">
        <v>0</v>
      </c>
      <c r="I232">
        <v>0</v>
      </c>
      <c r="J232" s="1">
        <f t="shared" si="22"/>
        <v>46054</v>
      </c>
      <c r="K232" t="str">
        <f t="shared" si="23"/>
        <v>fev/26</v>
      </c>
      <c r="L232" t="str">
        <f t="shared" si="24"/>
        <v>dom</v>
      </c>
      <c r="M232">
        <f>SUMIFS(BASE_MOVEL_TEND!$D:$D,BASE_MOVEL_TEND!$A:$A,$F232,BASE_MOVEL_TEND!$B:$B,$E232,BASE_MOVEL_TEND!$C:$C,$A232)</f>
        <v>283.1787334361502</v>
      </c>
    </row>
    <row r="233" spans="1:13" x14ac:dyDescent="0.3">
      <c r="A233" t="s">
        <v>173</v>
      </c>
      <c r="B233" s="1">
        <v>46054</v>
      </c>
      <c r="C233" t="str">
        <f t="shared" si="20"/>
        <v>02</v>
      </c>
      <c r="D233">
        <f t="shared" si="21"/>
        <v>2026</v>
      </c>
      <c r="E233" t="s">
        <v>644</v>
      </c>
      <c r="F233" t="s">
        <v>664</v>
      </c>
      <c r="G233" t="s">
        <v>646</v>
      </c>
      <c r="H233">
        <v>0</v>
      </c>
      <c r="I233">
        <v>0</v>
      </c>
      <c r="J233" s="1">
        <f t="shared" si="22"/>
        <v>46054</v>
      </c>
      <c r="K233" t="str">
        <f t="shared" si="23"/>
        <v>fev/26</v>
      </c>
      <c r="L233" t="str">
        <f t="shared" si="24"/>
        <v>dom</v>
      </c>
      <c r="M233">
        <f>SUMIFS(BASE_MOVEL_TEND!$D:$D,BASE_MOVEL_TEND!$A:$A,$F233,BASE_MOVEL_TEND!$B:$B,$E233,BASE_MOVEL_TEND!$C:$C,$A233)</f>
        <v>315.27114631849645</v>
      </c>
    </row>
    <row r="234" spans="1:13" x14ac:dyDescent="0.3">
      <c r="A234" t="s">
        <v>242</v>
      </c>
      <c r="B234" s="1">
        <v>46054</v>
      </c>
      <c r="C234" t="str">
        <f t="shared" si="20"/>
        <v>02</v>
      </c>
      <c r="D234">
        <f t="shared" si="21"/>
        <v>2026</v>
      </c>
      <c r="E234" t="s">
        <v>644</v>
      </c>
      <c r="F234" t="s">
        <v>664</v>
      </c>
      <c r="G234" t="s">
        <v>646</v>
      </c>
      <c r="H234">
        <v>0</v>
      </c>
      <c r="I234">
        <v>0</v>
      </c>
      <c r="J234" s="1">
        <f t="shared" si="22"/>
        <v>46054</v>
      </c>
      <c r="K234" t="str">
        <f t="shared" si="23"/>
        <v>fev/26</v>
      </c>
      <c r="L234" t="str">
        <f t="shared" si="24"/>
        <v>dom</v>
      </c>
      <c r="M234">
        <f>SUMIFS(BASE_MOVEL_TEND!$D:$D,BASE_MOVEL_TEND!$A:$A,$F234,BASE_MOVEL_TEND!$B:$B,$E234,BASE_MOVEL_TEND!$C:$C,$A234)</f>
        <v>106.5363417735721</v>
      </c>
    </row>
    <row r="235" spans="1:13" x14ac:dyDescent="0.3">
      <c r="A235" t="s">
        <v>286</v>
      </c>
      <c r="B235" s="1">
        <v>46054</v>
      </c>
      <c r="C235" t="str">
        <f t="shared" si="20"/>
        <v>02</v>
      </c>
      <c r="D235">
        <f t="shared" si="21"/>
        <v>2026</v>
      </c>
      <c r="E235" t="s">
        <v>644</v>
      </c>
      <c r="F235" t="s">
        <v>664</v>
      </c>
      <c r="G235" t="s">
        <v>646</v>
      </c>
      <c r="H235">
        <v>0</v>
      </c>
      <c r="I235">
        <v>0</v>
      </c>
      <c r="J235" s="1">
        <f t="shared" si="22"/>
        <v>46054</v>
      </c>
      <c r="K235" t="str">
        <f t="shared" si="23"/>
        <v>fev/26</v>
      </c>
      <c r="L235" t="str">
        <f t="shared" si="24"/>
        <v>dom</v>
      </c>
      <c r="M235">
        <f>SUMIFS(BASE_MOVEL_TEND!$D:$D,BASE_MOVEL_TEND!$A:$A,$F235,BASE_MOVEL_TEND!$B:$B,$E235,BASE_MOVEL_TEND!$C:$C,$A235)</f>
        <v>111.21209977801188</v>
      </c>
    </row>
    <row r="236" spans="1:13" x14ac:dyDescent="0.3">
      <c r="A236" t="s">
        <v>339</v>
      </c>
      <c r="B236" s="1">
        <v>46054</v>
      </c>
      <c r="C236" t="str">
        <f t="shared" si="20"/>
        <v>02</v>
      </c>
      <c r="D236">
        <f t="shared" si="21"/>
        <v>2026</v>
      </c>
      <c r="E236" t="s">
        <v>644</v>
      </c>
      <c r="F236" t="s">
        <v>664</v>
      </c>
      <c r="G236" t="s">
        <v>646</v>
      </c>
      <c r="H236">
        <v>0</v>
      </c>
      <c r="I236">
        <v>0</v>
      </c>
      <c r="J236" s="1">
        <f t="shared" si="22"/>
        <v>46054</v>
      </c>
      <c r="K236" t="str">
        <f t="shared" si="23"/>
        <v>fev/26</v>
      </c>
      <c r="L236" t="str">
        <f t="shared" si="24"/>
        <v>dom</v>
      </c>
      <c r="M236">
        <f>SUMIFS(BASE_MOVEL_TEND!$D:$D,BASE_MOVEL_TEND!$A:$A,$F236,BASE_MOVEL_TEND!$B:$B,$E236,BASE_MOVEL_TEND!$C:$C,$A236)</f>
        <v>16.52575093118368</v>
      </c>
    </row>
    <row r="237" spans="1:13" x14ac:dyDescent="0.3">
      <c r="A237" t="s">
        <v>380</v>
      </c>
      <c r="B237" s="1">
        <v>46054</v>
      </c>
      <c r="C237" t="str">
        <f t="shared" si="20"/>
        <v>02</v>
      </c>
      <c r="D237">
        <f t="shared" si="21"/>
        <v>2026</v>
      </c>
      <c r="E237" t="s">
        <v>644</v>
      </c>
      <c r="F237" t="s">
        <v>664</v>
      </c>
      <c r="G237" t="s">
        <v>646</v>
      </c>
      <c r="H237">
        <v>0</v>
      </c>
      <c r="I237">
        <v>0</v>
      </c>
      <c r="J237" s="1">
        <f t="shared" si="22"/>
        <v>46054</v>
      </c>
      <c r="K237" t="str">
        <f t="shared" si="23"/>
        <v>fev/26</v>
      </c>
      <c r="L237" t="str">
        <f t="shared" si="24"/>
        <v>dom</v>
      </c>
      <c r="M237">
        <f>SUMIFS(BASE_MOVEL_TEND!$D:$D,BASE_MOVEL_TEND!$A:$A,$F237,BASE_MOVEL_TEND!$B:$B,$E237,BASE_MOVEL_TEND!$C:$C,$A237)</f>
        <v>146.35906068699677</v>
      </c>
    </row>
    <row r="238" spans="1:13" x14ac:dyDescent="0.3">
      <c r="A238" t="s">
        <v>446</v>
      </c>
      <c r="B238" s="1">
        <v>46054</v>
      </c>
      <c r="C238" t="str">
        <f t="shared" si="20"/>
        <v>02</v>
      </c>
      <c r="D238">
        <f t="shared" si="21"/>
        <v>2026</v>
      </c>
      <c r="E238" t="s">
        <v>644</v>
      </c>
      <c r="F238" t="s">
        <v>664</v>
      </c>
      <c r="G238" t="s">
        <v>646</v>
      </c>
      <c r="H238">
        <v>0</v>
      </c>
      <c r="I238">
        <v>0</v>
      </c>
      <c r="J238" s="1">
        <f t="shared" si="22"/>
        <v>46054</v>
      </c>
      <c r="K238" t="str">
        <f t="shared" si="23"/>
        <v>fev/26</v>
      </c>
      <c r="L238" t="str">
        <f t="shared" si="24"/>
        <v>dom</v>
      </c>
      <c r="M238">
        <f>SUMIFS(BASE_MOVEL_TEND!$D:$D,BASE_MOVEL_TEND!$A:$A,$F238,BASE_MOVEL_TEND!$B:$B,$E238,BASE_MOVEL_TEND!$C:$C,$A238)</f>
        <v>152.43029188456617</v>
      </c>
    </row>
    <row r="239" spans="1:13" x14ac:dyDescent="0.3">
      <c r="A239" t="s">
        <v>516</v>
      </c>
      <c r="B239" s="1">
        <v>46054</v>
      </c>
      <c r="C239" t="str">
        <f t="shared" si="20"/>
        <v>02</v>
      </c>
      <c r="D239">
        <f t="shared" si="21"/>
        <v>2026</v>
      </c>
      <c r="E239" t="s">
        <v>644</v>
      </c>
      <c r="F239" t="s">
        <v>664</v>
      </c>
      <c r="G239" t="s">
        <v>646</v>
      </c>
      <c r="H239">
        <v>0</v>
      </c>
      <c r="I239">
        <v>0</v>
      </c>
      <c r="J239" s="1">
        <f t="shared" si="22"/>
        <v>46054</v>
      </c>
      <c r="K239" t="str">
        <f t="shared" si="23"/>
        <v>fev/26</v>
      </c>
      <c r="L239" t="str">
        <f t="shared" si="24"/>
        <v>dom</v>
      </c>
      <c r="M239">
        <f>SUMIFS(BASE_MOVEL_TEND!$D:$D,BASE_MOVEL_TEND!$A:$A,$F239,BASE_MOVEL_TEND!$B:$B,$E239,BASE_MOVEL_TEND!$C:$C,$A239)</f>
        <v>722.25141698329435</v>
      </c>
    </row>
    <row r="240" spans="1:13" x14ac:dyDescent="0.3">
      <c r="A240" t="s">
        <v>573</v>
      </c>
      <c r="B240" s="1">
        <v>46054</v>
      </c>
      <c r="C240" t="str">
        <f t="shared" si="20"/>
        <v>02</v>
      </c>
      <c r="D240">
        <f t="shared" si="21"/>
        <v>2026</v>
      </c>
      <c r="E240" t="s">
        <v>644</v>
      </c>
      <c r="F240" t="s">
        <v>664</v>
      </c>
      <c r="G240" t="s">
        <v>646</v>
      </c>
      <c r="H240">
        <v>0</v>
      </c>
      <c r="I240">
        <v>0</v>
      </c>
      <c r="J240" s="1">
        <f t="shared" si="22"/>
        <v>46054</v>
      </c>
      <c r="K240" t="str">
        <f t="shared" si="23"/>
        <v>fev/26</v>
      </c>
      <c r="L240" t="str">
        <f t="shared" si="24"/>
        <v>dom</v>
      </c>
      <c r="M240">
        <f>SUMIFS(BASE_MOVEL_TEND!$D:$D,BASE_MOVEL_TEND!$A:$A,$F240,BASE_MOVEL_TEND!$B:$B,$E240,BASE_MOVEL_TEND!$C:$C,$A240)</f>
        <v>67.208327438953276</v>
      </c>
    </row>
    <row r="241" spans="1:13" x14ac:dyDescent="0.3">
      <c r="A241" t="s">
        <v>605</v>
      </c>
      <c r="B241" s="1">
        <v>46054</v>
      </c>
      <c r="C241" t="str">
        <f t="shared" si="20"/>
        <v>02</v>
      </c>
      <c r="D241">
        <f t="shared" si="21"/>
        <v>2026</v>
      </c>
      <c r="E241" t="s">
        <v>644</v>
      </c>
      <c r="F241" t="s">
        <v>664</v>
      </c>
      <c r="G241" t="s">
        <v>646</v>
      </c>
      <c r="H241">
        <v>0</v>
      </c>
      <c r="I241">
        <v>0</v>
      </c>
      <c r="J241" s="1">
        <f t="shared" si="22"/>
        <v>46054</v>
      </c>
      <c r="K241" t="str">
        <f t="shared" si="23"/>
        <v>fev/26</v>
      </c>
      <c r="L241" t="str">
        <f t="shared" si="24"/>
        <v>dom</v>
      </c>
      <c r="M241">
        <f>SUMIFS(BASE_MOVEL_TEND!$D:$D,BASE_MOVEL_TEND!$A:$A,$F241,BASE_MOVEL_TEND!$B:$B,$E241,BASE_MOVEL_TEND!$C:$C,$A241)</f>
        <v>117.45074739455565</v>
      </c>
    </row>
    <row r="242" spans="1:13" x14ac:dyDescent="0.3">
      <c r="A242" t="s">
        <v>8</v>
      </c>
      <c r="B242" s="1">
        <v>46054</v>
      </c>
      <c r="C242" t="str">
        <f t="shared" si="20"/>
        <v>02</v>
      </c>
      <c r="D242">
        <f t="shared" si="21"/>
        <v>2026</v>
      </c>
      <c r="E242" t="s">
        <v>170</v>
      </c>
      <c r="F242" t="s">
        <v>647</v>
      </c>
      <c r="G242" t="s">
        <v>646</v>
      </c>
      <c r="H242">
        <v>0</v>
      </c>
      <c r="I242">
        <v>0</v>
      </c>
      <c r="J242" s="1">
        <f t="shared" si="22"/>
        <v>46054</v>
      </c>
      <c r="K242" t="str">
        <f t="shared" si="23"/>
        <v>fev/26</v>
      </c>
      <c r="L242" t="str">
        <f t="shared" si="24"/>
        <v>dom</v>
      </c>
      <c r="M242">
        <f>SUMIFS(BASE_MOVEL_TEND!$D:$D,BASE_MOVEL_TEND!$A:$A,$F242,BASE_MOVEL_TEND!$B:$B,$E242,BASE_MOVEL_TEND!$C:$C,$A242)</f>
        <v>43.553024944502965</v>
      </c>
    </row>
    <row r="243" spans="1:13" x14ac:dyDescent="0.3">
      <c r="A243" t="s">
        <v>173</v>
      </c>
      <c r="B243" s="1">
        <v>46054</v>
      </c>
      <c r="C243" t="str">
        <f t="shared" si="20"/>
        <v>02</v>
      </c>
      <c r="D243">
        <f t="shared" si="21"/>
        <v>2026</v>
      </c>
      <c r="E243" t="s">
        <v>170</v>
      </c>
      <c r="F243" t="s">
        <v>647</v>
      </c>
      <c r="G243" t="s">
        <v>646</v>
      </c>
      <c r="H243">
        <v>0</v>
      </c>
      <c r="I243">
        <v>0</v>
      </c>
      <c r="J243" s="1">
        <f t="shared" si="22"/>
        <v>46054</v>
      </c>
      <c r="K243" t="str">
        <f t="shared" si="23"/>
        <v>fev/26</v>
      </c>
      <c r="L243" t="str">
        <f t="shared" si="24"/>
        <v>dom</v>
      </c>
      <c r="M243">
        <f>SUMIFS(BASE_MOVEL_TEND!$D:$D,BASE_MOVEL_TEND!$A:$A,$F243,BASE_MOVEL_TEND!$B:$B,$E243,BASE_MOVEL_TEND!$C:$C,$A243)</f>
        <v>94.843174423414098</v>
      </c>
    </row>
    <row r="244" spans="1:13" x14ac:dyDescent="0.3">
      <c r="A244" t="s">
        <v>242</v>
      </c>
      <c r="B244" s="1">
        <v>46054</v>
      </c>
      <c r="C244" t="str">
        <f t="shared" si="20"/>
        <v>02</v>
      </c>
      <c r="D244">
        <f t="shared" si="21"/>
        <v>2026</v>
      </c>
      <c r="E244" t="s">
        <v>170</v>
      </c>
      <c r="F244" t="s">
        <v>647</v>
      </c>
      <c r="G244" t="s">
        <v>646</v>
      </c>
      <c r="H244">
        <v>0</v>
      </c>
      <c r="I244">
        <v>0</v>
      </c>
      <c r="J244" s="1">
        <f t="shared" si="22"/>
        <v>46054</v>
      </c>
      <c r="K244" t="str">
        <f t="shared" si="23"/>
        <v>fev/26</v>
      </c>
      <c r="L244" t="str">
        <f t="shared" si="24"/>
        <v>dom</v>
      </c>
      <c r="M244">
        <f>SUMIFS(BASE_MOVEL_TEND!$D:$D,BASE_MOVEL_TEND!$A:$A,$F244,BASE_MOVEL_TEND!$B:$B,$E244,BASE_MOVEL_TEND!$C:$C,$A244)</f>
        <v>30.242419955602372</v>
      </c>
    </row>
    <row r="245" spans="1:13" x14ac:dyDescent="0.3">
      <c r="A245" t="s">
        <v>286</v>
      </c>
      <c r="B245" s="1">
        <v>46054</v>
      </c>
      <c r="C245" t="str">
        <f t="shared" si="20"/>
        <v>02</v>
      </c>
      <c r="D245">
        <f t="shared" si="21"/>
        <v>2026</v>
      </c>
      <c r="E245" t="s">
        <v>170</v>
      </c>
      <c r="F245" t="s">
        <v>647</v>
      </c>
      <c r="G245" t="s">
        <v>646</v>
      </c>
      <c r="H245">
        <v>0</v>
      </c>
      <c r="I245">
        <v>0</v>
      </c>
      <c r="J245" s="1">
        <f t="shared" si="22"/>
        <v>46054</v>
      </c>
      <c r="K245" t="str">
        <f t="shared" si="23"/>
        <v>fev/26</v>
      </c>
      <c r="L245" t="str">
        <f t="shared" si="24"/>
        <v>dom</v>
      </c>
      <c r="M245">
        <f>SUMIFS(BASE_MOVEL_TEND!$D:$D,BASE_MOVEL_TEND!$A:$A,$F245,BASE_MOVEL_TEND!$B:$B,$E245,BASE_MOVEL_TEND!$C:$C,$A245)</f>
        <v>57.167416418974334</v>
      </c>
    </row>
    <row r="246" spans="1:13" x14ac:dyDescent="0.3">
      <c r="A246" t="s">
        <v>339</v>
      </c>
      <c r="B246" s="1">
        <v>46054</v>
      </c>
      <c r="C246" t="str">
        <f t="shared" si="20"/>
        <v>02</v>
      </c>
      <c r="D246">
        <f t="shared" si="21"/>
        <v>2026</v>
      </c>
      <c r="E246" t="s">
        <v>170</v>
      </c>
      <c r="F246" t="s">
        <v>647</v>
      </c>
      <c r="G246" t="s">
        <v>646</v>
      </c>
      <c r="H246">
        <v>0</v>
      </c>
      <c r="I246">
        <v>0</v>
      </c>
      <c r="J246" s="1">
        <f t="shared" si="22"/>
        <v>46054</v>
      </c>
      <c r="K246" t="str">
        <f t="shared" si="23"/>
        <v>fev/26</v>
      </c>
      <c r="L246" t="str">
        <f t="shared" si="24"/>
        <v>dom</v>
      </c>
      <c r="M246">
        <f>SUMIFS(BASE_MOVEL_TEND!$D:$D,BASE_MOVEL_TEND!$A:$A,$F246,BASE_MOVEL_TEND!$B:$B,$E246,BASE_MOVEL_TEND!$C:$C,$A246)</f>
        <v>16.600754467811718</v>
      </c>
    </row>
    <row r="247" spans="1:13" x14ac:dyDescent="0.3">
      <c r="A247" t="s">
        <v>380</v>
      </c>
      <c r="B247" s="1">
        <v>46054</v>
      </c>
      <c r="C247" t="str">
        <f t="shared" si="20"/>
        <v>02</v>
      </c>
      <c r="D247">
        <f t="shared" si="21"/>
        <v>2026</v>
      </c>
      <c r="E247" t="s">
        <v>170</v>
      </c>
      <c r="F247" t="s">
        <v>647</v>
      </c>
      <c r="G247" t="s">
        <v>646</v>
      </c>
      <c r="H247">
        <v>0</v>
      </c>
      <c r="I247">
        <v>0</v>
      </c>
      <c r="J247" s="1">
        <f t="shared" si="22"/>
        <v>46054</v>
      </c>
      <c r="K247" t="str">
        <f t="shared" si="23"/>
        <v>fev/26</v>
      </c>
      <c r="L247" t="str">
        <f t="shared" si="24"/>
        <v>dom</v>
      </c>
      <c r="M247">
        <f>SUMIFS(BASE_MOVEL_TEND!$D:$D,BASE_MOVEL_TEND!$A:$A,$F247,BASE_MOVEL_TEND!$B:$B,$E247,BASE_MOVEL_TEND!$C:$C,$A247)</f>
        <v>46.532569434513505</v>
      </c>
    </row>
    <row r="248" spans="1:13" x14ac:dyDescent="0.3">
      <c r="A248" t="s">
        <v>446</v>
      </c>
      <c r="B248" s="1">
        <v>46054</v>
      </c>
      <c r="C248" t="str">
        <f t="shared" si="20"/>
        <v>02</v>
      </c>
      <c r="D248">
        <f t="shared" si="21"/>
        <v>2026</v>
      </c>
      <c r="E248" t="s">
        <v>170</v>
      </c>
      <c r="F248" t="s">
        <v>647</v>
      </c>
      <c r="G248" t="s">
        <v>646</v>
      </c>
      <c r="H248">
        <v>0</v>
      </c>
      <c r="I248">
        <v>0</v>
      </c>
      <c r="J248" s="1">
        <f t="shared" si="22"/>
        <v>46054</v>
      </c>
      <c r="K248" t="str">
        <f t="shared" si="23"/>
        <v>fev/26</v>
      </c>
      <c r="L248" t="str">
        <f t="shared" si="24"/>
        <v>dom</v>
      </c>
      <c r="M248">
        <f>SUMIFS(BASE_MOVEL_TEND!$D:$D,BASE_MOVEL_TEND!$A:$A,$F248,BASE_MOVEL_TEND!$B:$B,$E248,BASE_MOVEL_TEND!$C:$C,$A248)</f>
        <v>35.890903946722851</v>
      </c>
    </row>
    <row r="249" spans="1:13" x14ac:dyDescent="0.3">
      <c r="A249" t="s">
        <v>516</v>
      </c>
      <c r="B249" s="1">
        <v>46054</v>
      </c>
      <c r="C249" t="str">
        <f t="shared" si="20"/>
        <v>02</v>
      </c>
      <c r="D249">
        <f t="shared" si="21"/>
        <v>2026</v>
      </c>
      <c r="E249" t="s">
        <v>170</v>
      </c>
      <c r="F249" t="s">
        <v>647</v>
      </c>
      <c r="G249" t="s">
        <v>646</v>
      </c>
      <c r="H249">
        <v>0</v>
      </c>
      <c r="I249">
        <v>0</v>
      </c>
      <c r="J249" s="1">
        <f t="shared" si="22"/>
        <v>46054</v>
      </c>
      <c r="K249" t="str">
        <f t="shared" si="23"/>
        <v>fev/26</v>
      </c>
      <c r="L249" t="str">
        <f t="shared" si="24"/>
        <v>dom</v>
      </c>
      <c r="M249">
        <f>SUMIFS(BASE_MOVEL_TEND!$D:$D,BASE_MOVEL_TEND!$A:$A,$F249,BASE_MOVEL_TEND!$B:$B,$E249,BASE_MOVEL_TEND!$C:$C,$A249)</f>
        <v>161.99013533239895</v>
      </c>
    </row>
    <row r="250" spans="1:13" x14ac:dyDescent="0.3">
      <c r="A250" t="s">
        <v>573</v>
      </c>
      <c r="B250" s="1">
        <v>46054</v>
      </c>
      <c r="C250" t="str">
        <f t="shared" si="20"/>
        <v>02</v>
      </c>
      <c r="D250">
        <f t="shared" si="21"/>
        <v>2026</v>
      </c>
      <c r="E250" t="s">
        <v>170</v>
      </c>
      <c r="F250" t="s">
        <v>647</v>
      </c>
      <c r="G250" t="s">
        <v>646</v>
      </c>
      <c r="H250">
        <v>0</v>
      </c>
      <c r="I250">
        <v>0</v>
      </c>
      <c r="J250" s="1">
        <f t="shared" si="22"/>
        <v>46054</v>
      </c>
      <c r="K250" t="str">
        <f t="shared" si="23"/>
        <v>fev/26</v>
      </c>
      <c r="L250" t="str">
        <f t="shared" si="24"/>
        <v>dom</v>
      </c>
      <c r="M250">
        <f>SUMIFS(BASE_MOVEL_TEND!$D:$D,BASE_MOVEL_TEND!$A:$A,$F250,BASE_MOVEL_TEND!$B:$B,$E250,BASE_MOVEL_TEND!$C:$C,$A250)</f>
        <v>33.249238458932197</v>
      </c>
    </row>
    <row r="251" spans="1:13" x14ac:dyDescent="0.3">
      <c r="A251" t="s">
        <v>605</v>
      </c>
      <c r="B251" s="1">
        <v>46054</v>
      </c>
      <c r="C251" t="str">
        <f t="shared" si="20"/>
        <v>02</v>
      </c>
      <c r="D251">
        <f t="shared" si="21"/>
        <v>2026</v>
      </c>
      <c r="E251" t="s">
        <v>170</v>
      </c>
      <c r="F251" t="s">
        <v>647</v>
      </c>
      <c r="G251" t="s">
        <v>646</v>
      </c>
      <c r="H251">
        <v>0</v>
      </c>
      <c r="I251">
        <v>0</v>
      </c>
      <c r="J251" s="1">
        <f t="shared" si="22"/>
        <v>46054</v>
      </c>
      <c r="K251" t="str">
        <f t="shared" si="23"/>
        <v>fev/26</v>
      </c>
      <c r="L251" t="str">
        <f t="shared" si="24"/>
        <v>dom</v>
      </c>
      <c r="M251">
        <f>SUMIFS(BASE_MOVEL_TEND!$D:$D,BASE_MOVEL_TEND!$A:$A,$F251,BASE_MOVEL_TEND!$B:$B,$E251,BASE_MOVEL_TEND!$C:$C,$A251)</f>
        <v>13.96590748335089</v>
      </c>
    </row>
    <row r="252" spans="1:13" x14ac:dyDescent="0.3">
      <c r="A252" t="s">
        <v>8</v>
      </c>
      <c r="B252" s="1">
        <v>46054</v>
      </c>
      <c r="C252" t="str">
        <f t="shared" si="20"/>
        <v>02</v>
      </c>
      <c r="D252">
        <f t="shared" si="21"/>
        <v>2026</v>
      </c>
      <c r="E252" t="s">
        <v>170</v>
      </c>
      <c r="F252" t="s">
        <v>664</v>
      </c>
      <c r="G252" t="s">
        <v>646</v>
      </c>
      <c r="H252">
        <v>0</v>
      </c>
      <c r="I252">
        <v>0</v>
      </c>
      <c r="J252" s="1">
        <f t="shared" si="22"/>
        <v>46054</v>
      </c>
      <c r="K252" t="str">
        <f t="shared" si="23"/>
        <v>fev/26</v>
      </c>
      <c r="L252" t="str">
        <f t="shared" si="24"/>
        <v>dom</v>
      </c>
      <c r="M252">
        <f>SUMIFS(BASE_MOVEL_TEND!$D:$D,BASE_MOVEL_TEND!$A:$A,$F252,BASE_MOVEL_TEND!$B:$B,$E252,BASE_MOVEL_TEND!$C:$C,$A252)</f>
        <v>38.890903946722844</v>
      </c>
    </row>
    <row r="253" spans="1:13" x14ac:dyDescent="0.3">
      <c r="A253" t="s">
        <v>173</v>
      </c>
      <c r="B253" s="1">
        <v>46054</v>
      </c>
      <c r="C253" t="str">
        <f t="shared" si="20"/>
        <v>02</v>
      </c>
      <c r="D253">
        <f t="shared" si="21"/>
        <v>2026</v>
      </c>
      <c r="E253" t="s">
        <v>170</v>
      </c>
      <c r="F253" t="s">
        <v>664</v>
      </c>
      <c r="G253" t="s">
        <v>646</v>
      </c>
      <c r="H253">
        <v>0</v>
      </c>
      <c r="I253">
        <v>0</v>
      </c>
      <c r="J253" s="1">
        <f t="shared" si="22"/>
        <v>46054</v>
      </c>
      <c r="K253" t="str">
        <f t="shared" si="23"/>
        <v>fev/26</v>
      </c>
      <c r="L253" t="str">
        <f t="shared" si="24"/>
        <v>dom</v>
      </c>
      <c r="M253">
        <f>SUMIFS(BASE_MOVEL_TEND!$D:$D,BASE_MOVEL_TEND!$A:$A,$F253,BASE_MOVEL_TEND!$B:$B,$E253,BASE_MOVEL_TEND!$C:$C,$A253)</f>
        <v>84.215145942283087</v>
      </c>
    </row>
    <row r="254" spans="1:13" x14ac:dyDescent="0.3">
      <c r="A254" t="s">
        <v>242</v>
      </c>
      <c r="B254" s="1">
        <v>46054</v>
      </c>
      <c r="C254" t="str">
        <f t="shared" si="20"/>
        <v>02</v>
      </c>
      <c r="D254">
        <f t="shared" si="21"/>
        <v>2026</v>
      </c>
      <c r="E254" t="s">
        <v>170</v>
      </c>
      <c r="F254" t="s">
        <v>664</v>
      </c>
      <c r="G254" t="s">
        <v>646</v>
      </c>
      <c r="H254">
        <v>0</v>
      </c>
      <c r="I254">
        <v>0</v>
      </c>
      <c r="J254" s="1">
        <f t="shared" si="22"/>
        <v>46054</v>
      </c>
      <c r="K254" t="str">
        <f t="shared" si="23"/>
        <v>fev/26</v>
      </c>
      <c r="L254" t="str">
        <f t="shared" si="24"/>
        <v>dom</v>
      </c>
      <c r="M254">
        <f>SUMIFS(BASE_MOVEL_TEND!$D:$D,BASE_MOVEL_TEND!$A:$A,$F254,BASE_MOVEL_TEND!$B:$B,$E254,BASE_MOVEL_TEND!$C:$C,$A254)</f>
        <v>26.918177960042136</v>
      </c>
    </row>
    <row r="255" spans="1:13" x14ac:dyDescent="0.3">
      <c r="A255" t="s">
        <v>286</v>
      </c>
      <c r="B255" s="1">
        <v>46054</v>
      </c>
      <c r="C255" t="str">
        <f t="shared" si="20"/>
        <v>02</v>
      </c>
      <c r="D255">
        <f t="shared" si="21"/>
        <v>2026</v>
      </c>
      <c r="E255" t="s">
        <v>170</v>
      </c>
      <c r="F255" t="s">
        <v>664</v>
      </c>
      <c r="G255" t="s">
        <v>646</v>
      </c>
      <c r="H255">
        <v>0</v>
      </c>
      <c r="I255">
        <v>0</v>
      </c>
      <c r="J255" s="1">
        <f t="shared" si="22"/>
        <v>46054</v>
      </c>
      <c r="K255" t="str">
        <f t="shared" si="23"/>
        <v>fev/26</v>
      </c>
      <c r="L255" t="str">
        <f t="shared" si="24"/>
        <v>dom</v>
      </c>
      <c r="M255">
        <f>SUMIFS(BASE_MOVEL_TEND!$D:$D,BASE_MOVEL_TEND!$A:$A,$F255,BASE_MOVEL_TEND!$B:$B,$E255,BASE_MOVEL_TEND!$C:$C,$A255)</f>
        <v>47.181053425633976</v>
      </c>
    </row>
    <row r="256" spans="1:13" x14ac:dyDescent="0.3">
      <c r="A256" t="s">
        <v>339</v>
      </c>
      <c r="B256" s="1">
        <v>46054</v>
      </c>
      <c r="C256" t="str">
        <f t="shared" si="20"/>
        <v>02</v>
      </c>
      <c r="D256">
        <f t="shared" si="21"/>
        <v>2026</v>
      </c>
      <c r="E256" t="s">
        <v>170</v>
      </c>
      <c r="F256" t="s">
        <v>664</v>
      </c>
      <c r="G256" t="s">
        <v>646</v>
      </c>
      <c r="H256">
        <v>0</v>
      </c>
      <c r="I256">
        <v>0</v>
      </c>
      <c r="J256" s="1">
        <f t="shared" si="22"/>
        <v>46054</v>
      </c>
      <c r="K256" t="str">
        <f t="shared" si="23"/>
        <v>fev/26</v>
      </c>
      <c r="L256" t="str">
        <f t="shared" si="24"/>
        <v>dom</v>
      </c>
      <c r="M256">
        <f>SUMIFS(BASE_MOVEL_TEND!$D:$D,BASE_MOVEL_TEND!$A:$A,$F256,BASE_MOVEL_TEND!$B:$B,$E256,BASE_MOVEL_TEND!$C:$C,$A256)</f>
        <v>15.60757297114154</v>
      </c>
    </row>
    <row r="257" spans="1:13" x14ac:dyDescent="0.3">
      <c r="A257" t="s">
        <v>380</v>
      </c>
      <c r="B257" s="1">
        <v>46054</v>
      </c>
      <c r="C257" t="str">
        <f t="shared" si="20"/>
        <v>02</v>
      </c>
      <c r="D257">
        <f t="shared" si="21"/>
        <v>2026</v>
      </c>
      <c r="E257" t="s">
        <v>170</v>
      </c>
      <c r="F257" t="s">
        <v>664</v>
      </c>
      <c r="G257" t="s">
        <v>646</v>
      </c>
      <c r="H257">
        <v>0</v>
      </c>
      <c r="I257">
        <v>0</v>
      </c>
      <c r="J257" s="1">
        <f t="shared" si="22"/>
        <v>46054</v>
      </c>
      <c r="K257" t="str">
        <f t="shared" si="23"/>
        <v>fev/26</v>
      </c>
      <c r="L257" t="str">
        <f t="shared" si="24"/>
        <v>dom</v>
      </c>
      <c r="M257">
        <f>SUMIFS(BASE_MOVEL_TEND!$D:$D,BASE_MOVEL_TEND!$A:$A,$F257,BASE_MOVEL_TEND!$B:$B,$E257,BASE_MOVEL_TEND!$C:$C,$A257)</f>
        <v>36.566661951162615</v>
      </c>
    </row>
    <row r="258" spans="1:13" x14ac:dyDescent="0.3">
      <c r="A258" t="s">
        <v>446</v>
      </c>
      <c r="B258" s="1">
        <v>46054</v>
      </c>
      <c r="C258" t="str">
        <f t="shared" si="20"/>
        <v>02</v>
      </c>
      <c r="D258">
        <f t="shared" si="21"/>
        <v>2026</v>
      </c>
      <c r="E258" t="s">
        <v>170</v>
      </c>
      <c r="F258" t="s">
        <v>664</v>
      </c>
      <c r="G258" t="s">
        <v>646</v>
      </c>
      <c r="H258">
        <v>0</v>
      </c>
      <c r="I258">
        <v>0</v>
      </c>
      <c r="J258" s="1">
        <f t="shared" si="22"/>
        <v>46054</v>
      </c>
      <c r="K258" t="str">
        <f t="shared" si="23"/>
        <v>fev/26</v>
      </c>
      <c r="L258" t="str">
        <f t="shared" si="24"/>
        <v>dom</v>
      </c>
      <c r="M258">
        <f>SUMIFS(BASE_MOVEL_TEND!$D:$D,BASE_MOVEL_TEND!$A:$A,$F258,BASE_MOVEL_TEND!$B:$B,$E258,BASE_MOVEL_TEND!$C:$C,$A258)</f>
        <v>27.600754467811726</v>
      </c>
    </row>
    <row r="259" spans="1:13" x14ac:dyDescent="0.3">
      <c r="A259" t="s">
        <v>516</v>
      </c>
      <c r="B259" s="1">
        <v>46054</v>
      </c>
      <c r="C259" t="str">
        <f t="shared" si="20"/>
        <v>02</v>
      </c>
      <c r="D259">
        <f t="shared" si="21"/>
        <v>2026</v>
      </c>
      <c r="E259" t="s">
        <v>170</v>
      </c>
      <c r="F259" t="s">
        <v>664</v>
      </c>
      <c r="G259" t="s">
        <v>646</v>
      </c>
      <c r="H259">
        <v>0</v>
      </c>
      <c r="I259">
        <v>0</v>
      </c>
      <c r="J259" s="1">
        <f t="shared" si="22"/>
        <v>46054</v>
      </c>
      <c r="K259" t="str">
        <f t="shared" si="23"/>
        <v>fev/26</v>
      </c>
      <c r="L259" t="str">
        <f t="shared" si="24"/>
        <v>dom</v>
      </c>
      <c r="M259">
        <f>SUMIFS(BASE_MOVEL_TEND!$D:$D,BASE_MOVEL_TEND!$A:$A,$F259,BASE_MOVEL_TEND!$B:$B,$E259,BASE_MOVEL_TEND!$C:$C,$A259)</f>
        <v>135.69998585348782</v>
      </c>
    </row>
    <row r="260" spans="1:13" x14ac:dyDescent="0.3">
      <c r="A260" t="s">
        <v>573</v>
      </c>
      <c r="B260" s="1">
        <v>46054</v>
      </c>
      <c r="C260" t="str">
        <f t="shared" si="20"/>
        <v>02</v>
      </c>
      <c r="D260">
        <f t="shared" si="21"/>
        <v>2026</v>
      </c>
      <c r="E260" t="s">
        <v>170</v>
      </c>
      <c r="F260" t="s">
        <v>664</v>
      </c>
      <c r="G260" t="s">
        <v>646</v>
      </c>
      <c r="H260">
        <v>0</v>
      </c>
      <c r="I260">
        <v>0</v>
      </c>
      <c r="J260" s="1">
        <f t="shared" si="22"/>
        <v>46054</v>
      </c>
      <c r="K260" t="str">
        <f t="shared" si="23"/>
        <v>fev/26</v>
      </c>
      <c r="L260" t="str">
        <f t="shared" si="24"/>
        <v>dom</v>
      </c>
      <c r="M260">
        <f>SUMIFS(BASE_MOVEL_TEND!$D:$D,BASE_MOVEL_TEND!$A:$A,$F260,BASE_MOVEL_TEND!$B:$B,$E260,BASE_MOVEL_TEND!$C:$C,$A260)</f>
        <v>32.918177960042136</v>
      </c>
    </row>
    <row r="261" spans="1:13" x14ac:dyDescent="0.3">
      <c r="A261" t="s">
        <v>605</v>
      </c>
      <c r="B261" s="1">
        <v>46054</v>
      </c>
      <c r="C261" t="str">
        <f t="shared" si="20"/>
        <v>02</v>
      </c>
      <c r="D261">
        <f t="shared" si="21"/>
        <v>2026</v>
      </c>
      <c r="E261" t="s">
        <v>170</v>
      </c>
      <c r="F261" t="s">
        <v>664</v>
      </c>
      <c r="G261" t="s">
        <v>646</v>
      </c>
      <c r="H261">
        <v>0</v>
      </c>
      <c r="I261">
        <v>0</v>
      </c>
      <c r="J261" s="1">
        <f t="shared" si="22"/>
        <v>46054</v>
      </c>
      <c r="K261" t="str">
        <f t="shared" si="23"/>
        <v>fev/26</v>
      </c>
      <c r="L261" t="str">
        <f t="shared" si="24"/>
        <v>dom</v>
      </c>
      <c r="M261">
        <f>SUMIFS(BASE_MOVEL_TEND!$D:$D,BASE_MOVEL_TEND!$A:$A,$F261,BASE_MOVEL_TEND!$B:$B,$E261,BASE_MOVEL_TEND!$C:$C,$A261)</f>
        <v>12.96590748335089</v>
      </c>
    </row>
    <row r="262" spans="1:13" x14ac:dyDescent="0.3">
      <c r="A262" t="s">
        <v>8</v>
      </c>
      <c r="B262" s="1">
        <v>46054</v>
      </c>
      <c r="C262" t="str">
        <f>TEXT(B262,"MM")</f>
        <v>02</v>
      </c>
      <c r="D262">
        <f>YEAR(B262)</f>
        <v>2026</v>
      </c>
      <c r="E262" t="s">
        <v>164</v>
      </c>
      <c r="F262" t="s">
        <v>680</v>
      </c>
      <c r="G262" t="s">
        <v>646</v>
      </c>
      <c r="H262">
        <v>0</v>
      </c>
      <c r="I262">
        <v>0</v>
      </c>
      <c r="J262" s="1">
        <f>B262</f>
        <v>46054</v>
      </c>
      <c r="K262" t="str">
        <f>TEXT(J262,"MMM/AA")</f>
        <v>fev/26</v>
      </c>
      <c r="L262" t="str">
        <f>TEXT(J262,"DDD")</f>
        <v>dom</v>
      </c>
      <c r="M262">
        <f>SUMIFS(PEDIDOS_MÓVEL!$D:$D,PEDIDOS_MÓVEL!$A:$A,A262)</f>
        <v>824.75941699791792</v>
      </c>
    </row>
    <row r="263" spans="1:13" x14ac:dyDescent="0.3">
      <c r="A263" t="s">
        <v>173</v>
      </c>
      <c r="B263" s="1">
        <v>46054</v>
      </c>
      <c r="C263" t="str">
        <f t="shared" ref="C263:C291" si="25">TEXT(B263,"MM")</f>
        <v>02</v>
      </c>
      <c r="D263">
        <f t="shared" ref="D263:D291" si="26">YEAR(B263)</f>
        <v>2026</v>
      </c>
      <c r="E263" t="s">
        <v>164</v>
      </c>
      <c r="F263" t="s">
        <v>680</v>
      </c>
      <c r="G263" t="s">
        <v>646</v>
      </c>
      <c r="H263">
        <v>0</v>
      </c>
      <c r="I263">
        <v>0</v>
      </c>
      <c r="J263" s="1">
        <f t="shared" ref="J263:J291" si="27">B263</f>
        <v>46054</v>
      </c>
      <c r="K263" t="str">
        <f t="shared" ref="K263:K291" si="28">TEXT(J263,"MMM/AA")</f>
        <v>fev/26</v>
      </c>
      <c r="L263" t="str">
        <f t="shared" ref="L263:L291" si="29">TEXT(J263,"DDD")</f>
        <v>dom</v>
      </c>
      <c r="M263">
        <f>SUMIFS(PEDIDOS_MÓVEL!$D:$D,PEDIDOS_MÓVEL!$A:$A,A263)</f>
        <v>1068.2854438765853</v>
      </c>
    </row>
    <row r="264" spans="1:13" x14ac:dyDescent="0.3">
      <c r="A264" t="s">
        <v>242</v>
      </c>
      <c r="B264" s="1">
        <v>46054</v>
      </c>
      <c r="C264" t="str">
        <f t="shared" si="25"/>
        <v>02</v>
      </c>
      <c r="D264">
        <f t="shared" si="26"/>
        <v>2026</v>
      </c>
      <c r="E264" t="s">
        <v>164</v>
      </c>
      <c r="F264" t="s">
        <v>680</v>
      </c>
      <c r="G264" t="s">
        <v>646</v>
      </c>
      <c r="H264">
        <v>0</v>
      </c>
      <c r="I264">
        <v>0</v>
      </c>
      <c r="J264" s="1">
        <f t="shared" si="27"/>
        <v>46054</v>
      </c>
      <c r="K264" t="str">
        <f t="shared" si="28"/>
        <v>fev/26</v>
      </c>
      <c r="L264" t="str">
        <f t="shared" si="29"/>
        <v>dom</v>
      </c>
      <c r="M264">
        <f>SUMIFS(PEDIDOS_MÓVEL!$D:$D,PEDIDOS_MÓVEL!$A:$A,A264)</f>
        <v>414.39787999242861</v>
      </c>
    </row>
    <row r="265" spans="1:13" x14ac:dyDescent="0.3">
      <c r="A265" t="s">
        <v>286</v>
      </c>
      <c r="B265" s="1">
        <v>46054</v>
      </c>
      <c r="C265" t="str">
        <f t="shared" si="25"/>
        <v>02</v>
      </c>
      <c r="D265">
        <f t="shared" si="26"/>
        <v>2026</v>
      </c>
      <c r="E265" t="s">
        <v>164</v>
      </c>
      <c r="F265" t="s">
        <v>680</v>
      </c>
      <c r="G265" t="s">
        <v>646</v>
      </c>
      <c r="H265">
        <v>0</v>
      </c>
      <c r="I265">
        <v>0</v>
      </c>
      <c r="J265" s="1">
        <f t="shared" si="27"/>
        <v>46054</v>
      </c>
      <c r="K265" t="str">
        <f t="shared" si="28"/>
        <v>fev/26</v>
      </c>
      <c r="L265" t="str">
        <f t="shared" si="29"/>
        <v>dom</v>
      </c>
      <c r="M265">
        <f>SUMIFS(PEDIDOS_MÓVEL!$D:$D,PEDIDOS_MÓVEL!$A:$A,A265)</f>
        <v>765.55971985614246</v>
      </c>
    </row>
    <row r="266" spans="1:13" x14ac:dyDescent="0.3">
      <c r="A266" t="s">
        <v>339</v>
      </c>
      <c r="B266" s="1">
        <v>46054</v>
      </c>
      <c r="C266" t="str">
        <f t="shared" si="25"/>
        <v>02</v>
      </c>
      <c r="D266">
        <f t="shared" si="26"/>
        <v>2026</v>
      </c>
      <c r="E266" t="s">
        <v>164</v>
      </c>
      <c r="F266" t="s">
        <v>680</v>
      </c>
      <c r="G266" t="s">
        <v>646</v>
      </c>
      <c r="H266">
        <v>0</v>
      </c>
      <c r="I266">
        <v>0</v>
      </c>
      <c r="J266" s="1">
        <f t="shared" si="27"/>
        <v>46054</v>
      </c>
      <c r="K266" t="str">
        <f t="shared" si="28"/>
        <v>fev/26</v>
      </c>
      <c r="L266" t="str">
        <f t="shared" si="29"/>
        <v>dom</v>
      </c>
      <c r="M266">
        <f>SUMIFS(PEDIDOS_MÓVEL!$D:$D,PEDIDOS_MÓVEL!$A:$A,A266)</f>
        <v>372.68900246072309</v>
      </c>
    </row>
    <row r="267" spans="1:13" x14ac:dyDescent="0.3">
      <c r="A267" t="s">
        <v>380</v>
      </c>
      <c r="B267" s="1">
        <v>46054</v>
      </c>
      <c r="C267" t="str">
        <f t="shared" si="25"/>
        <v>02</v>
      </c>
      <c r="D267">
        <f t="shared" si="26"/>
        <v>2026</v>
      </c>
      <c r="E267" t="s">
        <v>164</v>
      </c>
      <c r="F267" t="s">
        <v>680</v>
      </c>
      <c r="G267" t="s">
        <v>646</v>
      </c>
      <c r="H267">
        <v>0</v>
      </c>
      <c r="I267">
        <v>0</v>
      </c>
      <c r="J267" s="1">
        <f t="shared" si="27"/>
        <v>46054</v>
      </c>
      <c r="K267" t="str">
        <f t="shared" si="28"/>
        <v>fev/26</v>
      </c>
      <c r="L267" t="str">
        <f t="shared" si="29"/>
        <v>dom</v>
      </c>
      <c r="M267">
        <f>SUMIFS(PEDIDOS_MÓVEL!$D:$D,PEDIDOS_MÓVEL!$A:$A,A267)</f>
        <v>757.48703388226386</v>
      </c>
    </row>
    <row r="268" spans="1:13" x14ac:dyDescent="0.3">
      <c r="A268" t="s">
        <v>446</v>
      </c>
      <c r="B268" s="1">
        <v>46054</v>
      </c>
      <c r="C268" t="str">
        <f t="shared" si="25"/>
        <v>02</v>
      </c>
      <c r="D268">
        <f t="shared" si="26"/>
        <v>2026</v>
      </c>
      <c r="E268" t="s">
        <v>164</v>
      </c>
      <c r="F268" t="s">
        <v>680</v>
      </c>
      <c r="G268" t="s">
        <v>646</v>
      </c>
      <c r="H268">
        <v>0</v>
      </c>
      <c r="I268">
        <v>0</v>
      </c>
      <c r="J268" s="1">
        <f t="shared" si="27"/>
        <v>46054</v>
      </c>
      <c r="K268" t="str">
        <f t="shared" si="28"/>
        <v>fev/26</v>
      </c>
      <c r="L268" t="str">
        <f t="shared" si="29"/>
        <v>dom</v>
      </c>
      <c r="M268">
        <f>SUMIFS(PEDIDOS_MÓVEL!$D:$D,PEDIDOS_MÓVEL!$A:$A,A268)</f>
        <v>597.37876206700741</v>
      </c>
    </row>
    <row r="269" spans="1:13" x14ac:dyDescent="0.3">
      <c r="A269" t="s">
        <v>516</v>
      </c>
      <c r="B269" s="1">
        <v>46054</v>
      </c>
      <c r="C269" t="str">
        <f t="shared" si="25"/>
        <v>02</v>
      </c>
      <c r="D269">
        <f t="shared" si="26"/>
        <v>2026</v>
      </c>
      <c r="E269" t="s">
        <v>164</v>
      </c>
      <c r="F269" t="s">
        <v>680</v>
      </c>
      <c r="G269" t="s">
        <v>646</v>
      </c>
      <c r="H269">
        <v>0</v>
      </c>
      <c r="I269">
        <v>0</v>
      </c>
      <c r="J269" s="1">
        <f t="shared" si="27"/>
        <v>46054</v>
      </c>
      <c r="K269" t="str">
        <f t="shared" si="28"/>
        <v>fev/26</v>
      </c>
      <c r="L269" t="str">
        <f t="shared" si="29"/>
        <v>dom</v>
      </c>
      <c r="M269">
        <f>SUMIFS(PEDIDOS_MÓVEL!$D:$D,PEDIDOS_MÓVEL!$A:$A,A269)</f>
        <v>1781.3727049025179</v>
      </c>
    </row>
    <row r="270" spans="1:13" x14ac:dyDescent="0.3">
      <c r="A270" t="s">
        <v>573</v>
      </c>
      <c r="B270" s="1">
        <v>46054</v>
      </c>
      <c r="C270" t="str">
        <f t="shared" si="25"/>
        <v>02</v>
      </c>
      <c r="D270">
        <f t="shared" si="26"/>
        <v>2026</v>
      </c>
      <c r="E270" t="s">
        <v>164</v>
      </c>
      <c r="F270" t="s">
        <v>680</v>
      </c>
      <c r="G270" t="s">
        <v>646</v>
      </c>
      <c r="H270">
        <v>0</v>
      </c>
      <c r="I270">
        <v>0</v>
      </c>
      <c r="J270" s="1">
        <f t="shared" si="27"/>
        <v>46054</v>
      </c>
      <c r="K270" t="str">
        <f t="shared" si="28"/>
        <v>fev/26</v>
      </c>
      <c r="L270" t="str">
        <f t="shared" si="29"/>
        <v>dom</v>
      </c>
      <c r="M270">
        <f>SUMIFS(PEDIDOS_MÓVEL!$D:$D,PEDIDOS_MÓVEL!$A:$A,A270)</f>
        <v>295.99848570887752</v>
      </c>
    </row>
    <row r="271" spans="1:13" x14ac:dyDescent="0.3">
      <c r="A271" t="s">
        <v>605</v>
      </c>
      <c r="B271" s="1">
        <v>46054</v>
      </c>
      <c r="C271" t="str">
        <f t="shared" si="25"/>
        <v>02</v>
      </c>
      <c r="D271">
        <f t="shared" si="26"/>
        <v>2026</v>
      </c>
      <c r="E271" t="s">
        <v>164</v>
      </c>
      <c r="F271" t="s">
        <v>680</v>
      </c>
      <c r="G271" t="s">
        <v>646</v>
      </c>
      <c r="H271">
        <v>0</v>
      </c>
      <c r="I271">
        <v>0</v>
      </c>
      <c r="J271" s="1">
        <f t="shared" si="27"/>
        <v>46054</v>
      </c>
      <c r="K271" t="str">
        <f t="shared" si="28"/>
        <v>fev/26</v>
      </c>
      <c r="L271" t="str">
        <f t="shared" si="29"/>
        <v>dom</v>
      </c>
      <c r="M271">
        <f>SUMIFS(PEDIDOS_MÓVEL!$D:$D,PEDIDOS_MÓVEL!$A:$A,A271)</f>
        <v>230.07155025553664</v>
      </c>
    </row>
    <row r="272" spans="1:13" x14ac:dyDescent="0.3">
      <c r="A272" t="s">
        <v>8</v>
      </c>
      <c r="B272" s="1">
        <v>46054</v>
      </c>
      <c r="C272" t="str">
        <f t="shared" si="25"/>
        <v>02</v>
      </c>
      <c r="D272">
        <f t="shared" si="26"/>
        <v>2026</v>
      </c>
      <c r="E272" t="s">
        <v>164</v>
      </c>
      <c r="F272" t="s">
        <v>680</v>
      </c>
      <c r="G272" t="s">
        <v>642</v>
      </c>
      <c r="H272">
        <v>0</v>
      </c>
      <c r="I272">
        <v>0</v>
      </c>
      <c r="J272" s="1">
        <f t="shared" si="27"/>
        <v>46054</v>
      </c>
      <c r="K272" t="str">
        <f t="shared" si="28"/>
        <v>fev/26</v>
      </c>
      <c r="L272" t="str">
        <f t="shared" si="29"/>
        <v>dom</v>
      </c>
      <c r="M272">
        <f>SUMIFS(PEDIDOS_FIXA!B:B,PEDIDOS_FIXA!A:A,A272)</f>
        <v>866.13704833491408</v>
      </c>
    </row>
    <row r="273" spans="1:13" x14ac:dyDescent="0.3">
      <c r="A273" t="s">
        <v>173</v>
      </c>
      <c r="B273" s="1">
        <v>46054</v>
      </c>
      <c r="C273" t="str">
        <f t="shared" si="25"/>
        <v>02</v>
      </c>
      <c r="D273">
        <f t="shared" si="26"/>
        <v>2026</v>
      </c>
      <c r="E273" t="s">
        <v>164</v>
      </c>
      <c r="F273" t="s">
        <v>680</v>
      </c>
      <c r="G273" t="s">
        <v>642</v>
      </c>
      <c r="H273">
        <v>0</v>
      </c>
      <c r="I273">
        <v>0</v>
      </c>
      <c r="J273" s="1">
        <f t="shared" si="27"/>
        <v>46054</v>
      </c>
      <c r="K273" t="str">
        <f t="shared" si="28"/>
        <v>fev/26</v>
      </c>
      <c r="L273" t="str">
        <f t="shared" si="29"/>
        <v>dom</v>
      </c>
      <c r="M273">
        <f>SUMIFS(PEDIDOS_FIXA!B:B,PEDIDOS_FIXA!A:A,A273)</f>
        <v>872.23625216138896</v>
      </c>
    </row>
    <row r="274" spans="1:13" x14ac:dyDescent="0.3">
      <c r="A274" t="s">
        <v>242</v>
      </c>
      <c r="B274" s="1">
        <v>46054</v>
      </c>
      <c r="C274" t="str">
        <f t="shared" si="25"/>
        <v>02</v>
      </c>
      <c r="D274">
        <f t="shared" si="26"/>
        <v>2026</v>
      </c>
      <c r="E274" t="s">
        <v>164</v>
      </c>
      <c r="F274" t="s">
        <v>680</v>
      </c>
      <c r="G274" t="s">
        <v>642</v>
      </c>
      <c r="H274">
        <v>0</v>
      </c>
      <c r="I274">
        <v>0</v>
      </c>
      <c r="J274" s="1">
        <f t="shared" si="27"/>
        <v>46054</v>
      </c>
      <c r="K274" t="str">
        <f t="shared" si="28"/>
        <v>fev/26</v>
      </c>
      <c r="L274" t="str">
        <f t="shared" si="29"/>
        <v>dom</v>
      </c>
      <c r="M274">
        <f>SUMIFS(PEDIDOS_FIXA!B:B,PEDIDOS_FIXA!A:A,A274)</f>
        <v>446.15637481947653</v>
      </c>
    </row>
    <row r="275" spans="1:13" x14ac:dyDescent="0.3">
      <c r="A275" t="s">
        <v>286</v>
      </c>
      <c r="B275" s="1">
        <v>46054</v>
      </c>
      <c r="C275" t="str">
        <f t="shared" si="25"/>
        <v>02</v>
      </c>
      <c r="D275">
        <f t="shared" si="26"/>
        <v>2026</v>
      </c>
      <c r="E275" t="s">
        <v>164</v>
      </c>
      <c r="F275" t="s">
        <v>680</v>
      </c>
      <c r="G275" t="s">
        <v>642</v>
      </c>
      <c r="H275">
        <v>0</v>
      </c>
      <c r="I275">
        <v>0</v>
      </c>
      <c r="J275" s="1">
        <f t="shared" si="27"/>
        <v>46054</v>
      </c>
      <c r="K275" t="str">
        <f t="shared" si="28"/>
        <v>fev/26</v>
      </c>
      <c r="L275" t="str">
        <f t="shared" si="29"/>
        <v>dom</v>
      </c>
      <c r="M275">
        <f>SUMIFS(PEDIDOS_FIXA!B:B,PEDIDOS_FIXA!A:A,A275)</f>
        <v>691.37850206834378</v>
      </c>
    </row>
    <row r="276" spans="1:13" x14ac:dyDescent="0.3">
      <c r="A276" t="s">
        <v>339</v>
      </c>
      <c r="B276" s="1">
        <v>46054</v>
      </c>
      <c r="C276" t="str">
        <f t="shared" si="25"/>
        <v>02</v>
      </c>
      <c r="D276">
        <f t="shared" si="26"/>
        <v>2026</v>
      </c>
      <c r="E276" t="s">
        <v>164</v>
      </c>
      <c r="F276" t="s">
        <v>680</v>
      </c>
      <c r="G276" t="s">
        <v>642</v>
      </c>
      <c r="H276">
        <v>0</v>
      </c>
      <c r="I276">
        <v>0</v>
      </c>
      <c r="J276" s="1">
        <f t="shared" si="27"/>
        <v>46054</v>
      </c>
      <c r="K276" t="str">
        <f t="shared" si="28"/>
        <v>fev/26</v>
      </c>
      <c r="L276" t="str">
        <f t="shared" si="29"/>
        <v>dom</v>
      </c>
      <c r="M276">
        <f>SUMIFS(PEDIDOS_FIXA!B:B,PEDIDOS_FIXA!A:A,A276)</f>
        <v>284.83739077321962</v>
      </c>
    </row>
    <row r="277" spans="1:13" x14ac:dyDescent="0.3">
      <c r="A277" t="s">
        <v>380</v>
      </c>
      <c r="B277" s="1">
        <v>46054</v>
      </c>
      <c r="C277" t="str">
        <f t="shared" si="25"/>
        <v>02</v>
      </c>
      <c r="D277">
        <f t="shared" si="26"/>
        <v>2026</v>
      </c>
      <c r="E277" t="s">
        <v>164</v>
      </c>
      <c r="F277" t="s">
        <v>680</v>
      </c>
      <c r="G277" t="s">
        <v>642</v>
      </c>
      <c r="H277">
        <v>0</v>
      </c>
      <c r="I277">
        <v>0</v>
      </c>
      <c r="J277" s="1">
        <f t="shared" si="27"/>
        <v>46054</v>
      </c>
      <c r="K277" t="str">
        <f t="shared" si="28"/>
        <v>fev/26</v>
      </c>
      <c r="L277" t="str">
        <f t="shared" si="29"/>
        <v>dom</v>
      </c>
      <c r="M277">
        <f>SUMIFS(PEDIDOS_FIXA!B:B,PEDIDOS_FIXA!A:A,A277)</f>
        <v>463.33844586785813</v>
      </c>
    </row>
    <row r="278" spans="1:13" x14ac:dyDescent="0.3">
      <c r="A278" t="s">
        <v>446</v>
      </c>
      <c r="B278" s="1">
        <v>46054</v>
      </c>
      <c r="C278" t="str">
        <f t="shared" si="25"/>
        <v>02</v>
      </c>
      <c r="D278">
        <f t="shared" si="26"/>
        <v>2026</v>
      </c>
      <c r="E278" t="s">
        <v>164</v>
      </c>
      <c r="F278" t="s">
        <v>680</v>
      </c>
      <c r="G278" t="s">
        <v>642</v>
      </c>
      <c r="H278">
        <v>0</v>
      </c>
      <c r="I278">
        <v>0</v>
      </c>
      <c r="J278" s="1">
        <f t="shared" si="27"/>
        <v>46054</v>
      </c>
      <c r="K278" t="str">
        <f t="shared" si="28"/>
        <v>fev/26</v>
      </c>
      <c r="L278" t="str">
        <f t="shared" si="29"/>
        <v>dom</v>
      </c>
      <c r="M278">
        <f>SUMIFS(PEDIDOS_FIXA!B:B,PEDIDOS_FIXA!A:A,A278)</f>
        <v>223.9538269217411</v>
      </c>
    </row>
    <row r="279" spans="1:13" x14ac:dyDescent="0.3">
      <c r="A279" t="s">
        <v>516</v>
      </c>
      <c r="B279" s="1">
        <v>46054</v>
      </c>
      <c r="C279" t="str">
        <f t="shared" si="25"/>
        <v>02</v>
      </c>
      <c r="D279">
        <f t="shared" si="26"/>
        <v>2026</v>
      </c>
      <c r="E279" t="s">
        <v>164</v>
      </c>
      <c r="F279" t="s">
        <v>680</v>
      </c>
      <c r="G279" t="s">
        <v>642</v>
      </c>
      <c r="H279">
        <v>0</v>
      </c>
      <c r="I279">
        <v>0</v>
      </c>
      <c r="J279" s="1">
        <f t="shared" si="27"/>
        <v>46054</v>
      </c>
      <c r="K279" t="str">
        <f t="shared" si="28"/>
        <v>fev/26</v>
      </c>
      <c r="L279" t="str">
        <f t="shared" si="29"/>
        <v>dom</v>
      </c>
      <c r="M279">
        <f>SUMIFS(PEDIDOS_FIXA!B:B,PEDIDOS_FIXA!A:A,A279)</f>
        <v>1729.8157510938372</v>
      </c>
    </row>
    <row r="280" spans="1:13" x14ac:dyDescent="0.3">
      <c r="A280" t="s">
        <v>573</v>
      </c>
      <c r="B280" s="1">
        <v>46054</v>
      </c>
      <c r="C280" t="str">
        <f t="shared" si="25"/>
        <v>02</v>
      </c>
      <c r="D280">
        <f t="shared" si="26"/>
        <v>2026</v>
      </c>
      <c r="E280" t="s">
        <v>164</v>
      </c>
      <c r="F280" t="s">
        <v>680</v>
      </c>
      <c r="G280" t="s">
        <v>642</v>
      </c>
      <c r="H280">
        <v>0</v>
      </c>
      <c r="I280">
        <v>0</v>
      </c>
      <c r="J280" s="1">
        <f t="shared" si="27"/>
        <v>46054</v>
      </c>
      <c r="K280" t="str">
        <f t="shared" si="28"/>
        <v>fev/26</v>
      </c>
      <c r="L280" t="str">
        <f t="shared" si="29"/>
        <v>dom</v>
      </c>
      <c r="M280">
        <f>SUMIFS(PEDIDOS_FIXA!B:B,PEDIDOS_FIXA!A:A,A280)</f>
        <v>236.91773823324607</v>
      </c>
    </row>
    <row r="281" spans="1:13" x14ac:dyDescent="0.3">
      <c r="A281" t="s">
        <v>605</v>
      </c>
      <c r="B281" s="1">
        <v>46054</v>
      </c>
      <c r="C281" t="str">
        <f t="shared" si="25"/>
        <v>02</v>
      </c>
      <c r="D281">
        <f t="shared" si="26"/>
        <v>2026</v>
      </c>
      <c r="E281" t="s">
        <v>164</v>
      </c>
      <c r="F281" t="s">
        <v>680</v>
      </c>
      <c r="G281" t="s">
        <v>642</v>
      </c>
      <c r="H281">
        <v>0</v>
      </c>
      <c r="I281">
        <v>0</v>
      </c>
      <c r="J281" s="1">
        <f t="shared" si="27"/>
        <v>46054</v>
      </c>
      <c r="K281" t="str">
        <f t="shared" si="28"/>
        <v>fev/26</v>
      </c>
      <c r="L281" t="str">
        <f t="shared" si="29"/>
        <v>dom</v>
      </c>
      <c r="M281">
        <f>SUMIFS(PEDIDOS_FIXA!B:B,PEDIDOS_FIXA!A:A,A281)</f>
        <v>156.22866972599587</v>
      </c>
    </row>
    <row r="282" spans="1:13" x14ac:dyDescent="0.3">
      <c r="A282" t="s">
        <v>8</v>
      </c>
      <c r="B282" s="1">
        <v>46054</v>
      </c>
      <c r="C282" t="str">
        <f t="shared" si="25"/>
        <v>02</v>
      </c>
      <c r="D282">
        <f t="shared" si="26"/>
        <v>2026</v>
      </c>
      <c r="E282" t="s">
        <v>54</v>
      </c>
      <c r="F282" t="s">
        <v>699</v>
      </c>
      <c r="G282" t="s">
        <v>642</v>
      </c>
      <c r="H282">
        <v>0</v>
      </c>
      <c r="I282">
        <v>0</v>
      </c>
      <c r="J282" s="1">
        <f t="shared" si="27"/>
        <v>46054</v>
      </c>
      <c r="K282" t="str">
        <f t="shared" si="28"/>
        <v>fev/26</v>
      </c>
      <c r="L282" t="str">
        <f t="shared" si="29"/>
        <v>dom</v>
      </c>
      <c r="M282">
        <f>SUMIFS(LIGACOE_FIXA!B:B,LIGACOE_FIXA!A:A,A282)</f>
        <v>1050.7528258817613</v>
      </c>
    </row>
    <row r="283" spans="1:13" x14ac:dyDescent="0.3">
      <c r="A283" t="s">
        <v>173</v>
      </c>
      <c r="B283" s="1">
        <v>46054</v>
      </c>
      <c r="C283" t="str">
        <f t="shared" si="25"/>
        <v>02</v>
      </c>
      <c r="D283">
        <f t="shared" si="26"/>
        <v>2026</v>
      </c>
      <c r="E283" t="s">
        <v>54</v>
      </c>
      <c r="F283" t="s">
        <v>699</v>
      </c>
      <c r="G283" t="s">
        <v>642</v>
      </c>
      <c r="H283">
        <v>0</v>
      </c>
      <c r="I283">
        <v>0</v>
      </c>
      <c r="J283" s="1">
        <f t="shared" si="27"/>
        <v>46054</v>
      </c>
      <c r="K283" t="str">
        <f t="shared" si="28"/>
        <v>fev/26</v>
      </c>
      <c r="L283" t="str">
        <f t="shared" si="29"/>
        <v>dom</v>
      </c>
      <c r="M283">
        <f>SUMIFS(LIGACOE_FIXA!B:B,LIGACOE_FIXA!A:A,A283)</f>
        <v>426.58066089630034</v>
      </c>
    </row>
    <row r="284" spans="1:13" x14ac:dyDescent="0.3">
      <c r="A284" t="s">
        <v>242</v>
      </c>
      <c r="B284" s="1">
        <v>46054</v>
      </c>
      <c r="C284" t="str">
        <f t="shared" si="25"/>
        <v>02</v>
      </c>
      <c r="D284">
        <f t="shared" si="26"/>
        <v>2026</v>
      </c>
      <c r="E284" t="s">
        <v>54</v>
      </c>
      <c r="F284" t="s">
        <v>699</v>
      </c>
      <c r="G284" t="s">
        <v>642</v>
      </c>
      <c r="H284">
        <v>0</v>
      </c>
      <c r="I284">
        <v>0</v>
      </c>
      <c r="J284" s="1">
        <f t="shared" si="27"/>
        <v>46054</v>
      </c>
      <c r="K284" t="str">
        <f t="shared" si="28"/>
        <v>fev/26</v>
      </c>
      <c r="L284" t="str">
        <f t="shared" si="29"/>
        <v>dom</v>
      </c>
      <c r="M284">
        <f>SUMIFS(LIGACOE_FIXA!B:B,LIGACOE_FIXA!A:A,A284)</f>
        <v>702.07969482799751</v>
      </c>
    </row>
    <row r="285" spans="1:13" x14ac:dyDescent="0.3">
      <c r="A285" t="s">
        <v>286</v>
      </c>
      <c r="B285" s="1">
        <v>46054</v>
      </c>
      <c r="C285" t="str">
        <f t="shared" si="25"/>
        <v>02</v>
      </c>
      <c r="D285">
        <f t="shared" si="26"/>
        <v>2026</v>
      </c>
      <c r="E285" t="s">
        <v>54</v>
      </c>
      <c r="F285" t="s">
        <v>699</v>
      </c>
      <c r="G285" t="s">
        <v>642</v>
      </c>
      <c r="H285">
        <v>0</v>
      </c>
      <c r="I285">
        <v>0</v>
      </c>
      <c r="J285" s="1">
        <f t="shared" si="27"/>
        <v>46054</v>
      </c>
      <c r="K285" t="str">
        <f t="shared" si="28"/>
        <v>fev/26</v>
      </c>
      <c r="L285" t="str">
        <f t="shared" si="29"/>
        <v>dom</v>
      </c>
      <c r="M285">
        <f>SUMIFS(LIGACOE_FIXA!B:B,LIGACOE_FIXA!A:A,A285)</f>
        <v>251.38719172918834</v>
      </c>
    </row>
    <row r="286" spans="1:13" x14ac:dyDescent="0.3">
      <c r="A286" t="s">
        <v>339</v>
      </c>
      <c r="B286" s="1">
        <v>46054</v>
      </c>
      <c r="C286" t="str">
        <f t="shared" si="25"/>
        <v>02</v>
      </c>
      <c r="D286">
        <f t="shared" si="26"/>
        <v>2026</v>
      </c>
      <c r="E286" t="s">
        <v>54</v>
      </c>
      <c r="F286" t="s">
        <v>699</v>
      </c>
      <c r="G286" t="s">
        <v>642</v>
      </c>
      <c r="H286">
        <v>0</v>
      </c>
      <c r="I286">
        <v>0</v>
      </c>
      <c r="J286" s="1">
        <f t="shared" si="27"/>
        <v>46054</v>
      </c>
      <c r="K286" t="str">
        <f t="shared" si="28"/>
        <v>fev/26</v>
      </c>
      <c r="L286" t="str">
        <f t="shared" si="29"/>
        <v>dom</v>
      </c>
      <c r="M286">
        <f>SUMIFS(LIGACOE_FIXA!B:B,LIGACOE_FIXA!A:A,A286)</f>
        <v>229.59008507735933</v>
      </c>
    </row>
    <row r="287" spans="1:13" x14ac:dyDescent="0.3">
      <c r="A287" t="s">
        <v>380</v>
      </c>
      <c r="B287" s="1">
        <v>46054</v>
      </c>
      <c r="C287" t="str">
        <f t="shared" si="25"/>
        <v>02</v>
      </c>
      <c r="D287">
        <f t="shared" si="26"/>
        <v>2026</v>
      </c>
      <c r="E287" t="s">
        <v>54</v>
      </c>
      <c r="F287" t="s">
        <v>699</v>
      </c>
      <c r="G287" t="s">
        <v>642</v>
      </c>
      <c r="H287">
        <v>0</v>
      </c>
      <c r="I287">
        <v>0</v>
      </c>
      <c r="J287" s="1">
        <f t="shared" si="27"/>
        <v>46054</v>
      </c>
      <c r="K287" t="str">
        <f t="shared" si="28"/>
        <v>fev/26</v>
      </c>
      <c r="L287" t="str">
        <f t="shared" si="29"/>
        <v>dom</v>
      </c>
      <c r="M287">
        <f>SUMIFS(LIGACOE_FIXA!B:B,LIGACOE_FIXA!A:A,A287)</f>
        <v>613.29201235722746</v>
      </c>
    </row>
    <row r="288" spans="1:13" x14ac:dyDescent="0.3">
      <c r="A288" t="s">
        <v>446</v>
      </c>
      <c r="B288" s="1">
        <v>46054</v>
      </c>
      <c r="C288" t="str">
        <f t="shared" si="25"/>
        <v>02</v>
      </c>
      <c r="D288">
        <f t="shared" si="26"/>
        <v>2026</v>
      </c>
      <c r="E288" t="s">
        <v>54</v>
      </c>
      <c r="F288" t="s">
        <v>699</v>
      </c>
      <c r="G288" t="s">
        <v>642</v>
      </c>
      <c r="H288">
        <v>0</v>
      </c>
      <c r="I288">
        <v>0</v>
      </c>
      <c r="J288" s="1">
        <f t="shared" si="27"/>
        <v>46054</v>
      </c>
      <c r="K288" t="str">
        <f t="shared" si="28"/>
        <v>fev/26</v>
      </c>
      <c r="L288" t="str">
        <f t="shared" si="29"/>
        <v>dom</v>
      </c>
      <c r="M288">
        <f>SUMIFS(LIGACOE_FIXA!B:B,LIGACOE_FIXA!A:A,A288)</f>
        <v>334.45641712189774</v>
      </c>
    </row>
    <row r="289" spans="1:13" x14ac:dyDescent="0.3">
      <c r="A289" t="s">
        <v>516</v>
      </c>
      <c r="B289" s="1">
        <v>46054</v>
      </c>
      <c r="C289" t="str">
        <f t="shared" si="25"/>
        <v>02</v>
      </c>
      <c r="D289">
        <f t="shared" si="26"/>
        <v>2026</v>
      </c>
      <c r="E289" t="s">
        <v>54</v>
      </c>
      <c r="F289" t="s">
        <v>699</v>
      </c>
      <c r="G289" t="s">
        <v>642</v>
      </c>
      <c r="H289">
        <v>0</v>
      </c>
      <c r="I289">
        <v>0</v>
      </c>
      <c r="J289" s="1">
        <f t="shared" si="27"/>
        <v>46054</v>
      </c>
      <c r="K289" t="str">
        <f t="shared" si="28"/>
        <v>fev/26</v>
      </c>
      <c r="L289" t="str">
        <f t="shared" si="29"/>
        <v>dom</v>
      </c>
      <c r="M289">
        <f>SUMIFS(LIGACOE_FIXA!B:B,LIGACOE_FIXA!A:A,A289)</f>
        <v>2330.0174779176846</v>
      </c>
    </row>
    <row r="290" spans="1:13" x14ac:dyDescent="0.3">
      <c r="A290" t="s">
        <v>573</v>
      </c>
      <c r="B290" s="1">
        <v>46054</v>
      </c>
      <c r="C290" t="str">
        <f t="shared" si="25"/>
        <v>02</v>
      </c>
      <c r="D290">
        <f t="shared" si="26"/>
        <v>2026</v>
      </c>
      <c r="E290" t="s">
        <v>54</v>
      </c>
      <c r="F290" t="s">
        <v>699</v>
      </c>
      <c r="G290" t="s">
        <v>642</v>
      </c>
      <c r="H290">
        <v>0</v>
      </c>
      <c r="I290">
        <v>0</v>
      </c>
      <c r="J290" s="1">
        <f t="shared" si="27"/>
        <v>46054</v>
      </c>
      <c r="K290" t="str">
        <f t="shared" si="28"/>
        <v>fev/26</v>
      </c>
      <c r="L290" t="str">
        <f t="shared" si="29"/>
        <v>dom</v>
      </c>
      <c r="M290">
        <f>SUMIFS(LIGACOE_FIXA!B:B,LIGACOE_FIXA!A:A,A290)</f>
        <v>728.75269073778031</v>
      </c>
    </row>
    <row r="291" spans="1:13" x14ac:dyDescent="0.3">
      <c r="A291" t="s">
        <v>605</v>
      </c>
      <c r="B291" s="1">
        <v>46054</v>
      </c>
      <c r="C291" t="str">
        <f t="shared" si="25"/>
        <v>02</v>
      </c>
      <c r="D291">
        <f t="shared" si="26"/>
        <v>2026</v>
      </c>
      <c r="E291" t="s">
        <v>54</v>
      </c>
      <c r="F291" t="s">
        <v>699</v>
      </c>
      <c r="G291" t="s">
        <v>642</v>
      </c>
      <c r="H291">
        <v>0</v>
      </c>
      <c r="I291">
        <v>0</v>
      </c>
      <c r="J291" s="1">
        <f t="shared" si="27"/>
        <v>46054</v>
      </c>
      <c r="K291" t="str">
        <f t="shared" si="28"/>
        <v>fev/26</v>
      </c>
      <c r="L291" t="str">
        <f t="shared" si="29"/>
        <v>dom</v>
      </c>
      <c r="M291">
        <f>SUMIFS(LIGACOE_FIXA!B:B,LIGACOE_FIXA!A:A,A291)</f>
        <v>1396.0909434528023</v>
      </c>
    </row>
    <row r="292" spans="1:13" x14ac:dyDescent="0.3">
      <c r="A292" t="s">
        <v>8</v>
      </c>
      <c r="B292" s="1">
        <v>46054</v>
      </c>
      <c r="C292" t="str">
        <f t="shared" ref="C292:C301" si="30">TEXT(B292,"MM")</f>
        <v>02</v>
      </c>
      <c r="D292">
        <f t="shared" ref="D292:D301" si="31">YEAR(B292)</f>
        <v>2026</v>
      </c>
      <c r="E292" t="s">
        <v>54</v>
      </c>
      <c r="F292" t="s">
        <v>699</v>
      </c>
      <c r="G292" t="s">
        <v>646</v>
      </c>
      <c r="H292">
        <v>0</v>
      </c>
      <c r="I292">
        <v>0</v>
      </c>
      <c r="J292" s="1">
        <f t="shared" ref="J292:J301" si="32">B292</f>
        <v>46054</v>
      </c>
      <c r="K292" t="str">
        <f t="shared" ref="K292:K301" si="33">TEXT(J292,"MMM/AA")</f>
        <v>fev/26</v>
      </c>
      <c r="L292" t="str">
        <f t="shared" ref="L292:L301" si="34">TEXT(J292,"DDD")</f>
        <v>dom</v>
      </c>
      <c r="M292">
        <f>SUMIFS(LIGACOE_FIXA!B:B,LIGACOE_FIXA!A:A,A292)*1.04133001</f>
        <v>1094.1804506829828</v>
      </c>
    </row>
    <row r="293" spans="1:13" x14ac:dyDescent="0.3">
      <c r="A293" t="s">
        <v>173</v>
      </c>
      <c r="B293" s="1">
        <v>46054</v>
      </c>
      <c r="C293" t="str">
        <f t="shared" si="30"/>
        <v>02</v>
      </c>
      <c r="D293">
        <f t="shared" si="31"/>
        <v>2026</v>
      </c>
      <c r="E293" t="s">
        <v>54</v>
      </c>
      <c r="F293" t="s">
        <v>699</v>
      </c>
      <c r="G293" t="s">
        <v>646</v>
      </c>
      <c r="H293">
        <v>0</v>
      </c>
      <c r="I293">
        <v>0</v>
      </c>
      <c r="J293" s="1">
        <f t="shared" si="32"/>
        <v>46054</v>
      </c>
      <c r="K293" t="str">
        <f t="shared" si="33"/>
        <v>fev/26</v>
      </c>
      <c r="L293" t="str">
        <f t="shared" si="34"/>
        <v>dom</v>
      </c>
      <c r="M293">
        <f>SUMIFS(LIGACOE_FIXA!B:B,LIGACOE_FIXA!A:A,A293)*1.04133001</f>
        <v>444.21124387695107</v>
      </c>
    </row>
    <row r="294" spans="1:13" x14ac:dyDescent="0.3">
      <c r="A294" t="s">
        <v>242</v>
      </c>
      <c r="B294" s="1">
        <v>46054</v>
      </c>
      <c r="C294" t="str">
        <f t="shared" si="30"/>
        <v>02</v>
      </c>
      <c r="D294">
        <f t="shared" si="31"/>
        <v>2026</v>
      </c>
      <c r="E294" t="s">
        <v>54</v>
      </c>
      <c r="F294" t="s">
        <v>699</v>
      </c>
      <c r="G294" t="s">
        <v>646</v>
      </c>
      <c r="H294">
        <v>0</v>
      </c>
      <c r="I294">
        <v>0</v>
      </c>
      <c r="J294" s="1">
        <f t="shared" si="32"/>
        <v>46054</v>
      </c>
      <c r="K294" t="str">
        <f t="shared" si="33"/>
        <v>fev/26</v>
      </c>
      <c r="L294" t="str">
        <f t="shared" si="34"/>
        <v>dom</v>
      </c>
      <c r="M294">
        <f>SUMIFS(LIGACOE_FIXA!B:B,LIGACOE_FIXA!A:A,A294)*1.04133001</f>
        <v>731.09665563603562</v>
      </c>
    </row>
    <row r="295" spans="1:13" x14ac:dyDescent="0.3">
      <c r="A295" t="s">
        <v>286</v>
      </c>
      <c r="B295" s="1">
        <v>46054</v>
      </c>
      <c r="C295" t="str">
        <f t="shared" si="30"/>
        <v>02</v>
      </c>
      <c r="D295">
        <f t="shared" si="31"/>
        <v>2026</v>
      </c>
      <c r="E295" t="s">
        <v>54</v>
      </c>
      <c r="F295" t="s">
        <v>699</v>
      </c>
      <c r="G295" t="s">
        <v>646</v>
      </c>
      <c r="H295">
        <v>0</v>
      </c>
      <c r="I295">
        <v>0</v>
      </c>
      <c r="J295" s="1">
        <f t="shared" si="32"/>
        <v>46054</v>
      </c>
      <c r="K295" t="str">
        <f t="shared" si="33"/>
        <v>fev/26</v>
      </c>
      <c r="L295" t="str">
        <f t="shared" si="34"/>
        <v>dom</v>
      </c>
      <c r="M295">
        <f>SUMIFS(LIGACOE_FIXA!B:B,LIGACOE_FIXA!A:A,A295)*1.04133001</f>
        <v>261.77702687722763</v>
      </c>
    </row>
    <row r="296" spans="1:13" x14ac:dyDescent="0.3">
      <c r="A296" t="s">
        <v>339</v>
      </c>
      <c r="B296" s="1">
        <v>46054</v>
      </c>
      <c r="C296" t="str">
        <f t="shared" si="30"/>
        <v>02</v>
      </c>
      <c r="D296">
        <f t="shared" si="31"/>
        <v>2026</v>
      </c>
      <c r="E296" t="s">
        <v>54</v>
      </c>
      <c r="F296" t="s">
        <v>699</v>
      </c>
      <c r="G296" t="s">
        <v>646</v>
      </c>
      <c r="H296">
        <v>0</v>
      </c>
      <c r="I296">
        <v>0</v>
      </c>
      <c r="J296" s="1">
        <f t="shared" si="32"/>
        <v>46054</v>
      </c>
      <c r="K296" t="str">
        <f t="shared" si="33"/>
        <v>fev/26</v>
      </c>
      <c r="L296" t="str">
        <f t="shared" si="34"/>
        <v>dom</v>
      </c>
      <c r="M296">
        <f>SUMIFS(LIGACOE_FIXA!B:B,LIGACOE_FIXA!A:A,A296)*1.04133001</f>
        <v>239.07904558950744</v>
      </c>
    </row>
    <row r="297" spans="1:13" x14ac:dyDescent="0.3">
      <c r="A297" t="s">
        <v>380</v>
      </c>
      <c r="B297" s="1">
        <v>46054</v>
      </c>
      <c r="C297" t="str">
        <f t="shared" si="30"/>
        <v>02</v>
      </c>
      <c r="D297">
        <f t="shared" si="31"/>
        <v>2026</v>
      </c>
      <c r="E297" t="s">
        <v>54</v>
      </c>
      <c r="F297" t="s">
        <v>699</v>
      </c>
      <c r="G297" t="s">
        <v>646</v>
      </c>
      <c r="H297">
        <v>0</v>
      </c>
      <c r="I297">
        <v>0</v>
      </c>
      <c r="J297" s="1">
        <f t="shared" si="32"/>
        <v>46054</v>
      </c>
      <c r="K297" t="str">
        <f t="shared" si="33"/>
        <v>fev/26</v>
      </c>
      <c r="L297" t="str">
        <f t="shared" si="34"/>
        <v>dom</v>
      </c>
      <c r="M297">
        <f>SUMIFS(LIGACOE_FIXA!B:B,LIGACOE_FIXA!A:A,A297)*1.04133001</f>
        <v>638.63937736087178</v>
      </c>
    </row>
    <row r="298" spans="1:13" x14ac:dyDescent="0.3">
      <c r="A298" t="s">
        <v>446</v>
      </c>
      <c r="B298" s="1">
        <v>46054</v>
      </c>
      <c r="C298" t="str">
        <f t="shared" si="30"/>
        <v>02</v>
      </c>
      <c r="D298">
        <f t="shared" si="31"/>
        <v>2026</v>
      </c>
      <c r="E298" t="s">
        <v>54</v>
      </c>
      <c r="F298" t="s">
        <v>699</v>
      </c>
      <c r="G298" t="s">
        <v>646</v>
      </c>
      <c r="H298">
        <v>0</v>
      </c>
      <c r="I298">
        <v>0</v>
      </c>
      <c r="J298" s="1">
        <f t="shared" si="32"/>
        <v>46054</v>
      </c>
      <c r="K298" t="str">
        <f t="shared" si="33"/>
        <v>fev/26</v>
      </c>
      <c r="L298" t="str">
        <f t="shared" si="34"/>
        <v>dom</v>
      </c>
      <c r="M298">
        <f>SUMIFS(LIGACOE_FIXA!B:B,LIGACOE_FIXA!A:A,A298)*1.04133001</f>
        <v>348.27950418610993</v>
      </c>
    </row>
    <row r="299" spans="1:13" x14ac:dyDescent="0.3">
      <c r="A299" t="s">
        <v>516</v>
      </c>
      <c r="B299" s="1">
        <v>46054</v>
      </c>
      <c r="C299" t="str">
        <f t="shared" si="30"/>
        <v>02</v>
      </c>
      <c r="D299">
        <f t="shared" si="31"/>
        <v>2026</v>
      </c>
      <c r="E299" t="s">
        <v>54</v>
      </c>
      <c r="F299" t="s">
        <v>699</v>
      </c>
      <c r="G299" t="s">
        <v>646</v>
      </c>
      <c r="H299">
        <v>0</v>
      </c>
      <c r="I299">
        <v>0</v>
      </c>
      <c r="J299" s="1">
        <f t="shared" si="32"/>
        <v>46054</v>
      </c>
      <c r="K299" t="str">
        <f t="shared" si="33"/>
        <v>fev/26</v>
      </c>
      <c r="L299" t="str">
        <f t="shared" si="34"/>
        <v>dom</v>
      </c>
      <c r="M299">
        <f>SUMIFS(LIGACOE_FIXA!B:B,LIGACOE_FIXA!A:A,A299)*1.04133001</f>
        <v>2426.3171235801974</v>
      </c>
    </row>
    <row r="300" spans="1:13" x14ac:dyDescent="0.3">
      <c r="A300" t="s">
        <v>573</v>
      </c>
      <c r="B300" s="1">
        <v>46054</v>
      </c>
      <c r="C300" t="str">
        <f t="shared" si="30"/>
        <v>02</v>
      </c>
      <c r="D300">
        <f t="shared" si="31"/>
        <v>2026</v>
      </c>
      <c r="E300" t="s">
        <v>54</v>
      </c>
      <c r="F300" t="s">
        <v>699</v>
      </c>
      <c r="G300" t="s">
        <v>646</v>
      </c>
      <c r="H300">
        <v>0</v>
      </c>
      <c r="I300">
        <v>0</v>
      </c>
      <c r="J300" s="1">
        <f t="shared" si="32"/>
        <v>46054</v>
      </c>
      <c r="K300" t="str">
        <f t="shared" si="33"/>
        <v>fev/26</v>
      </c>
      <c r="L300" t="str">
        <f t="shared" si="34"/>
        <v>dom</v>
      </c>
      <c r="M300">
        <f>SUMIFS(LIGACOE_FIXA!B:B,LIGACOE_FIXA!A:A,A300)*1.04133001</f>
        <v>758.8720467334997</v>
      </c>
    </row>
    <row r="301" spans="1:13" x14ac:dyDescent="0.3">
      <c r="A301" t="s">
        <v>605</v>
      </c>
      <c r="B301" s="1">
        <v>46054</v>
      </c>
      <c r="C301" t="str">
        <f t="shared" si="30"/>
        <v>02</v>
      </c>
      <c r="D301">
        <f t="shared" si="31"/>
        <v>2026</v>
      </c>
      <c r="E301" t="s">
        <v>54</v>
      </c>
      <c r="F301" t="s">
        <v>699</v>
      </c>
      <c r="G301" t="s">
        <v>646</v>
      </c>
      <c r="H301">
        <v>0</v>
      </c>
      <c r="I301">
        <v>0</v>
      </c>
      <c r="J301" s="1">
        <f t="shared" si="32"/>
        <v>46054</v>
      </c>
      <c r="K301" t="str">
        <f t="shared" si="33"/>
        <v>fev/26</v>
      </c>
      <c r="L301" t="str">
        <f t="shared" si="34"/>
        <v>dom</v>
      </c>
      <c r="M301">
        <f>SUMIFS(LIGACOE_FIXA!B:B,LIGACOE_FIXA!A:A,A301)*1.04133001</f>
        <v>1453.791396106616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975B-C74F-48C2-A652-E60BEB506B7F}">
  <dimension ref="A2:B11"/>
  <sheetViews>
    <sheetView workbookViewId="0">
      <selection activeCell="E14" sqref="E14"/>
    </sheetView>
  </sheetViews>
  <sheetFormatPr defaultRowHeight="14.4" x14ac:dyDescent="0.3"/>
  <sheetData>
    <row r="2" spans="1:2" x14ac:dyDescent="0.3">
      <c r="A2" t="s">
        <v>516</v>
      </c>
      <c r="B2">
        <v>2330.0174779176846</v>
      </c>
    </row>
    <row r="3" spans="1:2" x14ac:dyDescent="0.3">
      <c r="A3" t="s">
        <v>8</v>
      </c>
      <c r="B3">
        <v>1050.7528258817613</v>
      </c>
    </row>
    <row r="4" spans="1:2" x14ac:dyDescent="0.3">
      <c r="A4" t="s">
        <v>605</v>
      </c>
      <c r="B4">
        <v>1396.0909434528023</v>
      </c>
    </row>
    <row r="5" spans="1:2" x14ac:dyDescent="0.3">
      <c r="A5" t="s">
        <v>380</v>
      </c>
      <c r="B5">
        <v>613.29201235722746</v>
      </c>
    </row>
    <row r="6" spans="1:2" x14ac:dyDescent="0.3">
      <c r="A6" t="s">
        <v>242</v>
      </c>
      <c r="B6">
        <v>702.07969482799751</v>
      </c>
    </row>
    <row r="7" spans="1:2" x14ac:dyDescent="0.3">
      <c r="A7" t="s">
        <v>446</v>
      </c>
      <c r="B7">
        <v>334.45641712189774</v>
      </c>
    </row>
    <row r="8" spans="1:2" x14ac:dyDescent="0.3">
      <c r="A8" t="s">
        <v>573</v>
      </c>
      <c r="B8">
        <v>728.75269073778031</v>
      </c>
    </row>
    <row r="9" spans="1:2" x14ac:dyDescent="0.3">
      <c r="A9" t="s">
        <v>286</v>
      </c>
      <c r="B9">
        <v>251.38719172918834</v>
      </c>
    </row>
    <row r="10" spans="1:2" x14ac:dyDescent="0.3">
      <c r="A10" t="s">
        <v>173</v>
      </c>
      <c r="B10">
        <v>426.58066089630034</v>
      </c>
    </row>
    <row r="11" spans="1:2" x14ac:dyDescent="0.3">
      <c r="A11" t="s">
        <v>339</v>
      </c>
      <c r="B11">
        <v>229.59008507735933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E2CF-EF28-49E5-8B18-C76902114389}">
  <dimension ref="A2:B11"/>
  <sheetViews>
    <sheetView workbookViewId="0">
      <selection activeCell="B2" sqref="B2:B11"/>
    </sheetView>
  </sheetViews>
  <sheetFormatPr defaultRowHeight="14.4" x14ac:dyDescent="0.3"/>
  <sheetData>
    <row r="2" spans="1:2" ht="15.6" x14ac:dyDescent="0.3">
      <c r="A2" s="4" t="s">
        <v>516</v>
      </c>
      <c r="B2" s="5">
        <v>1729.8157510938372</v>
      </c>
    </row>
    <row r="3" spans="1:2" ht="15.6" x14ac:dyDescent="0.3">
      <c r="A3" s="4" t="s">
        <v>8</v>
      </c>
      <c r="B3" s="5">
        <v>866.13704833491408</v>
      </c>
    </row>
    <row r="4" spans="1:2" ht="15.6" x14ac:dyDescent="0.3">
      <c r="A4" s="4" t="s">
        <v>173</v>
      </c>
      <c r="B4" s="5">
        <v>872.23625216138896</v>
      </c>
    </row>
    <row r="5" spans="1:2" ht="15.6" x14ac:dyDescent="0.3">
      <c r="A5" s="4" t="s">
        <v>242</v>
      </c>
      <c r="B5" s="5">
        <v>446.15637481947653</v>
      </c>
    </row>
    <row r="6" spans="1:2" ht="15.6" x14ac:dyDescent="0.3">
      <c r="A6" s="4" t="s">
        <v>286</v>
      </c>
      <c r="B6" s="5">
        <v>691.37850206834378</v>
      </c>
    </row>
    <row r="7" spans="1:2" ht="15.6" x14ac:dyDescent="0.3">
      <c r="A7" s="4" t="s">
        <v>339</v>
      </c>
      <c r="B7" s="5">
        <v>284.83739077321962</v>
      </c>
    </row>
    <row r="8" spans="1:2" ht="15.6" x14ac:dyDescent="0.3">
      <c r="A8" s="4" t="s">
        <v>380</v>
      </c>
      <c r="B8" s="5">
        <v>463.33844586785813</v>
      </c>
    </row>
    <row r="9" spans="1:2" ht="15.6" x14ac:dyDescent="0.3">
      <c r="A9" s="4" t="s">
        <v>605</v>
      </c>
      <c r="B9" s="5">
        <v>156.22866972599587</v>
      </c>
    </row>
    <row r="10" spans="1:2" ht="15.6" x14ac:dyDescent="0.3">
      <c r="A10" s="4" t="s">
        <v>446</v>
      </c>
      <c r="B10" s="5">
        <v>223.9538269217411</v>
      </c>
    </row>
    <row r="11" spans="1:2" ht="15.6" x14ac:dyDescent="0.3">
      <c r="A11" s="4" t="s">
        <v>573</v>
      </c>
      <c r="B11" s="5">
        <v>236.91773823324607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BE9B-6AED-489E-B168-3FEF5E0AC2DE}">
  <dimension ref="A1:E12"/>
  <sheetViews>
    <sheetView workbookViewId="0">
      <selection activeCell="F5" sqref="F5"/>
    </sheetView>
  </sheetViews>
  <sheetFormatPr defaultRowHeight="14.4" x14ac:dyDescent="0.3"/>
  <sheetData>
    <row r="1" spans="1:5" x14ac:dyDescent="0.3">
      <c r="B1" t="s">
        <v>677</v>
      </c>
      <c r="D1" t="s">
        <v>678</v>
      </c>
      <c r="E1" s="6">
        <v>6967.0000000000009</v>
      </c>
    </row>
    <row r="2" spans="1:5" x14ac:dyDescent="0.3">
      <c r="A2" t="s">
        <v>676</v>
      </c>
      <c r="B2">
        <v>5540.2454286875245</v>
      </c>
      <c r="D2" s="2" t="s">
        <v>679</v>
      </c>
    </row>
    <row r="3" spans="1:5" x14ac:dyDescent="0.3">
      <c r="A3" t="s">
        <v>516</v>
      </c>
      <c r="B3">
        <v>1773.7763871702903</v>
      </c>
      <c r="C3">
        <f>B3/$B$2</f>
        <v>0.32016205960581334</v>
      </c>
      <c r="D3">
        <v>1781.3727049025179</v>
      </c>
      <c r="E3" t="s">
        <v>646</v>
      </c>
    </row>
    <row r="4" spans="1:5" x14ac:dyDescent="0.3">
      <c r="A4" t="s">
        <v>8</v>
      </c>
      <c r="B4">
        <v>792.11803206684601</v>
      </c>
      <c r="C4">
        <f t="shared" ref="C4:C12" si="0">B4/$B$2</f>
        <v>0.14297526025927293</v>
      </c>
      <c r="D4">
        <v>824.75941699791792</v>
      </c>
      <c r="E4" t="s">
        <v>646</v>
      </c>
    </row>
    <row r="5" spans="1:5" x14ac:dyDescent="0.3">
      <c r="A5" t="s">
        <v>173</v>
      </c>
      <c r="B5">
        <v>1049.356076496761</v>
      </c>
      <c r="C5">
        <f t="shared" si="0"/>
        <v>0.18940606332404877</v>
      </c>
      <c r="D5">
        <v>1068.2854438765853</v>
      </c>
      <c r="E5" t="s">
        <v>646</v>
      </c>
    </row>
    <row r="6" spans="1:5" x14ac:dyDescent="0.3">
      <c r="A6" t="s">
        <v>242</v>
      </c>
      <c r="B6">
        <v>400.85092791376468</v>
      </c>
      <c r="C6">
        <f t="shared" si="0"/>
        <v>7.2352557855677097E-2</v>
      </c>
      <c r="D6">
        <v>414.39787999242861</v>
      </c>
      <c r="E6" t="s">
        <v>646</v>
      </c>
    </row>
    <row r="7" spans="1:5" x14ac:dyDescent="0.3">
      <c r="A7" t="s">
        <v>286</v>
      </c>
      <c r="B7">
        <v>766.74725301880051</v>
      </c>
      <c r="C7">
        <f t="shared" si="0"/>
        <v>0.13839590012539241</v>
      </c>
      <c r="D7">
        <v>765.55971985614246</v>
      </c>
      <c r="E7" t="s">
        <v>646</v>
      </c>
    </row>
    <row r="8" spans="1:5" x14ac:dyDescent="0.3">
      <c r="A8" t="s">
        <v>339</v>
      </c>
      <c r="B8">
        <v>343.675304460804</v>
      </c>
      <c r="C8">
        <f t="shared" si="0"/>
        <v>6.2032505397909811E-2</v>
      </c>
      <c r="D8">
        <v>372.68900246072309</v>
      </c>
      <c r="E8" t="s">
        <v>646</v>
      </c>
    </row>
    <row r="9" spans="1:5" x14ac:dyDescent="0.3">
      <c r="A9" t="s">
        <v>380</v>
      </c>
      <c r="B9">
        <v>746.67499350560195</v>
      </c>
      <c r="C9">
        <f t="shared" si="0"/>
        <v>0.1347729090915902</v>
      </c>
      <c r="D9">
        <v>757.48703388226386</v>
      </c>
      <c r="E9" t="s">
        <v>646</v>
      </c>
    </row>
    <row r="10" spans="1:5" x14ac:dyDescent="0.3">
      <c r="A10" t="s">
        <v>605</v>
      </c>
      <c r="B10">
        <v>222.33062101481497</v>
      </c>
      <c r="C10">
        <f t="shared" si="0"/>
        <v>4.013010323758974E-2</v>
      </c>
      <c r="D10">
        <v>230.07155025553664</v>
      </c>
      <c r="E10" t="s">
        <v>646</v>
      </c>
    </row>
    <row r="11" spans="1:5" x14ac:dyDescent="0.3">
      <c r="A11" t="s">
        <v>446</v>
      </c>
      <c r="B11">
        <v>571.00838292554511</v>
      </c>
      <c r="C11">
        <f t="shared" si="0"/>
        <v>0.10306553929341288</v>
      </c>
      <c r="D11">
        <v>597.37876206700741</v>
      </c>
      <c r="E11" t="s">
        <v>646</v>
      </c>
    </row>
    <row r="12" spans="1:5" x14ac:dyDescent="0.3">
      <c r="A12" t="s">
        <v>573</v>
      </c>
      <c r="B12">
        <v>300.46202142677157</v>
      </c>
      <c r="C12">
        <f t="shared" si="0"/>
        <v>5.4232619347686653E-2</v>
      </c>
      <c r="D12">
        <v>295.99848570887752</v>
      </c>
      <c r="E12" t="s">
        <v>646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D736-AF94-4EE7-8AC6-F292844E86B1}">
  <dimension ref="A1:AN5767"/>
  <sheetViews>
    <sheetView workbookViewId="0">
      <selection activeCell="C5" sqref="C4:C5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 t="s">
        <v>6</v>
      </c>
      <c r="AM1">
        <v>20.666666666666668</v>
      </c>
      <c r="AN1" t="s">
        <v>7</v>
      </c>
    </row>
    <row r="2" spans="1:40" x14ac:dyDescent="0.3">
      <c r="A2" t="s">
        <v>8</v>
      </c>
      <c r="B2" t="s">
        <v>9</v>
      </c>
      <c r="C2" t="s">
        <v>10</v>
      </c>
      <c r="D2" t="s">
        <v>11</v>
      </c>
      <c r="E2">
        <v>202602</v>
      </c>
      <c r="F2" t="s">
        <v>12</v>
      </c>
      <c r="G2">
        <v>0</v>
      </c>
      <c r="H2">
        <v>4</v>
      </c>
      <c r="I2">
        <v>0</v>
      </c>
      <c r="J2">
        <v>0</v>
      </c>
      <c r="K2">
        <v>1</v>
      </c>
      <c r="L2">
        <v>1</v>
      </c>
      <c r="M2">
        <v>2</v>
      </c>
      <c r="N2">
        <v>0</v>
      </c>
      <c r="O2">
        <v>0</v>
      </c>
      <c r="P2">
        <v>0</v>
      </c>
      <c r="Q2">
        <v>2</v>
      </c>
      <c r="R2">
        <v>2</v>
      </c>
      <c r="S2">
        <v>0</v>
      </c>
      <c r="T2">
        <v>2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17</v>
      </c>
      <c r="AM2">
        <v>0.33333333333333331</v>
      </c>
      <c r="AN2">
        <v>18.679668622713059</v>
      </c>
    </row>
    <row r="3" spans="1:40" x14ac:dyDescent="0.3">
      <c r="A3" t="s">
        <v>8</v>
      </c>
      <c r="B3" t="s">
        <v>9</v>
      </c>
      <c r="C3" t="s">
        <v>10</v>
      </c>
      <c r="D3" t="s">
        <v>11</v>
      </c>
      <c r="E3">
        <v>202602</v>
      </c>
      <c r="F3" t="s">
        <v>13</v>
      </c>
      <c r="G3">
        <v>0</v>
      </c>
      <c r="H3">
        <v>1</v>
      </c>
      <c r="I3">
        <v>0</v>
      </c>
      <c r="J3">
        <v>1</v>
      </c>
      <c r="K3">
        <v>4</v>
      </c>
      <c r="L3">
        <v>1</v>
      </c>
      <c r="M3">
        <v>1</v>
      </c>
      <c r="N3">
        <v>0</v>
      </c>
      <c r="O3">
        <v>1</v>
      </c>
      <c r="P3">
        <v>1</v>
      </c>
      <c r="Q3">
        <v>0</v>
      </c>
      <c r="R3">
        <v>1</v>
      </c>
      <c r="S3">
        <v>2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19</v>
      </c>
      <c r="AM3">
        <v>1.3333333333333333</v>
      </c>
      <c r="AN3">
        <v>25.718674490852244</v>
      </c>
    </row>
    <row r="4" spans="1:40" x14ac:dyDescent="0.3">
      <c r="A4" t="s">
        <v>8</v>
      </c>
      <c r="B4" t="s">
        <v>9</v>
      </c>
      <c r="C4" t="s">
        <v>10</v>
      </c>
      <c r="D4" t="s">
        <v>11</v>
      </c>
      <c r="E4">
        <v>202602</v>
      </c>
      <c r="F4" t="s">
        <v>340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1</v>
      </c>
    </row>
    <row r="5" spans="1:40" x14ac:dyDescent="0.3">
      <c r="A5" t="s">
        <v>8</v>
      </c>
      <c r="B5" t="s">
        <v>9</v>
      </c>
      <c r="C5" t="s">
        <v>10</v>
      </c>
      <c r="D5" t="s">
        <v>11</v>
      </c>
      <c r="E5">
        <v>202602</v>
      </c>
      <c r="F5" t="s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1</v>
      </c>
    </row>
    <row r="6" spans="1:40" x14ac:dyDescent="0.3">
      <c r="A6" t="s">
        <v>8</v>
      </c>
      <c r="B6" t="s">
        <v>9</v>
      </c>
      <c r="C6" t="s">
        <v>10</v>
      </c>
      <c r="D6" t="s">
        <v>14</v>
      </c>
      <c r="E6">
        <v>202602</v>
      </c>
      <c r="F6" t="s">
        <v>12</v>
      </c>
      <c r="G6">
        <v>0</v>
      </c>
      <c r="H6">
        <v>3</v>
      </c>
      <c r="I6">
        <v>2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2</v>
      </c>
      <c r="R6">
        <v>1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2</v>
      </c>
      <c r="AA6">
        <v>0</v>
      </c>
      <c r="AB6">
        <v>0</v>
      </c>
      <c r="AC6">
        <v>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20</v>
      </c>
      <c r="AM6">
        <v>2</v>
      </c>
      <c r="AN6">
        <v>28.605448567401503</v>
      </c>
    </row>
    <row r="7" spans="1:40" x14ac:dyDescent="0.3">
      <c r="A7" t="s">
        <v>8</v>
      </c>
      <c r="B7" t="s">
        <v>9</v>
      </c>
      <c r="C7" t="s">
        <v>10</v>
      </c>
      <c r="D7" t="s">
        <v>14</v>
      </c>
      <c r="E7">
        <v>202602</v>
      </c>
      <c r="F7" t="s">
        <v>13</v>
      </c>
      <c r="G7">
        <v>0</v>
      </c>
      <c r="H7">
        <v>3</v>
      </c>
      <c r="I7">
        <v>1</v>
      </c>
      <c r="J7">
        <v>2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2</v>
      </c>
      <c r="R7">
        <v>1</v>
      </c>
      <c r="S7">
        <v>3</v>
      </c>
      <c r="T7">
        <v>0</v>
      </c>
      <c r="U7">
        <v>0</v>
      </c>
      <c r="V7">
        <v>1</v>
      </c>
      <c r="W7">
        <v>0</v>
      </c>
      <c r="X7">
        <v>3</v>
      </c>
      <c r="Y7">
        <v>2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24</v>
      </c>
      <c r="AM7">
        <v>1.3333333333333333</v>
      </c>
      <c r="AN7">
        <v>29.736965711601002</v>
      </c>
    </row>
    <row r="8" spans="1:40" x14ac:dyDescent="0.3">
      <c r="A8" t="s">
        <v>8</v>
      </c>
      <c r="B8" t="s">
        <v>9</v>
      </c>
      <c r="C8" t="s">
        <v>10</v>
      </c>
      <c r="D8" t="s">
        <v>14</v>
      </c>
      <c r="E8">
        <v>202602</v>
      </c>
      <c r="F8" t="s">
        <v>287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</v>
      </c>
      <c r="AM8">
        <v>0</v>
      </c>
      <c r="AN8">
        <v>2</v>
      </c>
    </row>
    <row r="9" spans="1:40" x14ac:dyDescent="0.3">
      <c r="A9" t="s">
        <v>8</v>
      </c>
      <c r="B9" t="s">
        <v>9</v>
      </c>
      <c r="C9" t="s">
        <v>10</v>
      </c>
      <c r="D9" t="s">
        <v>14</v>
      </c>
      <c r="E9">
        <v>202602</v>
      </c>
      <c r="F9" t="s">
        <v>340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1</v>
      </c>
    </row>
    <row r="10" spans="1:40" x14ac:dyDescent="0.3">
      <c r="A10" t="s">
        <v>8</v>
      </c>
      <c r="B10" t="s">
        <v>9</v>
      </c>
      <c r="C10" t="s">
        <v>10</v>
      </c>
      <c r="D10" t="s">
        <v>14</v>
      </c>
      <c r="E10">
        <v>202602</v>
      </c>
      <c r="F10" t="s">
        <v>15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1</v>
      </c>
    </row>
    <row r="11" spans="1:40" x14ac:dyDescent="0.3">
      <c r="A11" t="s">
        <v>8</v>
      </c>
      <c r="B11" t="s">
        <v>9</v>
      </c>
      <c r="C11" t="s">
        <v>16</v>
      </c>
      <c r="D11" t="s">
        <v>11</v>
      </c>
      <c r="E11">
        <v>202602</v>
      </c>
      <c r="F11" t="s">
        <v>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3</v>
      </c>
      <c r="AM11">
        <v>0</v>
      </c>
      <c r="AN11">
        <v>3</v>
      </c>
    </row>
    <row r="12" spans="1:40" x14ac:dyDescent="0.3">
      <c r="A12" t="s">
        <v>8</v>
      </c>
      <c r="B12" t="s">
        <v>9</v>
      </c>
      <c r="C12" t="s">
        <v>16</v>
      </c>
      <c r="D12" t="s">
        <v>11</v>
      </c>
      <c r="E12">
        <v>202602</v>
      </c>
      <c r="F12" t="s">
        <v>13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1</v>
      </c>
    </row>
    <row r="13" spans="1:40" x14ac:dyDescent="0.3">
      <c r="A13" t="s">
        <v>8</v>
      </c>
      <c r="B13" t="s">
        <v>9</v>
      </c>
      <c r="C13" t="s">
        <v>16</v>
      </c>
      <c r="D13" t="s">
        <v>11</v>
      </c>
      <c r="E13">
        <v>202602</v>
      </c>
      <c r="F13" t="s">
        <v>177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1</v>
      </c>
    </row>
    <row r="14" spans="1:40" x14ac:dyDescent="0.3">
      <c r="A14" t="s">
        <v>8</v>
      </c>
      <c r="B14" t="s">
        <v>9</v>
      </c>
      <c r="C14" t="s">
        <v>16</v>
      </c>
      <c r="D14" t="s">
        <v>14</v>
      </c>
      <c r="E14">
        <v>202602</v>
      </c>
      <c r="F14" t="s">
        <v>12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4</v>
      </c>
      <c r="AM14">
        <v>0.33333333333333331</v>
      </c>
      <c r="AN14">
        <v>5.4342414279002504</v>
      </c>
    </row>
    <row r="15" spans="1:40" x14ac:dyDescent="0.3">
      <c r="A15" t="s">
        <v>8</v>
      </c>
      <c r="B15" t="s">
        <v>9</v>
      </c>
      <c r="C15" t="s">
        <v>16</v>
      </c>
      <c r="D15" t="s">
        <v>14</v>
      </c>
      <c r="E15">
        <v>202602</v>
      </c>
      <c r="F15" t="s">
        <v>13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1</v>
      </c>
    </row>
    <row r="16" spans="1:40" x14ac:dyDescent="0.3">
      <c r="A16" t="s">
        <v>8</v>
      </c>
      <c r="B16" t="s">
        <v>9</v>
      </c>
      <c r="C16" t="s">
        <v>16</v>
      </c>
      <c r="D16" t="s">
        <v>14</v>
      </c>
      <c r="E16">
        <v>202602</v>
      </c>
      <c r="F16" t="s">
        <v>177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0.33333333333333331</v>
      </c>
      <c r="AN16">
        <v>2.43424142790025</v>
      </c>
    </row>
    <row r="17" spans="1:40" x14ac:dyDescent="0.3">
      <c r="A17" t="s">
        <v>8</v>
      </c>
      <c r="B17" t="s">
        <v>17</v>
      </c>
      <c r="C17" t="s">
        <v>10</v>
      </c>
      <c r="D17" t="s">
        <v>11</v>
      </c>
      <c r="E17">
        <v>202602</v>
      </c>
      <c r="F17" t="s">
        <v>42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1</v>
      </c>
    </row>
    <row r="18" spans="1:40" x14ac:dyDescent="0.3">
      <c r="A18" t="s">
        <v>8</v>
      </c>
      <c r="B18" t="s">
        <v>17</v>
      </c>
      <c r="C18" t="s">
        <v>10</v>
      </c>
      <c r="D18" t="s">
        <v>11</v>
      </c>
      <c r="E18">
        <v>202602</v>
      </c>
      <c r="F18" t="s">
        <v>18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5</v>
      </c>
      <c r="AM18">
        <v>0.66666666666666663</v>
      </c>
      <c r="AN18">
        <v>8.3593372454261221</v>
      </c>
    </row>
    <row r="19" spans="1:40" x14ac:dyDescent="0.3">
      <c r="A19" t="s">
        <v>8</v>
      </c>
      <c r="B19" t="s">
        <v>17</v>
      </c>
      <c r="C19" t="s">
        <v>10</v>
      </c>
      <c r="D19" t="s">
        <v>11</v>
      </c>
      <c r="E19">
        <v>202602</v>
      </c>
      <c r="F19" t="s">
        <v>19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</v>
      </c>
      <c r="AM19">
        <v>0</v>
      </c>
      <c r="AN19">
        <v>2</v>
      </c>
    </row>
    <row r="20" spans="1:40" x14ac:dyDescent="0.3">
      <c r="A20" t="s">
        <v>8</v>
      </c>
      <c r="B20" t="s">
        <v>17</v>
      </c>
      <c r="C20" t="s">
        <v>10</v>
      </c>
      <c r="D20" t="s">
        <v>11</v>
      </c>
      <c r="E20">
        <v>202602</v>
      </c>
      <c r="F20" t="s">
        <v>20</v>
      </c>
      <c r="G20">
        <v>0</v>
      </c>
      <c r="H20">
        <v>0</v>
      </c>
      <c r="I20">
        <v>0</v>
      </c>
      <c r="J20">
        <v>1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2</v>
      </c>
      <c r="R20">
        <v>0</v>
      </c>
      <c r="S20">
        <v>1</v>
      </c>
      <c r="T20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3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13</v>
      </c>
      <c r="AM20">
        <v>1.3333333333333333</v>
      </c>
      <c r="AN20">
        <v>19.718674490852244</v>
      </c>
    </row>
    <row r="21" spans="1:40" x14ac:dyDescent="0.3">
      <c r="A21" t="s">
        <v>8</v>
      </c>
      <c r="B21" t="s">
        <v>17</v>
      </c>
      <c r="C21" t="s">
        <v>10</v>
      </c>
      <c r="D21" t="s">
        <v>11</v>
      </c>
      <c r="E21">
        <v>202602</v>
      </c>
      <c r="F21" t="s">
        <v>21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0</v>
      </c>
      <c r="O21">
        <v>1</v>
      </c>
      <c r="P21">
        <v>4</v>
      </c>
      <c r="Q21">
        <v>0</v>
      </c>
      <c r="R21">
        <v>1</v>
      </c>
      <c r="S21">
        <v>0</v>
      </c>
      <c r="T21">
        <v>1</v>
      </c>
      <c r="U21">
        <v>1</v>
      </c>
      <c r="V21">
        <v>3</v>
      </c>
      <c r="W21">
        <v>1</v>
      </c>
      <c r="X21">
        <v>2</v>
      </c>
      <c r="Y21">
        <v>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22</v>
      </c>
      <c r="AM21">
        <v>1</v>
      </c>
      <c r="AN21">
        <v>27.039005868139181</v>
      </c>
    </row>
    <row r="22" spans="1:40" x14ac:dyDescent="0.3">
      <c r="A22" t="s">
        <v>8</v>
      </c>
      <c r="B22" t="s">
        <v>17</v>
      </c>
      <c r="C22" t="s">
        <v>10</v>
      </c>
      <c r="D22" t="s">
        <v>11</v>
      </c>
      <c r="E22">
        <v>202602</v>
      </c>
      <c r="F22" t="s">
        <v>43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</v>
      </c>
      <c r="AM22">
        <v>0</v>
      </c>
      <c r="AN22">
        <v>2</v>
      </c>
    </row>
    <row r="23" spans="1:40" x14ac:dyDescent="0.3">
      <c r="A23" t="s">
        <v>8</v>
      </c>
      <c r="B23" t="s">
        <v>17</v>
      </c>
      <c r="C23" t="s">
        <v>10</v>
      </c>
      <c r="D23" t="s">
        <v>11</v>
      </c>
      <c r="E23">
        <v>202602</v>
      </c>
      <c r="F23" t="s">
        <v>22</v>
      </c>
      <c r="G23">
        <v>0</v>
      </c>
      <c r="H23">
        <v>1</v>
      </c>
      <c r="I23">
        <v>0</v>
      </c>
      <c r="J23">
        <v>1</v>
      </c>
      <c r="K23">
        <v>0</v>
      </c>
      <c r="L23">
        <v>2</v>
      </c>
      <c r="M23">
        <v>0</v>
      </c>
      <c r="N23">
        <v>0</v>
      </c>
      <c r="O23">
        <v>4</v>
      </c>
      <c r="P23">
        <v>0</v>
      </c>
      <c r="Q23">
        <v>1</v>
      </c>
      <c r="R23">
        <v>0</v>
      </c>
      <c r="S23">
        <v>0</v>
      </c>
      <c r="T23">
        <v>1</v>
      </c>
      <c r="U23">
        <v>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12</v>
      </c>
      <c r="AM23">
        <v>0</v>
      </c>
      <c r="AN23">
        <v>12</v>
      </c>
    </row>
    <row r="24" spans="1:40" x14ac:dyDescent="0.3">
      <c r="A24" t="s">
        <v>8</v>
      </c>
      <c r="B24" t="s">
        <v>17</v>
      </c>
      <c r="C24" t="s">
        <v>10</v>
      </c>
      <c r="D24" t="s">
        <v>11</v>
      </c>
      <c r="E24">
        <v>202602</v>
      </c>
      <c r="F24" t="s">
        <v>44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4</v>
      </c>
      <c r="AM24">
        <v>0</v>
      </c>
      <c r="AN24">
        <v>4</v>
      </c>
    </row>
    <row r="25" spans="1:40" x14ac:dyDescent="0.3">
      <c r="A25" t="s">
        <v>8</v>
      </c>
      <c r="B25" t="s">
        <v>17</v>
      </c>
      <c r="C25" t="s">
        <v>10</v>
      </c>
      <c r="D25" t="s">
        <v>11</v>
      </c>
      <c r="E25">
        <v>202602</v>
      </c>
      <c r="F25" t="s">
        <v>23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</v>
      </c>
      <c r="AM25">
        <v>0</v>
      </c>
      <c r="AN25">
        <v>2</v>
      </c>
    </row>
    <row r="26" spans="1:40" x14ac:dyDescent="0.3">
      <c r="A26" t="s">
        <v>8</v>
      </c>
      <c r="B26" t="s">
        <v>17</v>
      </c>
      <c r="C26" t="s">
        <v>10</v>
      </c>
      <c r="D26" t="s">
        <v>11</v>
      </c>
      <c r="E26">
        <v>202602</v>
      </c>
      <c r="F26" t="s">
        <v>24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</v>
      </c>
      <c r="AM26">
        <v>0.33333333333333331</v>
      </c>
      <c r="AN26">
        <v>4.6796686227130611</v>
      </c>
    </row>
    <row r="27" spans="1:40" x14ac:dyDescent="0.3">
      <c r="A27" t="s">
        <v>8</v>
      </c>
      <c r="B27" t="s">
        <v>17</v>
      </c>
      <c r="C27" t="s">
        <v>10</v>
      </c>
      <c r="D27" t="s">
        <v>11</v>
      </c>
      <c r="E27">
        <v>202602</v>
      </c>
      <c r="F27" t="s">
        <v>25</v>
      </c>
      <c r="G27">
        <v>0</v>
      </c>
      <c r="H27">
        <v>1</v>
      </c>
      <c r="I27">
        <v>1</v>
      </c>
      <c r="J27">
        <v>1</v>
      </c>
      <c r="K27">
        <v>3</v>
      </c>
      <c r="L27">
        <v>2</v>
      </c>
      <c r="M27">
        <v>1</v>
      </c>
      <c r="N27">
        <v>0</v>
      </c>
      <c r="O27">
        <v>0</v>
      </c>
      <c r="P27">
        <v>2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2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18</v>
      </c>
      <c r="AM27">
        <v>1</v>
      </c>
      <c r="AN27">
        <v>23.039005868139181</v>
      </c>
    </row>
    <row r="28" spans="1:40" x14ac:dyDescent="0.3">
      <c r="A28" t="s">
        <v>8</v>
      </c>
      <c r="B28" t="s">
        <v>17</v>
      </c>
      <c r="C28" t="s">
        <v>10</v>
      </c>
      <c r="D28" t="s">
        <v>11</v>
      </c>
      <c r="E28">
        <v>202602</v>
      </c>
      <c r="F28" t="s">
        <v>26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2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8</v>
      </c>
      <c r="AM28">
        <v>1.3333333333333333</v>
      </c>
      <c r="AN28">
        <v>14.718674490852244</v>
      </c>
    </row>
    <row r="29" spans="1:40" x14ac:dyDescent="0.3">
      <c r="A29" t="s">
        <v>8</v>
      </c>
      <c r="B29" t="s">
        <v>17</v>
      </c>
      <c r="C29" t="s">
        <v>10</v>
      </c>
      <c r="D29" t="s">
        <v>11</v>
      </c>
      <c r="E29">
        <v>202602</v>
      </c>
      <c r="F29" t="s">
        <v>27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9</v>
      </c>
      <c r="AM29">
        <v>2</v>
      </c>
      <c r="AN29">
        <v>19.078011736278363</v>
      </c>
    </row>
    <row r="30" spans="1:40" x14ac:dyDescent="0.3">
      <c r="A30" t="s">
        <v>8</v>
      </c>
      <c r="B30" t="s">
        <v>17</v>
      </c>
      <c r="C30" t="s">
        <v>10</v>
      </c>
      <c r="D30" t="s">
        <v>11</v>
      </c>
      <c r="E30">
        <v>202602</v>
      </c>
      <c r="F30" t="s">
        <v>682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</v>
      </c>
      <c r="AM30">
        <v>1</v>
      </c>
      <c r="AN30">
        <v>10.039005868139181</v>
      </c>
    </row>
    <row r="31" spans="1:40" x14ac:dyDescent="0.3">
      <c r="A31" t="s">
        <v>8</v>
      </c>
      <c r="B31" t="s">
        <v>17</v>
      </c>
      <c r="C31" t="s">
        <v>10</v>
      </c>
      <c r="D31" t="s">
        <v>11</v>
      </c>
      <c r="E31">
        <v>202602</v>
      </c>
      <c r="F31" t="s">
        <v>28</v>
      </c>
      <c r="G31">
        <v>0</v>
      </c>
      <c r="H31">
        <v>0</v>
      </c>
      <c r="I31">
        <v>0</v>
      </c>
      <c r="J31">
        <v>1</v>
      </c>
      <c r="K31">
        <v>1</v>
      </c>
      <c r="L31">
        <v>2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10</v>
      </c>
      <c r="AM31">
        <v>0.66666666666666663</v>
      </c>
      <c r="AN31">
        <v>13.359337245426122</v>
      </c>
    </row>
    <row r="32" spans="1:40" x14ac:dyDescent="0.3">
      <c r="A32" t="s">
        <v>8</v>
      </c>
      <c r="B32" t="s">
        <v>17</v>
      </c>
      <c r="C32" t="s">
        <v>10</v>
      </c>
      <c r="D32" t="s">
        <v>11</v>
      </c>
      <c r="E32">
        <v>202602</v>
      </c>
      <c r="F32" t="s">
        <v>29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</v>
      </c>
      <c r="AM32">
        <v>0</v>
      </c>
      <c r="AN32">
        <v>2</v>
      </c>
    </row>
    <row r="33" spans="1:40" x14ac:dyDescent="0.3">
      <c r="A33" t="s">
        <v>8</v>
      </c>
      <c r="B33" t="s">
        <v>17</v>
      </c>
      <c r="C33" t="s">
        <v>10</v>
      </c>
      <c r="D33" t="s">
        <v>11</v>
      </c>
      <c r="E33">
        <v>202602</v>
      </c>
      <c r="F33" t="s">
        <v>30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5</v>
      </c>
      <c r="AM33">
        <v>0.33333333333333331</v>
      </c>
      <c r="AN33">
        <v>6.6796686227130611</v>
      </c>
    </row>
    <row r="34" spans="1:40" x14ac:dyDescent="0.3">
      <c r="A34" t="s">
        <v>8</v>
      </c>
      <c r="B34" t="s">
        <v>17</v>
      </c>
      <c r="C34" t="s">
        <v>10</v>
      </c>
      <c r="D34" t="s">
        <v>11</v>
      </c>
      <c r="E34">
        <v>202602</v>
      </c>
      <c r="F34" t="s">
        <v>31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7</v>
      </c>
      <c r="AM34">
        <v>0.66666666666666663</v>
      </c>
      <c r="AN34">
        <v>10.359337245426122</v>
      </c>
    </row>
    <row r="35" spans="1:40" x14ac:dyDescent="0.3">
      <c r="A35" t="s">
        <v>8</v>
      </c>
      <c r="B35" t="s">
        <v>17</v>
      </c>
      <c r="C35" t="s">
        <v>10</v>
      </c>
      <c r="D35" t="s">
        <v>11</v>
      </c>
      <c r="E35">
        <v>202602</v>
      </c>
      <c r="F35" t="s">
        <v>45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</v>
      </c>
      <c r="AM35">
        <v>0.33333333333333331</v>
      </c>
      <c r="AN35">
        <v>4.6796686227130611</v>
      </c>
    </row>
    <row r="36" spans="1:40" x14ac:dyDescent="0.3">
      <c r="A36" t="s">
        <v>8</v>
      </c>
      <c r="B36" t="s">
        <v>17</v>
      </c>
      <c r="C36" t="s">
        <v>10</v>
      </c>
      <c r="D36" t="s">
        <v>11</v>
      </c>
      <c r="E36">
        <v>202602</v>
      </c>
      <c r="F36" t="s">
        <v>32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</v>
      </c>
      <c r="AM36">
        <v>0.33333333333333331</v>
      </c>
      <c r="AN36">
        <v>4.6796686227130611</v>
      </c>
    </row>
    <row r="37" spans="1:40" x14ac:dyDescent="0.3">
      <c r="A37" t="s">
        <v>8</v>
      </c>
      <c r="B37" t="s">
        <v>17</v>
      </c>
      <c r="C37" t="s">
        <v>10</v>
      </c>
      <c r="D37" t="s">
        <v>11</v>
      </c>
      <c r="E37">
        <v>202602</v>
      </c>
      <c r="F37" t="s">
        <v>33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6</v>
      </c>
      <c r="AM37">
        <v>0.33333333333333331</v>
      </c>
      <c r="AN37">
        <v>7.6796686227130611</v>
      </c>
    </row>
    <row r="38" spans="1:40" x14ac:dyDescent="0.3">
      <c r="A38" t="s">
        <v>8</v>
      </c>
      <c r="B38" t="s">
        <v>17</v>
      </c>
      <c r="C38" t="s">
        <v>10</v>
      </c>
      <c r="D38" t="s">
        <v>11</v>
      </c>
      <c r="E38">
        <v>202602</v>
      </c>
      <c r="F38" t="s">
        <v>34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5</v>
      </c>
      <c r="AM38">
        <v>0.33333333333333331</v>
      </c>
      <c r="AN38">
        <v>6.6796686227130611</v>
      </c>
    </row>
    <row r="39" spans="1:40" x14ac:dyDescent="0.3">
      <c r="A39" t="s">
        <v>8</v>
      </c>
      <c r="B39" t="s">
        <v>17</v>
      </c>
      <c r="C39" t="s">
        <v>10</v>
      </c>
      <c r="D39" t="s">
        <v>11</v>
      </c>
      <c r="E39">
        <v>202602</v>
      </c>
      <c r="F39" t="s">
        <v>35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1</v>
      </c>
    </row>
    <row r="40" spans="1:40" x14ac:dyDescent="0.3">
      <c r="A40" t="s">
        <v>8</v>
      </c>
      <c r="B40" t="s">
        <v>17</v>
      </c>
      <c r="C40" t="s">
        <v>10</v>
      </c>
      <c r="D40" t="s">
        <v>11</v>
      </c>
      <c r="E40">
        <v>202602</v>
      </c>
      <c r="F40" t="s">
        <v>36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0.33333333333333331</v>
      </c>
      <c r="AN40">
        <v>4.6796686227130611</v>
      </c>
    </row>
    <row r="41" spans="1:40" x14ac:dyDescent="0.3">
      <c r="A41" t="s">
        <v>8</v>
      </c>
      <c r="B41" t="s">
        <v>17</v>
      </c>
      <c r="C41" t="s">
        <v>10</v>
      </c>
      <c r="D41" t="s">
        <v>11</v>
      </c>
      <c r="E41">
        <v>202602</v>
      </c>
      <c r="F41" t="s">
        <v>37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</v>
      </c>
      <c r="AM41">
        <v>0.33333333333333331</v>
      </c>
      <c r="AN41">
        <v>3.6796686227130611</v>
      </c>
    </row>
    <row r="42" spans="1:40" x14ac:dyDescent="0.3">
      <c r="A42" t="s">
        <v>8</v>
      </c>
      <c r="B42" t="s">
        <v>17</v>
      </c>
      <c r="C42" t="s">
        <v>10</v>
      </c>
      <c r="D42" t="s">
        <v>11</v>
      </c>
      <c r="E42">
        <v>202602</v>
      </c>
      <c r="F42" t="s">
        <v>38</v>
      </c>
      <c r="G42">
        <v>0</v>
      </c>
      <c r="H42">
        <v>0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7</v>
      </c>
      <c r="AM42">
        <v>0</v>
      </c>
      <c r="AN42">
        <v>7</v>
      </c>
    </row>
    <row r="43" spans="1:40" x14ac:dyDescent="0.3">
      <c r="A43" t="s">
        <v>8</v>
      </c>
      <c r="B43" t="s">
        <v>17</v>
      </c>
      <c r="C43" t="s">
        <v>10</v>
      </c>
      <c r="D43" t="s">
        <v>11</v>
      </c>
      <c r="E43">
        <v>202602</v>
      </c>
      <c r="F43" t="s">
        <v>39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</v>
      </c>
      <c r="AM43">
        <v>0.33333333333333331</v>
      </c>
      <c r="AN43">
        <v>4.6796686227130611</v>
      </c>
    </row>
    <row r="44" spans="1:40" x14ac:dyDescent="0.3">
      <c r="A44" t="s">
        <v>8</v>
      </c>
      <c r="B44" t="s">
        <v>17</v>
      </c>
      <c r="C44" t="s">
        <v>10</v>
      </c>
      <c r="D44" t="s">
        <v>11</v>
      </c>
      <c r="E44">
        <v>202602</v>
      </c>
      <c r="F44" t="s">
        <v>540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0.33333333333333331</v>
      </c>
      <c r="AN44">
        <v>2.6796686227130611</v>
      </c>
    </row>
    <row r="45" spans="1:40" x14ac:dyDescent="0.3">
      <c r="A45" t="s">
        <v>8</v>
      </c>
      <c r="B45" t="s">
        <v>17</v>
      </c>
      <c r="C45" t="s">
        <v>10</v>
      </c>
      <c r="D45" t="s">
        <v>11</v>
      </c>
      <c r="E45">
        <v>202602</v>
      </c>
      <c r="F45" t="s">
        <v>46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</v>
      </c>
      <c r="AM45">
        <v>0.33333333333333331</v>
      </c>
      <c r="AN45">
        <v>5.6796686227130611</v>
      </c>
    </row>
    <row r="46" spans="1:40" x14ac:dyDescent="0.3">
      <c r="A46" t="s">
        <v>8</v>
      </c>
      <c r="B46" t="s">
        <v>17</v>
      </c>
      <c r="C46" t="s">
        <v>10</v>
      </c>
      <c r="D46" t="s">
        <v>11</v>
      </c>
      <c r="E46">
        <v>202602</v>
      </c>
      <c r="F46" t="s">
        <v>40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</v>
      </c>
    </row>
    <row r="47" spans="1:40" x14ac:dyDescent="0.3">
      <c r="A47" t="s">
        <v>8</v>
      </c>
      <c r="B47" t="s">
        <v>17</v>
      </c>
      <c r="C47" t="s">
        <v>10</v>
      </c>
      <c r="D47" t="s">
        <v>11</v>
      </c>
      <c r="E47">
        <v>202602</v>
      </c>
      <c r="F47" t="s">
        <v>41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</v>
      </c>
      <c r="AM47">
        <v>0.33333333333333331</v>
      </c>
      <c r="AN47">
        <v>3.6796686227130611</v>
      </c>
    </row>
    <row r="48" spans="1:40" x14ac:dyDescent="0.3">
      <c r="A48" t="s">
        <v>8</v>
      </c>
      <c r="B48" t="s">
        <v>17</v>
      </c>
      <c r="C48" t="s">
        <v>10</v>
      </c>
      <c r="D48" t="s">
        <v>14</v>
      </c>
      <c r="E48">
        <v>202602</v>
      </c>
      <c r="F48" t="s">
        <v>42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</v>
      </c>
      <c r="AM48">
        <v>0</v>
      </c>
      <c r="AN48">
        <v>2</v>
      </c>
    </row>
    <row r="49" spans="1:40" x14ac:dyDescent="0.3">
      <c r="A49" t="s">
        <v>8</v>
      </c>
      <c r="B49" t="s">
        <v>17</v>
      </c>
      <c r="C49" t="s">
        <v>10</v>
      </c>
      <c r="D49" t="s">
        <v>14</v>
      </c>
      <c r="E49">
        <v>202602</v>
      </c>
      <c r="F49" t="s">
        <v>18</v>
      </c>
      <c r="G49">
        <v>0</v>
      </c>
      <c r="H49">
        <v>2</v>
      </c>
      <c r="I49">
        <v>2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9</v>
      </c>
      <c r="AM49">
        <v>0.33333333333333331</v>
      </c>
      <c r="AN49">
        <v>10.43424142790025</v>
      </c>
    </row>
    <row r="50" spans="1:40" x14ac:dyDescent="0.3">
      <c r="A50" t="s">
        <v>8</v>
      </c>
      <c r="B50" t="s">
        <v>17</v>
      </c>
      <c r="C50" t="s">
        <v>10</v>
      </c>
      <c r="D50" t="s">
        <v>14</v>
      </c>
      <c r="E50">
        <v>202602</v>
      </c>
      <c r="F50" t="s">
        <v>19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0</v>
      </c>
      <c r="AN50">
        <v>2</v>
      </c>
    </row>
    <row r="51" spans="1:40" x14ac:dyDescent="0.3">
      <c r="A51" t="s">
        <v>8</v>
      </c>
      <c r="B51" t="s">
        <v>17</v>
      </c>
      <c r="C51" t="s">
        <v>10</v>
      </c>
      <c r="D51" t="s">
        <v>14</v>
      </c>
      <c r="E51">
        <v>202602</v>
      </c>
      <c r="F51" t="s">
        <v>20</v>
      </c>
      <c r="G51">
        <v>1</v>
      </c>
      <c r="H51">
        <v>2</v>
      </c>
      <c r="I51">
        <v>1</v>
      </c>
      <c r="J51">
        <v>2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1</v>
      </c>
      <c r="R51">
        <v>0</v>
      </c>
      <c r="S51">
        <v>1</v>
      </c>
      <c r="T51">
        <v>4</v>
      </c>
      <c r="U51">
        <v>1</v>
      </c>
      <c r="V51">
        <v>0</v>
      </c>
      <c r="W51">
        <v>0</v>
      </c>
      <c r="X51">
        <v>1</v>
      </c>
      <c r="Y51">
        <v>3</v>
      </c>
      <c r="Z51">
        <v>2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22</v>
      </c>
      <c r="AM51">
        <v>1.6666666666666667</v>
      </c>
      <c r="AN51">
        <v>29.171207139501249</v>
      </c>
    </row>
    <row r="52" spans="1:40" x14ac:dyDescent="0.3">
      <c r="A52" t="s">
        <v>8</v>
      </c>
      <c r="B52" t="s">
        <v>17</v>
      </c>
      <c r="C52" t="s">
        <v>10</v>
      </c>
      <c r="D52" t="s">
        <v>14</v>
      </c>
      <c r="E52">
        <v>202602</v>
      </c>
      <c r="F52" t="s">
        <v>21</v>
      </c>
      <c r="G52">
        <v>1</v>
      </c>
      <c r="H52">
        <v>1</v>
      </c>
      <c r="I52">
        <v>2</v>
      </c>
      <c r="J52">
        <v>0</v>
      </c>
      <c r="K52">
        <v>0</v>
      </c>
      <c r="L52">
        <v>2</v>
      </c>
      <c r="M52">
        <v>1</v>
      </c>
      <c r="N52">
        <v>1</v>
      </c>
      <c r="O52">
        <v>1</v>
      </c>
      <c r="P52">
        <v>1</v>
      </c>
      <c r="Q52">
        <v>1</v>
      </c>
      <c r="R52">
        <v>2</v>
      </c>
      <c r="S52">
        <v>2</v>
      </c>
      <c r="T52">
        <v>2</v>
      </c>
      <c r="U52">
        <v>2</v>
      </c>
      <c r="V52">
        <v>2</v>
      </c>
      <c r="W52">
        <v>0</v>
      </c>
      <c r="X52">
        <v>0</v>
      </c>
      <c r="Y52">
        <v>6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28</v>
      </c>
      <c r="AM52">
        <v>2.3333333333333335</v>
      </c>
      <c r="AN52">
        <v>38.03968999530175</v>
      </c>
    </row>
    <row r="53" spans="1:40" x14ac:dyDescent="0.3">
      <c r="A53" t="s">
        <v>8</v>
      </c>
      <c r="B53" t="s">
        <v>17</v>
      </c>
      <c r="C53" t="s">
        <v>10</v>
      </c>
      <c r="D53" t="s">
        <v>14</v>
      </c>
      <c r="E53">
        <v>202602</v>
      </c>
      <c r="F53" t="s">
        <v>43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</v>
      </c>
      <c r="AM53">
        <v>0.33333333333333331</v>
      </c>
      <c r="AN53">
        <v>5.4342414279002504</v>
      </c>
    </row>
    <row r="54" spans="1:40" x14ac:dyDescent="0.3">
      <c r="A54" t="s">
        <v>8</v>
      </c>
      <c r="B54" t="s">
        <v>17</v>
      </c>
      <c r="C54" t="s">
        <v>10</v>
      </c>
      <c r="D54" t="s">
        <v>14</v>
      </c>
      <c r="E54">
        <v>202602</v>
      </c>
      <c r="F54" t="s">
        <v>22</v>
      </c>
      <c r="G54">
        <v>0</v>
      </c>
      <c r="H54">
        <v>2</v>
      </c>
      <c r="I54">
        <v>2</v>
      </c>
      <c r="J54">
        <v>3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12</v>
      </c>
      <c r="AM54">
        <v>0</v>
      </c>
      <c r="AN54">
        <v>12</v>
      </c>
    </row>
    <row r="55" spans="1:40" x14ac:dyDescent="0.3">
      <c r="A55" t="s">
        <v>8</v>
      </c>
      <c r="B55" t="s">
        <v>17</v>
      </c>
      <c r="C55" t="s">
        <v>10</v>
      </c>
      <c r="D55" t="s">
        <v>14</v>
      </c>
      <c r="E55">
        <v>202602</v>
      </c>
      <c r="F55" t="s">
        <v>44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>
        <v>1</v>
      </c>
      <c r="P55">
        <v>0</v>
      </c>
      <c r="Q55">
        <v>1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1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9</v>
      </c>
      <c r="AM55">
        <v>0.66666666666666663</v>
      </c>
      <c r="AN55">
        <v>11.868482855800501</v>
      </c>
    </row>
    <row r="56" spans="1:40" x14ac:dyDescent="0.3">
      <c r="A56" t="s">
        <v>8</v>
      </c>
      <c r="B56" t="s">
        <v>17</v>
      </c>
      <c r="C56" t="s">
        <v>10</v>
      </c>
      <c r="D56" t="s">
        <v>14</v>
      </c>
      <c r="E56">
        <v>202602</v>
      </c>
      <c r="F56" t="s">
        <v>23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6</v>
      </c>
      <c r="AM56">
        <v>0.66666666666666663</v>
      </c>
      <c r="AN56">
        <v>8.8684828558005009</v>
      </c>
    </row>
    <row r="57" spans="1:40" x14ac:dyDescent="0.3">
      <c r="A57" t="s">
        <v>8</v>
      </c>
      <c r="B57" t="s">
        <v>17</v>
      </c>
      <c r="C57" t="s">
        <v>10</v>
      </c>
      <c r="D57" t="s">
        <v>14</v>
      </c>
      <c r="E57">
        <v>202602</v>
      </c>
      <c r="F57" t="s">
        <v>24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5</v>
      </c>
      <c r="AM57">
        <v>0</v>
      </c>
      <c r="AN57">
        <v>5</v>
      </c>
    </row>
    <row r="58" spans="1:40" x14ac:dyDescent="0.3">
      <c r="A58" t="s">
        <v>8</v>
      </c>
      <c r="B58" t="s">
        <v>17</v>
      </c>
      <c r="C58" t="s">
        <v>10</v>
      </c>
      <c r="D58" t="s">
        <v>14</v>
      </c>
      <c r="E58">
        <v>202602</v>
      </c>
      <c r="F58" t="s">
        <v>25</v>
      </c>
      <c r="G58">
        <v>0</v>
      </c>
      <c r="H58">
        <v>0</v>
      </c>
      <c r="I58">
        <v>3</v>
      </c>
      <c r="J58">
        <v>3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2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1</v>
      </c>
      <c r="Y58">
        <v>0</v>
      </c>
      <c r="Z58">
        <v>4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19</v>
      </c>
      <c r="AM58">
        <v>1.3333333333333333</v>
      </c>
      <c r="AN58">
        <v>24.736965711601002</v>
      </c>
    </row>
    <row r="59" spans="1:40" x14ac:dyDescent="0.3">
      <c r="A59" t="s">
        <v>8</v>
      </c>
      <c r="B59" t="s">
        <v>17</v>
      </c>
      <c r="C59" t="s">
        <v>10</v>
      </c>
      <c r="D59" t="s">
        <v>14</v>
      </c>
      <c r="E59">
        <v>202602</v>
      </c>
      <c r="F59" t="s">
        <v>26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2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11</v>
      </c>
      <c r="AM59">
        <v>0.66666666666666663</v>
      </c>
      <c r="AN59">
        <v>13.868482855800501</v>
      </c>
    </row>
    <row r="60" spans="1:40" x14ac:dyDescent="0.3">
      <c r="A60" t="s">
        <v>8</v>
      </c>
      <c r="B60" t="s">
        <v>17</v>
      </c>
      <c r="C60" t="s">
        <v>10</v>
      </c>
      <c r="D60" t="s">
        <v>14</v>
      </c>
      <c r="E60">
        <v>202602</v>
      </c>
      <c r="F60" t="s">
        <v>27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9</v>
      </c>
      <c r="AM60">
        <v>0.33333333333333331</v>
      </c>
      <c r="AN60">
        <v>10.43424142790025</v>
      </c>
    </row>
    <row r="61" spans="1:40" x14ac:dyDescent="0.3">
      <c r="A61" t="s">
        <v>8</v>
      </c>
      <c r="B61" t="s">
        <v>17</v>
      </c>
      <c r="C61" t="s">
        <v>10</v>
      </c>
      <c r="D61" t="s">
        <v>14</v>
      </c>
      <c r="E61">
        <v>202602</v>
      </c>
      <c r="F61" t="s">
        <v>682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</v>
      </c>
      <c r="R61">
        <v>1</v>
      </c>
      <c r="S61">
        <v>0</v>
      </c>
      <c r="T61">
        <v>2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6</v>
      </c>
      <c r="AM61">
        <v>0.33333333333333331</v>
      </c>
      <c r="AN61">
        <v>7.4342414279002504</v>
      </c>
    </row>
    <row r="62" spans="1:40" x14ac:dyDescent="0.3">
      <c r="A62" t="s">
        <v>8</v>
      </c>
      <c r="B62" t="s">
        <v>17</v>
      </c>
      <c r="C62" t="s">
        <v>10</v>
      </c>
      <c r="D62" t="s">
        <v>14</v>
      </c>
      <c r="E62">
        <v>202602</v>
      </c>
      <c r="F62" t="s">
        <v>28</v>
      </c>
      <c r="G62">
        <v>4</v>
      </c>
      <c r="H62">
        <v>5</v>
      </c>
      <c r="I62">
        <v>2</v>
      </c>
      <c r="J62">
        <v>2</v>
      </c>
      <c r="K62">
        <v>1</v>
      </c>
      <c r="L62">
        <v>1</v>
      </c>
      <c r="M62">
        <v>0</v>
      </c>
      <c r="N62">
        <v>0</v>
      </c>
      <c r="O62">
        <v>0</v>
      </c>
      <c r="P62">
        <v>3</v>
      </c>
      <c r="Q62">
        <v>1</v>
      </c>
      <c r="R62">
        <v>0</v>
      </c>
      <c r="S62">
        <v>3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24</v>
      </c>
      <c r="AM62">
        <v>0.33333333333333331</v>
      </c>
      <c r="AN62">
        <v>25.43424142790025</v>
      </c>
    </row>
    <row r="63" spans="1:40" x14ac:dyDescent="0.3">
      <c r="A63" t="s">
        <v>8</v>
      </c>
      <c r="B63" t="s">
        <v>17</v>
      </c>
      <c r="C63" t="s">
        <v>10</v>
      </c>
      <c r="D63" t="s">
        <v>14</v>
      </c>
      <c r="E63">
        <v>202602</v>
      </c>
      <c r="F63" t="s">
        <v>29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4</v>
      </c>
      <c r="AM63">
        <v>0</v>
      </c>
      <c r="AN63">
        <v>4</v>
      </c>
    </row>
    <row r="64" spans="1:40" x14ac:dyDescent="0.3">
      <c r="A64" t="s">
        <v>8</v>
      </c>
      <c r="B64" t="s">
        <v>17</v>
      </c>
      <c r="C64" t="s">
        <v>10</v>
      </c>
      <c r="D64" t="s">
        <v>14</v>
      </c>
      <c r="E64">
        <v>202602</v>
      </c>
      <c r="F64" t="s">
        <v>30</v>
      </c>
      <c r="G64">
        <v>0</v>
      </c>
      <c r="H64">
        <v>0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8</v>
      </c>
      <c r="AM64">
        <v>0.33333333333333331</v>
      </c>
      <c r="AN64">
        <v>9.4342414279002504</v>
      </c>
    </row>
    <row r="65" spans="1:40" x14ac:dyDescent="0.3">
      <c r="A65" t="s">
        <v>8</v>
      </c>
      <c r="B65" t="s">
        <v>17</v>
      </c>
      <c r="C65" t="s">
        <v>10</v>
      </c>
      <c r="D65" t="s">
        <v>14</v>
      </c>
      <c r="E65">
        <v>202602</v>
      </c>
      <c r="F65" t="s">
        <v>31</v>
      </c>
      <c r="G65">
        <v>0</v>
      </c>
      <c r="H65">
        <v>2</v>
      </c>
      <c r="I65">
        <v>0</v>
      </c>
      <c r="J65">
        <v>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8</v>
      </c>
      <c r="AM65">
        <v>0.33333333333333331</v>
      </c>
      <c r="AN65">
        <v>9.4342414279002504</v>
      </c>
    </row>
    <row r="66" spans="1:40" x14ac:dyDescent="0.3">
      <c r="A66" t="s">
        <v>8</v>
      </c>
      <c r="B66" t="s">
        <v>17</v>
      </c>
      <c r="C66" t="s">
        <v>10</v>
      </c>
      <c r="D66" t="s">
        <v>14</v>
      </c>
      <c r="E66">
        <v>202602</v>
      </c>
      <c r="F66" t="s">
        <v>45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</v>
      </c>
      <c r="AM66">
        <v>0</v>
      </c>
      <c r="AN66">
        <v>3</v>
      </c>
    </row>
    <row r="67" spans="1:40" x14ac:dyDescent="0.3">
      <c r="A67" t="s">
        <v>8</v>
      </c>
      <c r="B67" t="s">
        <v>17</v>
      </c>
      <c r="C67" t="s">
        <v>10</v>
      </c>
      <c r="D67" t="s">
        <v>14</v>
      </c>
      <c r="E67">
        <v>202602</v>
      </c>
      <c r="F67" t="s">
        <v>32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1</v>
      </c>
    </row>
    <row r="68" spans="1:40" x14ac:dyDescent="0.3">
      <c r="A68" t="s">
        <v>8</v>
      </c>
      <c r="B68" t="s">
        <v>17</v>
      </c>
      <c r="C68" t="s">
        <v>10</v>
      </c>
      <c r="D68" t="s">
        <v>14</v>
      </c>
      <c r="E68">
        <v>202602</v>
      </c>
      <c r="F68" t="s">
        <v>33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2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8</v>
      </c>
      <c r="AM68">
        <v>0</v>
      </c>
      <c r="AN68">
        <v>8</v>
      </c>
    </row>
    <row r="69" spans="1:40" x14ac:dyDescent="0.3">
      <c r="A69" t="s">
        <v>8</v>
      </c>
      <c r="B69" t="s">
        <v>17</v>
      </c>
      <c r="C69" t="s">
        <v>10</v>
      </c>
      <c r="D69" t="s">
        <v>14</v>
      </c>
      <c r="E69">
        <v>202602</v>
      </c>
      <c r="F69" t="s">
        <v>34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</v>
      </c>
      <c r="AM69">
        <v>0.66666666666666663</v>
      </c>
      <c r="AN69">
        <v>8.8684828558005009</v>
      </c>
    </row>
    <row r="70" spans="1:40" x14ac:dyDescent="0.3">
      <c r="A70" t="s">
        <v>8</v>
      </c>
      <c r="B70" t="s">
        <v>17</v>
      </c>
      <c r="C70" t="s">
        <v>10</v>
      </c>
      <c r="D70" t="s">
        <v>14</v>
      </c>
      <c r="E70">
        <v>202602</v>
      </c>
      <c r="F70" t="s">
        <v>35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</v>
      </c>
      <c r="AM70">
        <v>0.33333333333333331</v>
      </c>
      <c r="AN70">
        <v>3.43424142790025</v>
      </c>
    </row>
    <row r="71" spans="1:40" x14ac:dyDescent="0.3">
      <c r="A71" t="s">
        <v>8</v>
      </c>
      <c r="B71" t="s">
        <v>17</v>
      </c>
      <c r="C71" t="s">
        <v>10</v>
      </c>
      <c r="D71" t="s">
        <v>14</v>
      </c>
      <c r="E71">
        <v>202602</v>
      </c>
      <c r="F71" t="s">
        <v>36</v>
      </c>
      <c r="G71">
        <v>0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6</v>
      </c>
      <c r="AM71">
        <v>0.33333333333333331</v>
      </c>
      <c r="AN71">
        <v>7.4342414279002504</v>
      </c>
    </row>
    <row r="72" spans="1:40" x14ac:dyDescent="0.3">
      <c r="A72" t="s">
        <v>8</v>
      </c>
      <c r="B72" t="s">
        <v>17</v>
      </c>
      <c r="C72" t="s">
        <v>10</v>
      </c>
      <c r="D72" t="s">
        <v>14</v>
      </c>
      <c r="E72">
        <v>202602</v>
      </c>
      <c r="F72" t="s">
        <v>37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</v>
      </c>
      <c r="AM72">
        <v>0</v>
      </c>
      <c r="AN72">
        <v>2</v>
      </c>
    </row>
    <row r="73" spans="1:40" x14ac:dyDescent="0.3">
      <c r="A73" t="s">
        <v>8</v>
      </c>
      <c r="B73" t="s">
        <v>17</v>
      </c>
      <c r="C73" t="s">
        <v>10</v>
      </c>
      <c r="D73" t="s">
        <v>14</v>
      </c>
      <c r="E73">
        <v>202602</v>
      </c>
      <c r="F73" t="s">
        <v>38</v>
      </c>
      <c r="G73">
        <v>0</v>
      </c>
      <c r="H73">
        <v>2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8</v>
      </c>
      <c r="AM73">
        <v>0.33333333333333331</v>
      </c>
      <c r="AN73">
        <v>9.4342414279002504</v>
      </c>
    </row>
    <row r="74" spans="1:40" x14ac:dyDescent="0.3">
      <c r="A74" t="s">
        <v>8</v>
      </c>
      <c r="B74" t="s">
        <v>17</v>
      </c>
      <c r="C74" t="s">
        <v>10</v>
      </c>
      <c r="D74" t="s">
        <v>14</v>
      </c>
      <c r="E74">
        <v>202602</v>
      </c>
      <c r="F74" t="s">
        <v>39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2</v>
      </c>
      <c r="O74">
        <v>0</v>
      </c>
      <c r="P74">
        <v>2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8</v>
      </c>
      <c r="AM74">
        <v>0.66666666666666663</v>
      </c>
      <c r="AN74">
        <v>10.868482855800501</v>
      </c>
    </row>
    <row r="75" spans="1:40" x14ac:dyDescent="0.3">
      <c r="A75" t="s">
        <v>8</v>
      </c>
      <c r="B75" t="s">
        <v>17</v>
      </c>
      <c r="C75" t="s">
        <v>10</v>
      </c>
      <c r="D75" t="s">
        <v>14</v>
      </c>
      <c r="E75">
        <v>202602</v>
      </c>
      <c r="F75" t="s">
        <v>540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1</v>
      </c>
    </row>
    <row r="76" spans="1:40" x14ac:dyDescent="0.3">
      <c r="A76" t="s">
        <v>8</v>
      </c>
      <c r="B76" t="s">
        <v>17</v>
      </c>
      <c r="C76" t="s">
        <v>10</v>
      </c>
      <c r="D76" t="s">
        <v>14</v>
      </c>
      <c r="E76">
        <v>202602</v>
      </c>
      <c r="F76" t="s">
        <v>46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2</v>
      </c>
      <c r="Q76">
        <v>0</v>
      </c>
      <c r="R76">
        <v>0</v>
      </c>
      <c r="S76">
        <v>2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10</v>
      </c>
      <c r="AM76">
        <v>0.66666666666666663</v>
      </c>
      <c r="AN76">
        <v>12.868482855800501</v>
      </c>
    </row>
    <row r="77" spans="1:40" x14ac:dyDescent="0.3">
      <c r="A77" t="s">
        <v>8</v>
      </c>
      <c r="B77" t="s">
        <v>17</v>
      </c>
      <c r="C77" t="s">
        <v>10</v>
      </c>
      <c r="D77" t="s">
        <v>14</v>
      </c>
      <c r="E77">
        <v>202602</v>
      </c>
      <c r="F77" t="s">
        <v>40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1</v>
      </c>
    </row>
    <row r="78" spans="1:40" x14ac:dyDescent="0.3">
      <c r="A78" t="s">
        <v>8</v>
      </c>
      <c r="B78" t="s">
        <v>17</v>
      </c>
      <c r="C78" t="s">
        <v>10</v>
      </c>
      <c r="D78" t="s">
        <v>14</v>
      </c>
      <c r="E78">
        <v>202602</v>
      </c>
      <c r="F78" t="s">
        <v>41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3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8</v>
      </c>
      <c r="AM78">
        <v>1.3333333333333333</v>
      </c>
      <c r="AN78">
        <v>13.736965711601</v>
      </c>
    </row>
    <row r="79" spans="1:40" x14ac:dyDescent="0.3">
      <c r="A79" t="s">
        <v>8</v>
      </c>
      <c r="B79" t="s">
        <v>17</v>
      </c>
      <c r="C79" t="s">
        <v>16</v>
      </c>
      <c r="D79" t="s">
        <v>11</v>
      </c>
      <c r="E79">
        <v>202602</v>
      </c>
      <c r="F79" t="s">
        <v>44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1</v>
      </c>
    </row>
    <row r="80" spans="1:40" x14ac:dyDescent="0.3">
      <c r="A80" t="s">
        <v>8</v>
      </c>
      <c r="B80" t="s">
        <v>17</v>
      </c>
      <c r="C80" t="s">
        <v>16</v>
      </c>
      <c r="D80" t="s">
        <v>11</v>
      </c>
      <c r="E80">
        <v>202602</v>
      </c>
      <c r="F80" t="s">
        <v>24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0.33333333333333331</v>
      </c>
      <c r="AN80">
        <v>2.6796686227130611</v>
      </c>
    </row>
    <row r="81" spans="1:40" x14ac:dyDescent="0.3">
      <c r="A81" t="s">
        <v>8</v>
      </c>
      <c r="B81" t="s">
        <v>17</v>
      </c>
      <c r="C81" t="s">
        <v>16</v>
      </c>
      <c r="D81" t="s">
        <v>11</v>
      </c>
      <c r="E81">
        <v>202602</v>
      </c>
      <c r="F81" t="s">
        <v>26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</v>
      </c>
      <c r="AM81">
        <v>0.33333333333333331</v>
      </c>
      <c r="AN81">
        <v>3.6796686227130611</v>
      </c>
    </row>
    <row r="82" spans="1:40" x14ac:dyDescent="0.3">
      <c r="A82" t="s">
        <v>8</v>
      </c>
      <c r="B82" t="s">
        <v>17</v>
      </c>
      <c r="C82" t="s">
        <v>16</v>
      </c>
      <c r="D82" t="s">
        <v>11</v>
      </c>
      <c r="E82">
        <v>202602</v>
      </c>
      <c r="F82" t="s">
        <v>682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1</v>
      </c>
    </row>
    <row r="83" spans="1:40" x14ac:dyDescent="0.3">
      <c r="A83" t="s">
        <v>8</v>
      </c>
      <c r="B83" t="s">
        <v>17</v>
      </c>
      <c r="C83" t="s">
        <v>16</v>
      </c>
      <c r="D83" t="s">
        <v>11</v>
      </c>
      <c r="E83">
        <v>202602</v>
      </c>
      <c r="F83" t="s">
        <v>29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1</v>
      </c>
    </row>
    <row r="84" spans="1:40" x14ac:dyDescent="0.3">
      <c r="A84" t="s">
        <v>8</v>
      </c>
      <c r="B84" t="s">
        <v>17</v>
      </c>
      <c r="C84" t="s">
        <v>16</v>
      </c>
      <c r="D84" t="s">
        <v>11</v>
      </c>
      <c r="E84">
        <v>202602</v>
      </c>
      <c r="F84" t="s">
        <v>34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</v>
      </c>
      <c r="AM84">
        <v>0</v>
      </c>
      <c r="AN84">
        <v>2</v>
      </c>
    </row>
    <row r="85" spans="1:40" x14ac:dyDescent="0.3">
      <c r="A85" t="s">
        <v>8</v>
      </c>
      <c r="B85" t="s">
        <v>17</v>
      </c>
      <c r="C85" t="s">
        <v>16</v>
      </c>
      <c r="D85" t="s">
        <v>11</v>
      </c>
      <c r="E85">
        <v>202602</v>
      </c>
      <c r="F85" t="s">
        <v>35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</v>
      </c>
      <c r="AM85">
        <v>0.33333333333333331</v>
      </c>
      <c r="AN85">
        <v>4.6796686227130611</v>
      </c>
    </row>
    <row r="86" spans="1:40" x14ac:dyDescent="0.3">
      <c r="A86" t="s">
        <v>8</v>
      </c>
      <c r="B86" t="s">
        <v>17</v>
      </c>
      <c r="C86" t="s">
        <v>16</v>
      </c>
      <c r="D86" t="s">
        <v>11</v>
      </c>
      <c r="E86">
        <v>202602</v>
      </c>
      <c r="F86" t="s">
        <v>46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</v>
      </c>
      <c r="AM86">
        <v>0</v>
      </c>
      <c r="AN86">
        <v>2</v>
      </c>
    </row>
    <row r="87" spans="1:40" x14ac:dyDescent="0.3">
      <c r="A87" t="s">
        <v>8</v>
      </c>
      <c r="B87" t="s">
        <v>17</v>
      </c>
      <c r="C87" t="s">
        <v>16</v>
      </c>
      <c r="D87" t="s">
        <v>11</v>
      </c>
      <c r="E87">
        <v>202602</v>
      </c>
      <c r="F87" t="s">
        <v>41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1</v>
      </c>
    </row>
    <row r="88" spans="1:40" x14ac:dyDescent="0.3">
      <c r="A88" t="s">
        <v>8</v>
      </c>
      <c r="B88" t="s">
        <v>17</v>
      </c>
      <c r="C88" t="s">
        <v>16</v>
      </c>
      <c r="D88" t="s">
        <v>14</v>
      </c>
      <c r="E88">
        <v>202602</v>
      </c>
      <c r="F88" t="s">
        <v>22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</v>
      </c>
      <c r="AM88">
        <v>0</v>
      </c>
      <c r="AN88">
        <v>2</v>
      </c>
    </row>
    <row r="89" spans="1:40" x14ac:dyDescent="0.3">
      <c r="A89" t="s">
        <v>8</v>
      </c>
      <c r="B89" t="s">
        <v>17</v>
      </c>
      <c r="C89" t="s">
        <v>16</v>
      </c>
      <c r="D89" t="s">
        <v>14</v>
      </c>
      <c r="E89">
        <v>202602</v>
      </c>
      <c r="F89" t="s">
        <v>44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1</v>
      </c>
    </row>
    <row r="90" spans="1:40" x14ac:dyDescent="0.3">
      <c r="A90" t="s">
        <v>8</v>
      </c>
      <c r="B90" t="s">
        <v>17</v>
      </c>
      <c r="C90" t="s">
        <v>16</v>
      </c>
      <c r="D90" t="s">
        <v>14</v>
      </c>
      <c r="E90">
        <v>202602</v>
      </c>
      <c r="F90" t="s">
        <v>24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0.33333333333333331</v>
      </c>
      <c r="AN90">
        <v>2.43424142790025</v>
      </c>
    </row>
    <row r="91" spans="1:40" x14ac:dyDescent="0.3">
      <c r="A91" t="s">
        <v>8</v>
      </c>
      <c r="B91" t="s">
        <v>17</v>
      </c>
      <c r="C91" t="s">
        <v>16</v>
      </c>
      <c r="D91" t="s">
        <v>14</v>
      </c>
      <c r="E91">
        <v>202602</v>
      </c>
      <c r="F91" t="s">
        <v>25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1</v>
      </c>
    </row>
    <row r="92" spans="1:40" x14ac:dyDescent="0.3">
      <c r="A92" t="s">
        <v>8</v>
      </c>
      <c r="B92" t="s">
        <v>17</v>
      </c>
      <c r="C92" t="s">
        <v>16</v>
      </c>
      <c r="D92" t="s">
        <v>14</v>
      </c>
      <c r="E92">
        <v>202602</v>
      </c>
      <c r="F92" t="s">
        <v>26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</v>
      </c>
      <c r="AM92">
        <v>0</v>
      </c>
      <c r="AN92">
        <v>2</v>
      </c>
    </row>
    <row r="93" spans="1:40" x14ac:dyDescent="0.3">
      <c r="A93" t="s">
        <v>8</v>
      </c>
      <c r="B93" t="s">
        <v>17</v>
      </c>
      <c r="C93" t="s">
        <v>16</v>
      </c>
      <c r="D93" t="s">
        <v>14</v>
      </c>
      <c r="E93">
        <v>202602</v>
      </c>
      <c r="F93" t="s">
        <v>682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1</v>
      </c>
    </row>
    <row r="94" spans="1:40" x14ac:dyDescent="0.3">
      <c r="A94" t="s">
        <v>8</v>
      </c>
      <c r="B94" t="s">
        <v>17</v>
      </c>
      <c r="C94" t="s">
        <v>16</v>
      </c>
      <c r="D94" t="s">
        <v>14</v>
      </c>
      <c r="E94">
        <v>202602</v>
      </c>
      <c r="F94" t="s">
        <v>28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1</v>
      </c>
    </row>
    <row r="95" spans="1:40" x14ac:dyDescent="0.3">
      <c r="A95" t="s">
        <v>8</v>
      </c>
      <c r="B95" t="s">
        <v>17</v>
      </c>
      <c r="C95" t="s">
        <v>16</v>
      </c>
      <c r="D95" t="s">
        <v>14</v>
      </c>
      <c r="E95">
        <v>202602</v>
      </c>
      <c r="F95" t="s">
        <v>29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1</v>
      </c>
    </row>
    <row r="96" spans="1:40" x14ac:dyDescent="0.3">
      <c r="A96" t="s">
        <v>8</v>
      </c>
      <c r="B96" t="s">
        <v>17</v>
      </c>
      <c r="C96" t="s">
        <v>16</v>
      </c>
      <c r="D96" t="s">
        <v>14</v>
      </c>
      <c r="E96">
        <v>202602</v>
      </c>
      <c r="F96" t="s">
        <v>30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1</v>
      </c>
    </row>
    <row r="97" spans="1:40" x14ac:dyDescent="0.3">
      <c r="A97" t="s">
        <v>8</v>
      </c>
      <c r="B97" t="s">
        <v>17</v>
      </c>
      <c r="C97" t="s">
        <v>16</v>
      </c>
      <c r="D97" t="s">
        <v>14</v>
      </c>
      <c r="E97">
        <v>202602</v>
      </c>
      <c r="F97" t="s">
        <v>31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1</v>
      </c>
    </row>
    <row r="98" spans="1:40" x14ac:dyDescent="0.3">
      <c r="A98" t="s">
        <v>8</v>
      </c>
      <c r="B98" t="s">
        <v>17</v>
      </c>
      <c r="C98" t="s">
        <v>16</v>
      </c>
      <c r="D98" t="s">
        <v>14</v>
      </c>
      <c r="E98">
        <v>202602</v>
      </c>
      <c r="F98" t="s">
        <v>34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0.33333333333333331</v>
      </c>
      <c r="AN98">
        <v>2.43424142790025</v>
      </c>
    </row>
    <row r="99" spans="1:40" x14ac:dyDescent="0.3">
      <c r="A99" t="s">
        <v>8</v>
      </c>
      <c r="B99" t="s">
        <v>17</v>
      </c>
      <c r="C99" t="s">
        <v>16</v>
      </c>
      <c r="D99" t="s">
        <v>14</v>
      </c>
      <c r="E99">
        <v>202602</v>
      </c>
      <c r="F99" t="s">
        <v>35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</v>
      </c>
      <c r="AM99">
        <v>0.33333333333333331</v>
      </c>
      <c r="AN99">
        <v>4.4342414279002504</v>
      </c>
    </row>
    <row r="100" spans="1:40" x14ac:dyDescent="0.3">
      <c r="A100" t="s">
        <v>8</v>
      </c>
      <c r="B100" t="s">
        <v>17</v>
      </c>
      <c r="C100" t="s">
        <v>16</v>
      </c>
      <c r="D100" t="s">
        <v>14</v>
      </c>
      <c r="E100">
        <v>202602</v>
      </c>
      <c r="F100" t="s">
        <v>46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</v>
      </c>
      <c r="AM100">
        <v>0</v>
      </c>
      <c r="AN100">
        <v>2</v>
      </c>
    </row>
    <row r="101" spans="1:40" x14ac:dyDescent="0.3">
      <c r="A101" t="s">
        <v>8</v>
      </c>
      <c r="B101" t="s">
        <v>17</v>
      </c>
      <c r="C101" t="s">
        <v>16</v>
      </c>
      <c r="D101" t="s">
        <v>14</v>
      </c>
      <c r="E101">
        <v>202602</v>
      </c>
      <c r="F101" t="s">
        <v>41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1</v>
      </c>
    </row>
    <row r="102" spans="1:40" x14ac:dyDescent="0.3">
      <c r="A102" t="s">
        <v>8</v>
      </c>
      <c r="B102" t="s">
        <v>47</v>
      </c>
      <c r="C102" t="s">
        <v>10</v>
      </c>
      <c r="D102" t="s">
        <v>11</v>
      </c>
      <c r="E102">
        <v>202602</v>
      </c>
      <c r="F102" t="s">
        <v>48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4</v>
      </c>
      <c r="AM102">
        <v>0</v>
      </c>
      <c r="AN102">
        <v>4</v>
      </c>
    </row>
    <row r="103" spans="1:40" x14ac:dyDescent="0.3">
      <c r="A103" t="s">
        <v>8</v>
      </c>
      <c r="B103" t="s">
        <v>47</v>
      </c>
      <c r="C103" t="s">
        <v>10</v>
      </c>
      <c r="D103" t="s">
        <v>14</v>
      </c>
      <c r="E103">
        <v>202602</v>
      </c>
      <c r="F103" t="s">
        <v>48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5</v>
      </c>
      <c r="AM103">
        <v>0</v>
      </c>
      <c r="AN103">
        <v>5</v>
      </c>
    </row>
    <row r="104" spans="1:40" x14ac:dyDescent="0.3">
      <c r="A104" t="s">
        <v>8</v>
      </c>
      <c r="B104" t="s">
        <v>49</v>
      </c>
      <c r="C104" t="s">
        <v>10</v>
      </c>
      <c r="D104" t="s">
        <v>11</v>
      </c>
      <c r="E104">
        <v>202602</v>
      </c>
      <c r="F104" t="s">
        <v>50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</v>
      </c>
      <c r="AM104">
        <v>0</v>
      </c>
      <c r="AN104">
        <v>3</v>
      </c>
    </row>
    <row r="105" spans="1:40" x14ac:dyDescent="0.3">
      <c r="A105" t="s">
        <v>8</v>
      </c>
      <c r="B105" t="s">
        <v>49</v>
      </c>
      <c r="C105" t="s">
        <v>10</v>
      </c>
      <c r="D105" t="s">
        <v>11</v>
      </c>
      <c r="E105">
        <v>202602</v>
      </c>
      <c r="F105" t="s">
        <v>203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1</v>
      </c>
    </row>
    <row r="106" spans="1:40" x14ac:dyDescent="0.3">
      <c r="A106" t="s">
        <v>8</v>
      </c>
      <c r="B106" t="s">
        <v>49</v>
      </c>
      <c r="C106" t="s">
        <v>10</v>
      </c>
      <c r="D106" t="s">
        <v>11</v>
      </c>
      <c r="E106">
        <v>202602</v>
      </c>
      <c r="F106" t="s">
        <v>51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</v>
      </c>
      <c r="AM106">
        <v>0</v>
      </c>
      <c r="AN106">
        <v>2</v>
      </c>
    </row>
    <row r="107" spans="1:40" x14ac:dyDescent="0.3">
      <c r="A107" t="s">
        <v>8</v>
      </c>
      <c r="B107" t="s">
        <v>49</v>
      </c>
      <c r="C107" t="s">
        <v>10</v>
      </c>
      <c r="D107" t="s">
        <v>14</v>
      </c>
      <c r="E107">
        <v>202602</v>
      </c>
      <c r="F107" t="s">
        <v>50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6</v>
      </c>
      <c r="AM107">
        <v>0</v>
      </c>
      <c r="AN107">
        <v>6</v>
      </c>
    </row>
    <row r="108" spans="1:40" x14ac:dyDescent="0.3">
      <c r="A108" t="s">
        <v>8</v>
      </c>
      <c r="B108" t="s">
        <v>49</v>
      </c>
      <c r="C108" t="s">
        <v>10</v>
      </c>
      <c r="D108" t="s">
        <v>14</v>
      </c>
      <c r="E108">
        <v>202602</v>
      </c>
      <c r="F108" t="s">
        <v>203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1</v>
      </c>
    </row>
    <row r="109" spans="1:40" x14ac:dyDescent="0.3">
      <c r="A109" t="s">
        <v>8</v>
      </c>
      <c r="B109" t="s">
        <v>49</v>
      </c>
      <c r="C109" t="s">
        <v>10</v>
      </c>
      <c r="D109" t="s">
        <v>14</v>
      </c>
      <c r="E109">
        <v>202602</v>
      </c>
      <c r="F109" t="s">
        <v>51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4</v>
      </c>
      <c r="AM109">
        <v>0.33333333333333331</v>
      </c>
      <c r="AN109">
        <v>5.4342414279002504</v>
      </c>
    </row>
    <row r="110" spans="1:40" x14ac:dyDescent="0.3">
      <c r="A110" t="s">
        <v>8</v>
      </c>
      <c r="B110" t="s">
        <v>49</v>
      </c>
      <c r="C110" t="s">
        <v>16</v>
      </c>
      <c r="D110" t="s">
        <v>11</v>
      </c>
      <c r="E110">
        <v>202602</v>
      </c>
      <c r="F110" t="s">
        <v>50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</v>
      </c>
      <c r="AM110">
        <v>0.33333333333333331</v>
      </c>
      <c r="AN110">
        <v>5.6796686227130611</v>
      </c>
    </row>
    <row r="111" spans="1:40" x14ac:dyDescent="0.3">
      <c r="A111" t="s">
        <v>8</v>
      </c>
      <c r="B111" t="s">
        <v>49</v>
      </c>
      <c r="C111" t="s">
        <v>16</v>
      </c>
      <c r="D111" t="s">
        <v>11</v>
      </c>
      <c r="E111">
        <v>202602</v>
      </c>
      <c r="F111" t="s">
        <v>51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3</v>
      </c>
      <c r="AM111">
        <v>0</v>
      </c>
      <c r="AN111">
        <v>3</v>
      </c>
    </row>
    <row r="112" spans="1:40" x14ac:dyDescent="0.3">
      <c r="A112" t="s">
        <v>8</v>
      </c>
      <c r="B112" t="s">
        <v>49</v>
      </c>
      <c r="C112" t="s">
        <v>16</v>
      </c>
      <c r="D112" t="s">
        <v>11</v>
      </c>
      <c r="E112">
        <v>202602</v>
      </c>
      <c r="F112" t="s">
        <v>52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1</v>
      </c>
    </row>
    <row r="113" spans="1:40" x14ac:dyDescent="0.3">
      <c r="A113" t="s">
        <v>8</v>
      </c>
      <c r="B113" t="s">
        <v>49</v>
      </c>
      <c r="C113" t="s">
        <v>16</v>
      </c>
      <c r="D113" t="s">
        <v>14</v>
      </c>
      <c r="E113">
        <v>202602</v>
      </c>
      <c r="F113" t="s">
        <v>50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</v>
      </c>
      <c r="AM113">
        <v>0</v>
      </c>
      <c r="AN113">
        <v>4</v>
      </c>
    </row>
    <row r="114" spans="1:40" x14ac:dyDescent="0.3">
      <c r="A114" t="s">
        <v>8</v>
      </c>
      <c r="B114" t="s">
        <v>49</v>
      </c>
      <c r="C114" t="s">
        <v>16</v>
      </c>
      <c r="D114" t="s">
        <v>14</v>
      </c>
      <c r="E114">
        <v>202602</v>
      </c>
      <c r="F114" t="s">
        <v>203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1</v>
      </c>
    </row>
    <row r="115" spans="1:40" x14ac:dyDescent="0.3">
      <c r="A115" t="s">
        <v>8</v>
      </c>
      <c r="B115" t="s">
        <v>49</v>
      </c>
      <c r="C115" t="s">
        <v>16</v>
      </c>
      <c r="D115" t="s">
        <v>14</v>
      </c>
      <c r="E115">
        <v>202602</v>
      </c>
      <c r="F115" t="s">
        <v>51</v>
      </c>
      <c r="G115">
        <v>0</v>
      </c>
      <c r="H115">
        <v>2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</v>
      </c>
      <c r="AM115">
        <v>0</v>
      </c>
      <c r="AN115">
        <v>4</v>
      </c>
    </row>
    <row r="116" spans="1:40" x14ac:dyDescent="0.3">
      <c r="A116" t="s">
        <v>8</v>
      </c>
      <c r="B116" t="s">
        <v>49</v>
      </c>
      <c r="C116" t="s">
        <v>16</v>
      </c>
      <c r="D116" t="s">
        <v>14</v>
      </c>
      <c r="E116">
        <v>202602</v>
      </c>
      <c r="F116" t="s">
        <v>52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</v>
      </c>
      <c r="AM116">
        <v>0</v>
      </c>
      <c r="AN116">
        <v>2</v>
      </c>
    </row>
    <row r="117" spans="1:40" x14ac:dyDescent="0.3">
      <c r="A117" t="s">
        <v>8</v>
      </c>
      <c r="B117" t="s">
        <v>49</v>
      </c>
      <c r="C117" t="s">
        <v>16</v>
      </c>
      <c r="D117" t="s">
        <v>14</v>
      </c>
      <c r="E117">
        <v>202602</v>
      </c>
      <c r="F117" t="s">
        <v>53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</v>
      </c>
      <c r="AM117">
        <v>0</v>
      </c>
      <c r="AN117">
        <v>2</v>
      </c>
    </row>
    <row r="118" spans="1:40" x14ac:dyDescent="0.3">
      <c r="A118" t="s">
        <v>8</v>
      </c>
      <c r="B118" t="s">
        <v>49</v>
      </c>
      <c r="C118" t="s">
        <v>16</v>
      </c>
      <c r="D118" t="s">
        <v>14</v>
      </c>
      <c r="E118">
        <v>202602</v>
      </c>
      <c r="F118" t="s">
        <v>700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1</v>
      </c>
    </row>
    <row r="119" spans="1:40" x14ac:dyDescent="0.3">
      <c r="A119" t="s">
        <v>8</v>
      </c>
      <c r="B119" t="s">
        <v>54</v>
      </c>
      <c r="C119" t="s">
        <v>10</v>
      </c>
      <c r="D119" t="s">
        <v>11</v>
      </c>
      <c r="E119">
        <v>202602</v>
      </c>
      <c r="F119" t="s">
        <v>55</v>
      </c>
      <c r="G119">
        <v>0</v>
      </c>
      <c r="H119">
        <v>2</v>
      </c>
      <c r="I119">
        <v>3</v>
      </c>
      <c r="J119">
        <v>1</v>
      </c>
      <c r="K119">
        <v>0</v>
      </c>
      <c r="L119">
        <v>3</v>
      </c>
      <c r="M119">
        <v>1</v>
      </c>
      <c r="N119">
        <v>0</v>
      </c>
      <c r="O119">
        <v>0</v>
      </c>
      <c r="P119">
        <v>1</v>
      </c>
      <c r="Q119">
        <v>4</v>
      </c>
      <c r="R119">
        <v>2</v>
      </c>
      <c r="S119">
        <v>1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2</v>
      </c>
      <c r="Z119">
        <v>2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26</v>
      </c>
      <c r="AM119">
        <v>1.3333333333333333</v>
      </c>
      <c r="AN119">
        <v>32.718674490852244</v>
      </c>
    </row>
    <row r="120" spans="1:40" x14ac:dyDescent="0.3">
      <c r="A120" t="s">
        <v>8</v>
      </c>
      <c r="B120" t="s">
        <v>54</v>
      </c>
      <c r="C120" t="s">
        <v>10</v>
      </c>
      <c r="D120" t="s">
        <v>11</v>
      </c>
      <c r="E120">
        <v>202602</v>
      </c>
      <c r="F120" t="s">
        <v>56</v>
      </c>
      <c r="G120">
        <v>0</v>
      </c>
      <c r="H120">
        <v>9</v>
      </c>
      <c r="I120">
        <v>11</v>
      </c>
      <c r="J120">
        <v>19</v>
      </c>
      <c r="K120">
        <v>9</v>
      </c>
      <c r="L120">
        <v>9</v>
      </c>
      <c r="M120">
        <v>5</v>
      </c>
      <c r="N120">
        <v>0</v>
      </c>
      <c r="O120">
        <v>11</v>
      </c>
      <c r="P120">
        <v>6</v>
      </c>
      <c r="Q120">
        <v>15</v>
      </c>
      <c r="R120">
        <v>7</v>
      </c>
      <c r="S120">
        <v>9</v>
      </c>
      <c r="T120">
        <v>5</v>
      </c>
      <c r="U120">
        <v>0</v>
      </c>
      <c r="V120">
        <v>5</v>
      </c>
      <c r="W120">
        <v>5</v>
      </c>
      <c r="X120">
        <v>9</v>
      </c>
      <c r="Y120">
        <v>10</v>
      </c>
      <c r="Z120">
        <v>7</v>
      </c>
      <c r="AA120">
        <v>2</v>
      </c>
      <c r="AB120">
        <v>0</v>
      </c>
      <c r="AC120">
        <v>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161</v>
      </c>
      <c r="AM120">
        <v>8.3333333333333339</v>
      </c>
      <c r="AN120">
        <v>202.99171556782653</v>
      </c>
    </row>
    <row r="121" spans="1:40" x14ac:dyDescent="0.3">
      <c r="A121" t="s">
        <v>8</v>
      </c>
      <c r="B121" t="s">
        <v>54</v>
      </c>
      <c r="C121" t="s">
        <v>10</v>
      </c>
      <c r="D121" t="s">
        <v>11</v>
      </c>
      <c r="E121">
        <v>202602</v>
      </c>
      <c r="F121" t="s">
        <v>52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</row>
    <row r="122" spans="1:40" x14ac:dyDescent="0.3">
      <c r="A122" t="s">
        <v>8</v>
      </c>
      <c r="B122" t="s">
        <v>54</v>
      </c>
      <c r="C122" t="s">
        <v>10</v>
      </c>
      <c r="D122" t="s">
        <v>11</v>
      </c>
      <c r="E122">
        <v>202602</v>
      </c>
      <c r="F122" t="s">
        <v>57</v>
      </c>
      <c r="G122">
        <v>0</v>
      </c>
      <c r="H122">
        <v>0</v>
      </c>
      <c r="I122">
        <v>1</v>
      </c>
      <c r="J122">
        <v>4</v>
      </c>
      <c r="K122">
        <v>2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5</v>
      </c>
      <c r="R122">
        <v>1</v>
      </c>
      <c r="S122">
        <v>3</v>
      </c>
      <c r="T122">
        <v>4</v>
      </c>
      <c r="U122">
        <v>0</v>
      </c>
      <c r="V122">
        <v>3</v>
      </c>
      <c r="W122">
        <v>1</v>
      </c>
      <c r="X122">
        <v>1</v>
      </c>
      <c r="Y122">
        <v>2</v>
      </c>
      <c r="Z122">
        <v>0</v>
      </c>
      <c r="AA122">
        <v>1</v>
      </c>
      <c r="AB122">
        <v>0</v>
      </c>
      <c r="AC122">
        <v>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34</v>
      </c>
      <c r="AM122">
        <v>2</v>
      </c>
      <c r="AN122">
        <v>44.078011736278363</v>
      </c>
    </row>
    <row r="123" spans="1:40" x14ac:dyDescent="0.3">
      <c r="A123" t="s">
        <v>8</v>
      </c>
      <c r="B123" t="s">
        <v>54</v>
      </c>
      <c r="C123" t="s">
        <v>10</v>
      </c>
      <c r="D123" t="s">
        <v>11</v>
      </c>
      <c r="E123">
        <v>202602</v>
      </c>
      <c r="F123" t="s">
        <v>58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2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2</v>
      </c>
      <c r="S123">
        <v>0</v>
      </c>
      <c r="T123">
        <v>2</v>
      </c>
      <c r="U123">
        <v>0</v>
      </c>
      <c r="V123">
        <v>0</v>
      </c>
      <c r="W123">
        <v>2</v>
      </c>
      <c r="X123">
        <v>1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13</v>
      </c>
      <c r="AM123">
        <v>0</v>
      </c>
      <c r="AN123">
        <v>13</v>
      </c>
    </row>
    <row r="124" spans="1:40" x14ac:dyDescent="0.3">
      <c r="A124" t="s">
        <v>8</v>
      </c>
      <c r="B124" t="s">
        <v>54</v>
      </c>
      <c r="C124" t="s">
        <v>10</v>
      </c>
      <c r="D124" t="s">
        <v>14</v>
      </c>
      <c r="E124">
        <v>202602</v>
      </c>
      <c r="F124" t="s">
        <v>55</v>
      </c>
      <c r="G124">
        <v>0</v>
      </c>
      <c r="H124">
        <v>2</v>
      </c>
      <c r="I124">
        <v>2</v>
      </c>
      <c r="J124">
        <v>2</v>
      </c>
      <c r="K124">
        <v>1</v>
      </c>
      <c r="L124">
        <v>2</v>
      </c>
      <c r="M124">
        <v>1</v>
      </c>
      <c r="N124">
        <v>0</v>
      </c>
      <c r="O124">
        <v>5</v>
      </c>
      <c r="P124">
        <v>4</v>
      </c>
      <c r="Q124">
        <v>0</v>
      </c>
      <c r="R124">
        <v>3</v>
      </c>
      <c r="S124">
        <v>0</v>
      </c>
      <c r="T124">
        <v>2</v>
      </c>
      <c r="U124">
        <v>0</v>
      </c>
      <c r="V124">
        <v>1</v>
      </c>
      <c r="W124">
        <v>0</v>
      </c>
      <c r="X124">
        <v>2</v>
      </c>
      <c r="Y124">
        <v>2</v>
      </c>
      <c r="Z124">
        <v>3</v>
      </c>
      <c r="AA124">
        <v>1</v>
      </c>
      <c r="AB124">
        <v>0</v>
      </c>
      <c r="AC124">
        <v>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35</v>
      </c>
      <c r="AM124">
        <v>2.3333333333333335</v>
      </c>
      <c r="AN124">
        <v>45.03968999530175</v>
      </c>
    </row>
    <row r="125" spans="1:40" x14ac:dyDescent="0.3">
      <c r="A125" t="s">
        <v>8</v>
      </c>
      <c r="B125" t="s">
        <v>54</v>
      </c>
      <c r="C125" t="s">
        <v>10</v>
      </c>
      <c r="D125" t="s">
        <v>14</v>
      </c>
      <c r="E125">
        <v>202602</v>
      </c>
      <c r="F125" t="s">
        <v>56</v>
      </c>
      <c r="G125">
        <v>4</v>
      </c>
      <c r="H125">
        <v>16</v>
      </c>
      <c r="I125">
        <v>24</v>
      </c>
      <c r="J125">
        <v>9</v>
      </c>
      <c r="K125">
        <v>13</v>
      </c>
      <c r="L125">
        <v>18</v>
      </c>
      <c r="M125">
        <v>3</v>
      </c>
      <c r="N125">
        <v>2</v>
      </c>
      <c r="O125">
        <v>15</v>
      </c>
      <c r="P125">
        <v>14</v>
      </c>
      <c r="Q125">
        <v>12</v>
      </c>
      <c r="R125">
        <v>21</v>
      </c>
      <c r="S125">
        <v>10</v>
      </c>
      <c r="T125">
        <v>0</v>
      </c>
      <c r="U125">
        <v>2</v>
      </c>
      <c r="V125">
        <v>8</v>
      </c>
      <c r="W125">
        <v>5</v>
      </c>
      <c r="X125">
        <v>8</v>
      </c>
      <c r="Y125">
        <v>8</v>
      </c>
      <c r="Z125">
        <v>15</v>
      </c>
      <c r="AA125">
        <v>0</v>
      </c>
      <c r="AB125">
        <v>1</v>
      </c>
      <c r="AC125">
        <v>21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229</v>
      </c>
      <c r="AM125">
        <v>14.666666666666666</v>
      </c>
      <c r="AN125">
        <v>292.10662282761098</v>
      </c>
    </row>
    <row r="126" spans="1:40" x14ac:dyDescent="0.3">
      <c r="A126" t="s">
        <v>8</v>
      </c>
      <c r="B126" t="s">
        <v>54</v>
      </c>
      <c r="C126" t="s">
        <v>10</v>
      </c>
      <c r="D126" t="s">
        <v>14</v>
      </c>
      <c r="E126">
        <v>202602</v>
      </c>
      <c r="F126" t="s">
        <v>52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</v>
      </c>
    </row>
    <row r="127" spans="1:40" x14ac:dyDescent="0.3">
      <c r="A127" t="s">
        <v>8</v>
      </c>
      <c r="B127" t="s">
        <v>54</v>
      </c>
      <c r="C127" t="s">
        <v>10</v>
      </c>
      <c r="D127" t="s">
        <v>14</v>
      </c>
      <c r="E127">
        <v>202602</v>
      </c>
      <c r="F127" t="s">
        <v>57</v>
      </c>
      <c r="G127">
        <v>1</v>
      </c>
      <c r="H127">
        <v>2</v>
      </c>
      <c r="I127">
        <v>4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2</v>
      </c>
      <c r="P127">
        <v>3</v>
      </c>
      <c r="Q127">
        <v>4</v>
      </c>
      <c r="R127">
        <v>5</v>
      </c>
      <c r="S127">
        <v>5</v>
      </c>
      <c r="T127">
        <v>3</v>
      </c>
      <c r="U127">
        <v>1</v>
      </c>
      <c r="V127">
        <v>2</v>
      </c>
      <c r="W127">
        <v>0</v>
      </c>
      <c r="X127">
        <v>2</v>
      </c>
      <c r="Y127">
        <v>3</v>
      </c>
      <c r="Z127">
        <v>4</v>
      </c>
      <c r="AA127">
        <v>2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47</v>
      </c>
      <c r="AM127">
        <v>2.6666666666666665</v>
      </c>
      <c r="AN127">
        <v>58.473931423202004</v>
      </c>
    </row>
    <row r="128" spans="1:40" x14ac:dyDescent="0.3">
      <c r="A128" t="s">
        <v>8</v>
      </c>
      <c r="B128" t="s">
        <v>54</v>
      </c>
      <c r="C128" t="s">
        <v>10</v>
      </c>
      <c r="D128" t="s">
        <v>14</v>
      </c>
      <c r="E128">
        <v>202602</v>
      </c>
      <c r="F128" t="s">
        <v>58</v>
      </c>
      <c r="G128">
        <v>0</v>
      </c>
      <c r="H128">
        <v>1</v>
      </c>
      <c r="I128">
        <v>0</v>
      </c>
      <c r="J128">
        <v>2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16</v>
      </c>
      <c r="AM128">
        <v>1</v>
      </c>
      <c r="AN128">
        <v>20.302724283700751</v>
      </c>
    </row>
    <row r="129" spans="1:40" x14ac:dyDescent="0.3">
      <c r="A129" t="s">
        <v>8</v>
      </c>
      <c r="B129" t="s">
        <v>54</v>
      </c>
      <c r="C129" t="s">
        <v>16</v>
      </c>
      <c r="D129" t="s">
        <v>11</v>
      </c>
      <c r="E129">
        <v>202602</v>
      </c>
      <c r="F129" t="s">
        <v>56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</v>
      </c>
      <c r="AM129">
        <v>0.33333333333333331</v>
      </c>
      <c r="AN129">
        <v>3.6796686227130611</v>
      </c>
    </row>
    <row r="130" spans="1:40" x14ac:dyDescent="0.3">
      <c r="A130" t="s">
        <v>8</v>
      </c>
      <c r="B130" t="s">
        <v>54</v>
      </c>
      <c r="C130" t="s">
        <v>16</v>
      </c>
      <c r="D130" t="s">
        <v>11</v>
      </c>
      <c r="E130">
        <v>202602</v>
      </c>
      <c r="F130" t="s">
        <v>57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1</v>
      </c>
    </row>
    <row r="131" spans="1:40" x14ac:dyDescent="0.3">
      <c r="A131" t="s">
        <v>8</v>
      </c>
      <c r="B131" t="s">
        <v>54</v>
      </c>
      <c r="C131" t="s">
        <v>16</v>
      </c>
      <c r="D131" t="s">
        <v>14</v>
      </c>
      <c r="E131">
        <v>202602</v>
      </c>
      <c r="F131" t="s">
        <v>56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3</v>
      </c>
      <c r="AM131">
        <v>0.33333333333333331</v>
      </c>
      <c r="AN131">
        <v>4.4342414279002504</v>
      </c>
    </row>
    <row r="132" spans="1:40" x14ac:dyDescent="0.3">
      <c r="A132" t="s">
        <v>8</v>
      </c>
      <c r="B132" t="s">
        <v>54</v>
      </c>
      <c r="C132" t="s">
        <v>16</v>
      </c>
      <c r="D132" t="s">
        <v>14</v>
      </c>
      <c r="E132">
        <v>202602</v>
      </c>
      <c r="F132" t="s">
        <v>57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</v>
      </c>
      <c r="AM132">
        <v>0</v>
      </c>
      <c r="AN132">
        <v>2</v>
      </c>
    </row>
    <row r="133" spans="1:40" x14ac:dyDescent="0.3">
      <c r="A133" t="s">
        <v>8</v>
      </c>
      <c r="B133" t="s">
        <v>54</v>
      </c>
      <c r="C133" t="s">
        <v>16</v>
      </c>
      <c r="D133" t="s">
        <v>14</v>
      </c>
      <c r="E133">
        <v>202602</v>
      </c>
      <c r="F133" t="s">
        <v>58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1</v>
      </c>
    </row>
    <row r="134" spans="1:40" x14ac:dyDescent="0.3">
      <c r="A134" t="s">
        <v>8</v>
      </c>
      <c r="B134" t="s">
        <v>59</v>
      </c>
      <c r="C134" t="s">
        <v>10</v>
      </c>
      <c r="D134" t="s">
        <v>11</v>
      </c>
      <c r="E134">
        <v>202602</v>
      </c>
      <c r="F134" t="s">
        <v>60</v>
      </c>
      <c r="G134">
        <v>0</v>
      </c>
      <c r="H134">
        <v>3</v>
      </c>
      <c r="I134">
        <v>5</v>
      </c>
      <c r="J134">
        <v>4</v>
      </c>
      <c r="K134">
        <v>5</v>
      </c>
      <c r="L134">
        <v>7</v>
      </c>
      <c r="M134">
        <v>5</v>
      </c>
      <c r="N134">
        <v>0</v>
      </c>
      <c r="O134">
        <v>5</v>
      </c>
      <c r="P134">
        <v>2</v>
      </c>
      <c r="Q134">
        <v>2</v>
      </c>
      <c r="R134">
        <v>3</v>
      </c>
      <c r="S134">
        <v>7</v>
      </c>
      <c r="T134">
        <v>1</v>
      </c>
      <c r="U134">
        <v>0</v>
      </c>
      <c r="V134">
        <v>3</v>
      </c>
      <c r="W134">
        <v>0</v>
      </c>
      <c r="X134">
        <v>2</v>
      </c>
      <c r="Y134">
        <v>6</v>
      </c>
      <c r="Z134">
        <v>2</v>
      </c>
      <c r="AA134">
        <v>4</v>
      </c>
      <c r="AB134">
        <v>2</v>
      </c>
      <c r="AC134">
        <v>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76</v>
      </c>
      <c r="AM134">
        <v>5.333333333333333</v>
      </c>
      <c r="AN134">
        <v>102.87469796340898</v>
      </c>
    </row>
    <row r="135" spans="1:40" x14ac:dyDescent="0.3">
      <c r="A135" t="s">
        <v>8</v>
      </c>
      <c r="B135" t="s">
        <v>59</v>
      </c>
      <c r="C135" t="s">
        <v>10</v>
      </c>
      <c r="D135" t="s">
        <v>11</v>
      </c>
      <c r="E135">
        <v>202602</v>
      </c>
      <c r="F135" t="s">
        <v>61</v>
      </c>
      <c r="G135">
        <v>0</v>
      </c>
      <c r="H135">
        <v>2</v>
      </c>
      <c r="I135">
        <v>3</v>
      </c>
      <c r="J135">
        <v>1</v>
      </c>
      <c r="K135">
        <v>7</v>
      </c>
      <c r="L135">
        <v>3</v>
      </c>
      <c r="M135">
        <v>1</v>
      </c>
      <c r="N135">
        <v>0</v>
      </c>
      <c r="O135">
        <v>1</v>
      </c>
      <c r="P135">
        <v>2</v>
      </c>
      <c r="Q135">
        <v>7</v>
      </c>
      <c r="R135">
        <v>5</v>
      </c>
      <c r="S135">
        <v>6</v>
      </c>
      <c r="T135">
        <v>0</v>
      </c>
      <c r="U135">
        <v>0</v>
      </c>
      <c r="V135">
        <v>2</v>
      </c>
      <c r="W135">
        <v>3</v>
      </c>
      <c r="X135">
        <v>0</v>
      </c>
      <c r="Y135">
        <v>4</v>
      </c>
      <c r="Z135">
        <v>5</v>
      </c>
      <c r="AA135">
        <v>0</v>
      </c>
      <c r="AB135">
        <v>0</v>
      </c>
      <c r="AC135">
        <v>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57</v>
      </c>
      <c r="AM135">
        <v>4.666666666666667</v>
      </c>
      <c r="AN135">
        <v>80.515360717982844</v>
      </c>
    </row>
    <row r="136" spans="1:40" x14ac:dyDescent="0.3">
      <c r="A136" t="s">
        <v>8</v>
      </c>
      <c r="B136" t="s">
        <v>59</v>
      </c>
      <c r="C136" t="s">
        <v>10</v>
      </c>
      <c r="D136" t="s">
        <v>11</v>
      </c>
      <c r="E136">
        <v>202602</v>
      </c>
      <c r="F136" t="s">
        <v>62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</v>
      </c>
      <c r="AM136">
        <v>0</v>
      </c>
      <c r="AN136">
        <v>2</v>
      </c>
    </row>
    <row r="137" spans="1:40" x14ac:dyDescent="0.3">
      <c r="A137" t="s">
        <v>8</v>
      </c>
      <c r="B137" t="s">
        <v>59</v>
      </c>
      <c r="C137" t="s">
        <v>10</v>
      </c>
      <c r="D137" t="s">
        <v>11</v>
      </c>
      <c r="E137">
        <v>202602</v>
      </c>
      <c r="F137" t="s">
        <v>63</v>
      </c>
      <c r="G137">
        <v>0</v>
      </c>
      <c r="H137">
        <v>2</v>
      </c>
      <c r="I137">
        <v>2</v>
      </c>
      <c r="J137">
        <v>0</v>
      </c>
      <c r="K137">
        <v>3</v>
      </c>
      <c r="L137">
        <v>0</v>
      </c>
      <c r="M137">
        <v>2</v>
      </c>
      <c r="N137">
        <v>0</v>
      </c>
      <c r="O137">
        <v>1</v>
      </c>
      <c r="P137">
        <v>0</v>
      </c>
      <c r="Q137">
        <v>2</v>
      </c>
      <c r="R137">
        <v>0</v>
      </c>
      <c r="S137">
        <v>4</v>
      </c>
      <c r="T137">
        <v>3</v>
      </c>
      <c r="U137">
        <v>0</v>
      </c>
      <c r="V137">
        <v>3</v>
      </c>
      <c r="W137">
        <v>0</v>
      </c>
      <c r="X137">
        <v>0</v>
      </c>
      <c r="Y137">
        <v>0</v>
      </c>
      <c r="Z137">
        <v>2</v>
      </c>
      <c r="AA137">
        <v>1</v>
      </c>
      <c r="AB137">
        <v>0</v>
      </c>
      <c r="AC137">
        <v>4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29</v>
      </c>
      <c r="AM137">
        <v>2</v>
      </c>
      <c r="AN137">
        <v>39.078011736278363</v>
      </c>
    </row>
    <row r="138" spans="1:40" x14ac:dyDescent="0.3">
      <c r="A138" t="s">
        <v>8</v>
      </c>
      <c r="B138" t="s">
        <v>59</v>
      </c>
      <c r="C138" t="s">
        <v>10</v>
      </c>
      <c r="D138" t="s">
        <v>11</v>
      </c>
      <c r="E138">
        <v>202602</v>
      </c>
      <c r="F138" t="s">
        <v>75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1</v>
      </c>
    </row>
    <row r="139" spans="1:40" x14ac:dyDescent="0.3">
      <c r="A139" t="s">
        <v>8</v>
      </c>
      <c r="B139" t="s">
        <v>59</v>
      </c>
      <c r="C139" t="s">
        <v>10</v>
      </c>
      <c r="D139" t="s">
        <v>11</v>
      </c>
      <c r="E139">
        <v>202602</v>
      </c>
      <c r="F139" t="s">
        <v>76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</v>
      </c>
      <c r="AM139">
        <v>0</v>
      </c>
      <c r="AN139">
        <v>2</v>
      </c>
    </row>
    <row r="140" spans="1:40" x14ac:dyDescent="0.3">
      <c r="A140" t="s">
        <v>8</v>
      </c>
      <c r="B140" t="s">
        <v>59</v>
      </c>
      <c r="C140" t="s">
        <v>10</v>
      </c>
      <c r="D140" t="s">
        <v>11</v>
      </c>
      <c r="E140">
        <v>202602</v>
      </c>
      <c r="F140" t="s">
        <v>64</v>
      </c>
      <c r="G140">
        <v>0</v>
      </c>
      <c r="H140">
        <v>2</v>
      </c>
      <c r="I140">
        <v>1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2</v>
      </c>
      <c r="P140">
        <v>0</v>
      </c>
      <c r="Q140">
        <v>2</v>
      </c>
      <c r="R140">
        <v>0</v>
      </c>
      <c r="S140">
        <v>1</v>
      </c>
      <c r="T140">
        <v>2</v>
      </c>
      <c r="U140">
        <v>0</v>
      </c>
      <c r="V140">
        <v>4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17</v>
      </c>
      <c r="AM140">
        <v>0.33333333333333331</v>
      </c>
      <c r="AN140">
        <v>18.679668622713059</v>
      </c>
    </row>
    <row r="141" spans="1:40" x14ac:dyDescent="0.3">
      <c r="A141" t="s">
        <v>8</v>
      </c>
      <c r="B141" t="s">
        <v>59</v>
      </c>
      <c r="C141" t="s">
        <v>10</v>
      </c>
      <c r="D141" t="s">
        <v>11</v>
      </c>
      <c r="E141">
        <v>202602</v>
      </c>
      <c r="F141" t="s">
        <v>65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7</v>
      </c>
      <c r="AM141">
        <v>1</v>
      </c>
      <c r="AN141">
        <v>12.039005868139181</v>
      </c>
    </row>
    <row r="142" spans="1:40" x14ac:dyDescent="0.3">
      <c r="A142" t="s">
        <v>8</v>
      </c>
      <c r="B142" t="s">
        <v>59</v>
      </c>
      <c r="C142" t="s">
        <v>10</v>
      </c>
      <c r="D142" t="s">
        <v>11</v>
      </c>
      <c r="E142">
        <v>202602</v>
      </c>
      <c r="F142" t="s">
        <v>66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1</v>
      </c>
    </row>
    <row r="143" spans="1:40" x14ac:dyDescent="0.3">
      <c r="A143" t="s">
        <v>8</v>
      </c>
      <c r="B143" t="s">
        <v>59</v>
      </c>
      <c r="C143" t="s">
        <v>10</v>
      </c>
      <c r="D143" t="s">
        <v>11</v>
      </c>
      <c r="E143">
        <v>202602</v>
      </c>
      <c r="F143" t="s">
        <v>67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1</v>
      </c>
    </row>
    <row r="144" spans="1:40" x14ac:dyDescent="0.3">
      <c r="A144" t="s">
        <v>8</v>
      </c>
      <c r="B144" t="s">
        <v>59</v>
      </c>
      <c r="C144" t="s">
        <v>10</v>
      </c>
      <c r="D144" t="s">
        <v>11</v>
      </c>
      <c r="E144">
        <v>202602</v>
      </c>
      <c r="F144" t="s">
        <v>68</v>
      </c>
      <c r="G144">
        <v>0</v>
      </c>
      <c r="H144">
        <v>5</v>
      </c>
      <c r="I144">
        <v>0</v>
      </c>
      <c r="J144">
        <v>2</v>
      </c>
      <c r="K144">
        <v>3</v>
      </c>
      <c r="L144">
        <v>1</v>
      </c>
      <c r="M144">
        <v>0</v>
      </c>
      <c r="N144">
        <v>0</v>
      </c>
      <c r="O144">
        <v>1</v>
      </c>
      <c r="P144">
        <v>1</v>
      </c>
      <c r="Q144">
        <v>2</v>
      </c>
      <c r="R144">
        <v>2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4</v>
      </c>
      <c r="Y144">
        <v>1</v>
      </c>
      <c r="Z144">
        <v>3</v>
      </c>
      <c r="AA144">
        <v>0</v>
      </c>
      <c r="AB144">
        <v>0</v>
      </c>
      <c r="AC144">
        <v>4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31</v>
      </c>
      <c r="AM144">
        <v>2.6666666666666665</v>
      </c>
      <c r="AN144">
        <v>44.437348981704488</v>
      </c>
    </row>
    <row r="145" spans="1:40" x14ac:dyDescent="0.3">
      <c r="A145" t="s">
        <v>8</v>
      </c>
      <c r="B145" t="s">
        <v>59</v>
      </c>
      <c r="C145" t="s">
        <v>10</v>
      </c>
      <c r="D145" t="s">
        <v>11</v>
      </c>
      <c r="E145">
        <v>202602</v>
      </c>
      <c r="F145" t="s">
        <v>69</v>
      </c>
      <c r="G145">
        <v>0</v>
      </c>
      <c r="H145">
        <v>1</v>
      </c>
      <c r="I145">
        <v>0</v>
      </c>
      <c r="J145">
        <v>5</v>
      </c>
      <c r="K145">
        <v>4</v>
      </c>
      <c r="L145">
        <v>4</v>
      </c>
      <c r="M145">
        <v>3</v>
      </c>
      <c r="N145">
        <v>0</v>
      </c>
      <c r="O145">
        <v>5</v>
      </c>
      <c r="P145">
        <v>4</v>
      </c>
      <c r="Q145">
        <v>3</v>
      </c>
      <c r="R145">
        <v>3</v>
      </c>
      <c r="S145">
        <v>3</v>
      </c>
      <c r="T145">
        <v>5</v>
      </c>
      <c r="U145">
        <v>0</v>
      </c>
      <c r="V145">
        <v>3</v>
      </c>
      <c r="W145">
        <v>1</v>
      </c>
      <c r="X145">
        <v>2</v>
      </c>
      <c r="Y145">
        <v>3</v>
      </c>
      <c r="Z145">
        <v>3</v>
      </c>
      <c r="AA145">
        <v>2</v>
      </c>
      <c r="AB145">
        <v>0</v>
      </c>
      <c r="AC145">
        <v>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59</v>
      </c>
      <c r="AM145">
        <v>3.6666666666666665</v>
      </c>
      <c r="AN145">
        <v>77.476354849843659</v>
      </c>
    </row>
    <row r="146" spans="1:40" x14ac:dyDescent="0.3">
      <c r="A146" t="s">
        <v>8</v>
      </c>
      <c r="B146" t="s">
        <v>59</v>
      </c>
      <c r="C146" t="s">
        <v>10</v>
      </c>
      <c r="D146" t="s">
        <v>11</v>
      </c>
      <c r="E146">
        <v>202602</v>
      </c>
      <c r="F146" t="s">
        <v>70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</v>
      </c>
      <c r="AM146">
        <v>0</v>
      </c>
      <c r="AN146">
        <v>3</v>
      </c>
    </row>
    <row r="147" spans="1:40" x14ac:dyDescent="0.3">
      <c r="A147" t="s">
        <v>8</v>
      </c>
      <c r="B147" t="s">
        <v>59</v>
      </c>
      <c r="C147" t="s">
        <v>10</v>
      </c>
      <c r="D147" t="s">
        <v>11</v>
      </c>
      <c r="E147">
        <v>202602</v>
      </c>
      <c r="F147" t="s">
        <v>71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2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3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11</v>
      </c>
      <c r="AM147">
        <v>0.33333333333333331</v>
      </c>
      <c r="AN147">
        <v>12.679668622713061</v>
      </c>
    </row>
    <row r="148" spans="1:40" x14ac:dyDescent="0.3">
      <c r="A148" t="s">
        <v>8</v>
      </c>
      <c r="B148" t="s">
        <v>59</v>
      </c>
      <c r="C148" t="s">
        <v>10</v>
      </c>
      <c r="D148" t="s">
        <v>11</v>
      </c>
      <c r="E148">
        <v>202602</v>
      </c>
      <c r="F148" t="s">
        <v>72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7</v>
      </c>
      <c r="AM148">
        <v>0.33333333333333331</v>
      </c>
      <c r="AN148">
        <v>8.6796686227130611</v>
      </c>
    </row>
    <row r="149" spans="1:40" x14ac:dyDescent="0.3">
      <c r="A149" t="s">
        <v>8</v>
      </c>
      <c r="B149" t="s">
        <v>59</v>
      </c>
      <c r="C149" t="s">
        <v>10</v>
      </c>
      <c r="D149" t="s">
        <v>11</v>
      </c>
      <c r="E149">
        <v>202602</v>
      </c>
      <c r="F149" t="s">
        <v>73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8</v>
      </c>
      <c r="AM149">
        <v>1</v>
      </c>
      <c r="AN149">
        <v>13.039005868139181</v>
      </c>
    </row>
    <row r="150" spans="1:40" x14ac:dyDescent="0.3">
      <c r="A150" t="s">
        <v>8</v>
      </c>
      <c r="B150" t="s">
        <v>59</v>
      </c>
      <c r="C150" t="s">
        <v>10</v>
      </c>
      <c r="D150" t="s">
        <v>11</v>
      </c>
      <c r="E150">
        <v>202602</v>
      </c>
      <c r="F150" t="s">
        <v>77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0.33333333333333331</v>
      </c>
      <c r="AN150">
        <v>2.6796686227130611</v>
      </c>
    </row>
    <row r="151" spans="1:40" x14ac:dyDescent="0.3">
      <c r="A151" t="s">
        <v>8</v>
      </c>
      <c r="B151" t="s">
        <v>59</v>
      </c>
      <c r="C151" t="s">
        <v>10</v>
      </c>
      <c r="D151" t="s">
        <v>11</v>
      </c>
      <c r="E151">
        <v>202602</v>
      </c>
      <c r="F151" t="s">
        <v>74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0</v>
      </c>
      <c r="O151">
        <v>1</v>
      </c>
      <c r="P151">
        <v>2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1</v>
      </c>
      <c r="Z151">
        <v>2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13</v>
      </c>
      <c r="AM151">
        <v>1.3333333333333333</v>
      </c>
      <c r="AN151">
        <v>19.718674490852244</v>
      </c>
    </row>
    <row r="152" spans="1:40" x14ac:dyDescent="0.3">
      <c r="A152" t="s">
        <v>8</v>
      </c>
      <c r="B152" t="s">
        <v>59</v>
      </c>
      <c r="C152" t="s">
        <v>10</v>
      </c>
      <c r="D152" t="s">
        <v>11</v>
      </c>
      <c r="E152">
        <v>202602</v>
      </c>
      <c r="F152" t="s">
        <v>79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1</v>
      </c>
    </row>
    <row r="153" spans="1:40" x14ac:dyDescent="0.3">
      <c r="A153" t="s">
        <v>8</v>
      </c>
      <c r="B153" t="s">
        <v>59</v>
      </c>
      <c r="C153" t="s">
        <v>10</v>
      </c>
      <c r="D153" t="s">
        <v>11</v>
      </c>
      <c r="E153">
        <v>202602</v>
      </c>
      <c r="F153" t="s">
        <v>80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</v>
      </c>
      <c r="AM153">
        <v>0.33333333333333331</v>
      </c>
      <c r="AN153">
        <v>3.6796686227130611</v>
      </c>
    </row>
    <row r="154" spans="1:40" x14ac:dyDescent="0.3">
      <c r="A154" t="s">
        <v>8</v>
      </c>
      <c r="B154" t="s">
        <v>59</v>
      </c>
      <c r="C154" t="s">
        <v>10</v>
      </c>
      <c r="D154" t="s">
        <v>14</v>
      </c>
      <c r="E154">
        <v>202602</v>
      </c>
      <c r="F154" t="s">
        <v>60</v>
      </c>
      <c r="G154">
        <v>0</v>
      </c>
      <c r="H154">
        <v>6</v>
      </c>
      <c r="I154">
        <v>8</v>
      </c>
      <c r="J154">
        <v>13</v>
      </c>
      <c r="K154">
        <v>5</v>
      </c>
      <c r="L154">
        <v>2</v>
      </c>
      <c r="M154">
        <v>0</v>
      </c>
      <c r="N154">
        <v>0</v>
      </c>
      <c r="O154">
        <v>3</v>
      </c>
      <c r="P154">
        <v>3</v>
      </c>
      <c r="Q154">
        <v>10</v>
      </c>
      <c r="R154">
        <v>1</v>
      </c>
      <c r="S154">
        <v>4</v>
      </c>
      <c r="T154">
        <v>0</v>
      </c>
      <c r="U154">
        <v>0</v>
      </c>
      <c r="V154">
        <v>5</v>
      </c>
      <c r="W154">
        <v>5</v>
      </c>
      <c r="X154">
        <v>2</v>
      </c>
      <c r="Y154">
        <v>8</v>
      </c>
      <c r="Z154">
        <v>9</v>
      </c>
      <c r="AA154">
        <v>0</v>
      </c>
      <c r="AB154">
        <v>0</v>
      </c>
      <c r="AC154">
        <v>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89</v>
      </c>
      <c r="AM154">
        <v>7.333333333333333</v>
      </c>
      <c r="AN154">
        <v>120.5533114138055</v>
      </c>
    </row>
    <row r="155" spans="1:40" x14ac:dyDescent="0.3">
      <c r="A155" t="s">
        <v>8</v>
      </c>
      <c r="B155" t="s">
        <v>59</v>
      </c>
      <c r="C155" t="s">
        <v>10</v>
      </c>
      <c r="D155" t="s">
        <v>14</v>
      </c>
      <c r="E155">
        <v>202602</v>
      </c>
      <c r="F155" t="s">
        <v>61</v>
      </c>
      <c r="G155">
        <v>0</v>
      </c>
      <c r="H155">
        <v>9</v>
      </c>
      <c r="I155">
        <v>4</v>
      </c>
      <c r="J155">
        <v>14</v>
      </c>
      <c r="K155">
        <v>3</v>
      </c>
      <c r="L155">
        <v>3</v>
      </c>
      <c r="M155">
        <v>0</v>
      </c>
      <c r="N155">
        <v>0</v>
      </c>
      <c r="O155">
        <v>5</v>
      </c>
      <c r="P155">
        <v>5</v>
      </c>
      <c r="Q155">
        <v>6</v>
      </c>
      <c r="R155">
        <v>2</v>
      </c>
      <c r="S155">
        <v>6</v>
      </c>
      <c r="T155">
        <v>0</v>
      </c>
      <c r="U155">
        <v>0</v>
      </c>
      <c r="V155">
        <v>3</v>
      </c>
      <c r="W155">
        <v>0</v>
      </c>
      <c r="X155">
        <v>10</v>
      </c>
      <c r="Y155">
        <v>2</v>
      </c>
      <c r="Z155">
        <v>4</v>
      </c>
      <c r="AA155">
        <v>0</v>
      </c>
      <c r="AB155">
        <v>0</v>
      </c>
      <c r="AC155">
        <v>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82</v>
      </c>
      <c r="AM155">
        <v>4</v>
      </c>
      <c r="AN155">
        <v>99.210897134803005</v>
      </c>
    </row>
    <row r="156" spans="1:40" x14ac:dyDescent="0.3">
      <c r="A156" t="s">
        <v>8</v>
      </c>
      <c r="B156" t="s">
        <v>59</v>
      </c>
      <c r="C156" t="s">
        <v>10</v>
      </c>
      <c r="D156" t="s">
        <v>14</v>
      </c>
      <c r="E156">
        <v>202602</v>
      </c>
      <c r="F156" t="s">
        <v>62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1</v>
      </c>
    </row>
    <row r="157" spans="1:40" x14ac:dyDescent="0.3">
      <c r="A157" t="s">
        <v>8</v>
      </c>
      <c r="B157" t="s">
        <v>59</v>
      </c>
      <c r="C157" t="s">
        <v>10</v>
      </c>
      <c r="D157" t="s">
        <v>14</v>
      </c>
      <c r="E157">
        <v>202602</v>
      </c>
      <c r="F157" t="s">
        <v>63</v>
      </c>
      <c r="G157">
        <v>0</v>
      </c>
      <c r="H157">
        <v>1</v>
      </c>
      <c r="I157">
        <v>3</v>
      </c>
      <c r="J157">
        <v>3</v>
      </c>
      <c r="K157">
        <v>5</v>
      </c>
      <c r="L157">
        <v>2</v>
      </c>
      <c r="M157">
        <v>0</v>
      </c>
      <c r="N157">
        <v>0</v>
      </c>
      <c r="O157">
        <v>1</v>
      </c>
      <c r="P157">
        <v>2</v>
      </c>
      <c r="Q157">
        <v>4</v>
      </c>
      <c r="R157">
        <v>2</v>
      </c>
      <c r="S157">
        <v>3</v>
      </c>
      <c r="T157">
        <v>0</v>
      </c>
      <c r="U157">
        <v>0</v>
      </c>
      <c r="V157">
        <v>0</v>
      </c>
      <c r="W157">
        <v>0</v>
      </c>
      <c r="X157">
        <v>4</v>
      </c>
      <c r="Y157">
        <v>3</v>
      </c>
      <c r="Z157">
        <v>2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36</v>
      </c>
      <c r="AM157">
        <v>2</v>
      </c>
      <c r="AN157">
        <v>44.605448567401503</v>
      </c>
    </row>
    <row r="158" spans="1:40" x14ac:dyDescent="0.3">
      <c r="A158" t="s">
        <v>8</v>
      </c>
      <c r="B158" t="s">
        <v>59</v>
      </c>
      <c r="C158" t="s">
        <v>10</v>
      </c>
      <c r="D158" t="s">
        <v>14</v>
      </c>
      <c r="E158">
        <v>202602</v>
      </c>
      <c r="F158" t="s">
        <v>75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</v>
      </c>
      <c r="AM158">
        <v>0</v>
      </c>
      <c r="AN158">
        <v>2</v>
      </c>
    </row>
    <row r="159" spans="1:40" x14ac:dyDescent="0.3">
      <c r="A159" t="s">
        <v>8</v>
      </c>
      <c r="B159" t="s">
        <v>59</v>
      </c>
      <c r="C159" t="s">
        <v>10</v>
      </c>
      <c r="D159" t="s">
        <v>14</v>
      </c>
      <c r="E159">
        <v>202602</v>
      </c>
      <c r="F159" t="s">
        <v>76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</v>
      </c>
      <c r="AM159">
        <v>0.33333333333333331</v>
      </c>
      <c r="AN159">
        <v>3.43424142790025</v>
      </c>
    </row>
    <row r="160" spans="1:40" x14ac:dyDescent="0.3">
      <c r="A160" t="s">
        <v>8</v>
      </c>
      <c r="B160" t="s">
        <v>59</v>
      </c>
      <c r="C160" t="s">
        <v>10</v>
      </c>
      <c r="D160" t="s">
        <v>14</v>
      </c>
      <c r="E160">
        <v>202602</v>
      </c>
      <c r="F160" t="s">
        <v>64</v>
      </c>
      <c r="G160">
        <v>0</v>
      </c>
      <c r="H160">
        <v>2</v>
      </c>
      <c r="I160">
        <v>0</v>
      </c>
      <c r="J160">
        <v>0</v>
      </c>
      <c r="K160">
        <v>2</v>
      </c>
      <c r="L160">
        <v>2</v>
      </c>
      <c r="M160">
        <v>0</v>
      </c>
      <c r="N160">
        <v>0</v>
      </c>
      <c r="O160">
        <v>0</v>
      </c>
      <c r="P160">
        <v>4</v>
      </c>
      <c r="Q160">
        <v>0</v>
      </c>
      <c r="R160">
        <v>2</v>
      </c>
      <c r="S160">
        <v>6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20</v>
      </c>
      <c r="AM160">
        <v>0</v>
      </c>
      <c r="AN160">
        <v>20</v>
      </c>
    </row>
    <row r="161" spans="1:40" x14ac:dyDescent="0.3">
      <c r="A161" t="s">
        <v>8</v>
      </c>
      <c r="B161" t="s">
        <v>59</v>
      </c>
      <c r="C161" t="s">
        <v>10</v>
      </c>
      <c r="D161" t="s">
        <v>14</v>
      </c>
      <c r="E161">
        <v>202602</v>
      </c>
      <c r="F161" t="s">
        <v>65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2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2</v>
      </c>
      <c r="Y161">
        <v>1</v>
      </c>
      <c r="Z161">
        <v>4</v>
      </c>
      <c r="AA161">
        <v>0</v>
      </c>
      <c r="AB161">
        <v>0</v>
      </c>
      <c r="AC161">
        <v>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17</v>
      </c>
      <c r="AM161">
        <v>2.3333333333333335</v>
      </c>
      <c r="AN161">
        <v>27.03968999530175</v>
      </c>
    </row>
    <row r="162" spans="1:40" x14ac:dyDescent="0.3">
      <c r="A162" t="s">
        <v>8</v>
      </c>
      <c r="B162" t="s">
        <v>59</v>
      </c>
      <c r="C162" t="s">
        <v>10</v>
      </c>
      <c r="D162" t="s">
        <v>14</v>
      </c>
      <c r="E162">
        <v>202602</v>
      </c>
      <c r="F162" t="s">
        <v>66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2</v>
      </c>
      <c r="AM162">
        <v>0</v>
      </c>
      <c r="AN162">
        <v>2</v>
      </c>
    </row>
    <row r="163" spans="1:40" x14ac:dyDescent="0.3">
      <c r="A163" t="s">
        <v>8</v>
      </c>
      <c r="B163" t="s">
        <v>59</v>
      </c>
      <c r="C163" t="s">
        <v>10</v>
      </c>
      <c r="D163" t="s">
        <v>14</v>
      </c>
      <c r="E163">
        <v>202602</v>
      </c>
      <c r="F163" t="s">
        <v>67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1</v>
      </c>
    </row>
    <row r="164" spans="1:40" x14ac:dyDescent="0.3">
      <c r="A164" t="s">
        <v>8</v>
      </c>
      <c r="B164" t="s">
        <v>59</v>
      </c>
      <c r="C164" t="s">
        <v>10</v>
      </c>
      <c r="D164" t="s">
        <v>14</v>
      </c>
      <c r="E164">
        <v>202602</v>
      </c>
      <c r="F164" t="s">
        <v>68</v>
      </c>
      <c r="G164">
        <v>0</v>
      </c>
      <c r="H164">
        <v>2</v>
      </c>
      <c r="I164">
        <v>9</v>
      </c>
      <c r="J164">
        <v>2</v>
      </c>
      <c r="K164">
        <v>1</v>
      </c>
      <c r="L164">
        <v>0</v>
      </c>
      <c r="M164">
        <v>1</v>
      </c>
      <c r="N164">
        <v>0</v>
      </c>
      <c r="O164">
        <v>1</v>
      </c>
      <c r="P164">
        <v>3</v>
      </c>
      <c r="Q164">
        <v>2</v>
      </c>
      <c r="R164">
        <v>0</v>
      </c>
      <c r="S164">
        <v>3</v>
      </c>
      <c r="T164">
        <v>0</v>
      </c>
      <c r="U164">
        <v>6</v>
      </c>
      <c r="V164">
        <v>11</v>
      </c>
      <c r="W164">
        <v>0</v>
      </c>
      <c r="X164">
        <v>4</v>
      </c>
      <c r="Y164">
        <v>4</v>
      </c>
      <c r="Z164">
        <v>3</v>
      </c>
      <c r="AA164">
        <v>0</v>
      </c>
      <c r="AB164">
        <v>0</v>
      </c>
      <c r="AC164">
        <v>3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55</v>
      </c>
      <c r="AM164">
        <v>3.3333333333333335</v>
      </c>
      <c r="AN164">
        <v>69.342414279002497</v>
      </c>
    </row>
    <row r="165" spans="1:40" x14ac:dyDescent="0.3">
      <c r="A165" t="s">
        <v>8</v>
      </c>
      <c r="B165" t="s">
        <v>59</v>
      </c>
      <c r="C165" t="s">
        <v>10</v>
      </c>
      <c r="D165" t="s">
        <v>14</v>
      </c>
      <c r="E165">
        <v>202602</v>
      </c>
      <c r="F165" t="s">
        <v>694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0.33333333333333331</v>
      </c>
      <c r="AN165">
        <v>2.43424142790025</v>
      </c>
    </row>
    <row r="166" spans="1:40" x14ac:dyDescent="0.3">
      <c r="A166" t="s">
        <v>8</v>
      </c>
      <c r="B166" t="s">
        <v>59</v>
      </c>
      <c r="C166" t="s">
        <v>10</v>
      </c>
      <c r="D166" t="s">
        <v>14</v>
      </c>
      <c r="E166">
        <v>202602</v>
      </c>
      <c r="F166" t="s">
        <v>69</v>
      </c>
      <c r="G166">
        <v>0</v>
      </c>
      <c r="H166">
        <v>9</v>
      </c>
      <c r="I166">
        <v>8</v>
      </c>
      <c r="J166">
        <v>4</v>
      </c>
      <c r="K166">
        <v>4</v>
      </c>
      <c r="L166">
        <v>11</v>
      </c>
      <c r="M166">
        <v>0</v>
      </c>
      <c r="N166">
        <v>0</v>
      </c>
      <c r="O166">
        <v>5</v>
      </c>
      <c r="P166">
        <v>4</v>
      </c>
      <c r="Q166">
        <v>2</v>
      </c>
      <c r="R166">
        <v>10</v>
      </c>
      <c r="S166">
        <v>6</v>
      </c>
      <c r="T166">
        <v>0</v>
      </c>
      <c r="U166">
        <v>0</v>
      </c>
      <c r="V166">
        <v>3</v>
      </c>
      <c r="W166">
        <v>4</v>
      </c>
      <c r="X166">
        <v>0</v>
      </c>
      <c r="Y166">
        <v>6</v>
      </c>
      <c r="Z166">
        <v>6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84</v>
      </c>
      <c r="AM166">
        <v>4.333333333333333</v>
      </c>
      <c r="AN166">
        <v>102.64513856270325</v>
      </c>
    </row>
    <row r="167" spans="1:40" x14ac:dyDescent="0.3">
      <c r="A167" t="s">
        <v>8</v>
      </c>
      <c r="B167" t="s">
        <v>59</v>
      </c>
      <c r="C167" t="s">
        <v>10</v>
      </c>
      <c r="D167" t="s">
        <v>14</v>
      </c>
      <c r="E167">
        <v>202602</v>
      </c>
      <c r="F167" t="s">
        <v>70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</v>
      </c>
      <c r="AM167">
        <v>0</v>
      </c>
      <c r="AN167">
        <v>3</v>
      </c>
    </row>
    <row r="168" spans="1:40" x14ac:dyDescent="0.3">
      <c r="A168" t="s">
        <v>8</v>
      </c>
      <c r="B168" t="s">
        <v>59</v>
      </c>
      <c r="C168" t="s">
        <v>10</v>
      </c>
      <c r="D168" t="s">
        <v>14</v>
      </c>
      <c r="E168">
        <v>202602</v>
      </c>
      <c r="F168" t="s">
        <v>71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4</v>
      </c>
      <c r="Q168">
        <v>3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</v>
      </c>
      <c r="Y168">
        <v>4</v>
      </c>
      <c r="Z168">
        <v>1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21</v>
      </c>
      <c r="AM168">
        <v>1.6666666666666667</v>
      </c>
      <c r="AN168">
        <v>28.171207139501249</v>
      </c>
    </row>
    <row r="169" spans="1:40" x14ac:dyDescent="0.3">
      <c r="A169" t="s">
        <v>8</v>
      </c>
      <c r="B169" t="s">
        <v>59</v>
      </c>
      <c r="C169" t="s">
        <v>10</v>
      </c>
      <c r="D169" t="s">
        <v>14</v>
      </c>
      <c r="E169">
        <v>202602</v>
      </c>
      <c r="F169" t="s">
        <v>72</v>
      </c>
      <c r="G169">
        <v>0</v>
      </c>
      <c r="H169">
        <v>1</v>
      </c>
      <c r="I169">
        <v>0</v>
      </c>
      <c r="J169">
        <v>2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8</v>
      </c>
      <c r="AM169">
        <v>0.33333333333333331</v>
      </c>
      <c r="AN169">
        <v>9.4342414279002504</v>
      </c>
    </row>
    <row r="170" spans="1:40" x14ac:dyDescent="0.3">
      <c r="A170" t="s">
        <v>8</v>
      </c>
      <c r="B170" t="s">
        <v>59</v>
      </c>
      <c r="C170" t="s">
        <v>10</v>
      </c>
      <c r="D170" t="s">
        <v>14</v>
      </c>
      <c r="E170">
        <v>202602</v>
      </c>
      <c r="F170" t="s">
        <v>73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2</v>
      </c>
      <c r="P170">
        <v>1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</v>
      </c>
      <c r="Z170">
        <v>2</v>
      </c>
      <c r="AA170">
        <v>1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14</v>
      </c>
      <c r="AM170">
        <v>1.6666666666666667</v>
      </c>
      <c r="AN170">
        <v>21.171207139501249</v>
      </c>
    </row>
    <row r="171" spans="1:40" x14ac:dyDescent="0.3">
      <c r="A171" t="s">
        <v>8</v>
      </c>
      <c r="B171" t="s">
        <v>59</v>
      </c>
      <c r="C171" t="s">
        <v>10</v>
      </c>
      <c r="D171" t="s">
        <v>14</v>
      </c>
      <c r="E171">
        <v>202602</v>
      </c>
      <c r="F171" t="s">
        <v>77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</v>
      </c>
      <c r="AM171">
        <v>0.66666666666666663</v>
      </c>
      <c r="AN171">
        <v>5.8684828558005</v>
      </c>
    </row>
    <row r="172" spans="1:40" x14ac:dyDescent="0.3">
      <c r="A172" t="s">
        <v>8</v>
      </c>
      <c r="B172" t="s">
        <v>59</v>
      </c>
      <c r="C172" t="s">
        <v>10</v>
      </c>
      <c r="D172" t="s">
        <v>14</v>
      </c>
      <c r="E172">
        <v>202602</v>
      </c>
      <c r="F172" t="s">
        <v>74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6</v>
      </c>
      <c r="P172">
        <v>0</v>
      </c>
      <c r="Q172">
        <v>2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</v>
      </c>
      <c r="Y172">
        <v>2</v>
      </c>
      <c r="Z172">
        <v>1</v>
      </c>
      <c r="AA172">
        <v>0</v>
      </c>
      <c r="AB172">
        <v>0</v>
      </c>
      <c r="AC172">
        <v>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23</v>
      </c>
      <c r="AM172">
        <v>2</v>
      </c>
      <c r="AN172">
        <v>31.605448567401503</v>
      </c>
    </row>
    <row r="173" spans="1:40" x14ac:dyDescent="0.3">
      <c r="A173" t="s">
        <v>8</v>
      </c>
      <c r="B173" t="s">
        <v>59</v>
      </c>
      <c r="C173" t="s">
        <v>10</v>
      </c>
      <c r="D173" t="s">
        <v>14</v>
      </c>
      <c r="E173">
        <v>202602</v>
      </c>
      <c r="F173" t="s">
        <v>551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3</v>
      </c>
      <c r="AM173">
        <v>0</v>
      </c>
      <c r="AN173">
        <v>3</v>
      </c>
    </row>
    <row r="174" spans="1:40" x14ac:dyDescent="0.3">
      <c r="A174" t="s">
        <v>8</v>
      </c>
      <c r="B174" t="s">
        <v>59</v>
      </c>
      <c r="C174" t="s">
        <v>10</v>
      </c>
      <c r="D174" t="s">
        <v>14</v>
      </c>
      <c r="E174">
        <v>202602</v>
      </c>
      <c r="F174" t="s">
        <v>78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1</v>
      </c>
    </row>
    <row r="175" spans="1:40" x14ac:dyDescent="0.3">
      <c r="A175" t="s">
        <v>8</v>
      </c>
      <c r="B175" t="s">
        <v>59</v>
      </c>
      <c r="C175" t="s">
        <v>10</v>
      </c>
      <c r="D175" t="s">
        <v>14</v>
      </c>
      <c r="E175">
        <v>202602</v>
      </c>
      <c r="F175" t="s">
        <v>79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3</v>
      </c>
      <c r="AM175">
        <v>0.33333333333333331</v>
      </c>
      <c r="AN175">
        <v>4.4342414279002504</v>
      </c>
    </row>
    <row r="176" spans="1:40" x14ac:dyDescent="0.3">
      <c r="A176" t="s">
        <v>8</v>
      </c>
      <c r="B176" t="s">
        <v>59</v>
      </c>
      <c r="C176" t="s">
        <v>10</v>
      </c>
      <c r="D176" t="s">
        <v>14</v>
      </c>
      <c r="E176">
        <v>202602</v>
      </c>
      <c r="F176" t="s">
        <v>80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1</v>
      </c>
      <c r="AB176">
        <v>0</v>
      </c>
      <c r="AC176">
        <v>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9</v>
      </c>
      <c r="AM176">
        <v>1</v>
      </c>
      <c r="AN176">
        <v>13.302724283700751</v>
      </c>
    </row>
    <row r="177" spans="1:40" x14ac:dyDescent="0.3">
      <c r="A177" t="s">
        <v>8</v>
      </c>
      <c r="B177" t="s">
        <v>81</v>
      </c>
      <c r="C177" t="s">
        <v>10</v>
      </c>
      <c r="D177" t="s">
        <v>11</v>
      </c>
      <c r="E177">
        <v>202602</v>
      </c>
      <c r="F177" t="s">
        <v>50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1</v>
      </c>
    </row>
    <row r="178" spans="1:40" x14ac:dyDescent="0.3">
      <c r="A178" t="s">
        <v>8</v>
      </c>
      <c r="B178" t="s">
        <v>81</v>
      </c>
      <c r="C178" t="s">
        <v>10</v>
      </c>
      <c r="D178" t="s">
        <v>11</v>
      </c>
      <c r="E178">
        <v>202602</v>
      </c>
      <c r="F178" t="s">
        <v>82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8</v>
      </c>
      <c r="AM178">
        <v>0.33333333333333331</v>
      </c>
      <c r="AN178">
        <v>9.6796686227130611</v>
      </c>
    </row>
    <row r="179" spans="1:40" x14ac:dyDescent="0.3">
      <c r="A179" t="s">
        <v>8</v>
      </c>
      <c r="B179" t="s">
        <v>81</v>
      </c>
      <c r="C179" t="s">
        <v>10</v>
      </c>
      <c r="D179" t="s">
        <v>11</v>
      </c>
      <c r="E179">
        <v>202602</v>
      </c>
      <c r="F179" t="s">
        <v>83</v>
      </c>
      <c r="G179">
        <v>0</v>
      </c>
      <c r="H179">
        <v>1</v>
      </c>
      <c r="I179">
        <v>2</v>
      </c>
      <c r="J179">
        <v>2</v>
      </c>
      <c r="K179">
        <v>5</v>
      </c>
      <c r="L179">
        <v>3</v>
      </c>
      <c r="M179">
        <v>1</v>
      </c>
      <c r="N179">
        <v>0</v>
      </c>
      <c r="O179">
        <v>1</v>
      </c>
      <c r="P179">
        <v>2</v>
      </c>
      <c r="Q179">
        <v>0</v>
      </c>
      <c r="R179">
        <v>3</v>
      </c>
      <c r="S179">
        <v>3</v>
      </c>
      <c r="T179">
        <v>3</v>
      </c>
      <c r="U179">
        <v>0</v>
      </c>
      <c r="V179">
        <v>1</v>
      </c>
      <c r="W179">
        <v>0</v>
      </c>
      <c r="X179">
        <v>1</v>
      </c>
      <c r="Y179">
        <v>3</v>
      </c>
      <c r="Z179">
        <v>1</v>
      </c>
      <c r="AA179">
        <v>2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35</v>
      </c>
      <c r="AM179">
        <v>1.6666666666666667</v>
      </c>
      <c r="AN179">
        <v>43.398343113565303</v>
      </c>
    </row>
    <row r="180" spans="1:40" x14ac:dyDescent="0.3">
      <c r="A180" t="s">
        <v>8</v>
      </c>
      <c r="B180" t="s">
        <v>81</v>
      </c>
      <c r="C180" t="s">
        <v>10</v>
      </c>
      <c r="D180" t="s">
        <v>11</v>
      </c>
      <c r="E180">
        <v>202602</v>
      </c>
      <c r="F180" t="s">
        <v>84</v>
      </c>
      <c r="G180">
        <v>0</v>
      </c>
      <c r="H180">
        <v>4</v>
      </c>
      <c r="I180">
        <v>5</v>
      </c>
      <c r="J180">
        <v>6</v>
      </c>
      <c r="K180">
        <v>6</v>
      </c>
      <c r="L180">
        <v>5</v>
      </c>
      <c r="M180">
        <v>3</v>
      </c>
      <c r="N180">
        <v>0</v>
      </c>
      <c r="O180">
        <v>1</v>
      </c>
      <c r="P180">
        <v>3</v>
      </c>
      <c r="Q180">
        <v>3</v>
      </c>
      <c r="R180">
        <v>9</v>
      </c>
      <c r="S180">
        <v>4</v>
      </c>
      <c r="T180">
        <v>6</v>
      </c>
      <c r="U180">
        <v>1</v>
      </c>
      <c r="V180">
        <v>4</v>
      </c>
      <c r="W180">
        <v>3</v>
      </c>
      <c r="X180">
        <v>4</v>
      </c>
      <c r="Y180">
        <v>9</v>
      </c>
      <c r="Z180">
        <v>0</v>
      </c>
      <c r="AA180">
        <v>6</v>
      </c>
      <c r="AB180">
        <v>2</v>
      </c>
      <c r="AC180">
        <v>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89</v>
      </c>
      <c r="AM180">
        <v>4.666666666666667</v>
      </c>
      <c r="AN180">
        <v>112.51536071798284</v>
      </c>
    </row>
    <row r="181" spans="1:40" x14ac:dyDescent="0.3">
      <c r="A181" t="s">
        <v>8</v>
      </c>
      <c r="B181" t="s">
        <v>81</v>
      </c>
      <c r="C181" t="s">
        <v>10</v>
      </c>
      <c r="D181" t="s">
        <v>11</v>
      </c>
      <c r="E181">
        <v>202602</v>
      </c>
      <c r="F181" t="s">
        <v>85</v>
      </c>
      <c r="G181">
        <v>0</v>
      </c>
      <c r="H181">
        <v>0</v>
      </c>
      <c r="I181">
        <v>2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2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11</v>
      </c>
      <c r="AM181">
        <v>0.33333333333333331</v>
      </c>
      <c r="AN181">
        <v>12.679668622713061</v>
      </c>
    </row>
    <row r="182" spans="1:40" x14ac:dyDescent="0.3">
      <c r="A182" t="s">
        <v>8</v>
      </c>
      <c r="B182" t="s">
        <v>81</v>
      </c>
      <c r="C182" t="s">
        <v>10</v>
      </c>
      <c r="D182" t="s">
        <v>11</v>
      </c>
      <c r="E182">
        <v>202602</v>
      </c>
      <c r="F182" t="s">
        <v>86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2</v>
      </c>
      <c r="AM182">
        <v>0</v>
      </c>
      <c r="AN182">
        <v>2</v>
      </c>
    </row>
    <row r="183" spans="1:40" x14ac:dyDescent="0.3">
      <c r="A183" t="s">
        <v>8</v>
      </c>
      <c r="B183" t="s">
        <v>81</v>
      </c>
      <c r="C183" t="s">
        <v>10</v>
      </c>
      <c r="D183" t="s">
        <v>11</v>
      </c>
      <c r="E183">
        <v>202602</v>
      </c>
      <c r="F183" t="s">
        <v>87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4</v>
      </c>
      <c r="S183">
        <v>0</v>
      </c>
      <c r="T183">
        <v>0</v>
      </c>
      <c r="U183">
        <v>0</v>
      </c>
      <c r="V183">
        <v>3</v>
      </c>
      <c r="W183">
        <v>1</v>
      </c>
      <c r="X183">
        <v>1</v>
      </c>
      <c r="Y183">
        <v>0</v>
      </c>
      <c r="Z183">
        <v>3</v>
      </c>
      <c r="AA183">
        <v>0</v>
      </c>
      <c r="AB183">
        <v>1</v>
      </c>
      <c r="AC183">
        <v>5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21</v>
      </c>
      <c r="AM183">
        <v>2.6666666666666665</v>
      </c>
      <c r="AN183">
        <v>34.437348981704488</v>
      </c>
    </row>
    <row r="184" spans="1:40" x14ac:dyDescent="0.3">
      <c r="A184" t="s">
        <v>8</v>
      </c>
      <c r="B184" t="s">
        <v>81</v>
      </c>
      <c r="C184" t="s">
        <v>10</v>
      </c>
      <c r="D184" t="s">
        <v>11</v>
      </c>
      <c r="E184">
        <v>202602</v>
      </c>
      <c r="F184" t="s">
        <v>88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7</v>
      </c>
      <c r="AM184">
        <v>0.33333333333333331</v>
      </c>
      <c r="AN184">
        <v>8.6796686227130611</v>
      </c>
    </row>
    <row r="185" spans="1:40" x14ac:dyDescent="0.3">
      <c r="A185" t="s">
        <v>8</v>
      </c>
      <c r="B185" t="s">
        <v>81</v>
      </c>
      <c r="C185" t="s">
        <v>10</v>
      </c>
      <c r="D185" t="s">
        <v>11</v>
      </c>
      <c r="E185">
        <v>202602</v>
      </c>
      <c r="F185" t="s">
        <v>89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8</v>
      </c>
      <c r="AM185">
        <v>1</v>
      </c>
      <c r="AN185">
        <v>13.039005868139181</v>
      </c>
    </row>
    <row r="186" spans="1:40" x14ac:dyDescent="0.3">
      <c r="A186" t="s">
        <v>8</v>
      </c>
      <c r="B186" t="s">
        <v>81</v>
      </c>
      <c r="C186" t="s">
        <v>10</v>
      </c>
      <c r="D186" t="s">
        <v>11</v>
      </c>
      <c r="E186">
        <v>202602</v>
      </c>
      <c r="F186" t="s">
        <v>98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0.33333333333333331</v>
      </c>
      <c r="AN186">
        <v>2.6796686227130611</v>
      </c>
    </row>
    <row r="187" spans="1:40" x14ac:dyDescent="0.3">
      <c r="A187" t="s">
        <v>8</v>
      </c>
      <c r="B187" t="s">
        <v>81</v>
      </c>
      <c r="C187" t="s">
        <v>10</v>
      </c>
      <c r="D187" t="s">
        <v>11</v>
      </c>
      <c r="E187">
        <v>202602</v>
      </c>
      <c r="F187" t="s">
        <v>90</v>
      </c>
      <c r="G187">
        <v>0</v>
      </c>
      <c r="H187">
        <v>1</v>
      </c>
      <c r="I187">
        <v>1</v>
      </c>
      <c r="J187">
        <v>1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2</v>
      </c>
      <c r="S187">
        <v>2</v>
      </c>
      <c r="T187">
        <v>1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3</v>
      </c>
      <c r="AA187">
        <v>0</v>
      </c>
      <c r="AB187">
        <v>0</v>
      </c>
      <c r="AC187">
        <v>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19</v>
      </c>
      <c r="AM187">
        <v>1.6666666666666667</v>
      </c>
      <c r="AN187">
        <v>27.398343113565303</v>
      </c>
    </row>
    <row r="188" spans="1:40" x14ac:dyDescent="0.3">
      <c r="A188" t="s">
        <v>8</v>
      </c>
      <c r="B188" t="s">
        <v>81</v>
      </c>
      <c r="C188" t="s">
        <v>10</v>
      </c>
      <c r="D188" t="s">
        <v>11</v>
      </c>
      <c r="E188">
        <v>202602</v>
      </c>
      <c r="F188" t="s">
        <v>91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3</v>
      </c>
      <c r="AM188">
        <v>0</v>
      </c>
      <c r="AN188">
        <v>3</v>
      </c>
    </row>
    <row r="189" spans="1:40" x14ac:dyDescent="0.3">
      <c r="A189" t="s">
        <v>8</v>
      </c>
      <c r="B189" t="s">
        <v>81</v>
      </c>
      <c r="C189" t="s">
        <v>10</v>
      </c>
      <c r="D189" t="s">
        <v>11</v>
      </c>
      <c r="E189">
        <v>202602</v>
      </c>
      <c r="F189" t="s">
        <v>92</v>
      </c>
      <c r="G189">
        <v>0</v>
      </c>
      <c r="H189">
        <v>0</v>
      </c>
      <c r="I189">
        <v>1</v>
      </c>
      <c r="J189">
        <v>2</v>
      </c>
      <c r="K189">
        <v>2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1</v>
      </c>
      <c r="Y189">
        <v>2</v>
      </c>
      <c r="Z189">
        <v>1</v>
      </c>
      <c r="AA189">
        <v>1</v>
      </c>
      <c r="AB189">
        <v>1</v>
      </c>
      <c r="AC189">
        <v>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17</v>
      </c>
      <c r="AM189">
        <v>1.6666666666666667</v>
      </c>
      <c r="AN189">
        <v>25.398343113565303</v>
      </c>
    </row>
    <row r="190" spans="1:40" x14ac:dyDescent="0.3">
      <c r="A190" t="s">
        <v>8</v>
      </c>
      <c r="B190" t="s">
        <v>81</v>
      </c>
      <c r="C190" t="s">
        <v>10</v>
      </c>
      <c r="D190" t="s">
        <v>11</v>
      </c>
      <c r="E190">
        <v>202602</v>
      </c>
      <c r="F190" t="s">
        <v>99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0</v>
      </c>
      <c r="AN190">
        <v>2</v>
      </c>
    </row>
    <row r="191" spans="1:40" x14ac:dyDescent="0.3">
      <c r="A191" t="s">
        <v>8</v>
      </c>
      <c r="B191" t="s">
        <v>81</v>
      </c>
      <c r="C191" t="s">
        <v>10</v>
      </c>
      <c r="D191" t="s">
        <v>11</v>
      </c>
      <c r="E191">
        <v>202602</v>
      </c>
      <c r="F191" t="s">
        <v>93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3</v>
      </c>
      <c r="AM191">
        <v>0</v>
      </c>
      <c r="AN191">
        <v>3</v>
      </c>
    </row>
    <row r="192" spans="1:40" x14ac:dyDescent="0.3">
      <c r="A192" t="s">
        <v>8</v>
      </c>
      <c r="B192" t="s">
        <v>81</v>
      </c>
      <c r="C192" t="s">
        <v>10</v>
      </c>
      <c r="D192" t="s">
        <v>11</v>
      </c>
      <c r="E192">
        <v>202602</v>
      </c>
      <c r="F192" t="s">
        <v>94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</v>
      </c>
      <c r="AM192">
        <v>0.33333333333333331</v>
      </c>
      <c r="AN192">
        <v>7.6796686227130611</v>
      </c>
    </row>
    <row r="193" spans="1:40" x14ac:dyDescent="0.3">
      <c r="A193" t="s">
        <v>8</v>
      </c>
      <c r="B193" t="s">
        <v>81</v>
      </c>
      <c r="C193" t="s">
        <v>10</v>
      </c>
      <c r="D193" t="s">
        <v>11</v>
      </c>
      <c r="E193">
        <v>202602</v>
      </c>
      <c r="F193" t="s">
        <v>95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1</v>
      </c>
    </row>
    <row r="194" spans="1:40" x14ac:dyDescent="0.3">
      <c r="A194" t="s">
        <v>8</v>
      </c>
      <c r="B194" t="s">
        <v>81</v>
      </c>
      <c r="C194" t="s">
        <v>10</v>
      </c>
      <c r="D194" t="s">
        <v>11</v>
      </c>
      <c r="E194">
        <v>202602</v>
      </c>
      <c r="F194" t="s">
        <v>96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</v>
      </c>
      <c r="AM194">
        <v>0.33333333333333331</v>
      </c>
      <c r="AN194">
        <v>3.6796686227130611</v>
      </c>
    </row>
    <row r="195" spans="1:40" x14ac:dyDescent="0.3">
      <c r="A195" t="s">
        <v>8</v>
      </c>
      <c r="B195" t="s">
        <v>81</v>
      </c>
      <c r="C195" t="s">
        <v>10</v>
      </c>
      <c r="D195" t="s">
        <v>11</v>
      </c>
      <c r="E195">
        <v>202602</v>
      </c>
      <c r="F195" t="s">
        <v>97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1</v>
      </c>
    </row>
    <row r="196" spans="1:40" x14ac:dyDescent="0.3">
      <c r="A196" t="s">
        <v>8</v>
      </c>
      <c r="B196" t="s">
        <v>81</v>
      </c>
      <c r="C196" t="s">
        <v>10</v>
      </c>
      <c r="D196" t="s">
        <v>11</v>
      </c>
      <c r="E196">
        <v>202602</v>
      </c>
      <c r="F196" t="s">
        <v>701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1</v>
      </c>
    </row>
    <row r="197" spans="1:40" x14ac:dyDescent="0.3">
      <c r="A197" t="s">
        <v>8</v>
      </c>
      <c r="B197" t="s">
        <v>81</v>
      </c>
      <c r="C197" t="s">
        <v>10</v>
      </c>
      <c r="D197" t="s">
        <v>11</v>
      </c>
      <c r="E197">
        <v>202602</v>
      </c>
      <c r="F197" t="s">
        <v>702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0.33333333333333331</v>
      </c>
      <c r="AN197">
        <v>2.6796686227130611</v>
      </c>
    </row>
    <row r="198" spans="1:40" x14ac:dyDescent="0.3">
      <c r="A198" t="s">
        <v>8</v>
      </c>
      <c r="B198" t="s">
        <v>81</v>
      </c>
      <c r="C198" t="s">
        <v>10</v>
      </c>
      <c r="D198" t="s">
        <v>14</v>
      </c>
      <c r="E198">
        <v>202602</v>
      </c>
      <c r="F198" t="s">
        <v>50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1</v>
      </c>
    </row>
    <row r="199" spans="1:40" x14ac:dyDescent="0.3">
      <c r="A199" t="s">
        <v>8</v>
      </c>
      <c r="B199" t="s">
        <v>81</v>
      </c>
      <c r="C199" t="s">
        <v>10</v>
      </c>
      <c r="D199" t="s">
        <v>14</v>
      </c>
      <c r="E199">
        <v>202602</v>
      </c>
      <c r="F199" t="s">
        <v>82</v>
      </c>
      <c r="G199">
        <v>0</v>
      </c>
      <c r="H199">
        <v>1</v>
      </c>
      <c r="I199">
        <v>1</v>
      </c>
      <c r="J199">
        <v>1</v>
      </c>
      <c r="K199">
        <v>3</v>
      </c>
      <c r="L199">
        <v>0</v>
      </c>
      <c r="M199">
        <v>0</v>
      </c>
      <c r="N199">
        <v>0</v>
      </c>
      <c r="O199">
        <v>3</v>
      </c>
      <c r="P199">
        <v>2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14</v>
      </c>
      <c r="AM199">
        <v>0.33333333333333331</v>
      </c>
      <c r="AN199">
        <v>15.43424142790025</v>
      </c>
    </row>
    <row r="200" spans="1:40" x14ac:dyDescent="0.3">
      <c r="A200" t="s">
        <v>8</v>
      </c>
      <c r="B200" t="s">
        <v>81</v>
      </c>
      <c r="C200" t="s">
        <v>10</v>
      </c>
      <c r="D200" t="s">
        <v>14</v>
      </c>
      <c r="E200">
        <v>202602</v>
      </c>
      <c r="F200" t="s">
        <v>83</v>
      </c>
      <c r="G200">
        <v>0</v>
      </c>
      <c r="H200">
        <v>4</v>
      </c>
      <c r="I200">
        <v>4</v>
      </c>
      <c r="J200">
        <v>6</v>
      </c>
      <c r="K200">
        <v>2</v>
      </c>
      <c r="L200">
        <v>3</v>
      </c>
      <c r="M200">
        <v>0</v>
      </c>
      <c r="N200">
        <v>0</v>
      </c>
      <c r="O200">
        <v>3</v>
      </c>
      <c r="P200">
        <v>4</v>
      </c>
      <c r="Q200">
        <v>3</v>
      </c>
      <c r="R200">
        <v>2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5</v>
      </c>
      <c r="Y200">
        <v>1</v>
      </c>
      <c r="Z200">
        <v>3</v>
      </c>
      <c r="AA200">
        <v>1</v>
      </c>
      <c r="AB200">
        <v>0</v>
      </c>
      <c r="AC200">
        <v>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45</v>
      </c>
      <c r="AM200">
        <v>2</v>
      </c>
      <c r="AN200">
        <v>53.605448567401503</v>
      </c>
    </row>
    <row r="201" spans="1:40" x14ac:dyDescent="0.3">
      <c r="A201" t="s">
        <v>8</v>
      </c>
      <c r="B201" t="s">
        <v>81</v>
      </c>
      <c r="C201" t="s">
        <v>10</v>
      </c>
      <c r="D201" t="s">
        <v>14</v>
      </c>
      <c r="E201">
        <v>202602</v>
      </c>
      <c r="F201" t="s">
        <v>84</v>
      </c>
      <c r="G201">
        <v>0</v>
      </c>
      <c r="H201">
        <v>11</v>
      </c>
      <c r="I201">
        <v>7</v>
      </c>
      <c r="J201">
        <v>8</v>
      </c>
      <c r="K201">
        <v>10</v>
      </c>
      <c r="L201">
        <v>5</v>
      </c>
      <c r="M201">
        <v>3</v>
      </c>
      <c r="N201">
        <v>0</v>
      </c>
      <c r="O201">
        <v>2</v>
      </c>
      <c r="P201">
        <v>8</v>
      </c>
      <c r="Q201">
        <v>12</v>
      </c>
      <c r="R201">
        <v>11</v>
      </c>
      <c r="S201">
        <v>10</v>
      </c>
      <c r="T201">
        <v>3</v>
      </c>
      <c r="U201">
        <v>0</v>
      </c>
      <c r="V201">
        <v>5</v>
      </c>
      <c r="W201">
        <v>1</v>
      </c>
      <c r="X201">
        <v>10</v>
      </c>
      <c r="Y201">
        <v>4</v>
      </c>
      <c r="Z201">
        <v>17</v>
      </c>
      <c r="AA201">
        <v>2</v>
      </c>
      <c r="AB201">
        <v>0</v>
      </c>
      <c r="AC201">
        <v>10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139</v>
      </c>
      <c r="AM201">
        <v>10.333333333333334</v>
      </c>
      <c r="AN201">
        <v>183.46148426490777</v>
      </c>
    </row>
    <row r="202" spans="1:40" x14ac:dyDescent="0.3">
      <c r="A202" t="s">
        <v>8</v>
      </c>
      <c r="B202" t="s">
        <v>81</v>
      </c>
      <c r="C202" t="s">
        <v>10</v>
      </c>
      <c r="D202" t="s">
        <v>14</v>
      </c>
      <c r="E202">
        <v>202602</v>
      </c>
      <c r="F202" t="s">
        <v>85</v>
      </c>
      <c r="G202">
        <v>0</v>
      </c>
      <c r="H202">
        <v>3</v>
      </c>
      <c r="I202">
        <v>0</v>
      </c>
      <c r="J202">
        <v>0</v>
      </c>
      <c r="K202">
        <v>0</v>
      </c>
      <c r="L202">
        <v>2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</v>
      </c>
      <c r="Z202">
        <v>0</v>
      </c>
      <c r="AA202">
        <v>1</v>
      </c>
      <c r="AB202">
        <v>0</v>
      </c>
      <c r="AC202">
        <v>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16</v>
      </c>
      <c r="AM202">
        <v>2</v>
      </c>
      <c r="AN202">
        <v>24.605448567401503</v>
      </c>
    </row>
    <row r="203" spans="1:40" x14ac:dyDescent="0.3">
      <c r="A203" t="s">
        <v>8</v>
      </c>
      <c r="B203" t="s">
        <v>81</v>
      </c>
      <c r="C203" t="s">
        <v>10</v>
      </c>
      <c r="D203" t="s">
        <v>14</v>
      </c>
      <c r="E203">
        <v>202602</v>
      </c>
      <c r="F203" t="s">
        <v>86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3</v>
      </c>
      <c r="AM203">
        <v>0</v>
      </c>
      <c r="AN203">
        <v>3</v>
      </c>
    </row>
    <row r="204" spans="1:40" x14ac:dyDescent="0.3">
      <c r="A204" t="s">
        <v>8</v>
      </c>
      <c r="B204" t="s">
        <v>81</v>
      </c>
      <c r="C204" t="s">
        <v>10</v>
      </c>
      <c r="D204" t="s">
        <v>14</v>
      </c>
      <c r="E204">
        <v>202602</v>
      </c>
      <c r="F204" t="s">
        <v>87</v>
      </c>
      <c r="G204">
        <v>0</v>
      </c>
      <c r="H204">
        <v>0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3</v>
      </c>
      <c r="R204">
        <v>1</v>
      </c>
      <c r="S204">
        <v>3</v>
      </c>
      <c r="T204">
        <v>1</v>
      </c>
      <c r="U204">
        <v>1</v>
      </c>
      <c r="V204">
        <v>1</v>
      </c>
      <c r="W204">
        <v>0</v>
      </c>
      <c r="X204">
        <v>3</v>
      </c>
      <c r="Y204">
        <v>3</v>
      </c>
      <c r="Z204">
        <v>2</v>
      </c>
      <c r="AA204">
        <v>2</v>
      </c>
      <c r="AB204">
        <v>0</v>
      </c>
      <c r="AC204">
        <v>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25</v>
      </c>
      <c r="AM204">
        <v>2.3333333333333335</v>
      </c>
      <c r="AN204">
        <v>35.03968999530175</v>
      </c>
    </row>
    <row r="205" spans="1:40" x14ac:dyDescent="0.3">
      <c r="A205" t="s">
        <v>8</v>
      </c>
      <c r="B205" t="s">
        <v>81</v>
      </c>
      <c r="C205" t="s">
        <v>10</v>
      </c>
      <c r="D205" t="s">
        <v>14</v>
      </c>
      <c r="E205">
        <v>202602</v>
      </c>
      <c r="F205" t="s">
        <v>88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8</v>
      </c>
      <c r="AM205">
        <v>0</v>
      </c>
      <c r="AN205">
        <v>8</v>
      </c>
    </row>
    <row r="206" spans="1:40" x14ac:dyDescent="0.3">
      <c r="A206" t="s">
        <v>8</v>
      </c>
      <c r="B206" t="s">
        <v>81</v>
      </c>
      <c r="C206" t="s">
        <v>10</v>
      </c>
      <c r="D206" t="s">
        <v>14</v>
      </c>
      <c r="E206">
        <v>202602</v>
      </c>
      <c r="F206" t="s">
        <v>89</v>
      </c>
      <c r="G206">
        <v>0</v>
      </c>
      <c r="H206">
        <v>0</v>
      </c>
      <c r="I206">
        <v>4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10</v>
      </c>
      <c r="AM206">
        <v>0</v>
      </c>
      <c r="AN206">
        <v>10</v>
      </c>
    </row>
    <row r="207" spans="1:40" x14ac:dyDescent="0.3">
      <c r="A207" t="s">
        <v>8</v>
      </c>
      <c r="B207" t="s">
        <v>81</v>
      </c>
      <c r="C207" t="s">
        <v>10</v>
      </c>
      <c r="D207" t="s">
        <v>14</v>
      </c>
      <c r="E207">
        <v>202602</v>
      </c>
      <c r="F207" t="s">
        <v>98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</v>
      </c>
      <c r="AM207">
        <v>0</v>
      </c>
      <c r="AN207">
        <v>2</v>
      </c>
    </row>
    <row r="208" spans="1:40" x14ac:dyDescent="0.3">
      <c r="A208" t="s">
        <v>8</v>
      </c>
      <c r="B208" t="s">
        <v>81</v>
      </c>
      <c r="C208" t="s">
        <v>10</v>
      </c>
      <c r="D208" t="s">
        <v>14</v>
      </c>
      <c r="E208">
        <v>202602</v>
      </c>
      <c r="F208" t="s">
        <v>90</v>
      </c>
      <c r="G208">
        <v>0</v>
      </c>
      <c r="H208">
        <v>2</v>
      </c>
      <c r="I208">
        <v>0</v>
      </c>
      <c r="J208">
        <v>2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3</v>
      </c>
      <c r="Q208">
        <v>1</v>
      </c>
      <c r="R208">
        <v>2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1</v>
      </c>
      <c r="Y208">
        <v>4</v>
      </c>
      <c r="Z208">
        <v>3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23</v>
      </c>
      <c r="AM208">
        <v>2.6666666666666665</v>
      </c>
      <c r="AN208">
        <v>34.473931423202004</v>
      </c>
    </row>
    <row r="209" spans="1:40" x14ac:dyDescent="0.3">
      <c r="A209" t="s">
        <v>8</v>
      </c>
      <c r="B209" t="s">
        <v>81</v>
      </c>
      <c r="C209" t="s">
        <v>10</v>
      </c>
      <c r="D209" t="s">
        <v>14</v>
      </c>
      <c r="E209">
        <v>202602</v>
      </c>
      <c r="F209" t="s">
        <v>91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3</v>
      </c>
      <c r="AM209">
        <v>0</v>
      </c>
      <c r="AN209">
        <v>3</v>
      </c>
    </row>
    <row r="210" spans="1:40" x14ac:dyDescent="0.3">
      <c r="A210" t="s">
        <v>8</v>
      </c>
      <c r="B210" t="s">
        <v>81</v>
      </c>
      <c r="C210" t="s">
        <v>10</v>
      </c>
      <c r="D210" t="s">
        <v>14</v>
      </c>
      <c r="E210">
        <v>202602</v>
      </c>
      <c r="F210" t="s">
        <v>92</v>
      </c>
      <c r="G210">
        <v>0</v>
      </c>
      <c r="H210">
        <v>2</v>
      </c>
      <c r="I210">
        <v>2</v>
      </c>
      <c r="J210">
        <v>0</v>
      </c>
      <c r="K210">
        <v>2</v>
      </c>
      <c r="L210">
        <v>1</v>
      </c>
      <c r="M210">
        <v>1</v>
      </c>
      <c r="N210">
        <v>0</v>
      </c>
      <c r="O210">
        <v>1</v>
      </c>
      <c r="P210">
        <v>0</v>
      </c>
      <c r="Q210">
        <v>2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2</v>
      </c>
      <c r="Y210">
        <v>1</v>
      </c>
      <c r="Z210">
        <v>1</v>
      </c>
      <c r="AA210">
        <v>1</v>
      </c>
      <c r="AB210">
        <v>0</v>
      </c>
      <c r="AC210">
        <v>4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24</v>
      </c>
      <c r="AM210">
        <v>2</v>
      </c>
      <c r="AN210">
        <v>32.605448567401503</v>
      </c>
    </row>
    <row r="211" spans="1:40" x14ac:dyDescent="0.3">
      <c r="A211" t="s">
        <v>8</v>
      </c>
      <c r="B211" t="s">
        <v>81</v>
      </c>
      <c r="C211" t="s">
        <v>10</v>
      </c>
      <c r="D211" t="s">
        <v>14</v>
      </c>
      <c r="E211">
        <v>202602</v>
      </c>
      <c r="F211" t="s">
        <v>99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5</v>
      </c>
      <c r="AM211">
        <v>0.66666666666666663</v>
      </c>
      <c r="AN211">
        <v>7.8684828558005</v>
      </c>
    </row>
    <row r="212" spans="1:40" x14ac:dyDescent="0.3">
      <c r="A212" t="s">
        <v>8</v>
      </c>
      <c r="B212" t="s">
        <v>81</v>
      </c>
      <c r="C212" t="s">
        <v>10</v>
      </c>
      <c r="D212" t="s">
        <v>14</v>
      </c>
      <c r="E212">
        <v>202602</v>
      </c>
      <c r="F212" t="s">
        <v>93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</v>
      </c>
      <c r="AM212">
        <v>0</v>
      </c>
      <c r="AN212">
        <v>3</v>
      </c>
    </row>
    <row r="213" spans="1:40" x14ac:dyDescent="0.3">
      <c r="A213" t="s">
        <v>8</v>
      </c>
      <c r="B213" t="s">
        <v>81</v>
      </c>
      <c r="C213" t="s">
        <v>10</v>
      </c>
      <c r="D213" t="s">
        <v>14</v>
      </c>
      <c r="E213">
        <v>202602</v>
      </c>
      <c r="F213" t="s">
        <v>94</v>
      </c>
      <c r="G213">
        <v>0</v>
      </c>
      <c r="H213">
        <v>1</v>
      </c>
      <c r="I213">
        <v>1</v>
      </c>
      <c r="J213">
        <v>2</v>
      </c>
      <c r="K213">
        <v>0</v>
      </c>
      <c r="L213">
        <v>2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</v>
      </c>
      <c r="AM213">
        <v>0.33333333333333331</v>
      </c>
      <c r="AN213">
        <v>9.4342414279002504</v>
      </c>
    </row>
    <row r="214" spans="1:40" x14ac:dyDescent="0.3">
      <c r="A214" t="s">
        <v>8</v>
      </c>
      <c r="B214" t="s">
        <v>81</v>
      </c>
      <c r="C214" t="s">
        <v>10</v>
      </c>
      <c r="D214" t="s">
        <v>14</v>
      </c>
      <c r="E214">
        <v>202602</v>
      </c>
      <c r="F214" t="s">
        <v>95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1</v>
      </c>
    </row>
    <row r="215" spans="1:40" x14ac:dyDescent="0.3">
      <c r="A215" t="s">
        <v>8</v>
      </c>
      <c r="B215" t="s">
        <v>81</v>
      </c>
      <c r="C215" t="s">
        <v>10</v>
      </c>
      <c r="D215" t="s">
        <v>14</v>
      </c>
      <c r="E215">
        <v>202602</v>
      </c>
      <c r="F215" t="s">
        <v>96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2</v>
      </c>
      <c r="AM215">
        <v>0</v>
      </c>
      <c r="AN215">
        <v>2</v>
      </c>
    </row>
    <row r="216" spans="1:40" x14ac:dyDescent="0.3">
      <c r="A216" t="s">
        <v>8</v>
      </c>
      <c r="B216" t="s">
        <v>81</v>
      </c>
      <c r="C216" t="s">
        <v>10</v>
      </c>
      <c r="D216" t="s">
        <v>14</v>
      </c>
      <c r="E216">
        <v>202602</v>
      </c>
      <c r="F216" t="s">
        <v>97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1</v>
      </c>
    </row>
    <row r="217" spans="1:40" x14ac:dyDescent="0.3">
      <c r="A217" t="s">
        <v>8</v>
      </c>
      <c r="B217" t="s">
        <v>81</v>
      </c>
      <c r="C217" t="s">
        <v>10</v>
      </c>
      <c r="D217" t="s">
        <v>14</v>
      </c>
      <c r="E217">
        <v>202602</v>
      </c>
      <c r="F217" t="s">
        <v>701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1</v>
      </c>
    </row>
    <row r="218" spans="1:40" x14ac:dyDescent="0.3">
      <c r="A218" t="s">
        <v>8</v>
      </c>
      <c r="B218" t="s">
        <v>81</v>
      </c>
      <c r="C218" t="s">
        <v>10</v>
      </c>
      <c r="D218" t="s">
        <v>14</v>
      </c>
      <c r="E218">
        <v>202602</v>
      </c>
      <c r="F218" t="s">
        <v>702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1</v>
      </c>
    </row>
    <row r="219" spans="1:40" x14ac:dyDescent="0.3">
      <c r="A219" t="s">
        <v>8</v>
      </c>
      <c r="B219" t="s">
        <v>81</v>
      </c>
      <c r="C219" t="s">
        <v>16</v>
      </c>
      <c r="D219" t="s">
        <v>11</v>
      </c>
      <c r="E219">
        <v>202602</v>
      </c>
      <c r="F219" t="s">
        <v>85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0.33333333333333331</v>
      </c>
      <c r="AN219">
        <v>2.6796686227130611</v>
      </c>
    </row>
    <row r="220" spans="1:40" x14ac:dyDescent="0.3">
      <c r="A220" t="s">
        <v>8</v>
      </c>
      <c r="B220" t="s">
        <v>81</v>
      </c>
      <c r="C220" t="s">
        <v>16</v>
      </c>
      <c r="D220" t="s">
        <v>11</v>
      </c>
      <c r="E220">
        <v>202602</v>
      </c>
      <c r="F220" t="s">
        <v>87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1</v>
      </c>
    </row>
    <row r="221" spans="1:40" x14ac:dyDescent="0.3">
      <c r="A221" t="s">
        <v>8</v>
      </c>
      <c r="B221" t="s">
        <v>81</v>
      </c>
      <c r="C221" t="s">
        <v>16</v>
      </c>
      <c r="D221" t="s">
        <v>11</v>
      </c>
      <c r="E221">
        <v>202602</v>
      </c>
      <c r="F221" t="s">
        <v>703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1</v>
      </c>
    </row>
    <row r="222" spans="1:40" x14ac:dyDescent="0.3">
      <c r="A222" t="s">
        <v>8</v>
      </c>
      <c r="B222" t="s">
        <v>81</v>
      </c>
      <c r="C222" t="s">
        <v>16</v>
      </c>
      <c r="D222" t="s">
        <v>14</v>
      </c>
      <c r="E222">
        <v>202602</v>
      </c>
      <c r="F222" t="s">
        <v>83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1</v>
      </c>
    </row>
    <row r="223" spans="1:40" x14ac:dyDescent="0.3">
      <c r="A223" t="s">
        <v>8</v>
      </c>
      <c r="B223" t="s">
        <v>81</v>
      </c>
      <c r="C223" t="s">
        <v>16</v>
      </c>
      <c r="D223" t="s">
        <v>14</v>
      </c>
      <c r="E223">
        <v>202602</v>
      </c>
      <c r="F223" t="s">
        <v>85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1</v>
      </c>
    </row>
    <row r="224" spans="1:40" x14ac:dyDescent="0.3">
      <c r="A224" t="s">
        <v>8</v>
      </c>
      <c r="B224" t="s">
        <v>81</v>
      </c>
      <c r="C224" t="s">
        <v>16</v>
      </c>
      <c r="D224" t="s">
        <v>14</v>
      </c>
      <c r="E224">
        <v>202602</v>
      </c>
      <c r="F224" t="s">
        <v>703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1</v>
      </c>
    </row>
    <row r="225" spans="1:40" x14ac:dyDescent="0.3">
      <c r="A225" t="s">
        <v>8</v>
      </c>
      <c r="B225" t="s">
        <v>100</v>
      </c>
      <c r="C225" t="s">
        <v>10</v>
      </c>
      <c r="D225" t="s">
        <v>11</v>
      </c>
      <c r="E225">
        <v>202602</v>
      </c>
      <c r="F225" t="s">
        <v>101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2</v>
      </c>
      <c r="AM225">
        <v>0</v>
      </c>
      <c r="AN225">
        <v>2</v>
      </c>
    </row>
    <row r="226" spans="1:40" x14ac:dyDescent="0.3">
      <c r="A226" t="s">
        <v>8</v>
      </c>
      <c r="B226" t="s">
        <v>100</v>
      </c>
      <c r="C226" t="s">
        <v>10</v>
      </c>
      <c r="D226" t="s">
        <v>14</v>
      </c>
      <c r="E226">
        <v>202602</v>
      </c>
      <c r="F226" t="s">
        <v>101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6</v>
      </c>
      <c r="AM226">
        <v>0.66666666666666663</v>
      </c>
      <c r="AN226">
        <v>8.8684828558005009</v>
      </c>
    </row>
    <row r="227" spans="1:40" x14ac:dyDescent="0.3">
      <c r="A227" t="s">
        <v>8</v>
      </c>
      <c r="B227" t="s">
        <v>100</v>
      </c>
      <c r="C227" t="s">
        <v>16</v>
      </c>
      <c r="D227" t="s">
        <v>11</v>
      </c>
      <c r="E227">
        <v>202602</v>
      </c>
      <c r="F227" t="s">
        <v>102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</v>
      </c>
      <c r="AM227">
        <v>0</v>
      </c>
      <c r="AN227">
        <v>2</v>
      </c>
    </row>
    <row r="228" spans="1:40" x14ac:dyDescent="0.3">
      <c r="A228" t="s">
        <v>8</v>
      </c>
      <c r="B228" t="s">
        <v>100</v>
      </c>
      <c r="C228" t="s">
        <v>16</v>
      </c>
      <c r="D228" t="s">
        <v>14</v>
      </c>
      <c r="E228">
        <v>202602</v>
      </c>
      <c r="F228" t="s">
        <v>102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</v>
      </c>
      <c r="AM228">
        <v>0</v>
      </c>
      <c r="AN228">
        <v>2</v>
      </c>
    </row>
    <row r="229" spans="1:40" x14ac:dyDescent="0.3">
      <c r="A229" t="s">
        <v>8</v>
      </c>
      <c r="B229" t="s">
        <v>103</v>
      </c>
      <c r="C229" t="s">
        <v>10</v>
      </c>
      <c r="D229" t="s">
        <v>11</v>
      </c>
      <c r="E229">
        <v>202602</v>
      </c>
      <c r="F229" t="s">
        <v>104</v>
      </c>
      <c r="G229">
        <v>0</v>
      </c>
      <c r="H229">
        <v>1</v>
      </c>
      <c r="I229">
        <v>2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3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3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15</v>
      </c>
      <c r="AM229">
        <v>1.3333333333333333</v>
      </c>
      <c r="AN229">
        <v>21.718674490852244</v>
      </c>
    </row>
    <row r="230" spans="1:40" x14ac:dyDescent="0.3">
      <c r="A230" t="s">
        <v>8</v>
      </c>
      <c r="B230" t="s">
        <v>103</v>
      </c>
      <c r="C230" t="s">
        <v>10</v>
      </c>
      <c r="D230" t="s">
        <v>11</v>
      </c>
      <c r="E230">
        <v>202602</v>
      </c>
      <c r="F230" t="s">
        <v>105</v>
      </c>
      <c r="G230">
        <v>0</v>
      </c>
      <c r="H230">
        <v>0</v>
      </c>
      <c r="I230">
        <v>1</v>
      </c>
      <c r="J230">
        <v>2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4</v>
      </c>
      <c r="Q230">
        <v>1</v>
      </c>
      <c r="R230">
        <v>0</v>
      </c>
      <c r="S230">
        <v>3</v>
      </c>
      <c r="T230">
        <v>1</v>
      </c>
      <c r="U230">
        <v>0</v>
      </c>
      <c r="V230">
        <v>2</v>
      </c>
      <c r="W230">
        <v>0</v>
      </c>
      <c r="X230">
        <v>0</v>
      </c>
      <c r="Y230">
        <v>1</v>
      </c>
      <c r="Z230">
        <v>0</v>
      </c>
      <c r="AA230">
        <v>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21</v>
      </c>
      <c r="AM230">
        <v>0.33333333333333331</v>
      </c>
      <c r="AN230">
        <v>22.679668622713059</v>
      </c>
    </row>
    <row r="231" spans="1:40" x14ac:dyDescent="0.3">
      <c r="A231" t="s">
        <v>8</v>
      </c>
      <c r="B231" t="s">
        <v>103</v>
      </c>
      <c r="C231" t="s">
        <v>10</v>
      </c>
      <c r="D231" t="s">
        <v>11</v>
      </c>
      <c r="E231">
        <v>202602</v>
      </c>
      <c r="F231" t="s">
        <v>106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8</v>
      </c>
      <c r="AM231">
        <v>1</v>
      </c>
      <c r="AN231">
        <v>13.039005868139181</v>
      </c>
    </row>
    <row r="232" spans="1:40" x14ac:dyDescent="0.3">
      <c r="A232" t="s">
        <v>8</v>
      </c>
      <c r="B232" t="s">
        <v>103</v>
      </c>
      <c r="C232" t="s">
        <v>10</v>
      </c>
      <c r="D232" t="s">
        <v>11</v>
      </c>
      <c r="E232">
        <v>202602</v>
      </c>
      <c r="F232" t="s">
        <v>107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3</v>
      </c>
      <c r="AM232">
        <v>0</v>
      </c>
      <c r="AN232">
        <v>3</v>
      </c>
    </row>
    <row r="233" spans="1:40" x14ac:dyDescent="0.3">
      <c r="A233" t="s">
        <v>8</v>
      </c>
      <c r="B233" t="s">
        <v>103</v>
      </c>
      <c r="C233" t="s">
        <v>10</v>
      </c>
      <c r="D233" t="s">
        <v>11</v>
      </c>
      <c r="E233">
        <v>202602</v>
      </c>
      <c r="F233" t="s">
        <v>108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5</v>
      </c>
      <c r="AM233">
        <v>0</v>
      </c>
      <c r="AN233">
        <v>5</v>
      </c>
    </row>
    <row r="234" spans="1:40" x14ac:dyDescent="0.3">
      <c r="A234" t="s">
        <v>8</v>
      </c>
      <c r="B234" t="s">
        <v>103</v>
      </c>
      <c r="C234" t="s">
        <v>10</v>
      </c>
      <c r="D234" t="s">
        <v>11</v>
      </c>
      <c r="E234">
        <v>202602</v>
      </c>
      <c r="F234" t="s">
        <v>109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1</v>
      </c>
      <c r="Q234">
        <v>2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10</v>
      </c>
      <c r="AM234">
        <v>0.33333333333333331</v>
      </c>
      <c r="AN234">
        <v>11.679668622713061</v>
      </c>
    </row>
    <row r="235" spans="1:40" x14ac:dyDescent="0.3">
      <c r="A235" t="s">
        <v>8</v>
      </c>
      <c r="B235" t="s">
        <v>103</v>
      </c>
      <c r="C235" t="s">
        <v>10</v>
      </c>
      <c r="D235" t="s">
        <v>14</v>
      </c>
      <c r="E235">
        <v>202602</v>
      </c>
      <c r="F235" t="s">
        <v>104</v>
      </c>
      <c r="G235">
        <v>1</v>
      </c>
      <c r="H235">
        <v>1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2</v>
      </c>
      <c r="P235">
        <v>0</v>
      </c>
      <c r="Q235">
        <v>2</v>
      </c>
      <c r="R235">
        <v>2</v>
      </c>
      <c r="S235">
        <v>0</v>
      </c>
      <c r="T235">
        <v>0</v>
      </c>
      <c r="U235">
        <v>0</v>
      </c>
      <c r="V235">
        <v>2</v>
      </c>
      <c r="W235">
        <v>1</v>
      </c>
      <c r="X235">
        <v>2</v>
      </c>
      <c r="Y235">
        <v>3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20</v>
      </c>
      <c r="AM235">
        <v>1.6666666666666667</v>
      </c>
      <c r="AN235">
        <v>27.171207139501249</v>
      </c>
    </row>
    <row r="236" spans="1:40" x14ac:dyDescent="0.3">
      <c r="A236" t="s">
        <v>8</v>
      </c>
      <c r="B236" t="s">
        <v>103</v>
      </c>
      <c r="C236" t="s">
        <v>10</v>
      </c>
      <c r="D236" t="s">
        <v>14</v>
      </c>
      <c r="E236">
        <v>202602</v>
      </c>
      <c r="F236" t="s">
        <v>105</v>
      </c>
      <c r="G236">
        <v>0</v>
      </c>
      <c r="H236">
        <v>3</v>
      </c>
      <c r="I236">
        <v>3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4</v>
      </c>
      <c r="P236">
        <v>1</v>
      </c>
      <c r="Q236">
        <v>1</v>
      </c>
      <c r="R236">
        <v>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5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29</v>
      </c>
      <c r="AM236">
        <v>2.3333333333333335</v>
      </c>
      <c r="AN236">
        <v>39.03968999530175</v>
      </c>
    </row>
    <row r="237" spans="1:40" x14ac:dyDescent="0.3">
      <c r="A237" t="s">
        <v>8</v>
      </c>
      <c r="B237" t="s">
        <v>103</v>
      </c>
      <c r="C237" t="s">
        <v>10</v>
      </c>
      <c r="D237" t="s">
        <v>14</v>
      </c>
      <c r="E237">
        <v>202602</v>
      </c>
      <c r="F237" t="s">
        <v>106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3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11</v>
      </c>
      <c r="AM237">
        <v>1.3333333333333333</v>
      </c>
      <c r="AN237">
        <v>16.736965711601002</v>
      </c>
    </row>
    <row r="238" spans="1:40" x14ac:dyDescent="0.3">
      <c r="A238" t="s">
        <v>8</v>
      </c>
      <c r="B238" t="s">
        <v>103</v>
      </c>
      <c r="C238" t="s">
        <v>10</v>
      </c>
      <c r="D238" t="s">
        <v>14</v>
      </c>
      <c r="E238">
        <v>202602</v>
      </c>
      <c r="F238" t="s">
        <v>107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6</v>
      </c>
      <c r="AM238">
        <v>0.66666666666666663</v>
      </c>
      <c r="AN238">
        <v>8.8684828558005009</v>
      </c>
    </row>
    <row r="239" spans="1:40" x14ac:dyDescent="0.3">
      <c r="A239" t="s">
        <v>8</v>
      </c>
      <c r="B239" t="s">
        <v>103</v>
      </c>
      <c r="C239" t="s">
        <v>10</v>
      </c>
      <c r="D239" t="s">
        <v>14</v>
      </c>
      <c r="E239">
        <v>202602</v>
      </c>
      <c r="F239" t="s">
        <v>108</v>
      </c>
      <c r="G239">
        <v>0</v>
      </c>
      <c r="H239">
        <v>0</v>
      </c>
      <c r="I239">
        <v>0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6</v>
      </c>
      <c r="AM239">
        <v>0</v>
      </c>
      <c r="AN239">
        <v>6</v>
      </c>
    </row>
    <row r="240" spans="1:40" x14ac:dyDescent="0.3">
      <c r="A240" t="s">
        <v>8</v>
      </c>
      <c r="B240" t="s">
        <v>103</v>
      </c>
      <c r="C240" t="s">
        <v>10</v>
      </c>
      <c r="D240" t="s">
        <v>14</v>
      </c>
      <c r="E240">
        <v>202602</v>
      </c>
      <c r="F240" t="s">
        <v>109</v>
      </c>
      <c r="G240">
        <v>0</v>
      </c>
      <c r="H240">
        <v>0</v>
      </c>
      <c r="I240">
        <v>0</v>
      </c>
      <c r="J240">
        <v>3</v>
      </c>
      <c r="K240">
        <v>1</v>
      </c>
      <c r="L240">
        <v>1</v>
      </c>
      <c r="M240">
        <v>1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2</v>
      </c>
      <c r="AA240">
        <v>0</v>
      </c>
      <c r="AB240">
        <v>0</v>
      </c>
      <c r="AC240">
        <v>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14</v>
      </c>
      <c r="AM240">
        <v>1.6666666666666667</v>
      </c>
      <c r="AN240">
        <v>21.171207139501249</v>
      </c>
    </row>
    <row r="241" spans="1:40" x14ac:dyDescent="0.3">
      <c r="A241" t="s">
        <v>8</v>
      </c>
      <c r="B241" t="s">
        <v>103</v>
      </c>
      <c r="C241" t="s">
        <v>16</v>
      </c>
      <c r="D241" t="s">
        <v>11</v>
      </c>
      <c r="E241">
        <v>202602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1</v>
      </c>
    </row>
    <row r="242" spans="1:40" x14ac:dyDescent="0.3">
      <c r="A242" t="s">
        <v>8</v>
      </c>
      <c r="B242" t="s">
        <v>103</v>
      </c>
      <c r="C242" t="s">
        <v>16</v>
      </c>
      <c r="D242" t="s">
        <v>14</v>
      </c>
      <c r="E242">
        <v>202602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1</v>
      </c>
    </row>
    <row r="243" spans="1:40" x14ac:dyDescent="0.3">
      <c r="A243" t="s">
        <v>8</v>
      </c>
      <c r="B243" t="s">
        <v>643</v>
      </c>
      <c r="C243" t="s">
        <v>10</v>
      </c>
      <c r="D243" t="s">
        <v>11</v>
      </c>
      <c r="E243">
        <v>202602</v>
      </c>
      <c r="F243" t="s">
        <v>56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</v>
      </c>
      <c r="AM243">
        <v>0</v>
      </c>
      <c r="AN243">
        <v>2</v>
      </c>
    </row>
    <row r="244" spans="1:40" x14ac:dyDescent="0.3">
      <c r="A244" t="s">
        <v>8</v>
      </c>
      <c r="B244" t="s">
        <v>643</v>
      </c>
      <c r="C244" t="s">
        <v>10</v>
      </c>
      <c r="D244" t="s">
        <v>11</v>
      </c>
      <c r="E244">
        <v>202602</v>
      </c>
      <c r="F244" t="s">
        <v>110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6</v>
      </c>
      <c r="AM244">
        <v>0</v>
      </c>
      <c r="AN244">
        <v>6</v>
      </c>
    </row>
    <row r="245" spans="1:40" x14ac:dyDescent="0.3">
      <c r="A245" t="s">
        <v>8</v>
      </c>
      <c r="B245" t="s">
        <v>643</v>
      </c>
      <c r="C245" t="s">
        <v>10</v>
      </c>
      <c r="D245" t="s">
        <v>11</v>
      </c>
      <c r="E245">
        <v>202602</v>
      </c>
      <c r="F245" t="s">
        <v>111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3</v>
      </c>
      <c r="AM245">
        <v>0.33333333333333331</v>
      </c>
      <c r="AN245">
        <v>4.6796686227130611</v>
      </c>
    </row>
    <row r="246" spans="1:40" x14ac:dyDescent="0.3">
      <c r="A246" t="s">
        <v>8</v>
      </c>
      <c r="B246" t="s">
        <v>643</v>
      </c>
      <c r="C246" t="s">
        <v>10</v>
      </c>
      <c r="D246" t="s">
        <v>11</v>
      </c>
      <c r="E246">
        <v>202602</v>
      </c>
      <c r="F246" t="s">
        <v>61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2</v>
      </c>
      <c r="AM246">
        <v>0</v>
      </c>
      <c r="AN246">
        <v>2</v>
      </c>
    </row>
    <row r="247" spans="1:40" x14ac:dyDescent="0.3">
      <c r="A247" t="s">
        <v>8</v>
      </c>
      <c r="B247" t="s">
        <v>643</v>
      </c>
      <c r="C247" t="s">
        <v>10</v>
      </c>
      <c r="D247" t="s">
        <v>11</v>
      </c>
      <c r="E247">
        <v>202602</v>
      </c>
      <c r="F247" t="s">
        <v>112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</v>
      </c>
      <c r="Y247">
        <v>0</v>
      </c>
      <c r="Z247">
        <v>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8</v>
      </c>
      <c r="AM247">
        <v>1</v>
      </c>
      <c r="AN247">
        <v>13.039005868139181</v>
      </c>
    </row>
    <row r="248" spans="1:40" x14ac:dyDescent="0.3">
      <c r="A248" t="s">
        <v>8</v>
      </c>
      <c r="B248" t="s">
        <v>643</v>
      </c>
      <c r="C248" t="s">
        <v>10</v>
      </c>
      <c r="D248" t="s">
        <v>11</v>
      </c>
      <c r="E248">
        <v>202602</v>
      </c>
      <c r="F248" t="s">
        <v>365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1</v>
      </c>
    </row>
    <row r="249" spans="1:40" x14ac:dyDescent="0.3">
      <c r="A249" t="s">
        <v>8</v>
      </c>
      <c r="B249" t="s">
        <v>643</v>
      </c>
      <c r="C249" t="s">
        <v>10</v>
      </c>
      <c r="D249" t="s">
        <v>11</v>
      </c>
      <c r="E249">
        <v>202602</v>
      </c>
      <c r="F249" t="s">
        <v>113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</v>
      </c>
      <c r="AM249">
        <v>0</v>
      </c>
      <c r="AN249">
        <v>2</v>
      </c>
    </row>
    <row r="250" spans="1:40" x14ac:dyDescent="0.3">
      <c r="A250" t="s">
        <v>8</v>
      </c>
      <c r="B250" t="s">
        <v>643</v>
      </c>
      <c r="C250" t="s">
        <v>10</v>
      </c>
      <c r="D250" t="s">
        <v>11</v>
      </c>
      <c r="E250">
        <v>202602</v>
      </c>
      <c r="F250" t="s">
        <v>278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3</v>
      </c>
      <c r="AM250">
        <v>0.66666666666666663</v>
      </c>
      <c r="AN250">
        <v>6.3593372454261221</v>
      </c>
    </row>
    <row r="251" spans="1:40" x14ac:dyDescent="0.3">
      <c r="A251" t="s">
        <v>8</v>
      </c>
      <c r="B251" t="s">
        <v>643</v>
      </c>
      <c r="C251" t="s">
        <v>10</v>
      </c>
      <c r="D251" t="s">
        <v>11</v>
      </c>
      <c r="E251">
        <v>202602</v>
      </c>
      <c r="F251" t="s">
        <v>114</v>
      </c>
      <c r="G251">
        <v>0</v>
      </c>
      <c r="H251">
        <v>0</v>
      </c>
      <c r="I251">
        <v>1</v>
      </c>
      <c r="J251">
        <v>2</v>
      </c>
      <c r="K251">
        <v>3</v>
      </c>
      <c r="L251">
        <v>3</v>
      </c>
      <c r="M251">
        <v>2</v>
      </c>
      <c r="N251">
        <v>0</v>
      </c>
      <c r="O251">
        <v>2</v>
      </c>
      <c r="P251">
        <v>1</v>
      </c>
      <c r="Q251">
        <v>5</v>
      </c>
      <c r="R251">
        <v>1</v>
      </c>
      <c r="S251">
        <v>6</v>
      </c>
      <c r="T251">
        <v>1</v>
      </c>
      <c r="U251">
        <v>0</v>
      </c>
      <c r="V251">
        <v>2</v>
      </c>
      <c r="W251">
        <v>2</v>
      </c>
      <c r="X251">
        <v>2</v>
      </c>
      <c r="Y251">
        <v>3</v>
      </c>
      <c r="Z251">
        <v>3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40</v>
      </c>
      <c r="AM251">
        <v>2</v>
      </c>
      <c r="AN251">
        <v>50.078011736278363</v>
      </c>
    </row>
    <row r="252" spans="1:40" x14ac:dyDescent="0.3">
      <c r="A252" t="s">
        <v>8</v>
      </c>
      <c r="B252" t="s">
        <v>643</v>
      </c>
      <c r="C252" t="s">
        <v>10</v>
      </c>
      <c r="D252" t="s">
        <v>11</v>
      </c>
      <c r="E252">
        <v>202602</v>
      </c>
      <c r="F252" t="s">
        <v>225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1</v>
      </c>
    </row>
    <row r="253" spans="1:40" x14ac:dyDescent="0.3">
      <c r="A253" t="s">
        <v>8</v>
      </c>
      <c r="B253" t="s">
        <v>643</v>
      </c>
      <c r="C253" t="s">
        <v>10</v>
      </c>
      <c r="D253" t="s">
        <v>11</v>
      </c>
      <c r="E253">
        <v>202602</v>
      </c>
      <c r="F253" t="s">
        <v>129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1</v>
      </c>
    </row>
    <row r="254" spans="1:40" x14ac:dyDescent="0.3">
      <c r="A254" t="s">
        <v>8</v>
      </c>
      <c r="B254" t="s">
        <v>643</v>
      </c>
      <c r="C254" t="s">
        <v>10</v>
      </c>
      <c r="D254" t="s">
        <v>11</v>
      </c>
      <c r="E254">
        <v>202602</v>
      </c>
      <c r="F254" t="s">
        <v>115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</v>
      </c>
      <c r="AM254">
        <v>0</v>
      </c>
      <c r="AN254">
        <v>2</v>
      </c>
    </row>
    <row r="255" spans="1:40" x14ac:dyDescent="0.3">
      <c r="A255" t="s">
        <v>8</v>
      </c>
      <c r="B255" t="s">
        <v>643</v>
      </c>
      <c r="C255" t="s">
        <v>10</v>
      </c>
      <c r="D255" t="s">
        <v>11</v>
      </c>
      <c r="E255">
        <v>202602</v>
      </c>
      <c r="F255" t="s">
        <v>116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5</v>
      </c>
      <c r="AM255">
        <v>0.66666666666666663</v>
      </c>
      <c r="AN255">
        <v>8.3593372454261221</v>
      </c>
    </row>
    <row r="256" spans="1:40" x14ac:dyDescent="0.3">
      <c r="A256" t="s">
        <v>8</v>
      </c>
      <c r="B256" t="s">
        <v>643</v>
      </c>
      <c r="C256" t="s">
        <v>10</v>
      </c>
      <c r="D256" t="s">
        <v>11</v>
      </c>
      <c r="E256">
        <v>202602</v>
      </c>
      <c r="F256" t="s">
        <v>117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4</v>
      </c>
      <c r="AM256">
        <v>0.33333333333333331</v>
      </c>
      <c r="AN256">
        <v>5.6796686227130611</v>
      </c>
    </row>
    <row r="257" spans="1:40" x14ac:dyDescent="0.3">
      <c r="A257" t="s">
        <v>8</v>
      </c>
      <c r="B257" t="s">
        <v>643</v>
      </c>
      <c r="C257" t="s">
        <v>10</v>
      </c>
      <c r="D257" t="s">
        <v>11</v>
      </c>
      <c r="E257">
        <v>202602</v>
      </c>
      <c r="F257" t="s">
        <v>118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9</v>
      </c>
      <c r="AM257">
        <v>1</v>
      </c>
      <c r="AN257">
        <v>14.039005868139181</v>
      </c>
    </row>
    <row r="258" spans="1:40" x14ac:dyDescent="0.3">
      <c r="A258" t="s">
        <v>8</v>
      </c>
      <c r="B258" t="s">
        <v>643</v>
      </c>
      <c r="C258" t="s">
        <v>10</v>
      </c>
      <c r="D258" t="s">
        <v>11</v>
      </c>
      <c r="E258">
        <v>202602</v>
      </c>
      <c r="F258" t="s">
        <v>119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</v>
      </c>
      <c r="AM258">
        <v>0</v>
      </c>
      <c r="AN258">
        <v>2</v>
      </c>
    </row>
    <row r="259" spans="1:40" x14ac:dyDescent="0.3">
      <c r="A259" t="s">
        <v>8</v>
      </c>
      <c r="B259" t="s">
        <v>643</v>
      </c>
      <c r="C259" t="s">
        <v>10</v>
      </c>
      <c r="D259" t="s">
        <v>11</v>
      </c>
      <c r="E259">
        <v>202602</v>
      </c>
      <c r="F259" t="s">
        <v>120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1</v>
      </c>
    </row>
    <row r="260" spans="1:40" x14ac:dyDescent="0.3">
      <c r="A260" t="s">
        <v>8</v>
      </c>
      <c r="B260" t="s">
        <v>643</v>
      </c>
      <c r="C260" t="s">
        <v>10</v>
      </c>
      <c r="D260" t="s">
        <v>11</v>
      </c>
      <c r="E260">
        <v>202602</v>
      </c>
      <c r="F260" t="s">
        <v>121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5</v>
      </c>
      <c r="AM260">
        <v>0.33333333333333331</v>
      </c>
      <c r="AN260">
        <v>6.6796686227130611</v>
      </c>
    </row>
    <row r="261" spans="1:40" x14ac:dyDescent="0.3">
      <c r="A261" t="s">
        <v>8</v>
      </c>
      <c r="B261" t="s">
        <v>643</v>
      </c>
      <c r="C261" t="s">
        <v>10</v>
      </c>
      <c r="D261" t="s">
        <v>11</v>
      </c>
      <c r="E261">
        <v>202602</v>
      </c>
      <c r="F261" t="s">
        <v>134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1</v>
      </c>
    </row>
    <row r="262" spans="1:40" x14ac:dyDescent="0.3">
      <c r="A262" t="s">
        <v>8</v>
      </c>
      <c r="B262" t="s">
        <v>643</v>
      </c>
      <c r="C262" t="s">
        <v>10</v>
      </c>
      <c r="D262" t="s">
        <v>11</v>
      </c>
      <c r="E262">
        <v>202602</v>
      </c>
      <c r="F262" t="s">
        <v>122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</v>
      </c>
      <c r="AM262">
        <v>0</v>
      </c>
      <c r="AN262">
        <v>2</v>
      </c>
    </row>
    <row r="263" spans="1:40" x14ac:dyDescent="0.3">
      <c r="A263" t="s">
        <v>8</v>
      </c>
      <c r="B263" t="s">
        <v>643</v>
      </c>
      <c r="C263" t="s">
        <v>10</v>
      </c>
      <c r="D263" t="s">
        <v>11</v>
      </c>
      <c r="E263">
        <v>202602</v>
      </c>
      <c r="F263" t="s">
        <v>123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6</v>
      </c>
      <c r="AM263">
        <v>0.33333333333333331</v>
      </c>
      <c r="AN263">
        <v>7.6796686227130611</v>
      </c>
    </row>
    <row r="264" spans="1:40" x14ac:dyDescent="0.3">
      <c r="A264" t="s">
        <v>8</v>
      </c>
      <c r="B264" t="s">
        <v>643</v>
      </c>
      <c r="C264" t="s">
        <v>10</v>
      </c>
      <c r="D264" t="s">
        <v>11</v>
      </c>
      <c r="E264">
        <v>202602</v>
      </c>
      <c r="F264" t="s">
        <v>124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5</v>
      </c>
      <c r="AM264">
        <v>0.33333333333333331</v>
      </c>
      <c r="AN264">
        <v>6.6796686227130611</v>
      </c>
    </row>
    <row r="265" spans="1:40" x14ac:dyDescent="0.3">
      <c r="A265" t="s">
        <v>8</v>
      </c>
      <c r="B265" t="s">
        <v>643</v>
      </c>
      <c r="C265" t="s">
        <v>10</v>
      </c>
      <c r="D265" t="s">
        <v>11</v>
      </c>
      <c r="E265">
        <v>202602</v>
      </c>
      <c r="F265" t="s">
        <v>435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1</v>
      </c>
    </row>
    <row r="266" spans="1:40" x14ac:dyDescent="0.3">
      <c r="A266" t="s">
        <v>8</v>
      </c>
      <c r="B266" t="s">
        <v>643</v>
      </c>
      <c r="C266" t="s">
        <v>10</v>
      </c>
      <c r="D266" t="s">
        <v>11</v>
      </c>
      <c r="E266">
        <v>202602</v>
      </c>
      <c r="F266" t="s">
        <v>125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</v>
      </c>
      <c r="AM266">
        <v>0.66666666666666663</v>
      </c>
      <c r="AN266">
        <v>7.3593372454261221</v>
      </c>
    </row>
    <row r="267" spans="1:40" x14ac:dyDescent="0.3">
      <c r="A267" t="s">
        <v>8</v>
      </c>
      <c r="B267" t="s">
        <v>643</v>
      </c>
      <c r="C267" t="s">
        <v>10</v>
      </c>
      <c r="D267" t="s">
        <v>11</v>
      </c>
      <c r="E267">
        <v>202602</v>
      </c>
      <c r="F267" t="s">
        <v>126</v>
      </c>
      <c r="G267">
        <v>0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</v>
      </c>
      <c r="AM267">
        <v>0</v>
      </c>
      <c r="AN267">
        <v>4</v>
      </c>
    </row>
    <row r="268" spans="1:40" x14ac:dyDescent="0.3">
      <c r="A268" t="s">
        <v>8</v>
      </c>
      <c r="B268" t="s">
        <v>643</v>
      </c>
      <c r="C268" t="s">
        <v>10</v>
      </c>
      <c r="D268" t="s">
        <v>11</v>
      </c>
      <c r="E268">
        <v>202602</v>
      </c>
      <c r="F268" t="s">
        <v>127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1</v>
      </c>
    </row>
    <row r="269" spans="1:40" x14ac:dyDescent="0.3">
      <c r="A269" t="s">
        <v>8</v>
      </c>
      <c r="B269" t="s">
        <v>643</v>
      </c>
      <c r="C269" t="s">
        <v>10</v>
      </c>
      <c r="D269" t="s">
        <v>11</v>
      </c>
      <c r="E269">
        <v>202602</v>
      </c>
      <c r="F269" t="s">
        <v>128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1</v>
      </c>
    </row>
    <row r="270" spans="1:40" x14ac:dyDescent="0.3">
      <c r="A270" t="s">
        <v>8</v>
      </c>
      <c r="B270" t="s">
        <v>643</v>
      </c>
      <c r="C270" t="s">
        <v>10</v>
      </c>
      <c r="D270" t="s">
        <v>14</v>
      </c>
      <c r="E270">
        <v>202602</v>
      </c>
      <c r="F270" t="s">
        <v>56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</v>
      </c>
      <c r="AM270">
        <v>0</v>
      </c>
      <c r="AN270">
        <v>3</v>
      </c>
    </row>
    <row r="271" spans="1:40" x14ac:dyDescent="0.3">
      <c r="A271" t="s">
        <v>8</v>
      </c>
      <c r="B271" t="s">
        <v>643</v>
      </c>
      <c r="C271" t="s">
        <v>10</v>
      </c>
      <c r="D271" t="s">
        <v>14</v>
      </c>
      <c r="E271">
        <v>202602</v>
      </c>
      <c r="F271" t="s">
        <v>110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3</v>
      </c>
      <c r="P271">
        <v>2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9</v>
      </c>
      <c r="AM271">
        <v>0.33333333333333331</v>
      </c>
      <c r="AN271">
        <v>10.43424142790025</v>
      </c>
    </row>
    <row r="272" spans="1:40" x14ac:dyDescent="0.3">
      <c r="A272" t="s">
        <v>8</v>
      </c>
      <c r="B272" t="s">
        <v>643</v>
      </c>
      <c r="C272" t="s">
        <v>10</v>
      </c>
      <c r="D272" t="s">
        <v>14</v>
      </c>
      <c r="E272">
        <v>202602</v>
      </c>
      <c r="F272" t="s">
        <v>111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3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7</v>
      </c>
      <c r="AM272">
        <v>0.33333333333333331</v>
      </c>
      <c r="AN272">
        <v>8.4342414279002504</v>
      </c>
    </row>
    <row r="273" spans="1:40" x14ac:dyDescent="0.3">
      <c r="A273" t="s">
        <v>8</v>
      </c>
      <c r="B273" t="s">
        <v>643</v>
      </c>
      <c r="C273" t="s">
        <v>10</v>
      </c>
      <c r="D273" t="s">
        <v>14</v>
      </c>
      <c r="E273">
        <v>202602</v>
      </c>
      <c r="F273" t="s">
        <v>61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4</v>
      </c>
      <c r="AM273">
        <v>0.33333333333333331</v>
      </c>
      <c r="AN273">
        <v>5.4342414279002504</v>
      </c>
    </row>
    <row r="274" spans="1:40" x14ac:dyDescent="0.3">
      <c r="A274" t="s">
        <v>8</v>
      </c>
      <c r="B274" t="s">
        <v>643</v>
      </c>
      <c r="C274" t="s">
        <v>10</v>
      </c>
      <c r="D274" t="s">
        <v>14</v>
      </c>
      <c r="E274">
        <v>202602</v>
      </c>
      <c r="F274" t="s">
        <v>112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3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10</v>
      </c>
      <c r="AM274">
        <v>0.33333333333333331</v>
      </c>
      <c r="AN274">
        <v>11.43424142790025</v>
      </c>
    </row>
    <row r="275" spans="1:40" x14ac:dyDescent="0.3">
      <c r="A275" t="s">
        <v>8</v>
      </c>
      <c r="B275" t="s">
        <v>643</v>
      </c>
      <c r="C275" t="s">
        <v>10</v>
      </c>
      <c r="D275" t="s">
        <v>14</v>
      </c>
      <c r="E275">
        <v>202602</v>
      </c>
      <c r="F275" t="s">
        <v>365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1</v>
      </c>
    </row>
    <row r="276" spans="1:40" x14ac:dyDescent="0.3">
      <c r="A276" t="s">
        <v>8</v>
      </c>
      <c r="B276" t="s">
        <v>643</v>
      </c>
      <c r="C276" t="s">
        <v>10</v>
      </c>
      <c r="D276" t="s">
        <v>14</v>
      </c>
      <c r="E276">
        <v>202602</v>
      </c>
      <c r="F276" t="s">
        <v>113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4</v>
      </c>
      <c r="AM276">
        <v>0.33333333333333331</v>
      </c>
      <c r="AN276">
        <v>5.4342414279002504</v>
      </c>
    </row>
    <row r="277" spans="1:40" x14ac:dyDescent="0.3">
      <c r="A277" t="s">
        <v>8</v>
      </c>
      <c r="B277" t="s">
        <v>643</v>
      </c>
      <c r="C277" t="s">
        <v>10</v>
      </c>
      <c r="D277" t="s">
        <v>14</v>
      </c>
      <c r="E277">
        <v>202602</v>
      </c>
      <c r="F277" t="s">
        <v>278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3</v>
      </c>
      <c r="AM277">
        <v>0</v>
      </c>
      <c r="AN277">
        <v>3</v>
      </c>
    </row>
    <row r="278" spans="1:40" x14ac:dyDescent="0.3">
      <c r="A278" t="s">
        <v>8</v>
      </c>
      <c r="B278" t="s">
        <v>643</v>
      </c>
      <c r="C278" t="s">
        <v>10</v>
      </c>
      <c r="D278" t="s">
        <v>14</v>
      </c>
      <c r="E278">
        <v>202602</v>
      </c>
      <c r="F278" t="s">
        <v>114</v>
      </c>
      <c r="G278">
        <v>0</v>
      </c>
      <c r="H278">
        <v>5</v>
      </c>
      <c r="I278">
        <v>3</v>
      </c>
      <c r="J278">
        <v>3</v>
      </c>
      <c r="K278">
        <v>5</v>
      </c>
      <c r="L278">
        <v>2</v>
      </c>
      <c r="M278">
        <v>2</v>
      </c>
      <c r="N278">
        <v>0</v>
      </c>
      <c r="O278">
        <v>4</v>
      </c>
      <c r="P278">
        <v>3</v>
      </c>
      <c r="Q278">
        <v>5</v>
      </c>
      <c r="R278">
        <v>4</v>
      </c>
      <c r="S278">
        <v>5</v>
      </c>
      <c r="T278">
        <v>0</v>
      </c>
      <c r="U278">
        <v>0</v>
      </c>
      <c r="V278">
        <v>7</v>
      </c>
      <c r="W278">
        <v>3</v>
      </c>
      <c r="X278">
        <v>6</v>
      </c>
      <c r="Y278">
        <v>2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61</v>
      </c>
      <c r="AM278">
        <v>1.3333333333333333</v>
      </c>
      <c r="AN278">
        <v>66.736965711601002</v>
      </c>
    </row>
    <row r="279" spans="1:40" x14ac:dyDescent="0.3">
      <c r="A279" t="s">
        <v>8</v>
      </c>
      <c r="B279" t="s">
        <v>643</v>
      </c>
      <c r="C279" t="s">
        <v>10</v>
      </c>
      <c r="D279" t="s">
        <v>14</v>
      </c>
      <c r="E279">
        <v>202602</v>
      </c>
      <c r="F279" t="s">
        <v>225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</v>
      </c>
    </row>
    <row r="280" spans="1:40" x14ac:dyDescent="0.3">
      <c r="A280" t="s">
        <v>8</v>
      </c>
      <c r="B280" t="s">
        <v>643</v>
      </c>
      <c r="C280" t="s">
        <v>10</v>
      </c>
      <c r="D280" t="s">
        <v>14</v>
      </c>
      <c r="E280">
        <v>202602</v>
      </c>
      <c r="F280" t="s">
        <v>129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2</v>
      </c>
      <c r="AM280">
        <v>0.33333333333333331</v>
      </c>
      <c r="AN280">
        <v>3.43424142790025</v>
      </c>
    </row>
    <row r="281" spans="1:40" x14ac:dyDescent="0.3">
      <c r="A281" t="s">
        <v>8</v>
      </c>
      <c r="B281" t="s">
        <v>643</v>
      </c>
      <c r="C281" t="s">
        <v>10</v>
      </c>
      <c r="D281" t="s">
        <v>14</v>
      </c>
      <c r="E281">
        <v>202602</v>
      </c>
      <c r="F281" t="s">
        <v>115</v>
      </c>
      <c r="G281">
        <v>0</v>
      </c>
      <c r="H281">
        <v>0</v>
      </c>
      <c r="I281">
        <v>0</v>
      </c>
      <c r="J281">
        <v>2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4</v>
      </c>
      <c r="AM281">
        <v>0</v>
      </c>
      <c r="AN281">
        <v>4</v>
      </c>
    </row>
    <row r="282" spans="1:40" x14ac:dyDescent="0.3">
      <c r="A282" t="s">
        <v>8</v>
      </c>
      <c r="B282" t="s">
        <v>643</v>
      </c>
      <c r="C282" t="s">
        <v>10</v>
      </c>
      <c r="D282" t="s">
        <v>14</v>
      </c>
      <c r="E282">
        <v>202602</v>
      </c>
      <c r="F282" t="s">
        <v>116</v>
      </c>
      <c r="G282">
        <v>0</v>
      </c>
      <c r="H282">
        <v>1</v>
      </c>
      <c r="I282">
        <v>1</v>
      </c>
      <c r="J282">
        <v>1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2</v>
      </c>
      <c r="T282">
        <v>1</v>
      </c>
      <c r="U282">
        <v>0</v>
      </c>
      <c r="V282">
        <v>0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11</v>
      </c>
      <c r="AM282">
        <v>0.33333333333333331</v>
      </c>
      <c r="AN282">
        <v>12.43424142790025</v>
      </c>
    </row>
    <row r="283" spans="1:40" x14ac:dyDescent="0.3">
      <c r="A283" t="s">
        <v>8</v>
      </c>
      <c r="B283" t="s">
        <v>643</v>
      </c>
      <c r="C283" t="s">
        <v>10</v>
      </c>
      <c r="D283" t="s">
        <v>14</v>
      </c>
      <c r="E283">
        <v>202602</v>
      </c>
      <c r="F283" t="s">
        <v>130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</v>
      </c>
      <c r="AM283">
        <v>0.33333333333333331</v>
      </c>
      <c r="AN283">
        <v>3.43424142790025</v>
      </c>
    </row>
    <row r="284" spans="1:40" x14ac:dyDescent="0.3">
      <c r="A284" t="s">
        <v>8</v>
      </c>
      <c r="B284" t="s">
        <v>643</v>
      </c>
      <c r="C284" t="s">
        <v>10</v>
      </c>
      <c r="D284" t="s">
        <v>14</v>
      </c>
      <c r="E284">
        <v>202602</v>
      </c>
      <c r="F284" t="s">
        <v>117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</v>
      </c>
      <c r="AM284">
        <v>0.66666666666666663</v>
      </c>
      <c r="AN284">
        <v>9.8684828558005009</v>
      </c>
    </row>
    <row r="285" spans="1:40" x14ac:dyDescent="0.3">
      <c r="A285" t="s">
        <v>8</v>
      </c>
      <c r="B285" t="s">
        <v>643</v>
      </c>
      <c r="C285" t="s">
        <v>10</v>
      </c>
      <c r="D285" t="s">
        <v>14</v>
      </c>
      <c r="E285">
        <v>202602</v>
      </c>
      <c r="F285" t="s">
        <v>118</v>
      </c>
      <c r="G285">
        <v>0</v>
      </c>
      <c r="H285">
        <v>0</v>
      </c>
      <c r="I285">
        <v>2</v>
      </c>
      <c r="J285">
        <v>1</v>
      </c>
      <c r="K285">
        <v>4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2</v>
      </c>
      <c r="X285">
        <v>1</v>
      </c>
      <c r="Y285">
        <v>2</v>
      </c>
      <c r="Z285">
        <v>2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18</v>
      </c>
      <c r="AM285">
        <v>1.6666666666666667</v>
      </c>
      <c r="AN285">
        <v>25.171207139501249</v>
      </c>
    </row>
    <row r="286" spans="1:40" x14ac:dyDescent="0.3">
      <c r="A286" t="s">
        <v>8</v>
      </c>
      <c r="B286" t="s">
        <v>643</v>
      </c>
      <c r="C286" t="s">
        <v>10</v>
      </c>
      <c r="D286" t="s">
        <v>14</v>
      </c>
      <c r="E286">
        <v>202602</v>
      </c>
      <c r="F286" t="s">
        <v>131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</v>
      </c>
      <c r="AM286">
        <v>0</v>
      </c>
      <c r="AN286">
        <v>2</v>
      </c>
    </row>
    <row r="287" spans="1:40" x14ac:dyDescent="0.3">
      <c r="A287" t="s">
        <v>8</v>
      </c>
      <c r="B287" t="s">
        <v>643</v>
      </c>
      <c r="C287" t="s">
        <v>10</v>
      </c>
      <c r="D287" t="s">
        <v>14</v>
      </c>
      <c r="E287">
        <v>202602</v>
      </c>
      <c r="F287" t="s">
        <v>132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4</v>
      </c>
      <c r="AM287">
        <v>0.33333333333333331</v>
      </c>
      <c r="AN287">
        <v>5.4342414279002504</v>
      </c>
    </row>
    <row r="288" spans="1:40" x14ac:dyDescent="0.3">
      <c r="A288" t="s">
        <v>8</v>
      </c>
      <c r="B288" t="s">
        <v>643</v>
      </c>
      <c r="C288" t="s">
        <v>10</v>
      </c>
      <c r="D288" t="s">
        <v>14</v>
      </c>
      <c r="E288">
        <v>202602</v>
      </c>
      <c r="F288" t="s">
        <v>133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1</v>
      </c>
    </row>
    <row r="289" spans="1:40" x14ac:dyDescent="0.3">
      <c r="A289" t="s">
        <v>8</v>
      </c>
      <c r="B289" t="s">
        <v>643</v>
      </c>
      <c r="C289" t="s">
        <v>10</v>
      </c>
      <c r="D289" t="s">
        <v>14</v>
      </c>
      <c r="E289">
        <v>202602</v>
      </c>
      <c r="F289" t="s">
        <v>119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</v>
      </c>
      <c r="AM289">
        <v>0</v>
      </c>
      <c r="AN289">
        <v>3</v>
      </c>
    </row>
    <row r="290" spans="1:40" x14ac:dyDescent="0.3">
      <c r="A290" t="s">
        <v>8</v>
      </c>
      <c r="B290" t="s">
        <v>643</v>
      </c>
      <c r="C290" t="s">
        <v>10</v>
      </c>
      <c r="D290" t="s">
        <v>14</v>
      </c>
      <c r="E290">
        <v>202602</v>
      </c>
      <c r="F290" t="s">
        <v>561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</row>
    <row r="291" spans="1:40" x14ac:dyDescent="0.3">
      <c r="A291" t="s">
        <v>8</v>
      </c>
      <c r="B291" t="s">
        <v>643</v>
      </c>
      <c r="C291" t="s">
        <v>10</v>
      </c>
      <c r="D291" t="s">
        <v>14</v>
      </c>
      <c r="E291">
        <v>202602</v>
      </c>
      <c r="F291" t="s">
        <v>120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1</v>
      </c>
    </row>
    <row r="292" spans="1:40" x14ac:dyDescent="0.3">
      <c r="A292" t="s">
        <v>8</v>
      </c>
      <c r="B292" t="s">
        <v>643</v>
      </c>
      <c r="C292" t="s">
        <v>10</v>
      </c>
      <c r="D292" t="s">
        <v>14</v>
      </c>
      <c r="E292">
        <v>202602</v>
      </c>
      <c r="F292" t="s">
        <v>121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</v>
      </c>
      <c r="Z292">
        <v>1</v>
      </c>
      <c r="AA292">
        <v>1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9</v>
      </c>
      <c r="AM292">
        <v>1.3333333333333333</v>
      </c>
      <c r="AN292">
        <v>14.736965711601</v>
      </c>
    </row>
    <row r="293" spans="1:40" x14ac:dyDescent="0.3">
      <c r="A293" t="s">
        <v>8</v>
      </c>
      <c r="B293" t="s">
        <v>643</v>
      </c>
      <c r="C293" t="s">
        <v>10</v>
      </c>
      <c r="D293" t="s">
        <v>14</v>
      </c>
      <c r="E293">
        <v>202602</v>
      </c>
      <c r="F293" t="s">
        <v>134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3</v>
      </c>
      <c r="AM293">
        <v>0.33333333333333331</v>
      </c>
      <c r="AN293">
        <v>4.4342414279002504</v>
      </c>
    </row>
    <row r="294" spans="1:40" x14ac:dyDescent="0.3">
      <c r="A294" t="s">
        <v>8</v>
      </c>
      <c r="B294" t="s">
        <v>643</v>
      </c>
      <c r="C294" t="s">
        <v>10</v>
      </c>
      <c r="D294" t="s">
        <v>14</v>
      </c>
      <c r="E294">
        <v>202602</v>
      </c>
      <c r="F294" t="s">
        <v>122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</row>
    <row r="295" spans="1:40" x14ac:dyDescent="0.3">
      <c r="A295" t="s">
        <v>8</v>
      </c>
      <c r="B295" t="s">
        <v>643</v>
      </c>
      <c r="C295" t="s">
        <v>10</v>
      </c>
      <c r="D295" t="s">
        <v>14</v>
      </c>
      <c r="E295">
        <v>202602</v>
      </c>
      <c r="F295" t="s">
        <v>123</v>
      </c>
      <c r="G295">
        <v>0</v>
      </c>
      <c r="H295">
        <v>1</v>
      </c>
      <c r="I295">
        <v>0</v>
      </c>
      <c r="J295">
        <v>0</v>
      </c>
      <c r="K295">
        <v>2</v>
      </c>
      <c r="L295">
        <v>3</v>
      </c>
      <c r="M295">
        <v>0</v>
      </c>
      <c r="N295">
        <v>0</v>
      </c>
      <c r="O295">
        <v>1</v>
      </c>
      <c r="P295">
        <v>3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14</v>
      </c>
      <c r="AM295">
        <v>0.66666666666666663</v>
      </c>
      <c r="AN295">
        <v>16.868482855800501</v>
      </c>
    </row>
    <row r="296" spans="1:40" x14ac:dyDescent="0.3">
      <c r="A296" t="s">
        <v>8</v>
      </c>
      <c r="B296" t="s">
        <v>643</v>
      </c>
      <c r="C296" t="s">
        <v>10</v>
      </c>
      <c r="D296" t="s">
        <v>14</v>
      </c>
      <c r="E296">
        <v>202602</v>
      </c>
      <c r="F296" t="s">
        <v>124</v>
      </c>
      <c r="G296">
        <v>0</v>
      </c>
      <c r="H296">
        <v>0</v>
      </c>
      <c r="I296">
        <v>1</v>
      </c>
      <c r="J296">
        <v>0</v>
      </c>
      <c r="K296">
        <v>2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5</v>
      </c>
      <c r="AM296">
        <v>0</v>
      </c>
      <c r="AN296">
        <v>5</v>
      </c>
    </row>
    <row r="297" spans="1:40" x14ac:dyDescent="0.3">
      <c r="A297" t="s">
        <v>8</v>
      </c>
      <c r="B297" t="s">
        <v>643</v>
      </c>
      <c r="C297" t="s">
        <v>10</v>
      </c>
      <c r="D297" t="s">
        <v>14</v>
      </c>
      <c r="E297">
        <v>202602</v>
      </c>
      <c r="F297" t="s">
        <v>435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</v>
      </c>
      <c r="AM297">
        <v>0.33333333333333331</v>
      </c>
      <c r="AN297">
        <v>3.43424142790025</v>
      </c>
    </row>
    <row r="298" spans="1:40" x14ac:dyDescent="0.3">
      <c r="A298" t="s">
        <v>8</v>
      </c>
      <c r="B298" t="s">
        <v>643</v>
      </c>
      <c r="C298" t="s">
        <v>10</v>
      </c>
      <c r="D298" t="s">
        <v>14</v>
      </c>
      <c r="E298">
        <v>202602</v>
      </c>
      <c r="F298" t="s">
        <v>135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1</v>
      </c>
    </row>
    <row r="299" spans="1:40" x14ac:dyDescent="0.3">
      <c r="A299" t="s">
        <v>8</v>
      </c>
      <c r="B299" t="s">
        <v>643</v>
      </c>
      <c r="C299" t="s">
        <v>10</v>
      </c>
      <c r="D299" t="s">
        <v>14</v>
      </c>
      <c r="E299">
        <v>202602</v>
      </c>
      <c r="F299" t="s">
        <v>125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4</v>
      </c>
      <c r="AM299">
        <v>0.33333333333333331</v>
      </c>
      <c r="AN299">
        <v>5.4342414279002504</v>
      </c>
    </row>
    <row r="300" spans="1:40" x14ac:dyDescent="0.3">
      <c r="A300" t="s">
        <v>8</v>
      </c>
      <c r="B300" t="s">
        <v>643</v>
      </c>
      <c r="C300" t="s">
        <v>10</v>
      </c>
      <c r="D300" t="s">
        <v>14</v>
      </c>
      <c r="E300">
        <v>202602</v>
      </c>
      <c r="F300" t="s">
        <v>126</v>
      </c>
      <c r="G300">
        <v>2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6</v>
      </c>
      <c r="AM300">
        <v>0.66666666666666663</v>
      </c>
      <c r="AN300">
        <v>8.8684828558005009</v>
      </c>
    </row>
    <row r="301" spans="1:40" x14ac:dyDescent="0.3">
      <c r="A301" t="s">
        <v>8</v>
      </c>
      <c r="B301" t="s">
        <v>643</v>
      </c>
      <c r="C301" t="s">
        <v>10</v>
      </c>
      <c r="D301" t="s">
        <v>14</v>
      </c>
      <c r="E301">
        <v>202602</v>
      </c>
      <c r="F301" t="s">
        <v>127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</v>
      </c>
      <c r="AM301">
        <v>0.33333333333333331</v>
      </c>
      <c r="AN301">
        <v>3.43424142790025</v>
      </c>
    </row>
    <row r="302" spans="1:40" x14ac:dyDescent="0.3">
      <c r="A302" t="s">
        <v>8</v>
      </c>
      <c r="B302" t="s">
        <v>643</v>
      </c>
      <c r="C302" t="s">
        <v>10</v>
      </c>
      <c r="D302" t="s">
        <v>14</v>
      </c>
      <c r="E302">
        <v>202602</v>
      </c>
      <c r="F302" t="s">
        <v>226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1</v>
      </c>
    </row>
    <row r="303" spans="1:40" x14ac:dyDescent="0.3">
      <c r="A303" t="s">
        <v>8</v>
      </c>
      <c r="B303" t="s">
        <v>643</v>
      </c>
      <c r="C303" t="s">
        <v>10</v>
      </c>
      <c r="D303" t="s">
        <v>14</v>
      </c>
      <c r="E303">
        <v>202602</v>
      </c>
      <c r="F303" t="s">
        <v>128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2</v>
      </c>
      <c r="AM303">
        <v>0.33333333333333331</v>
      </c>
      <c r="AN303">
        <v>3.43424142790025</v>
      </c>
    </row>
    <row r="304" spans="1:40" x14ac:dyDescent="0.3">
      <c r="A304" t="s">
        <v>8</v>
      </c>
      <c r="B304" t="s">
        <v>643</v>
      </c>
      <c r="C304" t="s">
        <v>16</v>
      </c>
      <c r="D304" t="s">
        <v>11</v>
      </c>
      <c r="E304">
        <v>202602</v>
      </c>
      <c r="F304" t="s">
        <v>114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1</v>
      </c>
    </row>
    <row r="305" spans="1:40" x14ac:dyDescent="0.3">
      <c r="A305" t="s">
        <v>8</v>
      </c>
      <c r="B305" t="s">
        <v>643</v>
      </c>
      <c r="C305" t="s">
        <v>16</v>
      </c>
      <c r="D305" t="s">
        <v>14</v>
      </c>
      <c r="E305">
        <v>202602</v>
      </c>
      <c r="F305" t="s">
        <v>206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0.33333333333333331</v>
      </c>
      <c r="AN305">
        <v>2.43424142790025</v>
      </c>
    </row>
    <row r="306" spans="1:40" x14ac:dyDescent="0.3">
      <c r="A306" t="s">
        <v>8</v>
      </c>
      <c r="B306" t="s">
        <v>643</v>
      </c>
      <c r="C306" t="s">
        <v>16</v>
      </c>
      <c r="D306" t="s">
        <v>14</v>
      </c>
      <c r="E306">
        <v>202602</v>
      </c>
      <c r="F306" t="s">
        <v>114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1</v>
      </c>
    </row>
    <row r="307" spans="1:40" x14ac:dyDescent="0.3">
      <c r="A307" t="s">
        <v>8</v>
      </c>
      <c r="B307" t="s">
        <v>136</v>
      </c>
      <c r="C307" t="s">
        <v>10</v>
      </c>
      <c r="D307" t="s">
        <v>11</v>
      </c>
      <c r="E307">
        <v>202602</v>
      </c>
      <c r="F307" t="s">
        <v>42</v>
      </c>
      <c r="G307">
        <v>0</v>
      </c>
      <c r="H307">
        <v>0</v>
      </c>
      <c r="I307">
        <v>2</v>
      </c>
      <c r="J307">
        <v>3</v>
      </c>
      <c r="K307">
        <v>7</v>
      </c>
      <c r="L307">
        <v>3</v>
      </c>
      <c r="M307">
        <v>0</v>
      </c>
      <c r="N307">
        <v>0</v>
      </c>
      <c r="O307">
        <v>5</v>
      </c>
      <c r="P307">
        <v>4</v>
      </c>
      <c r="Q307">
        <v>8</v>
      </c>
      <c r="R307">
        <v>9</v>
      </c>
      <c r="S307">
        <v>6</v>
      </c>
      <c r="T307">
        <v>1</v>
      </c>
      <c r="U307">
        <v>0</v>
      </c>
      <c r="V307">
        <v>4</v>
      </c>
      <c r="W307">
        <v>0</v>
      </c>
      <c r="X307">
        <v>3</v>
      </c>
      <c r="Y307">
        <v>4</v>
      </c>
      <c r="Z307">
        <v>4</v>
      </c>
      <c r="AA307">
        <v>2</v>
      </c>
      <c r="AB307">
        <v>0</v>
      </c>
      <c r="AC307">
        <v>3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68</v>
      </c>
      <c r="AM307">
        <v>3.6666666666666665</v>
      </c>
      <c r="AN307">
        <v>86.476354849843659</v>
      </c>
    </row>
    <row r="308" spans="1:40" x14ac:dyDescent="0.3">
      <c r="A308" t="s">
        <v>8</v>
      </c>
      <c r="B308" t="s">
        <v>136</v>
      </c>
      <c r="C308" t="s">
        <v>10</v>
      </c>
      <c r="D308" t="s">
        <v>11</v>
      </c>
      <c r="E308">
        <v>202602</v>
      </c>
      <c r="F308" t="s">
        <v>102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</v>
      </c>
      <c r="AM308">
        <v>0</v>
      </c>
      <c r="AN308">
        <v>2</v>
      </c>
    </row>
    <row r="309" spans="1:40" x14ac:dyDescent="0.3">
      <c r="A309" t="s">
        <v>8</v>
      </c>
      <c r="B309" t="s">
        <v>136</v>
      </c>
      <c r="C309" t="s">
        <v>10</v>
      </c>
      <c r="D309" t="s">
        <v>11</v>
      </c>
      <c r="E309">
        <v>202602</v>
      </c>
      <c r="F309" t="s">
        <v>101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</v>
      </c>
      <c r="AM309">
        <v>0.33333333333333331</v>
      </c>
      <c r="AN309">
        <v>4.6796686227130611</v>
      </c>
    </row>
    <row r="310" spans="1:40" x14ac:dyDescent="0.3">
      <c r="A310" t="s">
        <v>8</v>
      </c>
      <c r="B310" t="s">
        <v>136</v>
      </c>
      <c r="C310" t="s">
        <v>10</v>
      </c>
      <c r="D310" t="s">
        <v>11</v>
      </c>
      <c r="E310">
        <v>202602</v>
      </c>
      <c r="F310" t="s">
        <v>137</v>
      </c>
      <c r="G310">
        <v>0</v>
      </c>
      <c r="H310">
        <v>1</v>
      </c>
      <c r="I310">
        <v>0</v>
      </c>
      <c r="J310">
        <v>1</v>
      </c>
      <c r="K310">
        <v>2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3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11</v>
      </c>
      <c r="AM310">
        <v>0.66666666666666663</v>
      </c>
      <c r="AN310">
        <v>14.359337245426122</v>
      </c>
    </row>
    <row r="311" spans="1:40" x14ac:dyDescent="0.3">
      <c r="A311" t="s">
        <v>8</v>
      </c>
      <c r="B311" t="s">
        <v>136</v>
      </c>
      <c r="C311" t="s">
        <v>10</v>
      </c>
      <c r="D311" t="s">
        <v>14</v>
      </c>
      <c r="E311">
        <v>202602</v>
      </c>
      <c r="F311" t="s">
        <v>42</v>
      </c>
      <c r="G311">
        <v>0</v>
      </c>
      <c r="H311">
        <v>3</v>
      </c>
      <c r="I311">
        <v>5</v>
      </c>
      <c r="J311">
        <v>8</v>
      </c>
      <c r="K311">
        <v>9</v>
      </c>
      <c r="L311">
        <v>11</v>
      </c>
      <c r="M311">
        <v>0</v>
      </c>
      <c r="N311">
        <v>0</v>
      </c>
      <c r="O311">
        <v>9</v>
      </c>
      <c r="P311">
        <v>5</v>
      </c>
      <c r="Q311">
        <v>8</v>
      </c>
      <c r="R311">
        <v>7</v>
      </c>
      <c r="S311">
        <v>8</v>
      </c>
      <c r="T311">
        <v>0</v>
      </c>
      <c r="U311">
        <v>0</v>
      </c>
      <c r="V311">
        <v>7</v>
      </c>
      <c r="W311">
        <v>0</v>
      </c>
      <c r="X311">
        <v>5</v>
      </c>
      <c r="Y311">
        <v>3</v>
      </c>
      <c r="Z311">
        <v>3</v>
      </c>
      <c r="AA311">
        <v>0</v>
      </c>
      <c r="AB311">
        <v>0</v>
      </c>
      <c r="AC311">
        <v>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95</v>
      </c>
      <c r="AM311">
        <v>3.3333333333333335</v>
      </c>
      <c r="AN311">
        <v>109.3424142790025</v>
      </c>
    </row>
    <row r="312" spans="1:40" x14ac:dyDescent="0.3">
      <c r="A312" t="s">
        <v>8</v>
      </c>
      <c r="B312" t="s">
        <v>136</v>
      </c>
      <c r="C312" t="s">
        <v>10</v>
      </c>
      <c r="D312" t="s">
        <v>14</v>
      </c>
      <c r="E312">
        <v>202602</v>
      </c>
      <c r="F312" t="s">
        <v>102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1</v>
      </c>
    </row>
    <row r="313" spans="1:40" x14ac:dyDescent="0.3">
      <c r="A313" t="s">
        <v>8</v>
      </c>
      <c r="B313" t="s">
        <v>136</v>
      </c>
      <c r="C313" t="s">
        <v>10</v>
      </c>
      <c r="D313" t="s">
        <v>14</v>
      </c>
      <c r="E313">
        <v>202602</v>
      </c>
      <c r="F313" t="s">
        <v>101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5</v>
      </c>
      <c r="AM313">
        <v>0.33333333333333331</v>
      </c>
      <c r="AN313">
        <v>6.4342414279002504</v>
      </c>
    </row>
    <row r="314" spans="1:40" x14ac:dyDescent="0.3">
      <c r="A314" t="s">
        <v>8</v>
      </c>
      <c r="B314" t="s">
        <v>136</v>
      </c>
      <c r="C314" t="s">
        <v>10</v>
      </c>
      <c r="D314" t="s">
        <v>14</v>
      </c>
      <c r="E314">
        <v>202602</v>
      </c>
      <c r="F314" t="s">
        <v>137</v>
      </c>
      <c r="G314">
        <v>0</v>
      </c>
      <c r="H314">
        <v>0</v>
      </c>
      <c r="I314">
        <v>1</v>
      </c>
      <c r="J314">
        <v>4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2</v>
      </c>
      <c r="R314">
        <v>3</v>
      </c>
      <c r="S314">
        <v>3</v>
      </c>
      <c r="T314">
        <v>0</v>
      </c>
      <c r="U314">
        <v>0</v>
      </c>
      <c r="V314">
        <v>1</v>
      </c>
      <c r="W314">
        <v>0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4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21</v>
      </c>
      <c r="AM314">
        <v>1.3333333333333333</v>
      </c>
      <c r="AN314">
        <v>26.736965711601002</v>
      </c>
    </row>
    <row r="315" spans="1:40" x14ac:dyDescent="0.3">
      <c r="A315" t="s">
        <v>8</v>
      </c>
      <c r="B315" t="s">
        <v>644</v>
      </c>
      <c r="C315" t="s">
        <v>10</v>
      </c>
      <c r="D315" t="s">
        <v>11</v>
      </c>
      <c r="E315">
        <v>202602</v>
      </c>
      <c r="F315" t="s">
        <v>101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9</v>
      </c>
      <c r="AM315">
        <v>0.66666666666666663</v>
      </c>
      <c r="AN315">
        <v>12.359337245426122</v>
      </c>
    </row>
    <row r="316" spans="1:40" x14ac:dyDescent="0.3">
      <c r="A316" t="s">
        <v>8</v>
      </c>
      <c r="B316" t="s">
        <v>644</v>
      </c>
      <c r="C316" t="s">
        <v>10</v>
      </c>
      <c r="D316" t="s">
        <v>11</v>
      </c>
      <c r="E316">
        <v>202602</v>
      </c>
      <c r="F316" t="s">
        <v>138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</v>
      </c>
      <c r="AM316">
        <v>0</v>
      </c>
      <c r="AN316">
        <v>3</v>
      </c>
    </row>
    <row r="317" spans="1:40" x14ac:dyDescent="0.3">
      <c r="A317" t="s">
        <v>8</v>
      </c>
      <c r="B317" t="s">
        <v>644</v>
      </c>
      <c r="C317" t="s">
        <v>10</v>
      </c>
      <c r="D317" t="s">
        <v>14</v>
      </c>
      <c r="E317">
        <v>202602</v>
      </c>
      <c r="F317" t="s">
        <v>101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3</v>
      </c>
      <c r="M317">
        <v>0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3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12</v>
      </c>
      <c r="AM317">
        <v>0.66666666666666663</v>
      </c>
      <c r="AN317">
        <v>14.868482855800501</v>
      </c>
    </row>
    <row r="318" spans="1:40" x14ac:dyDescent="0.3">
      <c r="A318" t="s">
        <v>8</v>
      </c>
      <c r="B318" t="s">
        <v>644</v>
      </c>
      <c r="C318" t="s">
        <v>10</v>
      </c>
      <c r="D318" t="s">
        <v>14</v>
      </c>
      <c r="E318">
        <v>202602</v>
      </c>
      <c r="F318" t="s">
        <v>138</v>
      </c>
      <c r="G318">
        <v>0</v>
      </c>
      <c r="H318">
        <v>1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7</v>
      </c>
      <c r="AM318">
        <v>0.33333333333333331</v>
      </c>
      <c r="AN318">
        <v>8.4342414279002504</v>
      </c>
    </row>
    <row r="319" spans="1:40" x14ac:dyDescent="0.3">
      <c r="A319" t="s">
        <v>8</v>
      </c>
      <c r="B319" t="s">
        <v>644</v>
      </c>
      <c r="C319" t="s">
        <v>16</v>
      </c>
      <c r="D319" t="s">
        <v>14</v>
      </c>
      <c r="E319">
        <v>202602</v>
      </c>
      <c r="F319" t="s">
        <v>138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0.33333333333333331</v>
      </c>
      <c r="AN319">
        <v>2.43424142790025</v>
      </c>
    </row>
    <row r="320" spans="1:40" x14ac:dyDescent="0.3">
      <c r="A320" t="s">
        <v>8</v>
      </c>
      <c r="B320" t="s">
        <v>139</v>
      </c>
      <c r="C320" t="s">
        <v>10</v>
      </c>
      <c r="D320" t="s">
        <v>11</v>
      </c>
      <c r="E320">
        <v>202602</v>
      </c>
      <c r="F320" t="s">
        <v>156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1</v>
      </c>
    </row>
    <row r="321" spans="1:40" x14ac:dyDescent="0.3">
      <c r="A321" t="s">
        <v>8</v>
      </c>
      <c r="B321" t="s">
        <v>139</v>
      </c>
      <c r="C321" t="s">
        <v>10</v>
      </c>
      <c r="D321" t="s">
        <v>11</v>
      </c>
      <c r="E321">
        <v>202602</v>
      </c>
      <c r="F321" t="s">
        <v>140</v>
      </c>
      <c r="G321">
        <v>0</v>
      </c>
      <c r="H321">
        <v>1</v>
      </c>
      <c r="I321">
        <v>2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1</v>
      </c>
      <c r="Q321">
        <v>2</v>
      </c>
      <c r="R321">
        <v>1</v>
      </c>
      <c r="S321">
        <v>3</v>
      </c>
      <c r="T321">
        <v>0</v>
      </c>
      <c r="U321">
        <v>0</v>
      </c>
      <c r="V321">
        <v>1</v>
      </c>
      <c r="W321">
        <v>0</v>
      </c>
      <c r="X321">
        <v>1</v>
      </c>
      <c r="Y321">
        <v>2</v>
      </c>
      <c r="Z321">
        <v>2</v>
      </c>
      <c r="AA321">
        <v>0</v>
      </c>
      <c r="AB321">
        <v>0</v>
      </c>
      <c r="AC321">
        <v>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21</v>
      </c>
      <c r="AM321">
        <v>2</v>
      </c>
      <c r="AN321">
        <v>31.078011736278363</v>
      </c>
    </row>
    <row r="322" spans="1:40" x14ac:dyDescent="0.3">
      <c r="A322" t="s">
        <v>8</v>
      </c>
      <c r="B322" t="s">
        <v>139</v>
      </c>
      <c r="C322" t="s">
        <v>10</v>
      </c>
      <c r="D322" t="s">
        <v>11</v>
      </c>
      <c r="E322">
        <v>202602</v>
      </c>
      <c r="F322" t="s">
        <v>141</v>
      </c>
      <c r="G322">
        <v>0</v>
      </c>
      <c r="H322">
        <v>0</v>
      </c>
      <c r="I322">
        <v>0</v>
      </c>
      <c r="J322">
        <v>2</v>
      </c>
      <c r="K322">
        <v>2</v>
      </c>
      <c r="L322">
        <v>3</v>
      </c>
      <c r="M322">
        <v>2</v>
      </c>
      <c r="N322">
        <v>0</v>
      </c>
      <c r="O322">
        <v>2</v>
      </c>
      <c r="P322">
        <v>1</v>
      </c>
      <c r="Q322">
        <v>2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3</v>
      </c>
      <c r="X322">
        <v>0</v>
      </c>
      <c r="Y322">
        <v>2</v>
      </c>
      <c r="Z322">
        <v>2</v>
      </c>
      <c r="AA322">
        <v>4</v>
      </c>
      <c r="AB322">
        <v>0</v>
      </c>
      <c r="AC322">
        <v>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32</v>
      </c>
      <c r="AM322">
        <v>3</v>
      </c>
      <c r="AN322">
        <v>47.117017604417548</v>
      </c>
    </row>
    <row r="323" spans="1:40" x14ac:dyDescent="0.3">
      <c r="A323" t="s">
        <v>8</v>
      </c>
      <c r="B323" t="s">
        <v>139</v>
      </c>
      <c r="C323" t="s">
        <v>10</v>
      </c>
      <c r="D323" t="s">
        <v>11</v>
      </c>
      <c r="E323">
        <v>202602</v>
      </c>
      <c r="F323" t="s">
        <v>142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3</v>
      </c>
      <c r="R323">
        <v>2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10</v>
      </c>
      <c r="AM323">
        <v>0.66666666666666663</v>
      </c>
      <c r="AN323">
        <v>13.359337245426122</v>
      </c>
    </row>
    <row r="324" spans="1:40" x14ac:dyDescent="0.3">
      <c r="A324" t="s">
        <v>8</v>
      </c>
      <c r="B324" t="s">
        <v>139</v>
      </c>
      <c r="C324" t="s">
        <v>10</v>
      </c>
      <c r="D324" t="s">
        <v>11</v>
      </c>
      <c r="E324">
        <v>202602</v>
      </c>
      <c r="F324" t="s">
        <v>143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6</v>
      </c>
      <c r="AM324">
        <v>0.33333333333333331</v>
      </c>
      <c r="AN324">
        <v>7.6796686227130611</v>
      </c>
    </row>
    <row r="325" spans="1:40" x14ac:dyDescent="0.3">
      <c r="A325" t="s">
        <v>8</v>
      </c>
      <c r="B325" t="s">
        <v>139</v>
      </c>
      <c r="C325" t="s">
        <v>10</v>
      </c>
      <c r="D325" t="s">
        <v>11</v>
      </c>
      <c r="E325">
        <v>202602</v>
      </c>
      <c r="F325" t="s">
        <v>144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2</v>
      </c>
      <c r="AM325">
        <v>0.33333333333333331</v>
      </c>
      <c r="AN325">
        <v>3.6796686227130611</v>
      </c>
    </row>
    <row r="326" spans="1:40" x14ac:dyDescent="0.3">
      <c r="A326" t="s">
        <v>8</v>
      </c>
      <c r="B326" t="s">
        <v>139</v>
      </c>
      <c r="C326" t="s">
        <v>10</v>
      </c>
      <c r="D326" t="s">
        <v>11</v>
      </c>
      <c r="E326">
        <v>202602</v>
      </c>
      <c r="F326" t="s">
        <v>145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2</v>
      </c>
      <c r="AM326">
        <v>0.33333333333333331</v>
      </c>
      <c r="AN326">
        <v>3.6796686227130611</v>
      </c>
    </row>
    <row r="327" spans="1:40" x14ac:dyDescent="0.3">
      <c r="A327" t="s">
        <v>8</v>
      </c>
      <c r="B327" t="s">
        <v>139</v>
      </c>
      <c r="C327" t="s">
        <v>10</v>
      </c>
      <c r="D327" t="s">
        <v>11</v>
      </c>
      <c r="E327">
        <v>202602</v>
      </c>
      <c r="F327" t="s">
        <v>683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1</v>
      </c>
    </row>
    <row r="328" spans="1:40" x14ac:dyDescent="0.3">
      <c r="A328" t="s">
        <v>8</v>
      </c>
      <c r="B328" t="s">
        <v>139</v>
      </c>
      <c r="C328" t="s">
        <v>10</v>
      </c>
      <c r="D328" t="s">
        <v>11</v>
      </c>
      <c r="E328">
        <v>202602</v>
      </c>
      <c r="F328" t="s">
        <v>146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1</v>
      </c>
    </row>
    <row r="329" spans="1:40" x14ac:dyDescent="0.3">
      <c r="A329" t="s">
        <v>8</v>
      </c>
      <c r="B329" t="s">
        <v>139</v>
      </c>
      <c r="C329" t="s">
        <v>10</v>
      </c>
      <c r="D329" t="s">
        <v>11</v>
      </c>
      <c r="E329">
        <v>202602</v>
      </c>
      <c r="F329" t="s">
        <v>147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1</v>
      </c>
    </row>
    <row r="330" spans="1:40" x14ac:dyDescent="0.3">
      <c r="A330" t="s">
        <v>8</v>
      </c>
      <c r="B330" t="s">
        <v>139</v>
      </c>
      <c r="C330" t="s">
        <v>10</v>
      </c>
      <c r="D330" t="s">
        <v>11</v>
      </c>
      <c r="E330">
        <v>202602</v>
      </c>
      <c r="F330" t="s">
        <v>148</v>
      </c>
      <c r="G330">
        <v>0</v>
      </c>
      <c r="H330">
        <v>0</v>
      </c>
      <c r="I330">
        <v>0</v>
      </c>
      <c r="J330">
        <v>0</v>
      </c>
      <c r="K330">
        <v>2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3</v>
      </c>
      <c r="AM330">
        <v>0</v>
      </c>
      <c r="AN330">
        <v>3</v>
      </c>
    </row>
    <row r="331" spans="1:40" x14ac:dyDescent="0.3">
      <c r="A331" t="s">
        <v>8</v>
      </c>
      <c r="B331" t="s">
        <v>139</v>
      </c>
      <c r="C331" t="s">
        <v>10</v>
      </c>
      <c r="D331" t="s">
        <v>11</v>
      </c>
      <c r="E331">
        <v>202602</v>
      </c>
      <c r="F331" t="s">
        <v>704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</v>
      </c>
      <c r="AM331">
        <v>0</v>
      </c>
      <c r="AN331">
        <v>2</v>
      </c>
    </row>
    <row r="332" spans="1:40" x14ac:dyDescent="0.3">
      <c r="A332" t="s">
        <v>8</v>
      </c>
      <c r="B332" t="s">
        <v>139</v>
      </c>
      <c r="C332" t="s">
        <v>10</v>
      </c>
      <c r="D332" t="s">
        <v>11</v>
      </c>
      <c r="E332">
        <v>202602</v>
      </c>
      <c r="F332" t="s">
        <v>149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</v>
      </c>
      <c r="AM332">
        <v>0</v>
      </c>
      <c r="AN332">
        <v>2</v>
      </c>
    </row>
    <row r="333" spans="1:40" x14ac:dyDescent="0.3">
      <c r="A333" t="s">
        <v>8</v>
      </c>
      <c r="B333" t="s">
        <v>139</v>
      </c>
      <c r="C333" t="s">
        <v>10</v>
      </c>
      <c r="D333" t="s">
        <v>11</v>
      </c>
      <c r="E333">
        <v>202602</v>
      </c>
      <c r="F333" t="s">
        <v>684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1</v>
      </c>
    </row>
    <row r="334" spans="1:40" x14ac:dyDescent="0.3">
      <c r="A334" t="s">
        <v>8</v>
      </c>
      <c r="B334" t="s">
        <v>139</v>
      </c>
      <c r="C334" t="s">
        <v>10</v>
      </c>
      <c r="D334" t="s">
        <v>11</v>
      </c>
      <c r="E334">
        <v>202602</v>
      </c>
      <c r="F334" t="s">
        <v>150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</v>
      </c>
      <c r="AM334">
        <v>0.33333333333333331</v>
      </c>
      <c r="AN334">
        <v>6.6796686227130611</v>
      </c>
    </row>
    <row r="335" spans="1:40" x14ac:dyDescent="0.3">
      <c r="A335" t="s">
        <v>8</v>
      </c>
      <c r="B335" t="s">
        <v>139</v>
      </c>
      <c r="C335" t="s">
        <v>10</v>
      </c>
      <c r="D335" t="s">
        <v>11</v>
      </c>
      <c r="E335">
        <v>202602</v>
      </c>
      <c r="F335" t="s">
        <v>151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</v>
      </c>
      <c r="AM335">
        <v>0</v>
      </c>
      <c r="AN335">
        <v>2</v>
      </c>
    </row>
    <row r="336" spans="1:40" x14ac:dyDescent="0.3">
      <c r="A336" t="s">
        <v>8</v>
      </c>
      <c r="B336" t="s">
        <v>139</v>
      </c>
      <c r="C336" t="s">
        <v>10</v>
      </c>
      <c r="D336" t="s">
        <v>11</v>
      </c>
      <c r="E336">
        <v>202602</v>
      </c>
      <c r="F336" t="s">
        <v>152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1</v>
      </c>
    </row>
    <row r="337" spans="1:40" x14ac:dyDescent="0.3">
      <c r="A337" t="s">
        <v>8</v>
      </c>
      <c r="B337" t="s">
        <v>139</v>
      </c>
      <c r="C337" t="s">
        <v>10</v>
      </c>
      <c r="D337" t="s">
        <v>11</v>
      </c>
      <c r="E337">
        <v>202602</v>
      </c>
      <c r="F337" t="s">
        <v>153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1</v>
      </c>
    </row>
    <row r="338" spans="1:40" x14ac:dyDescent="0.3">
      <c r="A338" t="s">
        <v>8</v>
      </c>
      <c r="B338" t="s">
        <v>139</v>
      </c>
      <c r="C338" t="s">
        <v>10</v>
      </c>
      <c r="D338" t="s">
        <v>11</v>
      </c>
      <c r="E338">
        <v>202602</v>
      </c>
      <c r="F338" t="s">
        <v>154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3</v>
      </c>
      <c r="AM338">
        <v>0</v>
      </c>
      <c r="AN338">
        <v>3</v>
      </c>
    </row>
    <row r="339" spans="1:40" x14ac:dyDescent="0.3">
      <c r="A339" t="s">
        <v>8</v>
      </c>
      <c r="B339" t="s">
        <v>139</v>
      </c>
      <c r="C339" t="s">
        <v>10</v>
      </c>
      <c r="D339" t="s">
        <v>11</v>
      </c>
      <c r="E339">
        <v>202602</v>
      </c>
      <c r="F339" t="s">
        <v>158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4</v>
      </c>
      <c r="AM339">
        <v>0</v>
      </c>
      <c r="AN339">
        <v>4</v>
      </c>
    </row>
    <row r="340" spans="1:40" x14ac:dyDescent="0.3">
      <c r="A340" t="s">
        <v>8</v>
      </c>
      <c r="B340" t="s">
        <v>139</v>
      </c>
      <c r="C340" t="s">
        <v>10</v>
      </c>
      <c r="D340" t="s">
        <v>11</v>
      </c>
      <c r="E340">
        <v>202602</v>
      </c>
      <c r="F340" t="s">
        <v>159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</v>
      </c>
      <c r="AM340">
        <v>0.66666666666666663</v>
      </c>
      <c r="AN340">
        <v>9.3593372454261221</v>
      </c>
    </row>
    <row r="341" spans="1:40" x14ac:dyDescent="0.3">
      <c r="A341" t="s">
        <v>8</v>
      </c>
      <c r="B341" t="s">
        <v>139</v>
      </c>
      <c r="C341" t="s">
        <v>10</v>
      </c>
      <c r="D341" t="s">
        <v>11</v>
      </c>
      <c r="E341">
        <v>202602</v>
      </c>
      <c r="F341" t="s">
        <v>160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</v>
      </c>
      <c r="AM341">
        <v>0</v>
      </c>
      <c r="AN341">
        <v>2</v>
      </c>
    </row>
    <row r="342" spans="1:40" x14ac:dyDescent="0.3">
      <c r="A342" t="s">
        <v>8</v>
      </c>
      <c r="B342" t="s">
        <v>139</v>
      </c>
      <c r="C342" t="s">
        <v>10</v>
      </c>
      <c r="D342" t="s">
        <v>11</v>
      </c>
      <c r="E342">
        <v>202602</v>
      </c>
      <c r="F342" t="s">
        <v>161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1</v>
      </c>
    </row>
    <row r="343" spans="1:40" x14ac:dyDescent="0.3">
      <c r="A343" t="s">
        <v>8</v>
      </c>
      <c r="B343" t="s">
        <v>139</v>
      </c>
      <c r="C343" t="s">
        <v>10</v>
      </c>
      <c r="D343" t="s">
        <v>11</v>
      </c>
      <c r="E343">
        <v>202602</v>
      </c>
      <c r="F343" t="s">
        <v>162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1</v>
      </c>
    </row>
    <row r="344" spans="1:40" x14ac:dyDescent="0.3">
      <c r="A344" t="s">
        <v>8</v>
      </c>
      <c r="B344" t="s">
        <v>139</v>
      </c>
      <c r="C344" t="s">
        <v>10</v>
      </c>
      <c r="D344" t="s">
        <v>11</v>
      </c>
      <c r="E344">
        <v>202602</v>
      </c>
      <c r="F344" t="s">
        <v>155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</row>
    <row r="345" spans="1:40" x14ac:dyDescent="0.3">
      <c r="A345" t="s">
        <v>8</v>
      </c>
      <c r="B345" t="s">
        <v>139</v>
      </c>
      <c r="C345" t="s">
        <v>10</v>
      </c>
      <c r="D345" t="s">
        <v>11</v>
      </c>
      <c r="E345">
        <v>202602</v>
      </c>
      <c r="F345" t="s">
        <v>685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0.33333333333333331</v>
      </c>
      <c r="AN345">
        <v>2.6796686227130611</v>
      </c>
    </row>
    <row r="346" spans="1:40" x14ac:dyDescent="0.3">
      <c r="A346" t="s">
        <v>8</v>
      </c>
      <c r="B346" t="s">
        <v>139</v>
      </c>
      <c r="C346" t="s">
        <v>10</v>
      </c>
      <c r="D346" t="s">
        <v>14</v>
      </c>
      <c r="E346">
        <v>202602</v>
      </c>
      <c r="F346" t="s">
        <v>156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0</v>
      </c>
      <c r="AB346">
        <v>0</v>
      </c>
      <c r="AC346">
        <v>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6</v>
      </c>
      <c r="AM346">
        <v>1.3333333333333333</v>
      </c>
      <c r="AN346">
        <v>11.736965711601</v>
      </c>
    </row>
    <row r="347" spans="1:40" x14ac:dyDescent="0.3">
      <c r="A347" t="s">
        <v>8</v>
      </c>
      <c r="B347" t="s">
        <v>139</v>
      </c>
      <c r="C347" t="s">
        <v>10</v>
      </c>
      <c r="D347" t="s">
        <v>14</v>
      </c>
      <c r="E347">
        <v>202602</v>
      </c>
      <c r="F347" t="s">
        <v>140</v>
      </c>
      <c r="G347">
        <v>0</v>
      </c>
      <c r="H347">
        <v>2</v>
      </c>
      <c r="I347">
        <v>1</v>
      </c>
      <c r="J347">
        <v>0</v>
      </c>
      <c r="K347">
        <v>1</v>
      </c>
      <c r="L347">
        <v>2</v>
      </c>
      <c r="M347">
        <v>2</v>
      </c>
      <c r="N347">
        <v>0</v>
      </c>
      <c r="O347">
        <v>2</v>
      </c>
      <c r="P347">
        <v>1</v>
      </c>
      <c r="Q347">
        <v>1</v>
      </c>
      <c r="R347">
        <v>2</v>
      </c>
      <c r="S347">
        <v>2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3</v>
      </c>
      <c r="Z347">
        <v>4</v>
      </c>
      <c r="AA347">
        <v>0</v>
      </c>
      <c r="AB347">
        <v>0</v>
      </c>
      <c r="AC347">
        <v>4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29</v>
      </c>
      <c r="AM347">
        <v>3.6666666666666665</v>
      </c>
      <c r="AN347">
        <v>44.776655706902751</v>
      </c>
    </row>
    <row r="348" spans="1:40" x14ac:dyDescent="0.3">
      <c r="A348" t="s">
        <v>8</v>
      </c>
      <c r="B348" t="s">
        <v>139</v>
      </c>
      <c r="C348" t="s">
        <v>10</v>
      </c>
      <c r="D348" t="s">
        <v>14</v>
      </c>
      <c r="E348">
        <v>202602</v>
      </c>
      <c r="F348" t="s">
        <v>141</v>
      </c>
      <c r="G348">
        <v>0</v>
      </c>
      <c r="H348">
        <v>2</v>
      </c>
      <c r="I348">
        <v>3</v>
      </c>
      <c r="J348">
        <v>4</v>
      </c>
      <c r="K348">
        <v>1</v>
      </c>
      <c r="L348">
        <v>2</v>
      </c>
      <c r="M348">
        <v>2</v>
      </c>
      <c r="N348">
        <v>0</v>
      </c>
      <c r="O348">
        <v>3</v>
      </c>
      <c r="P348">
        <v>3</v>
      </c>
      <c r="Q348">
        <v>3</v>
      </c>
      <c r="R348">
        <v>0</v>
      </c>
      <c r="S348">
        <v>3</v>
      </c>
      <c r="T348">
        <v>0</v>
      </c>
      <c r="U348">
        <v>0</v>
      </c>
      <c r="V348">
        <v>1</v>
      </c>
      <c r="W348">
        <v>0</v>
      </c>
      <c r="X348">
        <v>2</v>
      </c>
      <c r="Y348">
        <v>5</v>
      </c>
      <c r="Z348">
        <v>7</v>
      </c>
      <c r="AA348">
        <v>0</v>
      </c>
      <c r="AB348">
        <v>0</v>
      </c>
      <c r="AC348">
        <v>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43</v>
      </c>
      <c r="AM348">
        <v>4.666666666666667</v>
      </c>
      <c r="AN348">
        <v>63.079379990603499</v>
      </c>
    </row>
    <row r="349" spans="1:40" x14ac:dyDescent="0.3">
      <c r="A349" t="s">
        <v>8</v>
      </c>
      <c r="B349" t="s">
        <v>139</v>
      </c>
      <c r="C349" t="s">
        <v>10</v>
      </c>
      <c r="D349" t="s">
        <v>14</v>
      </c>
      <c r="E349">
        <v>202602</v>
      </c>
      <c r="F349" t="s">
        <v>142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3</v>
      </c>
      <c r="Q349">
        <v>2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3</v>
      </c>
      <c r="Y349">
        <v>0</v>
      </c>
      <c r="Z349">
        <v>1</v>
      </c>
      <c r="AA349">
        <v>0</v>
      </c>
      <c r="AB349">
        <v>0</v>
      </c>
      <c r="AC349">
        <v>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14</v>
      </c>
      <c r="AM349">
        <v>1</v>
      </c>
      <c r="AN349">
        <v>18.302724283700751</v>
      </c>
    </row>
    <row r="350" spans="1:40" x14ac:dyDescent="0.3">
      <c r="A350" t="s">
        <v>8</v>
      </c>
      <c r="B350" t="s">
        <v>139</v>
      </c>
      <c r="C350" t="s">
        <v>10</v>
      </c>
      <c r="D350" t="s">
        <v>14</v>
      </c>
      <c r="E350">
        <v>202602</v>
      </c>
      <c r="F350" t="s">
        <v>143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2</v>
      </c>
      <c r="M350">
        <v>0</v>
      </c>
      <c r="N350">
        <v>0</v>
      </c>
      <c r="O350">
        <v>1</v>
      </c>
      <c r="P350">
        <v>1</v>
      </c>
      <c r="Q350">
        <v>1</v>
      </c>
      <c r="R350">
        <v>0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1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13</v>
      </c>
      <c r="AM350">
        <v>1</v>
      </c>
      <c r="AN350">
        <v>17.302724283700751</v>
      </c>
    </row>
    <row r="351" spans="1:40" x14ac:dyDescent="0.3">
      <c r="A351" t="s">
        <v>8</v>
      </c>
      <c r="B351" t="s">
        <v>139</v>
      </c>
      <c r="C351" t="s">
        <v>10</v>
      </c>
      <c r="D351" t="s">
        <v>14</v>
      </c>
      <c r="E351">
        <v>202602</v>
      </c>
      <c r="F351" t="s">
        <v>144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3</v>
      </c>
      <c r="AM351">
        <v>0.66666666666666663</v>
      </c>
      <c r="AN351">
        <v>5.8684828558005</v>
      </c>
    </row>
    <row r="352" spans="1:40" x14ac:dyDescent="0.3">
      <c r="A352" t="s">
        <v>8</v>
      </c>
      <c r="B352" t="s">
        <v>139</v>
      </c>
      <c r="C352" t="s">
        <v>10</v>
      </c>
      <c r="D352" t="s">
        <v>14</v>
      </c>
      <c r="E352">
        <v>202602</v>
      </c>
      <c r="F352" t="s">
        <v>145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</v>
      </c>
      <c r="AM352">
        <v>0</v>
      </c>
      <c r="AN352">
        <v>2</v>
      </c>
    </row>
    <row r="353" spans="1:40" x14ac:dyDescent="0.3">
      <c r="A353" t="s">
        <v>8</v>
      </c>
      <c r="B353" t="s">
        <v>139</v>
      </c>
      <c r="C353" t="s">
        <v>10</v>
      </c>
      <c r="D353" t="s">
        <v>14</v>
      </c>
      <c r="E353">
        <v>202602</v>
      </c>
      <c r="F353" t="s">
        <v>683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1</v>
      </c>
    </row>
    <row r="354" spans="1:40" x14ac:dyDescent="0.3">
      <c r="A354" t="s">
        <v>8</v>
      </c>
      <c r="B354" t="s">
        <v>139</v>
      </c>
      <c r="C354" t="s">
        <v>10</v>
      </c>
      <c r="D354" t="s">
        <v>14</v>
      </c>
      <c r="E354">
        <v>202602</v>
      </c>
      <c r="F354" t="s">
        <v>146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1</v>
      </c>
    </row>
    <row r="355" spans="1:40" x14ac:dyDescent="0.3">
      <c r="A355" t="s">
        <v>8</v>
      </c>
      <c r="B355" t="s">
        <v>139</v>
      </c>
      <c r="C355" t="s">
        <v>10</v>
      </c>
      <c r="D355" t="s">
        <v>14</v>
      </c>
      <c r="E355">
        <v>202602</v>
      </c>
      <c r="F355" t="s">
        <v>147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1</v>
      </c>
    </row>
    <row r="356" spans="1:40" x14ac:dyDescent="0.3">
      <c r="A356" t="s">
        <v>8</v>
      </c>
      <c r="B356" t="s">
        <v>139</v>
      </c>
      <c r="C356" t="s">
        <v>10</v>
      </c>
      <c r="D356" t="s">
        <v>14</v>
      </c>
      <c r="E356">
        <v>202602</v>
      </c>
      <c r="F356" t="s">
        <v>157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1</v>
      </c>
    </row>
    <row r="357" spans="1:40" x14ac:dyDescent="0.3">
      <c r="A357" t="s">
        <v>8</v>
      </c>
      <c r="B357" t="s">
        <v>139</v>
      </c>
      <c r="C357" t="s">
        <v>10</v>
      </c>
      <c r="D357" t="s">
        <v>14</v>
      </c>
      <c r="E357">
        <v>202602</v>
      </c>
      <c r="F357" t="s">
        <v>148</v>
      </c>
      <c r="G357">
        <v>0</v>
      </c>
      <c r="H357">
        <v>1</v>
      </c>
      <c r="I357">
        <v>0</v>
      </c>
      <c r="J357">
        <v>3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</v>
      </c>
      <c r="AM357">
        <v>0</v>
      </c>
      <c r="AN357">
        <v>6</v>
      </c>
    </row>
    <row r="358" spans="1:40" x14ac:dyDescent="0.3">
      <c r="A358" t="s">
        <v>8</v>
      </c>
      <c r="B358" t="s">
        <v>139</v>
      </c>
      <c r="C358" t="s">
        <v>10</v>
      </c>
      <c r="D358" t="s">
        <v>14</v>
      </c>
      <c r="E358">
        <v>202602</v>
      </c>
      <c r="F358" t="s">
        <v>704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</v>
      </c>
      <c r="AM358">
        <v>0</v>
      </c>
      <c r="AN358">
        <v>2</v>
      </c>
    </row>
    <row r="359" spans="1:40" x14ac:dyDescent="0.3">
      <c r="A359" t="s">
        <v>8</v>
      </c>
      <c r="B359" t="s">
        <v>139</v>
      </c>
      <c r="C359" t="s">
        <v>10</v>
      </c>
      <c r="D359" t="s">
        <v>14</v>
      </c>
      <c r="E359">
        <v>202602</v>
      </c>
      <c r="F359" t="s">
        <v>149</v>
      </c>
      <c r="G359">
        <v>0</v>
      </c>
      <c r="H359">
        <v>0</v>
      </c>
      <c r="I359">
        <v>0</v>
      </c>
      <c r="J359">
        <v>0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</v>
      </c>
      <c r="AM359">
        <v>0</v>
      </c>
      <c r="AN359">
        <v>2</v>
      </c>
    </row>
    <row r="360" spans="1:40" x14ac:dyDescent="0.3">
      <c r="A360" t="s">
        <v>8</v>
      </c>
      <c r="B360" t="s">
        <v>139</v>
      </c>
      <c r="C360" t="s">
        <v>10</v>
      </c>
      <c r="D360" t="s">
        <v>14</v>
      </c>
      <c r="E360">
        <v>202602</v>
      </c>
      <c r="F360" t="s">
        <v>684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1</v>
      </c>
    </row>
    <row r="361" spans="1:40" x14ac:dyDescent="0.3">
      <c r="A361" t="s">
        <v>8</v>
      </c>
      <c r="B361" t="s">
        <v>139</v>
      </c>
      <c r="C361" t="s">
        <v>10</v>
      </c>
      <c r="D361" t="s">
        <v>14</v>
      </c>
      <c r="E361">
        <v>202602</v>
      </c>
      <c r="F361" t="s">
        <v>150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</v>
      </c>
      <c r="AM361">
        <v>0.33333333333333331</v>
      </c>
      <c r="AN361">
        <v>6.4342414279002504</v>
      </c>
    </row>
    <row r="362" spans="1:40" x14ac:dyDescent="0.3">
      <c r="A362" t="s">
        <v>8</v>
      </c>
      <c r="B362" t="s">
        <v>139</v>
      </c>
      <c r="C362" t="s">
        <v>10</v>
      </c>
      <c r="D362" t="s">
        <v>14</v>
      </c>
      <c r="E362">
        <v>202602</v>
      </c>
      <c r="F362" t="s">
        <v>151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</v>
      </c>
      <c r="AM362">
        <v>0</v>
      </c>
      <c r="AN362">
        <v>2</v>
      </c>
    </row>
    <row r="363" spans="1:40" x14ac:dyDescent="0.3">
      <c r="A363" t="s">
        <v>8</v>
      </c>
      <c r="B363" t="s">
        <v>139</v>
      </c>
      <c r="C363" t="s">
        <v>10</v>
      </c>
      <c r="D363" t="s">
        <v>14</v>
      </c>
      <c r="E363">
        <v>202602</v>
      </c>
      <c r="F363" t="s">
        <v>152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</row>
    <row r="364" spans="1:40" x14ac:dyDescent="0.3">
      <c r="A364" t="s">
        <v>8</v>
      </c>
      <c r="B364" t="s">
        <v>139</v>
      </c>
      <c r="C364" t="s">
        <v>10</v>
      </c>
      <c r="D364" t="s">
        <v>14</v>
      </c>
      <c r="E364">
        <v>202602</v>
      </c>
      <c r="F364" t="s">
        <v>153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1</v>
      </c>
    </row>
    <row r="365" spans="1:40" x14ac:dyDescent="0.3">
      <c r="A365" t="s">
        <v>8</v>
      </c>
      <c r="B365" t="s">
        <v>139</v>
      </c>
      <c r="C365" t="s">
        <v>10</v>
      </c>
      <c r="D365" t="s">
        <v>14</v>
      </c>
      <c r="E365">
        <v>202602</v>
      </c>
      <c r="F365" t="s">
        <v>154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</v>
      </c>
      <c r="AM365">
        <v>0</v>
      </c>
      <c r="AN365">
        <v>2</v>
      </c>
    </row>
    <row r="366" spans="1:40" x14ac:dyDescent="0.3">
      <c r="A366" t="s">
        <v>8</v>
      </c>
      <c r="B366" t="s">
        <v>139</v>
      </c>
      <c r="C366" t="s">
        <v>10</v>
      </c>
      <c r="D366" t="s">
        <v>14</v>
      </c>
      <c r="E366">
        <v>202602</v>
      </c>
      <c r="F366" t="s">
        <v>158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5</v>
      </c>
      <c r="AM366">
        <v>0</v>
      </c>
      <c r="AN366">
        <v>5</v>
      </c>
    </row>
    <row r="367" spans="1:40" x14ac:dyDescent="0.3">
      <c r="A367" t="s">
        <v>8</v>
      </c>
      <c r="B367" t="s">
        <v>139</v>
      </c>
      <c r="C367" t="s">
        <v>10</v>
      </c>
      <c r="D367" t="s">
        <v>14</v>
      </c>
      <c r="E367">
        <v>202602</v>
      </c>
      <c r="F367" t="s">
        <v>159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6</v>
      </c>
      <c r="AM367">
        <v>0.66666666666666663</v>
      </c>
      <c r="AN367">
        <v>8.8684828558005009</v>
      </c>
    </row>
    <row r="368" spans="1:40" x14ac:dyDescent="0.3">
      <c r="A368" t="s">
        <v>8</v>
      </c>
      <c r="B368" t="s">
        <v>139</v>
      </c>
      <c r="C368" t="s">
        <v>10</v>
      </c>
      <c r="D368" t="s">
        <v>14</v>
      </c>
      <c r="E368">
        <v>202602</v>
      </c>
      <c r="F368" t="s">
        <v>160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</v>
      </c>
      <c r="AM368">
        <v>0</v>
      </c>
      <c r="AN368">
        <v>2</v>
      </c>
    </row>
    <row r="369" spans="1:40" x14ac:dyDescent="0.3">
      <c r="A369" t="s">
        <v>8</v>
      </c>
      <c r="B369" t="s">
        <v>139</v>
      </c>
      <c r="C369" t="s">
        <v>10</v>
      </c>
      <c r="D369" t="s">
        <v>14</v>
      </c>
      <c r="E369">
        <v>202602</v>
      </c>
      <c r="F369" t="s">
        <v>705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1</v>
      </c>
    </row>
    <row r="370" spans="1:40" x14ac:dyDescent="0.3">
      <c r="A370" t="s">
        <v>8</v>
      </c>
      <c r="B370" t="s">
        <v>139</v>
      </c>
      <c r="C370" t="s">
        <v>10</v>
      </c>
      <c r="D370" t="s">
        <v>14</v>
      </c>
      <c r="E370">
        <v>202602</v>
      </c>
      <c r="F370" t="s">
        <v>161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</row>
    <row r="371" spans="1:40" x14ac:dyDescent="0.3">
      <c r="A371" t="s">
        <v>8</v>
      </c>
      <c r="B371" t="s">
        <v>139</v>
      </c>
      <c r="C371" t="s">
        <v>10</v>
      </c>
      <c r="D371" t="s">
        <v>14</v>
      </c>
      <c r="E371">
        <v>202602</v>
      </c>
      <c r="F371" t="s">
        <v>162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1</v>
      </c>
    </row>
    <row r="372" spans="1:40" x14ac:dyDescent="0.3">
      <c r="A372" t="s">
        <v>8</v>
      </c>
      <c r="B372" t="s">
        <v>139</v>
      </c>
      <c r="C372" t="s">
        <v>10</v>
      </c>
      <c r="D372" t="s">
        <v>14</v>
      </c>
      <c r="E372">
        <v>202602</v>
      </c>
      <c r="F372" t="s">
        <v>155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1</v>
      </c>
    </row>
    <row r="373" spans="1:40" x14ac:dyDescent="0.3">
      <c r="A373" t="s">
        <v>8</v>
      </c>
      <c r="B373" t="s">
        <v>139</v>
      </c>
      <c r="C373" t="s">
        <v>10</v>
      </c>
      <c r="D373" t="s">
        <v>14</v>
      </c>
      <c r="E373">
        <v>202602</v>
      </c>
      <c r="F373" t="s">
        <v>685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1</v>
      </c>
    </row>
    <row r="374" spans="1:40" x14ac:dyDescent="0.3">
      <c r="A374" t="s">
        <v>8</v>
      </c>
      <c r="B374" t="s">
        <v>139</v>
      </c>
      <c r="C374" t="s">
        <v>16</v>
      </c>
      <c r="D374" t="s">
        <v>11</v>
      </c>
      <c r="E374">
        <v>202602</v>
      </c>
      <c r="F374" t="s">
        <v>706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1</v>
      </c>
    </row>
    <row r="375" spans="1:40" x14ac:dyDescent="0.3">
      <c r="A375" t="s">
        <v>8</v>
      </c>
      <c r="B375" t="s">
        <v>139</v>
      </c>
      <c r="C375" t="s">
        <v>16</v>
      </c>
      <c r="D375" t="s">
        <v>11</v>
      </c>
      <c r="E375">
        <v>202602</v>
      </c>
      <c r="F375" t="s">
        <v>142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0.33333333333333331</v>
      </c>
      <c r="AN375">
        <v>2.6796686227130611</v>
      </c>
    </row>
    <row r="376" spans="1:40" x14ac:dyDescent="0.3">
      <c r="A376" t="s">
        <v>8</v>
      </c>
      <c r="B376" t="s">
        <v>139</v>
      </c>
      <c r="C376" t="s">
        <v>16</v>
      </c>
      <c r="D376" t="s">
        <v>11</v>
      </c>
      <c r="E376">
        <v>202602</v>
      </c>
      <c r="F376" t="s">
        <v>163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</v>
      </c>
      <c r="AM376">
        <v>0.33333333333333331</v>
      </c>
      <c r="AN376">
        <v>3.6796686227130611</v>
      </c>
    </row>
    <row r="377" spans="1:40" x14ac:dyDescent="0.3">
      <c r="A377" t="s">
        <v>8</v>
      </c>
      <c r="B377" t="s">
        <v>139</v>
      </c>
      <c r="C377" t="s">
        <v>16</v>
      </c>
      <c r="D377" t="s">
        <v>11</v>
      </c>
      <c r="E377">
        <v>202602</v>
      </c>
      <c r="F377" t="s">
        <v>146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1</v>
      </c>
    </row>
    <row r="378" spans="1:40" x14ac:dyDescent="0.3">
      <c r="A378" t="s">
        <v>8</v>
      </c>
      <c r="B378" t="s">
        <v>139</v>
      </c>
      <c r="C378" t="s">
        <v>16</v>
      </c>
      <c r="D378" t="s">
        <v>14</v>
      </c>
      <c r="E378">
        <v>202602</v>
      </c>
      <c r="F378" t="s">
        <v>706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2</v>
      </c>
      <c r="AM378">
        <v>0</v>
      </c>
      <c r="AN378">
        <v>2</v>
      </c>
    </row>
    <row r="379" spans="1:40" x14ac:dyDescent="0.3">
      <c r="A379" t="s">
        <v>8</v>
      </c>
      <c r="B379" t="s">
        <v>139</v>
      </c>
      <c r="C379" t="s">
        <v>16</v>
      </c>
      <c r="D379" t="s">
        <v>14</v>
      </c>
      <c r="E379">
        <v>202602</v>
      </c>
      <c r="F379" t="s">
        <v>142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0.33333333333333331</v>
      </c>
      <c r="AN379">
        <v>2.43424142790025</v>
      </c>
    </row>
    <row r="380" spans="1:40" x14ac:dyDescent="0.3">
      <c r="A380" t="s">
        <v>8</v>
      </c>
      <c r="B380" t="s">
        <v>139</v>
      </c>
      <c r="C380" t="s">
        <v>16</v>
      </c>
      <c r="D380" t="s">
        <v>14</v>
      </c>
      <c r="E380">
        <v>202602</v>
      </c>
      <c r="F380" t="s">
        <v>163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</v>
      </c>
      <c r="AM380">
        <v>0.33333333333333331</v>
      </c>
      <c r="AN380">
        <v>3.43424142790025</v>
      </c>
    </row>
    <row r="381" spans="1:40" x14ac:dyDescent="0.3">
      <c r="A381" t="s">
        <v>8</v>
      </c>
      <c r="B381" t="s">
        <v>139</v>
      </c>
      <c r="C381" t="s">
        <v>16</v>
      </c>
      <c r="D381" t="s">
        <v>14</v>
      </c>
      <c r="E381">
        <v>202602</v>
      </c>
      <c r="F381" t="s">
        <v>146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1</v>
      </c>
    </row>
    <row r="382" spans="1:40" x14ac:dyDescent="0.3">
      <c r="A382" t="s">
        <v>8</v>
      </c>
      <c r="B382" t="s">
        <v>656</v>
      </c>
      <c r="C382" t="s">
        <v>10</v>
      </c>
      <c r="D382" t="s">
        <v>11</v>
      </c>
      <c r="E382">
        <v>202602</v>
      </c>
      <c r="F382" t="s">
        <v>171</v>
      </c>
      <c r="G382">
        <v>0</v>
      </c>
      <c r="H382">
        <v>4</v>
      </c>
      <c r="I382">
        <v>2</v>
      </c>
      <c r="J382">
        <v>7</v>
      </c>
      <c r="K382">
        <v>13</v>
      </c>
      <c r="L382">
        <v>15</v>
      </c>
      <c r="M382">
        <v>9</v>
      </c>
      <c r="N382">
        <v>0</v>
      </c>
      <c r="O382">
        <v>9</v>
      </c>
      <c r="P382">
        <v>5</v>
      </c>
      <c r="Q382">
        <v>9</v>
      </c>
      <c r="R382">
        <v>8</v>
      </c>
      <c r="S382">
        <v>10</v>
      </c>
      <c r="T382">
        <v>5</v>
      </c>
      <c r="U382">
        <v>0</v>
      </c>
      <c r="V382">
        <v>9</v>
      </c>
      <c r="W382">
        <v>4</v>
      </c>
      <c r="X382">
        <v>7</v>
      </c>
      <c r="Y382">
        <v>9</v>
      </c>
      <c r="Z382">
        <v>7</v>
      </c>
      <c r="AA382">
        <v>8</v>
      </c>
      <c r="AB382">
        <v>0</v>
      </c>
      <c r="AC382">
        <v>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149</v>
      </c>
      <c r="AM382">
        <v>8.3333333333333339</v>
      </c>
      <c r="AN382">
        <v>190.99171556782653</v>
      </c>
    </row>
    <row r="383" spans="1:40" x14ac:dyDescent="0.3">
      <c r="A383" t="s">
        <v>8</v>
      </c>
      <c r="B383" t="s">
        <v>656</v>
      </c>
      <c r="C383" t="s">
        <v>10</v>
      </c>
      <c r="D383" t="s">
        <v>14</v>
      </c>
      <c r="E383">
        <v>202602</v>
      </c>
      <c r="F383" t="s">
        <v>171</v>
      </c>
      <c r="G383">
        <v>0</v>
      </c>
      <c r="H383">
        <v>9</v>
      </c>
      <c r="I383">
        <v>11</v>
      </c>
      <c r="J383">
        <v>13</v>
      </c>
      <c r="K383">
        <v>20</v>
      </c>
      <c r="L383">
        <v>10</v>
      </c>
      <c r="M383">
        <v>4</v>
      </c>
      <c r="N383">
        <v>0</v>
      </c>
      <c r="O383">
        <v>8</v>
      </c>
      <c r="P383">
        <v>11</v>
      </c>
      <c r="Q383">
        <v>7</v>
      </c>
      <c r="R383">
        <v>12</v>
      </c>
      <c r="S383">
        <v>10</v>
      </c>
      <c r="T383">
        <v>3</v>
      </c>
      <c r="U383">
        <v>0</v>
      </c>
      <c r="V383">
        <v>7</v>
      </c>
      <c r="W383">
        <v>2</v>
      </c>
      <c r="X383">
        <v>12</v>
      </c>
      <c r="Y383">
        <v>11</v>
      </c>
      <c r="Z383">
        <v>11</v>
      </c>
      <c r="AA383">
        <v>4</v>
      </c>
      <c r="AB383">
        <v>0</v>
      </c>
      <c r="AC383">
        <v>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176</v>
      </c>
      <c r="AM383">
        <v>11</v>
      </c>
      <c r="AN383">
        <v>223.32996712070826</v>
      </c>
    </row>
    <row r="384" spans="1:40" x14ac:dyDescent="0.3">
      <c r="A384" t="s">
        <v>8</v>
      </c>
      <c r="B384" t="s">
        <v>656</v>
      </c>
      <c r="C384" t="s">
        <v>16</v>
      </c>
      <c r="D384" t="s">
        <v>11</v>
      </c>
      <c r="E384">
        <v>202602</v>
      </c>
      <c r="F384" t="s">
        <v>171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</v>
      </c>
      <c r="AM384">
        <v>0.33333333333333331</v>
      </c>
      <c r="AN384">
        <v>3.6796686227130611</v>
      </c>
    </row>
    <row r="385" spans="1:40" x14ac:dyDescent="0.3">
      <c r="A385" t="s">
        <v>8</v>
      </c>
      <c r="B385" t="s">
        <v>656</v>
      </c>
      <c r="C385" t="s">
        <v>16</v>
      </c>
      <c r="D385" t="s">
        <v>14</v>
      </c>
      <c r="E385">
        <v>202602</v>
      </c>
      <c r="F385" t="s">
        <v>171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3</v>
      </c>
      <c r="AM385">
        <v>0.33333333333333331</v>
      </c>
      <c r="AN385">
        <v>4.4342414279002504</v>
      </c>
    </row>
    <row r="386" spans="1:40" x14ac:dyDescent="0.3">
      <c r="A386" t="s">
        <v>8</v>
      </c>
      <c r="B386" t="s">
        <v>164</v>
      </c>
      <c r="C386" t="s">
        <v>10</v>
      </c>
      <c r="D386" t="s">
        <v>11</v>
      </c>
      <c r="E386">
        <v>202602</v>
      </c>
      <c r="F386" t="s">
        <v>18</v>
      </c>
      <c r="G386">
        <v>0</v>
      </c>
      <c r="H386">
        <v>12</v>
      </c>
      <c r="I386">
        <v>7</v>
      </c>
      <c r="J386">
        <v>10</v>
      </c>
      <c r="K386">
        <v>11</v>
      </c>
      <c r="L386">
        <v>6</v>
      </c>
      <c r="M386">
        <v>4</v>
      </c>
      <c r="N386">
        <v>1</v>
      </c>
      <c r="O386">
        <v>7</v>
      </c>
      <c r="P386">
        <v>8</v>
      </c>
      <c r="Q386">
        <v>10</v>
      </c>
      <c r="R386">
        <v>15</v>
      </c>
      <c r="S386">
        <v>14</v>
      </c>
      <c r="T386">
        <v>7</v>
      </c>
      <c r="U386">
        <v>0</v>
      </c>
      <c r="V386">
        <v>15</v>
      </c>
      <c r="W386">
        <v>9</v>
      </c>
      <c r="X386">
        <v>10</v>
      </c>
      <c r="Y386">
        <v>13</v>
      </c>
      <c r="Z386">
        <v>18</v>
      </c>
      <c r="AA386">
        <v>8</v>
      </c>
      <c r="AB386">
        <v>4</v>
      </c>
      <c r="AC386">
        <v>9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198</v>
      </c>
      <c r="AM386">
        <v>13.333333333333334</v>
      </c>
      <c r="AN386">
        <v>265.18674490852243</v>
      </c>
    </row>
    <row r="387" spans="1:40" x14ac:dyDescent="0.3">
      <c r="A387" t="s">
        <v>8</v>
      </c>
      <c r="B387" t="s">
        <v>164</v>
      </c>
      <c r="C387" t="s">
        <v>10</v>
      </c>
      <c r="D387" t="s">
        <v>11</v>
      </c>
      <c r="E387">
        <v>202602</v>
      </c>
      <c r="F387" t="s">
        <v>138</v>
      </c>
      <c r="G387">
        <v>0</v>
      </c>
      <c r="H387">
        <v>6</v>
      </c>
      <c r="I387">
        <v>9</v>
      </c>
      <c r="J387">
        <v>11</v>
      </c>
      <c r="K387">
        <v>9</v>
      </c>
      <c r="L387">
        <v>13</v>
      </c>
      <c r="M387">
        <v>5</v>
      </c>
      <c r="N387">
        <v>0</v>
      </c>
      <c r="O387">
        <v>3</v>
      </c>
      <c r="P387">
        <v>8</v>
      </c>
      <c r="Q387">
        <v>8</v>
      </c>
      <c r="R387">
        <v>11</v>
      </c>
      <c r="S387">
        <v>14</v>
      </c>
      <c r="T387">
        <v>7</v>
      </c>
      <c r="U387">
        <v>0</v>
      </c>
      <c r="V387">
        <v>6</v>
      </c>
      <c r="W387">
        <v>5</v>
      </c>
      <c r="X387">
        <v>10</v>
      </c>
      <c r="Y387">
        <v>5</v>
      </c>
      <c r="Z387">
        <v>12</v>
      </c>
      <c r="AA387">
        <v>6</v>
      </c>
      <c r="AB387">
        <v>1</v>
      </c>
      <c r="AC387">
        <v>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160</v>
      </c>
      <c r="AM387">
        <v>9.3333333333333339</v>
      </c>
      <c r="AN387">
        <v>207.03072143596569</v>
      </c>
    </row>
    <row r="388" spans="1:40" x14ac:dyDescent="0.3">
      <c r="A388" t="s">
        <v>8</v>
      </c>
      <c r="B388" t="s">
        <v>164</v>
      </c>
      <c r="C388" t="s">
        <v>10</v>
      </c>
      <c r="D388" t="s">
        <v>14</v>
      </c>
      <c r="E388">
        <v>202602</v>
      </c>
      <c r="F388" t="s">
        <v>18</v>
      </c>
      <c r="G388">
        <v>1</v>
      </c>
      <c r="H388">
        <v>15</v>
      </c>
      <c r="I388">
        <v>13</v>
      </c>
      <c r="J388">
        <v>10</v>
      </c>
      <c r="K388">
        <v>7</v>
      </c>
      <c r="L388">
        <v>6</v>
      </c>
      <c r="M388">
        <v>6</v>
      </c>
      <c r="N388">
        <v>3</v>
      </c>
      <c r="O388">
        <v>17</v>
      </c>
      <c r="P388">
        <v>23</v>
      </c>
      <c r="Q388">
        <v>13</v>
      </c>
      <c r="R388">
        <v>11</v>
      </c>
      <c r="S388">
        <v>20</v>
      </c>
      <c r="T388">
        <v>4</v>
      </c>
      <c r="U388">
        <v>6</v>
      </c>
      <c r="V388">
        <v>11</v>
      </c>
      <c r="W388">
        <v>9</v>
      </c>
      <c r="X388">
        <v>15</v>
      </c>
      <c r="Y388">
        <v>15</v>
      </c>
      <c r="Z388">
        <v>18</v>
      </c>
      <c r="AA388">
        <v>9</v>
      </c>
      <c r="AB388">
        <v>4</v>
      </c>
      <c r="AC388">
        <v>10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246</v>
      </c>
      <c r="AM388">
        <v>14.333333333333334</v>
      </c>
      <c r="AN388">
        <v>307.67238139971073</v>
      </c>
    </row>
    <row r="389" spans="1:40" x14ac:dyDescent="0.3">
      <c r="A389" t="s">
        <v>8</v>
      </c>
      <c r="B389" t="s">
        <v>164</v>
      </c>
      <c r="C389" t="s">
        <v>10</v>
      </c>
      <c r="D389" t="s">
        <v>14</v>
      </c>
      <c r="E389">
        <v>202602</v>
      </c>
      <c r="F389" t="s">
        <v>138</v>
      </c>
      <c r="G389">
        <v>0</v>
      </c>
      <c r="H389">
        <v>14</v>
      </c>
      <c r="I389">
        <v>21</v>
      </c>
      <c r="J389">
        <v>11</v>
      </c>
      <c r="K389">
        <v>10</v>
      </c>
      <c r="L389">
        <v>1</v>
      </c>
      <c r="M389">
        <v>7</v>
      </c>
      <c r="N389">
        <v>0</v>
      </c>
      <c r="O389">
        <v>21</v>
      </c>
      <c r="P389">
        <v>15</v>
      </c>
      <c r="Q389">
        <v>17</v>
      </c>
      <c r="R389">
        <v>9</v>
      </c>
      <c r="S389">
        <v>10</v>
      </c>
      <c r="T389">
        <v>8</v>
      </c>
      <c r="U389">
        <v>0</v>
      </c>
      <c r="V389">
        <v>7</v>
      </c>
      <c r="W389">
        <v>5</v>
      </c>
      <c r="X389">
        <v>15</v>
      </c>
      <c r="Y389">
        <v>12</v>
      </c>
      <c r="Z389">
        <v>17</v>
      </c>
      <c r="AA389">
        <v>6</v>
      </c>
      <c r="AB389">
        <v>0</v>
      </c>
      <c r="AC389">
        <v>22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228</v>
      </c>
      <c r="AM389">
        <v>17</v>
      </c>
      <c r="AN389">
        <v>301.14631282291276</v>
      </c>
    </row>
    <row r="390" spans="1:40" x14ac:dyDescent="0.3">
      <c r="A390" t="s">
        <v>8</v>
      </c>
      <c r="B390" t="s">
        <v>164</v>
      </c>
      <c r="C390" t="s">
        <v>16</v>
      </c>
      <c r="D390" t="s">
        <v>11</v>
      </c>
      <c r="E390">
        <v>202602</v>
      </c>
      <c r="F390" t="s">
        <v>165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1</v>
      </c>
    </row>
    <row r="391" spans="1:40" x14ac:dyDescent="0.3">
      <c r="A391" t="s">
        <v>8</v>
      </c>
      <c r="B391" t="s">
        <v>164</v>
      </c>
      <c r="C391" t="s">
        <v>16</v>
      </c>
      <c r="D391" t="s">
        <v>11</v>
      </c>
      <c r="E391">
        <v>202602</v>
      </c>
      <c r="F391" t="s">
        <v>18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6</v>
      </c>
      <c r="AM391">
        <v>1</v>
      </c>
      <c r="AN391">
        <v>11.039005868139181</v>
      </c>
    </row>
    <row r="392" spans="1:40" x14ac:dyDescent="0.3">
      <c r="A392" t="s">
        <v>8</v>
      </c>
      <c r="B392" t="s">
        <v>164</v>
      </c>
      <c r="C392" t="s">
        <v>16</v>
      </c>
      <c r="D392" t="s">
        <v>11</v>
      </c>
      <c r="E392">
        <v>202602</v>
      </c>
      <c r="F392" t="s">
        <v>138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</v>
      </c>
      <c r="AM392">
        <v>0</v>
      </c>
      <c r="AN392">
        <v>2</v>
      </c>
    </row>
    <row r="393" spans="1:40" x14ac:dyDescent="0.3">
      <c r="A393" t="s">
        <v>8</v>
      </c>
      <c r="B393" t="s">
        <v>164</v>
      </c>
      <c r="C393" t="s">
        <v>16</v>
      </c>
      <c r="D393" t="s">
        <v>14</v>
      </c>
      <c r="E393">
        <v>202602</v>
      </c>
      <c r="F393" t="s">
        <v>165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</v>
      </c>
      <c r="AM393">
        <v>0</v>
      </c>
      <c r="AN393">
        <v>2</v>
      </c>
    </row>
    <row r="394" spans="1:40" x14ac:dyDescent="0.3">
      <c r="A394" t="s">
        <v>8</v>
      </c>
      <c r="B394" t="s">
        <v>164</v>
      </c>
      <c r="C394" t="s">
        <v>16</v>
      </c>
      <c r="D394" t="s">
        <v>14</v>
      </c>
      <c r="E394">
        <v>202602</v>
      </c>
      <c r="F394" t="s">
        <v>18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1</v>
      </c>
      <c r="AB394">
        <v>2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9</v>
      </c>
      <c r="AM394">
        <v>0.33333333333333331</v>
      </c>
      <c r="AN394">
        <v>10.43424142790025</v>
      </c>
    </row>
    <row r="395" spans="1:40" x14ac:dyDescent="0.3">
      <c r="A395" t="s">
        <v>8</v>
      </c>
      <c r="B395" t="s">
        <v>164</v>
      </c>
      <c r="C395" t="s">
        <v>16</v>
      </c>
      <c r="D395" t="s">
        <v>14</v>
      </c>
      <c r="E395">
        <v>202602</v>
      </c>
      <c r="F395" t="s">
        <v>138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4</v>
      </c>
      <c r="AM395">
        <v>0.66666666666666663</v>
      </c>
      <c r="AN395">
        <v>6.8684828558005</v>
      </c>
    </row>
    <row r="396" spans="1:40" x14ac:dyDescent="0.3">
      <c r="A396" t="s">
        <v>8</v>
      </c>
      <c r="B396" t="s">
        <v>643</v>
      </c>
      <c r="C396" t="s">
        <v>10</v>
      </c>
      <c r="D396" t="s">
        <v>11</v>
      </c>
      <c r="E396">
        <v>202602</v>
      </c>
      <c r="F396" t="s">
        <v>166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8</v>
      </c>
      <c r="AM396">
        <v>0.33333333333333331</v>
      </c>
      <c r="AN396">
        <v>9.6796686227130611</v>
      </c>
    </row>
    <row r="397" spans="1:40" x14ac:dyDescent="0.3">
      <c r="A397" t="s">
        <v>8</v>
      </c>
      <c r="B397" t="s">
        <v>643</v>
      </c>
      <c r="C397" t="s">
        <v>10</v>
      </c>
      <c r="D397" t="s">
        <v>11</v>
      </c>
      <c r="E397">
        <v>202602</v>
      </c>
      <c r="F397" t="s">
        <v>167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3</v>
      </c>
      <c r="X397">
        <v>2</v>
      </c>
      <c r="Y397">
        <v>1</v>
      </c>
      <c r="Z397">
        <v>0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11</v>
      </c>
      <c r="AM397">
        <v>0.33333333333333331</v>
      </c>
      <c r="AN397">
        <v>12.679668622713061</v>
      </c>
    </row>
    <row r="398" spans="1:40" x14ac:dyDescent="0.3">
      <c r="A398" t="s">
        <v>8</v>
      </c>
      <c r="B398" t="s">
        <v>643</v>
      </c>
      <c r="C398" t="s">
        <v>10</v>
      </c>
      <c r="D398" t="s">
        <v>14</v>
      </c>
      <c r="E398">
        <v>202602</v>
      </c>
      <c r="F398" t="s">
        <v>166</v>
      </c>
      <c r="G398">
        <v>0</v>
      </c>
      <c r="H398">
        <v>0</v>
      </c>
      <c r="I398">
        <v>2</v>
      </c>
      <c r="J398">
        <v>1</v>
      </c>
      <c r="K398">
        <v>1</v>
      </c>
      <c r="L398">
        <v>0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</v>
      </c>
      <c r="W398">
        <v>1</v>
      </c>
      <c r="X398">
        <v>0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11</v>
      </c>
      <c r="AM398">
        <v>0.66666666666666663</v>
      </c>
      <c r="AN398">
        <v>13.868482855800501</v>
      </c>
    </row>
    <row r="399" spans="1:40" x14ac:dyDescent="0.3">
      <c r="A399" t="s">
        <v>8</v>
      </c>
      <c r="B399" t="s">
        <v>643</v>
      </c>
      <c r="C399" t="s">
        <v>10</v>
      </c>
      <c r="D399" t="s">
        <v>14</v>
      </c>
      <c r="E399">
        <v>202602</v>
      </c>
      <c r="F399" t="s">
        <v>167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0</v>
      </c>
      <c r="Q399">
        <v>0</v>
      </c>
      <c r="R399">
        <v>2</v>
      </c>
      <c r="S399">
        <v>0</v>
      </c>
      <c r="T399">
        <v>0</v>
      </c>
      <c r="U399">
        <v>1</v>
      </c>
      <c r="V399">
        <v>3</v>
      </c>
      <c r="W399">
        <v>2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11</v>
      </c>
      <c r="AM399">
        <v>0</v>
      </c>
      <c r="AN399">
        <v>11</v>
      </c>
    </row>
    <row r="400" spans="1:40" x14ac:dyDescent="0.3">
      <c r="A400" t="s">
        <v>8</v>
      </c>
      <c r="B400" t="s">
        <v>643</v>
      </c>
      <c r="C400" t="s">
        <v>16</v>
      </c>
      <c r="D400" t="s">
        <v>14</v>
      </c>
      <c r="E400">
        <v>202602</v>
      </c>
      <c r="F400" t="s">
        <v>167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1</v>
      </c>
    </row>
    <row r="401" spans="1:40" x14ac:dyDescent="0.3">
      <c r="A401" t="s">
        <v>8</v>
      </c>
      <c r="B401" t="s">
        <v>168</v>
      </c>
      <c r="C401" t="s">
        <v>10</v>
      </c>
      <c r="D401" t="s">
        <v>11</v>
      </c>
      <c r="E401">
        <v>202602</v>
      </c>
      <c r="F401" t="s">
        <v>169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2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8</v>
      </c>
      <c r="AM401">
        <v>0</v>
      </c>
      <c r="AN401">
        <v>8</v>
      </c>
    </row>
    <row r="402" spans="1:40" x14ac:dyDescent="0.3">
      <c r="A402" t="s">
        <v>8</v>
      </c>
      <c r="B402" t="s">
        <v>168</v>
      </c>
      <c r="C402" t="s">
        <v>10</v>
      </c>
      <c r="D402" t="s">
        <v>11</v>
      </c>
      <c r="E402">
        <v>202602</v>
      </c>
      <c r="F402" t="s">
        <v>323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0.33333333333333331</v>
      </c>
      <c r="AN402">
        <v>2.6796686227130611</v>
      </c>
    </row>
    <row r="403" spans="1:40" x14ac:dyDescent="0.3">
      <c r="A403" t="s">
        <v>8</v>
      </c>
      <c r="B403" t="s">
        <v>168</v>
      </c>
      <c r="C403" t="s">
        <v>10</v>
      </c>
      <c r="D403" t="s">
        <v>11</v>
      </c>
      <c r="E403">
        <v>202602</v>
      </c>
      <c r="F403" t="s">
        <v>137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4</v>
      </c>
      <c r="AM403">
        <v>0</v>
      </c>
      <c r="AN403">
        <v>4</v>
      </c>
    </row>
    <row r="404" spans="1:40" x14ac:dyDescent="0.3">
      <c r="A404" t="s">
        <v>8</v>
      </c>
      <c r="B404" t="s">
        <v>168</v>
      </c>
      <c r="C404" t="s">
        <v>10</v>
      </c>
      <c r="D404" t="s">
        <v>14</v>
      </c>
      <c r="E404">
        <v>202602</v>
      </c>
      <c r="F404" t="s">
        <v>169</v>
      </c>
      <c r="G404">
        <v>0</v>
      </c>
      <c r="H404">
        <v>0</v>
      </c>
      <c r="I404">
        <v>0</v>
      </c>
      <c r="J404">
        <v>1</v>
      </c>
      <c r="K404">
        <v>3</v>
      </c>
      <c r="L404">
        <v>1</v>
      </c>
      <c r="M404">
        <v>0</v>
      </c>
      <c r="N404">
        <v>0</v>
      </c>
      <c r="O404">
        <v>0</v>
      </c>
      <c r="P404">
        <v>2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3</v>
      </c>
      <c r="Z404">
        <v>2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16</v>
      </c>
      <c r="AM404">
        <v>2</v>
      </c>
      <c r="AN404">
        <v>24.605448567401503</v>
      </c>
    </row>
    <row r="405" spans="1:40" x14ac:dyDescent="0.3">
      <c r="A405" t="s">
        <v>8</v>
      </c>
      <c r="B405" t="s">
        <v>168</v>
      </c>
      <c r="C405" t="s">
        <v>10</v>
      </c>
      <c r="D405" t="s">
        <v>14</v>
      </c>
      <c r="E405">
        <v>202602</v>
      </c>
      <c r="F405" t="s">
        <v>323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0.33333333333333331</v>
      </c>
      <c r="AN405">
        <v>2.43424142790025</v>
      </c>
    </row>
    <row r="406" spans="1:40" x14ac:dyDescent="0.3">
      <c r="A406" t="s">
        <v>8</v>
      </c>
      <c r="B406" t="s">
        <v>168</v>
      </c>
      <c r="C406" t="s">
        <v>10</v>
      </c>
      <c r="D406" t="s">
        <v>14</v>
      </c>
      <c r="E406">
        <v>202602</v>
      </c>
      <c r="F406" t="s">
        <v>137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3</v>
      </c>
      <c r="AM406">
        <v>0</v>
      </c>
      <c r="AN406">
        <v>3</v>
      </c>
    </row>
    <row r="407" spans="1:40" x14ac:dyDescent="0.3">
      <c r="A407" t="s">
        <v>8</v>
      </c>
      <c r="B407" t="s">
        <v>170</v>
      </c>
      <c r="C407" t="s">
        <v>10</v>
      </c>
      <c r="D407" t="s">
        <v>11</v>
      </c>
      <c r="E407">
        <v>202602</v>
      </c>
      <c r="F407" t="s">
        <v>50</v>
      </c>
      <c r="G407">
        <v>0</v>
      </c>
      <c r="H407">
        <v>0</v>
      </c>
      <c r="I407">
        <v>2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2</v>
      </c>
      <c r="Y407">
        <v>0</v>
      </c>
      <c r="Z407">
        <v>1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10</v>
      </c>
      <c r="AM407">
        <v>0.66666666666666663</v>
      </c>
      <c r="AN407">
        <v>13.359337245426122</v>
      </c>
    </row>
    <row r="408" spans="1:40" x14ac:dyDescent="0.3">
      <c r="A408" t="s">
        <v>8</v>
      </c>
      <c r="B408" t="s">
        <v>170</v>
      </c>
      <c r="C408" t="s">
        <v>10</v>
      </c>
      <c r="D408" t="s">
        <v>14</v>
      </c>
      <c r="E408">
        <v>202602</v>
      </c>
      <c r="F408" t="s">
        <v>50</v>
      </c>
      <c r="G408">
        <v>0</v>
      </c>
      <c r="H408">
        <v>2</v>
      </c>
      <c r="I408">
        <v>3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2</v>
      </c>
      <c r="P408">
        <v>2</v>
      </c>
      <c r="Q408">
        <v>2</v>
      </c>
      <c r="R408">
        <v>0</v>
      </c>
      <c r="S408">
        <v>2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18</v>
      </c>
      <c r="AM408">
        <v>0</v>
      </c>
      <c r="AN408">
        <v>18</v>
      </c>
    </row>
    <row r="409" spans="1:40" x14ac:dyDescent="0.3">
      <c r="A409" t="s">
        <v>8</v>
      </c>
      <c r="B409" t="s">
        <v>172</v>
      </c>
      <c r="C409" t="s">
        <v>10</v>
      </c>
      <c r="D409" t="s">
        <v>11</v>
      </c>
      <c r="E409">
        <v>202602</v>
      </c>
      <c r="F409" t="s">
        <v>171</v>
      </c>
      <c r="G409">
        <v>0</v>
      </c>
      <c r="H409">
        <v>3</v>
      </c>
      <c r="I409">
        <v>2</v>
      </c>
      <c r="J409">
        <v>6</v>
      </c>
      <c r="K409">
        <v>7</v>
      </c>
      <c r="L409">
        <v>11</v>
      </c>
      <c r="M409">
        <v>8</v>
      </c>
      <c r="N409">
        <v>0</v>
      </c>
      <c r="O409">
        <v>3</v>
      </c>
      <c r="P409">
        <v>7</v>
      </c>
      <c r="Q409">
        <v>5</v>
      </c>
      <c r="R409">
        <v>7</v>
      </c>
      <c r="S409">
        <v>11</v>
      </c>
      <c r="T409">
        <v>5</v>
      </c>
      <c r="U409">
        <v>0</v>
      </c>
      <c r="V409">
        <v>6</v>
      </c>
      <c r="W409">
        <v>2</v>
      </c>
      <c r="X409">
        <v>7</v>
      </c>
      <c r="Y409">
        <v>8</v>
      </c>
      <c r="Z409">
        <v>5</v>
      </c>
      <c r="AA409">
        <v>7</v>
      </c>
      <c r="AB409">
        <v>0</v>
      </c>
      <c r="AC409">
        <v>4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114</v>
      </c>
      <c r="AM409">
        <v>5.666666666666667</v>
      </c>
      <c r="AN409">
        <v>142.55436658612203</v>
      </c>
    </row>
    <row r="410" spans="1:40" x14ac:dyDescent="0.3">
      <c r="A410" t="s">
        <v>8</v>
      </c>
      <c r="B410" t="s">
        <v>172</v>
      </c>
      <c r="C410" t="s">
        <v>10</v>
      </c>
      <c r="D410" t="s">
        <v>14</v>
      </c>
      <c r="E410">
        <v>202602</v>
      </c>
      <c r="F410" t="s">
        <v>171</v>
      </c>
      <c r="G410">
        <v>0</v>
      </c>
      <c r="H410">
        <v>6</v>
      </c>
      <c r="I410">
        <v>11</v>
      </c>
      <c r="J410">
        <v>10</v>
      </c>
      <c r="K410">
        <v>15</v>
      </c>
      <c r="L410">
        <v>11</v>
      </c>
      <c r="M410">
        <v>1</v>
      </c>
      <c r="N410">
        <v>0</v>
      </c>
      <c r="O410">
        <v>13</v>
      </c>
      <c r="P410">
        <v>10</v>
      </c>
      <c r="Q410">
        <v>8</v>
      </c>
      <c r="R410">
        <v>11</v>
      </c>
      <c r="S410">
        <v>13</v>
      </c>
      <c r="T410">
        <v>1</v>
      </c>
      <c r="U410">
        <v>0</v>
      </c>
      <c r="V410">
        <v>7</v>
      </c>
      <c r="W410">
        <v>1</v>
      </c>
      <c r="X410">
        <v>6</v>
      </c>
      <c r="Y410">
        <v>14</v>
      </c>
      <c r="Z410">
        <v>4</v>
      </c>
      <c r="AA410">
        <v>0</v>
      </c>
      <c r="AB410">
        <v>0</v>
      </c>
      <c r="AC410">
        <v>4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146</v>
      </c>
      <c r="AM410">
        <v>7.333333333333333</v>
      </c>
      <c r="AN410">
        <v>177.55331141380549</v>
      </c>
    </row>
    <row r="411" spans="1:40" x14ac:dyDescent="0.3">
      <c r="A411" t="s">
        <v>8</v>
      </c>
      <c r="B411" t="s">
        <v>172</v>
      </c>
      <c r="C411" t="s">
        <v>16</v>
      </c>
      <c r="D411" t="s">
        <v>11</v>
      </c>
      <c r="E411">
        <v>202602</v>
      </c>
      <c r="F411" t="s">
        <v>171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3</v>
      </c>
      <c r="AM411">
        <v>0</v>
      </c>
      <c r="AN411">
        <v>3</v>
      </c>
    </row>
    <row r="412" spans="1:40" x14ac:dyDescent="0.3">
      <c r="A412" t="s">
        <v>8</v>
      </c>
      <c r="B412" t="s">
        <v>172</v>
      </c>
      <c r="C412" t="s">
        <v>16</v>
      </c>
      <c r="D412" t="s">
        <v>14</v>
      </c>
      <c r="E412">
        <v>202602</v>
      </c>
      <c r="F412" t="s">
        <v>171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4</v>
      </c>
      <c r="AM412">
        <v>0</v>
      </c>
      <c r="AN412">
        <v>4</v>
      </c>
    </row>
    <row r="413" spans="1:40" x14ac:dyDescent="0.3">
      <c r="A413" t="s">
        <v>173</v>
      </c>
      <c r="B413" t="s">
        <v>9</v>
      </c>
      <c r="C413" t="s">
        <v>10</v>
      </c>
      <c r="D413" t="s">
        <v>11</v>
      </c>
      <c r="E413">
        <v>202602</v>
      </c>
      <c r="F413" t="s">
        <v>174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</v>
      </c>
      <c r="AM413">
        <v>0.33333333333333331</v>
      </c>
      <c r="AN413">
        <v>3.6796686227130611</v>
      </c>
    </row>
    <row r="414" spans="1:40" x14ac:dyDescent="0.3">
      <c r="A414" t="s">
        <v>173</v>
      </c>
      <c r="B414" t="s">
        <v>9</v>
      </c>
      <c r="C414" t="s">
        <v>10</v>
      </c>
      <c r="D414" t="s">
        <v>11</v>
      </c>
      <c r="E414">
        <v>202602</v>
      </c>
      <c r="F414" t="s">
        <v>175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1</v>
      </c>
    </row>
    <row r="415" spans="1:40" x14ac:dyDescent="0.3">
      <c r="A415" t="s">
        <v>173</v>
      </c>
      <c r="B415" t="s">
        <v>9</v>
      </c>
      <c r="C415" t="s">
        <v>10</v>
      </c>
      <c r="D415" t="s">
        <v>11</v>
      </c>
      <c r="E415">
        <v>202602</v>
      </c>
      <c r="F415" t="s">
        <v>176</v>
      </c>
      <c r="G415">
        <v>0</v>
      </c>
      <c r="H415">
        <v>3</v>
      </c>
      <c r="I415">
        <v>9</v>
      </c>
      <c r="J415">
        <v>3</v>
      </c>
      <c r="K415">
        <v>14</v>
      </c>
      <c r="L415">
        <v>9</v>
      </c>
      <c r="M415">
        <v>4</v>
      </c>
      <c r="N415">
        <v>0</v>
      </c>
      <c r="O415">
        <v>7</v>
      </c>
      <c r="P415">
        <v>10</v>
      </c>
      <c r="Q415">
        <v>9</v>
      </c>
      <c r="R415">
        <v>12</v>
      </c>
      <c r="S415">
        <v>10</v>
      </c>
      <c r="T415">
        <v>7</v>
      </c>
      <c r="U415">
        <v>0</v>
      </c>
      <c r="V415">
        <v>1</v>
      </c>
      <c r="W415">
        <v>0</v>
      </c>
      <c r="X415">
        <v>2</v>
      </c>
      <c r="Y415">
        <v>5</v>
      </c>
      <c r="Z415">
        <v>8</v>
      </c>
      <c r="AA415">
        <v>7</v>
      </c>
      <c r="AB415">
        <v>0</v>
      </c>
      <c r="AC415">
        <v>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132</v>
      </c>
      <c r="AM415">
        <v>8.3333333333333339</v>
      </c>
      <c r="AN415">
        <v>173.99171556782653</v>
      </c>
    </row>
    <row r="416" spans="1:40" x14ac:dyDescent="0.3">
      <c r="A416" t="s">
        <v>173</v>
      </c>
      <c r="B416" t="s">
        <v>9</v>
      </c>
      <c r="C416" t="s">
        <v>10</v>
      </c>
      <c r="D416" t="s">
        <v>11</v>
      </c>
      <c r="E416">
        <v>202602</v>
      </c>
      <c r="F416" t="s">
        <v>177</v>
      </c>
      <c r="G416">
        <v>0</v>
      </c>
      <c r="H416">
        <v>2</v>
      </c>
      <c r="I416">
        <v>0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2</v>
      </c>
      <c r="P416">
        <v>0</v>
      </c>
      <c r="Q416">
        <v>2</v>
      </c>
      <c r="R416">
        <v>2</v>
      </c>
      <c r="S416">
        <v>2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16</v>
      </c>
      <c r="AM416">
        <v>0.33333333333333331</v>
      </c>
      <c r="AN416">
        <v>17.679668622713059</v>
      </c>
    </row>
    <row r="417" spans="1:40" x14ac:dyDescent="0.3">
      <c r="A417" t="s">
        <v>173</v>
      </c>
      <c r="B417" t="s">
        <v>9</v>
      </c>
      <c r="C417" t="s">
        <v>10</v>
      </c>
      <c r="D417" t="s">
        <v>14</v>
      </c>
      <c r="E417">
        <v>202602</v>
      </c>
      <c r="F417" t="s">
        <v>174</v>
      </c>
      <c r="G417">
        <v>0</v>
      </c>
      <c r="H417">
        <v>0</v>
      </c>
      <c r="I417">
        <v>0</v>
      </c>
      <c r="J417">
        <v>7</v>
      </c>
      <c r="K417">
        <v>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10</v>
      </c>
      <c r="AM417">
        <v>0</v>
      </c>
      <c r="AN417">
        <v>10</v>
      </c>
    </row>
    <row r="418" spans="1:40" x14ac:dyDescent="0.3">
      <c r="A418" t="s">
        <v>173</v>
      </c>
      <c r="B418" t="s">
        <v>9</v>
      </c>
      <c r="C418" t="s">
        <v>10</v>
      </c>
      <c r="D418" t="s">
        <v>14</v>
      </c>
      <c r="E418">
        <v>202602</v>
      </c>
      <c r="F418" t="s">
        <v>175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1</v>
      </c>
    </row>
    <row r="419" spans="1:40" x14ac:dyDescent="0.3">
      <c r="A419" t="s">
        <v>173</v>
      </c>
      <c r="B419" t="s">
        <v>9</v>
      </c>
      <c r="C419" t="s">
        <v>10</v>
      </c>
      <c r="D419" t="s">
        <v>14</v>
      </c>
      <c r="E419">
        <v>202602</v>
      </c>
      <c r="F419" t="s">
        <v>176</v>
      </c>
      <c r="G419">
        <v>0</v>
      </c>
      <c r="H419">
        <v>17</v>
      </c>
      <c r="I419">
        <v>10</v>
      </c>
      <c r="J419">
        <v>15</v>
      </c>
      <c r="K419">
        <v>16</v>
      </c>
      <c r="L419">
        <v>19</v>
      </c>
      <c r="M419">
        <v>3</v>
      </c>
      <c r="N419">
        <v>0</v>
      </c>
      <c r="O419">
        <v>16</v>
      </c>
      <c r="P419">
        <v>6</v>
      </c>
      <c r="Q419">
        <v>15</v>
      </c>
      <c r="R419">
        <v>13</v>
      </c>
      <c r="S419">
        <v>7</v>
      </c>
      <c r="T419">
        <v>0</v>
      </c>
      <c r="U419">
        <v>0</v>
      </c>
      <c r="V419">
        <v>4</v>
      </c>
      <c r="W419">
        <v>0</v>
      </c>
      <c r="X419">
        <v>7</v>
      </c>
      <c r="Y419">
        <v>13</v>
      </c>
      <c r="Z419">
        <v>18</v>
      </c>
      <c r="AA419">
        <v>6</v>
      </c>
      <c r="AB419">
        <v>1</v>
      </c>
      <c r="AC419">
        <v>14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200</v>
      </c>
      <c r="AM419">
        <v>15</v>
      </c>
      <c r="AN419">
        <v>264.54086425551122</v>
      </c>
    </row>
    <row r="420" spans="1:40" x14ac:dyDescent="0.3">
      <c r="A420" t="s">
        <v>173</v>
      </c>
      <c r="B420" t="s">
        <v>9</v>
      </c>
      <c r="C420" t="s">
        <v>10</v>
      </c>
      <c r="D420" t="s">
        <v>14</v>
      </c>
      <c r="E420">
        <v>202602</v>
      </c>
      <c r="F420" t="s">
        <v>177</v>
      </c>
      <c r="G420">
        <v>0</v>
      </c>
      <c r="H420">
        <v>2</v>
      </c>
      <c r="I420">
        <v>1</v>
      </c>
      <c r="J420">
        <v>0</v>
      </c>
      <c r="K420">
        <v>2</v>
      </c>
      <c r="L420">
        <v>3</v>
      </c>
      <c r="M420">
        <v>1</v>
      </c>
      <c r="N420">
        <v>0</v>
      </c>
      <c r="O420">
        <v>1</v>
      </c>
      <c r="P420">
        <v>2</v>
      </c>
      <c r="Q420">
        <v>2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2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18</v>
      </c>
      <c r="AM420">
        <v>0.66666666666666663</v>
      </c>
      <c r="AN420">
        <v>20.868482855800501</v>
      </c>
    </row>
    <row r="421" spans="1:40" x14ac:dyDescent="0.3">
      <c r="A421" t="s">
        <v>173</v>
      </c>
      <c r="B421" t="s">
        <v>9</v>
      </c>
      <c r="C421" t="s">
        <v>16</v>
      </c>
      <c r="D421" t="s">
        <v>11</v>
      </c>
      <c r="E421">
        <v>202602</v>
      </c>
      <c r="F421" t="s">
        <v>176</v>
      </c>
      <c r="G421">
        <v>0</v>
      </c>
      <c r="H421">
        <v>0</v>
      </c>
      <c r="I421">
        <v>1</v>
      </c>
      <c r="J421">
        <v>2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2</v>
      </c>
      <c r="Q421">
        <v>2</v>
      </c>
      <c r="R421">
        <v>4</v>
      </c>
      <c r="S421">
        <v>1</v>
      </c>
      <c r="T421">
        <v>1</v>
      </c>
      <c r="U421">
        <v>0</v>
      </c>
      <c r="V421">
        <v>1</v>
      </c>
      <c r="W421">
        <v>0</v>
      </c>
      <c r="X421">
        <v>1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17</v>
      </c>
      <c r="AM421">
        <v>0.33333333333333331</v>
      </c>
      <c r="AN421">
        <v>18.679668622713059</v>
      </c>
    </row>
    <row r="422" spans="1:40" x14ac:dyDescent="0.3">
      <c r="A422" t="s">
        <v>173</v>
      </c>
      <c r="B422" t="s">
        <v>9</v>
      </c>
      <c r="C422" t="s">
        <v>16</v>
      </c>
      <c r="D422" t="s">
        <v>11</v>
      </c>
      <c r="E422">
        <v>202602</v>
      </c>
      <c r="F422" t="s">
        <v>177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3</v>
      </c>
      <c r="AM422">
        <v>0.33333333333333331</v>
      </c>
      <c r="AN422">
        <v>4.6796686227130611</v>
      </c>
    </row>
    <row r="423" spans="1:40" x14ac:dyDescent="0.3">
      <c r="A423" t="s">
        <v>173</v>
      </c>
      <c r="B423" t="s">
        <v>9</v>
      </c>
      <c r="C423" t="s">
        <v>16</v>
      </c>
      <c r="D423" t="s">
        <v>14</v>
      </c>
      <c r="E423">
        <v>202602</v>
      </c>
      <c r="F423" t="s">
        <v>176</v>
      </c>
      <c r="G423">
        <v>0</v>
      </c>
      <c r="H423">
        <v>4</v>
      </c>
      <c r="I423">
        <v>1</v>
      </c>
      <c r="J423">
        <v>0</v>
      </c>
      <c r="K423">
        <v>2</v>
      </c>
      <c r="L423">
        <v>3</v>
      </c>
      <c r="M423">
        <v>0</v>
      </c>
      <c r="N423">
        <v>0</v>
      </c>
      <c r="O423">
        <v>1</v>
      </c>
      <c r="P423">
        <v>2</v>
      </c>
      <c r="Q423">
        <v>5</v>
      </c>
      <c r="R423">
        <v>1</v>
      </c>
      <c r="S423">
        <v>3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2</v>
      </c>
      <c r="AB423">
        <v>0</v>
      </c>
      <c r="AC423">
        <v>3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28</v>
      </c>
      <c r="AM423">
        <v>1</v>
      </c>
      <c r="AN423">
        <v>32.302724283700748</v>
      </c>
    </row>
    <row r="424" spans="1:40" x14ac:dyDescent="0.3">
      <c r="A424" t="s">
        <v>173</v>
      </c>
      <c r="B424" t="s">
        <v>9</v>
      </c>
      <c r="C424" t="s">
        <v>16</v>
      </c>
      <c r="D424" t="s">
        <v>14</v>
      </c>
      <c r="E424">
        <v>202602</v>
      </c>
      <c r="F424" t="s">
        <v>177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0.33333333333333331</v>
      </c>
      <c r="AN424">
        <v>2.43424142790025</v>
      </c>
    </row>
    <row r="425" spans="1:40" x14ac:dyDescent="0.3">
      <c r="A425" t="s">
        <v>173</v>
      </c>
      <c r="B425" t="s">
        <v>17</v>
      </c>
      <c r="C425" t="s">
        <v>10</v>
      </c>
      <c r="D425" t="s">
        <v>11</v>
      </c>
      <c r="E425">
        <v>202602</v>
      </c>
      <c r="F425" t="s">
        <v>178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5</v>
      </c>
      <c r="AM425">
        <v>0.33333333333333331</v>
      </c>
      <c r="AN425">
        <v>6.6796686227130611</v>
      </c>
    </row>
    <row r="426" spans="1:40" x14ac:dyDescent="0.3">
      <c r="A426" t="s">
        <v>173</v>
      </c>
      <c r="B426" t="s">
        <v>17</v>
      </c>
      <c r="C426" t="s">
        <v>10</v>
      </c>
      <c r="D426" t="s">
        <v>11</v>
      </c>
      <c r="E426">
        <v>202602</v>
      </c>
      <c r="F426" t="s">
        <v>179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1</v>
      </c>
      <c r="Q426">
        <v>0</v>
      </c>
      <c r="R426">
        <v>1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8</v>
      </c>
      <c r="AM426">
        <v>0.33333333333333331</v>
      </c>
      <c r="AN426">
        <v>9.6796686227130611</v>
      </c>
    </row>
    <row r="427" spans="1:40" x14ac:dyDescent="0.3">
      <c r="A427" t="s">
        <v>173</v>
      </c>
      <c r="B427" t="s">
        <v>17</v>
      </c>
      <c r="C427" t="s">
        <v>10</v>
      </c>
      <c r="D427" t="s">
        <v>11</v>
      </c>
      <c r="E427">
        <v>202602</v>
      </c>
      <c r="F427" t="s">
        <v>180</v>
      </c>
      <c r="G427">
        <v>0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5</v>
      </c>
      <c r="AM427">
        <v>0</v>
      </c>
      <c r="AN427">
        <v>5</v>
      </c>
    </row>
    <row r="428" spans="1:40" x14ac:dyDescent="0.3">
      <c r="A428" t="s">
        <v>173</v>
      </c>
      <c r="B428" t="s">
        <v>17</v>
      </c>
      <c r="C428" t="s">
        <v>10</v>
      </c>
      <c r="D428" t="s">
        <v>11</v>
      </c>
      <c r="E428">
        <v>202602</v>
      </c>
      <c r="F428" t="s">
        <v>181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5</v>
      </c>
      <c r="AM428">
        <v>0.66666666666666663</v>
      </c>
      <c r="AN428">
        <v>8.3593372454261221</v>
      </c>
    </row>
    <row r="429" spans="1:40" x14ac:dyDescent="0.3">
      <c r="A429" t="s">
        <v>173</v>
      </c>
      <c r="B429" t="s">
        <v>17</v>
      </c>
      <c r="C429" t="s">
        <v>10</v>
      </c>
      <c r="D429" t="s">
        <v>11</v>
      </c>
      <c r="E429">
        <v>202602</v>
      </c>
      <c r="F429" t="s">
        <v>182</v>
      </c>
      <c r="G429">
        <v>0</v>
      </c>
      <c r="H429">
        <v>2</v>
      </c>
      <c r="I429">
        <v>1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4</v>
      </c>
      <c r="P429">
        <v>1</v>
      </c>
      <c r="Q429">
        <v>2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17</v>
      </c>
      <c r="AM429">
        <v>0.66666666666666663</v>
      </c>
      <c r="AN429">
        <v>20.359337245426122</v>
      </c>
    </row>
    <row r="430" spans="1:40" x14ac:dyDescent="0.3">
      <c r="A430" t="s">
        <v>173</v>
      </c>
      <c r="B430" t="s">
        <v>17</v>
      </c>
      <c r="C430" t="s">
        <v>10</v>
      </c>
      <c r="D430" t="s">
        <v>11</v>
      </c>
      <c r="E430">
        <v>202602</v>
      </c>
      <c r="F430" t="s">
        <v>183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1</v>
      </c>
      <c r="M430">
        <v>2</v>
      </c>
      <c r="N430">
        <v>0</v>
      </c>
      <c r="O430">
        <v>0</v>
      </c>
      <c r="P430">
        <v>1</v>
      </c>
      <c r="Q430">
        <v>2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11</v>
      </c>
      <c r="AM430">
        <v>0.66666666666666663</v>
      </c>
      <c r="AN430">
        <v>14.359337245426122</v>
      </c>
    </row>
    <row r="431" spans="1:40" x14ac:dyDescent="0.3">
      <c r="A431" t="s">
        <v>173</v>
      </c>
      <c r="B431" t="s">
        <v>17</v>
      </c>
      <c r="C431" t="s">
        <v>10</v>
      </c>
      <c r="D431" t="s">
        <v>11</v>
      </c>
      <c r="E431">
        <v>202602</v>
      </c>
      <c r="F431" t="s">
        <v>200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3</v>
      </c>
      <c r="AM431">
        <v>0.33333333333333331</v>
      </c>
      <c r="AN431">
        <v>4.6796686227130611</v>
      </c>
    </row>
    <row r="432" spans="1:40" x14ac:dyDescent="0.3">
      <c r="A432" t="s">
        <v>173</v>
      </c>
      <c r="B432" t="s">
        <v>17</v>
      </c>
      <c r="C432" t="s">
        <v>10</v>
      </c>
      <c r="D432" t="s">
        <v>11</v>
      </c>
      <c r="E432">
        <v>202602</v>
      </c>
      <c r="F432" t="s">
        <v>184</v>
      </c>
      <c r="G432">
        <v>0</v>
      </c>
      <c r="H432">
        <v>0</v>
      </c>
      <c r="I432">
        <v>0</v>
      </c>
      <c r="J432">
        <v>2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3</v>
      </c>
      <c r="AM432">
        <v>0</v>
      </c>
      <c r="AN432">
        <v>3</v>
      </c>
    </row>
    <row r="433" spans="1:40" x14ac:dyDescent="0.3">
      <c r="A433" t="s">
        <v>173</v>
      </c>
      <c r="B433" t="s">
        <v>17</v>
      </c>
      <c r="C433" t="s">
        <v>10</v>
      </c>
      <c r="D433" t="s">
        <v>11</v>
      </c>
      <c r="E433">
        <v>202602</v>
      </c>
      <c r="F433" t="s">
        <v>185</v>
      </c>
      <c r="G433">
        <v>0</v>
      </c>
      <c r="H433">
        <v>0</v>
      </c>
      <c r="I433">
        <v>1</v>
      </c>
      <c r="J433">
        <v>0</v>
      </c>
      <c r="K433">
        <v>3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6</v>
      </c>
      <c r="AM433">
        <v>0</v>
      </c>
      <c r="AN433">
        <v>6</v>
      </c>
    </row>
    <row r="434" spans="1:40" x14ac:dyDescent="0.3">
      <c r="A434" t="s">
        <v>173</v>
      </c>
      <c r="B434" t="s">
        <v>17</v>
      </c>
      <c r="C434" t="s">
        <v>10</v>
      </c>
      <c r="D434" t="s">
        <v>11</v>
      </c>
      <c r="E434">
        <v>202602</v>
      </c>
      <c r="F434" t="s">
        <v>186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</v>
      </c>
      <c r="AM434">
        <v>0</v>
      </c>
      <c r="AN434">
        <v>2</v>
      </c>
    </row>
    <row r="435" spans="1:40" x14ac:dyDescent="0.3">
      <c r="A435" t="s">
        <v>173</v>
      </c>
      <c r="B435" t="s">
        <v>17</v>
      </c>
      <c r="C435" t="s">
        <v>10</v>
      </c>
      <c r="D435" t="s">
        <v>11</v>
      </c>
      <c r="E435">
        <v>202602</v>
      </c>
      <c r="F435" t="s">
        <v>187</v>
      </c>
      <c r="G435">
        <v>0</v>
      </c>
      <c r="H435">
        <v>2</v>
      </c>
      <c r="I435">
        <v>1</v>
      </c>
      <c r="J435">
        <v>2</v>
      </c>
      <c r="K435">
        <v>4</v>
      </c>
      <c r="L435">
        <v>0</v>
      </c>
      <c r="M435">
        <v>0</v>
      </c>
      <c r="N435">
        <v>0</v>
      </c>
      <c r="O435">
        <v>2</v>
      </c>
      <c r="P435">
        <v>1</v>
      </c>
      <c r="Q435">
        <v>0</v>
      </c>
      <c r="R435">
        <v>1</v>
      </c>
      <c r="S435">
        <v>3</v>
      </c>
      <c r="T435">
        <v>3</v>
      </c>
      <c r="U435">
        <v>0</v>
      </c>
      <c r="V435">
        <v>0</v>
      </c>
      <c r="W435">
        <v>0</v>
      </c>
      <c r="X435">
        <v>2</v>
      </c>
      <c r="Y435">
        <v>1</v>
      </c>
      <c r="Z435">
        <v>1</v>
      </c>
      <c r="AA435">
        <v>2</v>
      </c>
      <c r="AB435">
        <v>0</v>
      </c>
      <c r="AC435">
        <v>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27</v>
      </c>
      <c r="AM435">
        <v>1.3333333333333333</v>
      </c>
      <c r="AN435">
        <v>33.718674490852244</v>
      </c>
    </row>
    <row r="436" spans="1:40" x14ac:dyDescent="0.3">
      <c r="A436" t="s">
        <v>173</v>
      </c>
      <c r="B436" t="s">
        <v>17</v>
      </c>
      <c r="C436" t="s">
        <v>10</v>
      </c>
      <c r="D436" t="s">
        <v>11</v>
      </c>
      <c r="E436">
        <v>202602</v>
      </c>
      <c r="F436" t="s">
        <v>188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2</v>
      </c>
      <c r="P436">
        <v>0</v>
      </c>
      <c r="Q436">
        <v>0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1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10</v>
      </c>
      <c r="AM436">
        <v>0.66666666666666663</v>
      </c>
      <c r="AN436">
        <v>13.359337245426122</v>
      </c>
    </row>
    <row r="437" spans="1:40" x14ac:dyDescent="0.3">
      <c r="A437" t="s">
        <v>173</v>
      </c>
      <c r="B437" t="s">
        <v>17</v>
      </c>
      <c r="C437" t="s">
        <v>10</v>
      </c>
      <c r="D437" t="s">
        <v>11</v>
      </c>
      <c r="E437">
        <v>202602</v>
      </c>
      <c r="F437" t="s">
        <v>189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1</v>
      </c>
    </row>
    <row r="438" spans="1:40" x14ac:dyDescent="0.3">
      <c r="A438" t="s">
        <v>173</v>
      </c>
      <c r="B438" t="s">
        <v>17</v>
      </c>
      <c r="C438" t="s">
        <v>10</v>
      </c>
      <c r="D438" t="s">
        <v>11</v>
      </c>
      <c r="E438">
        <v>202602</v>
      </c>
      <c r="F438" t="s">
        <v>190</v>
      </c>
      <c r="G438">
        <v>0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3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10</v>
      </c>
      <c r="AM438">
        <v>1</v>
      </c>
      <c r="AN438">
        <v>15.039005868139181</v>
      </c>
    </row>
    <row r="439" spans="1:40" x14ac:dyDescent="0.3">
      <c r="A439" t="s">
        <v>173</v>
      </c>
      <c r="B439" t="s">
        <v>17</v>
      </c>
      <c r="C439" t="s">
        <v>10</v>
      </c>
      <c r="D439" t="s">
        <v>11</v>
      </c>
      <c r="E439">
        <v>202602</v>
      </c>
      <c r="F439" t="s">
        <v>191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4</v>
      </c>
      <c r="AM439">
        <v>0.33333333333333331</v>
      </c>
      <c r="AN439">
        <v>5.6796686227130611</v>
      </c>
    </row>
    <row r="440" spans="1:40" x14ac:dyDescent="0.3">
      <c r="A440" t="s">
        <v>173</v>
      </c>
      <c r="B440" t="s">
        <v>17</v>
      </c>
      <c r="C440" t="s">
        <v>10</v>
      </c>
      <c r="D440" t="s">
        <v>11</v>
      </c>
      <c r="E440">
        <v>202602</v>
      </c>
      <c r="F440" t="s">
        <v>192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1</v>
      </c>
    </row>
    <row r="441" spans="1:40" x14ac:dyDescent="0.3">
      <c r="A441" t="s">
        <v>173</v>
      </c>
      <c r="B441" t="s">
        <v>17</v>
      </c>
      <c r="C441" t="s">
        <v>10</v>
      </c>
      <c r="D441" t="s">
        <v>11</v>
      </c>
      <c r="E441">
        <v>202602</v>
      </c>
      <c r="F441" t="s">
        <v>193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1</v>
      </c>
    </row>
    <row r="442" spans="1:40" x14ac:dyDescent="0.3">
      <c r="A442" t="s">
        <v>173</v>
      </c>
      <c r="B442" t="s">
        <v>17</v>
      </c>
      <c r="C442" t="s">
        <v>10</v>
      </c>
      <c r="D442" t="s">
        <v>11</v>
      </c>
      <c r="E442">
        <v>202602</v>
      </c>
      <c r="F442" t="s">
        <v>194</v>
      </c>
      <c r="G442">
        <v>0</v>
      </c>
      <c r="H442">
        <v>0</v>
      </c>
      <c r="I442">
        <v>2</v>
      </c>
      <c r="J442">
        <v>1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0</v>
      </c>
      <c r="R442">
        <v>3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11</v>
      </c>
      <c r="AM442">
        <v>0.66666666666666663</v>
      </c>
      <c r="AN442">
        <v>14.359337245426122</v>
      </c>
    </row>
    <row r="443" spans="1:40" x14ac:dyDescent="0.3">
      <c r="A443" t="s">
        <v>173</v>
      </c>
      <c r="B443" t="s">
        <v>17</v>
      </c>
      <c r="C443" t="s">
        <v>10</v>
      </c>
      <c r="D443" t="s">
        <v>11</v>
      </c>
      <c r="E443">
        <v>202602</v>
      </c>
      <c r="F443" t="s">
        <v>195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7</v>
      </c>
      <c r="AM443">
        <v>0.66666666666666663</v>
      </c>
      <c r="AN443">
        <v>10.359337245426122</v>
      </c>
    </row>
    <row r="444" spans="1:40" x14ac:dyDescent="0.3">
      <c r="A444" t="s">
        <v>173</v>
      </c>
      <c r="B444" t="s">
        <v>17</v>
      </c>
      <c r="C444" t="s">
        <v>10</v>
      </c>
      <c r="D444" t="s">
        <v>11</v>
      </c>
      <c r="E444">
        <v>202602</v>
      </c>
      <c r="F444" t="s">
        <v>196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2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6</v>
      </c>
      <c r="AM444">
        <v>0.33333333333333331</v>
      </c>
      <c r="AN444">
        <v>7.6796686227130611</v>
      </c>
    </row>
    <row r="445" spans="1:40" x14ac:dyDescent="0.3">
      <c r="A445" t="s">
        <v>173</v>
      </c>
      <c r="B445" t="s">
        <v>17</v>
      </c>
      <c r="C445" t="s">
        <v>10</v>
      </c>
      <c r="D445" t="s">
        <v>11</v>
      </c>
      <c r="E445">
        <v>202602</v>
      </c>
      <c r="F445" t="s">
        <v>197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5</v>
      </c>
      <c r="AM445">
        <v>0.33333333333333331</v>
      </c>
      <c r="AN445">
        <v>6.6796686227130611</v>
      </c>
    </row>
    <row r="446" spans="1:40" x14ac:dyDescent="0.3">
      <c r="A446" t="s">
        <v>173</v>
      </c>
      <c r="B446" t="s">
        <v>17</v>
      </c>
      <c r="C446" t="s">
        <v>10</v>
      </c>
      <c r="D446" t="s">
        <v>11</v>
      </c>
      <c r="E446">
        <v>202602</v>
      </c>
      <c r="F446" t="s">
        <v>198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1</v>
      </c>
    </row>
    <row r="447" spans="1:40" x14ac:dyDescent="0.3">
      <c r="A447" t="s">
        <v>173</v>
      </c>
      <c r="B447" t="s">
        <v>17</v>
      </c>
      <c r="C447" t="s">
        <v>10</v>
      </c>
      <c r="D447" t="s">
        <v>11</v>
      </c>
      <c r="E447">
        <v>202602</v>
      </c>
      <c r="F447" t="s">
        <v>707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1</v>
      </c>
    </row>
    <row r="448" spans="1:40" x14ac:dyDescent="0.3">
      <c r="A448" t="s">
        <v>173</v>
      </c>
      <c r="B448" t="s">
        <v>17</v>
      </c>
      <c r="C448" t="s">
        <v>10</v>
      </c>
      <c r="D448" t="s">
        <v>11</v>
      </c>
      <c r="E448">
        <v>202602</v>
      </c>
      <c r="F448" t="s">
        <v>199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7</v>
      </c>
      <c r="AM448">
        <v>0.33333333333333331</v>
      </c>
      <c r="AN448">
        <v>8.6796686227130611</v>
      </c>
    </row>
    <row r="449" spans="1:40" x14ac:dyDescent="0.3">
      <c r="A449" t="s">
        <v>173</v>
      </c>
      <c r="B449" t="s">
        <v>17</v>
      </c>
      <c r="C449" t="s">
        <v>10</v>
      </c>
      <c r="D449" t="s">
        <v>11</v>
      </c>
      <c r="E449">
        <v>202602</v>
      </c>
      <c r="F449" t="s">
        <v>686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2</v>
      </c>
      <c r="AM449">
        <v>0.33333333333333331</v>
      </c>
      <c r="AN449">
        <v>3.6796686227130611</v>
      </c>
    </row>
    <row r="450" spans="1:40" x14ac:dyDescent="0.3">
      <c r="A450" t="s">
        <v>173</v>
      </c>
      <c r="B450" t="s">
        <v>17</v>
      </c>
      <c r="C450" t="s">
        <v>10</v>
      </c>
      <c r="D450" t="s">
        <v>11</v>
      </c>
      <c r="E450">
        <v>202602</v>
      </c>
      <c r="F450" t="s">
        <v>177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1</v>
      </c>
    </row>
    <row r="451" spans="1:40" x14ac:dyDescent="0.3">
      <c r="A451" t="s">
        <v>173</v>
      </c>
      <c r="B451" t="s">
        <v>17</v>
      </c>
      <c r="C451" t="s">
        <v>10</v>
      </c>
      <c r="D451" t="s">
        <v>14</v>
      </c>
      <c r="E451">
        <v>202602</v>
      </c>
      <c r="F451" t="s">
        <v>52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2</v>
      </c>
      <c r="AM451">
        <v>0</v>
      </c>
      <c r="AN451">
        <v>2</v>
      </c>
    </row>
    <row r="452" spans="1:40" x14ac:dyDescent="0.3">
      <c r="A452" t="s">
        <v>173</v>
      </c>
      <c r="B452" t="s">
        <v>17</v>
      </c>
      <c r="C452" t="s">
        <v>10</v>
      </c>
      <c r="D452" t="s">
        <v>14</v>
      </c>
      <c r="E452">
        <v>202602</v>
      </c>
      <c r="F452" t="s">
        <v>178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7</v>
      </c>
      <c r="AM452">
        <v>0.66666666666666663</v>
      </c>
      <c r="AN452">
        <v>9.8684828558005009</v>
      </c>
    </row>
    <row r="453" spans="1:40" x14ac:dyDescent="0.3">
      <c r="A453" t="s">
        <v>173</v>
      </c>
      <c r="B453" t="s">
        <v>17</v>
      </c>
      <c r="C453" t="s">
        <v>10</v>
      </c>
      <c r="D453" t="s">
        <v>14</v>
      </c>
      <c r="E453">
        <v>202602</v>
      </c>
      <c r="F453" t="s">
        <v>179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3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9</v>
      </c>
      <c r="AM453">
        <v>0.66666666666666663</v>
      </c>
      <c r="AN453">
        <v>11.868482855800501</v>
      </c>
    </row>
    <row r="454" spans="1:40" x14ac:dyDescent="0.3">
      <c r="A454" t="s">
        <v>173</v>
      </c>
      <c r="B454" t="s">
        <v>17</v>
      </c>
      <c r="C454" t="s">
        <v>10</v>
      </c>
      <c r="D454" t="s">
        <v>14</v>
      </c>
      <c r="E454">
        <v>202602</v>
      </c>
      <c r="F454" t="s">
        <v>180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4</v>
      </c>
      <c r="AM454">
        <v>0.33333333333333331</v>
      </c>
      <c r="AN454">
        <v>5.4342414279002504</v>
      </c>
    </row>
    <row r="455" spans="1:40" x14ac:dyDescent="0.3">
      <c r="A455" t="s">
        <v>173</v>
      </c>
      <c r="B455" t="s">
        <v>17</v>
      </c>
      <c r="C455" t="s">
        <v>10</v>
      </c>
      <c r="D455" t="s">
        <v>14</v>
      </c>
      <c r="E455">
        <v>202602</v>
      </c>
      <c r="F455" t="s">
        <v>181</v>
      </c>
      <c r="G455">
        <v>0</v>
      </c>
      <c r="H455">
        <v>0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1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2</v>
      </c>
      <c r="AB455">
        <v>0</v>
      </c>
      <c r="AC455">
        <v>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10</v>
      </c>
      <c r="AM455">
        <v>0.66666666666666663</v>
      </c>
      <c r="AN455">
        <v>12.868482855800501</v>
      </c>
    </row>
    <row r="456" spans="1:40" x14ac:dyDescent="0.3">
      <c r="A456" t="s">
        <v>173</v>
      </c>
      <c r="B456" t="s">
        <v>17</v>
      </c>
      <c r="C456" t="s">
        <v>10</v>
      </c>
      <c r="D456" t="s">
        <v>14</v>
      </c>
      <c r="E456">
        <v>202602</v>
      </c>
      <c r="F456" t="s">
        <v>182</v>
      </c>
      <c r="G456">
        <v>0</v>
      </c>
      <c r="H456">
        <v>1</v>
      </c>
      <c r="I456">
        <v>1</v>
      </c>
      <c r="J456">
        <v>1</v>
      </c>
      <c r="K456">
        <v>4</v>
      </c>
      <c r="L456">
        <v>3</v>
      </c>
      <c r="M456">
        <v>0</v>
      </c>
      <c r="N456">
        <v>1</v>
      </c>
      <c r="O456">
        <v>2</v>
      </c>
      <c r="P456">
        <v>0</v>
      </c>
      <c r="Q456">
        <v>1</v>
      </c>
      <c r="R456">
        <v>2</v>
      </c>
      <c r="S456">
        <v>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23</v>
      </c>
      <c r="AM456">
        <v>1.3333333333333333</v>
      </c>
      <c r="AN456">
        <v>28.736965711601002</v>
      </c>
    </row>
    <row r="457" spans="1:40" x14ac:dyDescent="0.3">
      <c r="A457" t="s">
        <v>173</v>
      </c>
      <c r="B457" t="s">
        <v>17</v>
      </c>
      <c r="C457" t="s">
        <v>10</v>
      </c>
      <c r="D457" t="s">
        <v>14</v>
      </c>
      <c r="E457">
        <v>202602</v>
      </c>
      <c r="F457" t="s">
        <v>183</v>
      </c>
      <c r="G457">
        <v>0</v>
      </c>
      <c r="H457">
        <v>1</v>
      </c>
      <c r="I457">
        <v>1</v>
      </c>
      <c r="J457">
        <v>3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2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14</v>
      </c>
      <c r="AM457">
        <v>0.66666666666666663</v>
      </c>
      <c r="AN457">
        <v>16.868482855800501</v>
      </c>
    </row>
    <row r="458" spans="1:40" x14ac:dyDescent="0.3">
      <c r="A458" t="s">
        <v>173</v>
      </c>
      <c r="B458" t="s">
        <v>17</v>
      </c>
      <c r="C458" t="s">
        <v>10</v>
      </c>
      <c r="D458" t="s">
        <v>14</v>
      </c>
      <c r="E458">
        <v>202602</v>
      </c>
      <c r="F458" t="s">
        <v>200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5</v>
      </c>
      <c r="AM458">
        <v>0.33333333333333331</v>
      </c>
      <c r="AN458">
        <v>6.4342414279002504</v>
      </c>
    </row>
    <row r="459" spans="1:40" x14ac:dyDescent="0.3">
      <c r="A459" t="s">
        <v>173</v>
      </c>
      <c r="B459" t="s">
        <v>17</v>
      </c>
      <c r="C459" t="s">
        <v>10</v>
      </c>
      <c r="D459" t="s">
        <v>14</v>
      </c>
      <c r="E459">
        <v>202602</v>
      </c>
      <c r="F459" t="s">
        <v>184</v>
      </c>
      <c r="G459">
        <v>0</v>
      </c>
      <c r="H459">
        <v>2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3</v>
      </c>
      <c r="AM459">
        <v>0</v>
      </c>
      <c r="AN459">
        <v>3</v>
      </c>
    </row>
    <row r="460" spans="1:40" x14ac:dyDescent="0.3">
      <c r="A460" t="s">
        <v>173</v>
      </c>
      <c r="B460" t="s">
        <v>17</v>
      </c>
      <c r="C460" t="s">
        <v>10</v>
      </c>
      <c r="D460" t="s">
        <v>14</v>
      </c>
      <c r="E460">
        <v>202602</v>
      </c>
      <c r="F460" t="s">
        <v>185</v>
      </c>
      <c r="G460">
        <v>0</v>
      </c>
      <c r="H460">
        <v>2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8</v>
      </c>
      <c r="AM460">
        <v>1</v>
      </c>
      <c r="AN460">
        <v>12.302724283700751</v>
      </c>
    </row>
    <row r="461" spans="1:40" x14ac:dyDescent="0.3">
      <c r="A461" t="s">
        <v>173</v>
      </c>
      <c r="B461" t="s">
        <v>17</v>
      </c>
      <c r="C461" t="s">
        <v>10</v>
      </c>
      <c r="D461" t="s">
        <v>14</v>
      </c>
      <c r="E461">
        <v>202602</v>
      </c>
      <c r="F461" t="s">
        <v>186</v>
      </c>
      <c r="G461">
        <v>0</v>
      </c>
      <c r="H461">
        <v>0</v>
      </c>
      <c r="I461">
        <v>0</v>
      </c>
      <c r="J461">
        <v>2</v>
      </c>
      <c r="K461">
        <v>1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6</v>
      </c>
      <c r="AM461">
        <v>0.66666666666666663</v>
      </c>
      <c r="AN461">
        <v>8.8684828558005009</v>
      </c>
    </row>
    <row r="462" spans="1:40" x14ac:dyDescent="0.3">
      <c r="A462" t="s">
        <v>173</v>
      </c>
      <c r="B462" t="s">
        <v>17</v>
      </c>
      <c r="C462" t="s">
        <v>10</v>
      </c>
      <c r="D462" t="s">
        <v>14</v>
      </c>
      <c r="E462">
        <v>202602</v>
      </c>
      <c r="F462" t="s">
        <v>187</v>
      </c>
      <c r="G462">
        <v>1</v>
      </c>
      <c r="H462">
        <v>4</v>
      </c>
      <c r="I462">
        <v>4</v>
      </c>
      <c r="J462">
        <v>0</v>
      </c>
      <c r="K462">
        <v>0</v>
      </c>
      <c r="L462">
        <v>1</v>
      </c>
      <c r="M462">
        <v>1</v>
      </c>
      <c r="N462">
        <v>0</v>
      </c>
      <c r="O462">
        <v>1</v>
      </c>
      <c r="P462">
        <v>4</v>
      </c>
      <c r="Q462">
        <v>3</v>
      </c>
      <c r="R462">
        <v>1</v>
      </c>
      <c r="S462">
        <v>1</v>
      </c>
      <c r="T462">
        <v>0</v>
      </c>
      <c r="U462">
        <v>1</v>
      </c>
      <c r="V462">
        <v>1</v>
      </c>
      <c r="W462">
        <v>0</v>
      </c>
      <c r="X462">
        <v>1</v>
      </c>
      <c r="Y462">
        <v>2</v>
      </c>
      <c r="Z462">
        <v>1</v>
      </c>
      <c r="AA462">
        <v>2</v>
      </c>
      <c r="AB462">
        <v>0</v>
      </c>
      <c r="AC462">
        <v>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31</v>
      </c>
      <c r="AM462">
        <v>1.6666666666666667</v>
      </c>
      <c r="AN462">
        <v>38.171207139501249</v>
      </c>
    </row>
    <row r="463" spans="1:40" x14ac:dyDescent="0.3">
      <c r="A463" t="s">
        <v>173</v>
      </c>
      <c r="B463" t="s">
        <v>17</v>
      </c>
      <c r="C463" t="s">
        <v>10</v>
      </c>
      <c r="D463" t="s">
        <v>14</v>
      </c>
      <c r="E463">
        <v>202602</v>
      </c>
      <c r="F463" t="s">
        <v>188</v>
      </c>
      <c r="G463">
        <v>0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2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9</v>
      </c>
      <c r="AM463">
        <v>0.33333333333333331</v>
      </c>
      <c r="AN463">
        <v>10.43424142790025</v>
      </c>
    </row>
    <row r="464" spans="1:40" x14ac:dyDescent="0.3">
      <c r="A464" t="s">
        <v>173</v>
      </c>
      <c r="B464" t="s">
        <v>17</v>
      </c>
      <c r="C464" t="s">
        <v>10</v>
      </c>
      <c r="D464" t="s">
        <v>14</v>
      </c>
      <c r="E464">
        <v>202602</v>
      </c>
      <c r="F464" t="s">
        <v>189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</v>
      </c>
      <c r="S464">
        <v>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6</v>
      </c>
      <c r="AM464">
        <v>0</v>
      </c>
      <c r="AN464">
        <v>6</v>
      </c>
    </row>
    <row r="465" spans="1:40" x14ac:dyDescent="0.3">
      <c r="A465" t="s">
        <v>173</v>
      </c>
      <c r="B465" t="s">
        <v>17</v>
      </c>
      <c r="C465" t="s">
        <v>10</v>
      </c>
      <c r="D465" t="s">
        <v>14</v>
      </c>
      <c r="E465">
        <v>202602</v>
      </c>
      <c r="F465" t="s">
        <v>190</v>
      </c>
      <c r="G465">
        <v>0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9</v>
      </c>
      <c r="AM465">
        <v>0</v>
      </c>
      <c r="AN465">
        <v>9</v>
      </c>
    </row>
    <row r="466" spans="1:40" x14ac:dyDescent="0.3">
      <c r="A466" t="s">
        <v>173</v>
      </c>
      <c r="B466" t="s">
        <v>17</v>
      </c>
      <c r="C466" t="s">
        <v>10</v>
      </c>
      <c r="D466" t="s">
        <v>14</v>
      </c>
      <c r="E466">
        <v>202602</v>
      </c>
      <c r="F466" t="s">
        <v>191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6</v>
      </c>
      <c r="AM466">
        <v>1</v>
      </c>
      <c r="AN466">
        <v>10.302724283700751</v>
      </c>
    </row>
    <row r="467" spans="1:40" x14ac:dyDescent="0.3">
      <c r="A467" t="s">
        <v>173</v>
      </c>
      <c r="B467" t="s">
        <v>17</v>
      </c>
      <c r="C467" t="s">
        <v>10</v>
      </c>
      <c r="D467" t="s">
        <v>14</v>
      </c>
      <c r="E467">
        <v>202602</v>
      </c>
      <c r="F467" t="s">
        <v>192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1</v>
      </c>
    </row>
    <row r="468" spans="1:40" x14ac:dyDescent="0.3">
      <c r="A468" t="s">
        <v>173</v>
      </c>
      <c r="B468" t="s">
        <v>17</v>
      </c>
      <c r="C468" t="s">
        <v>10</v>
      </c>
      <c r="D468" t="s">
        <v>14</v>
      </c>
      <c r="E468">
        <v>202602</v>
      </c>
      <c r="F468" t="s">
        <v>193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</v>
      </c>
      <c r="AM468">
        <v>0</v>
      </c>
      <c r="AN468">
        <v>2</v>
      </c>
    </row>
    <row r="469" spans="1:40" x14ac:dyDescent="0.3">
      <c r="A469" t="s">
        <v>173</v>
      </c>
      <c r="B469" t="s">
        <v>17</v>
      </c>
      <c r="C469" t="s">
        <v>10</v>
      </c>
      <c r="D469" t="s">
        <v>14</v>
      </c>
      <c r="E469">
        <v>202602</v>
      </c>
      <c r="F469" t="s">
        <v>194</v>
      </c>
      <c r="G469">
        <v>0</v>
      </c>
      <c r="H469">
        <v>0</v>
      </c>
      <c r="I469">
        <v>1</v>
      </c>
      <c r="J469">
        <v>0</v>
      </c>
      <c r="K469">
        <v>1</v>
      </c>
      <c r="L469">
        <v>0</v>
      </c>
      <c r="M469">
        <v>2</v>
      </c>
      <c r="N469">
        <v>2</v>
      </c>
      <c r="O469">
        <v>1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3</v>
      </c>
      <c r="Y469">
        <v>2</v>
      </c>
      <c r="Z469">
        <v>1</v>
      </c>
      <c r="AA469">
        <v>0</v>
      </c>
      <c r="AB469">
        <v>1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16</v>
      </c>
      <c r="AM469">
        <v>1.3333333333333333</v>
      </c>
      <c r="AN469">
        <v>21.736965711601002</v>
      </c>
    </row>
    <row r="470" spans="1:40" x14ac:dyDescent="0.3">
      <c r="A470" t="s">
        <v>173</v>
      </c>
      <c r="B470" t="s">
        <v>17</v>
      </c>
      <c r="C470" t="s">
        <v>10</v>
      </c>
      <c r="D470" t="s">
        <v>14</v>
      </c>
      <c r="E470">
        <v>202602</v>
      </c>
      <c r="F470" t="s">
        <v>195</v>
      </c>
      <c r="G470">
        <v>0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8</v>
      </c>
      <c r="AM470">
        <v>0.33333333333333331</v>
      </c>
      <c r="AN470">
        <v>9.4342414279002504</v>
      </c>
    </row>
    <row r="471" spans="1:40" x14ac:dyDescent="0.3">
      <c r="A471" t="s">
        <v>173</v>
      </c>
      <c r="B471" t="s">
        <v>17</v>
      </c>
      <c r="C471" t="s">
        <v>10</v>
      </c>
      <c r="D471" t="s">
        <v>14</v>
      </c>
      <c r="E471">
        <v>202602</v>
      </c>
      <c r="F471" t="s">
        <v>201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1</v>
      </c>
    </row>
    <row r="472" spans="1:40" x14ac:dyDescent="0.3">
      <c r="A472" t="s">
        <v>173</v>
      </c>
      <c r="B472" t="s">
        <v>17</v>
      </c>
      <c r="C472" t="s">
        <v>10</v>
      </c>
      <c r="D472" t="s">
        <v>14</v>
      </c>
      <c r="E472">
        <v>202602</v>
      </c>
      <c r="F472" t="s">
        <v>708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1</v>
      </c>
    </row>
    <row r="473" spans="1:40" x14ac:dyDescent="0.3">
      <c r="A473" t="s">
        <v>173</v>
      </c>
      <c r="B473" t="s">
        <v>17</v>
      </c>
      <c r="C473" t="s">
        <v>10</v>
      </c>
      <c r="D473" t="s">
        <v>14</v>
      </c>
      <c r="E473">
        <v>202602</v>
      </c>
      <c r="F473" t="s">
        <v>196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2</v>
      </c>
      <c r="Q473">
        <v>0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9</v>
      </c>
      <c r="AM473">
        <v>0.33333333333333331</v>
      </c>
      <c r="AN473">
        <v>10.43424142790025</v>
      </c>
    </row>
    <row r="474" spans="1:40" x14ac:dyDescent="0.3">
      <c r="A474" t="s">
        <v>173</v>
      </c>
      <c r="B474" t="s">
        <v>17</v>
      </c>
      <c r="C474" t="s">
        <v>10</v>
      </c>
      <c r="D474" t="s">
        <v>14</v>
      </c>
      <c r="E474">
        <v>202602</v>
      </c>
      <c r="F474" t="s">
        <v>197</v>
      </c>
      <c r="G474">
        <v>0</v>
      </c>
      <c r="H474">
        <v>0</v>
      </c>
      <c r="I474">
        <v>0</v>
      </c>
      <c r="J474">
        <v>1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2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5</v>
      </c>
      <c r="AM474">
        <v>0</v>
      </c>
      <c r="AN474">
        <v>5</v>
      </c>
    </row>
    <row r="475" spans="1:40" x14ac:dyDescent="0.3">
      <c r="A475" t="s">
        <v>173</v>
      </c>
      <c r="B475" t="s">
        <v>17</v>
      </c>
      <c r="C475" t="s">
        <v>10</v>
      </c>
      <c r="D475" t="s">
        <v>14</v>
      </c>
      <c r="E475">
        <v>202602</v>
      </c>
      <c r="F475" t="s">
        <v>198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3</v>
      </c>
      <c r="AM475">
        <v>0.33333333333333331</v>
      </c>
      <c r="AN475">
        <v>4.4342414279002504</v>
      </c>
    </row>
    <row r="476" spans="1:40" x14ac:dyDescent="0.3">
      <c r="A476" t="s">
        <v>173</v>
      </c>
      <c r="B476" t="s">
        <v>17</v>
      </c>
      <c r="C476" t="s">
        <v>10</v>
      </c>
      <c r="D476" t="s">
        <v>14</v>
      </c>
      <c r="E476">
        <v>202602</v>
      </c>
      <c r="F476" t="s">
        <v>707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1</v>
      </c>
    </row>
    <row r="477" spans="1:40" x14ac:dyDescent="0.3">
      <c r="A477" t="s">
        <v>173</v>
      </c>
      <c r="B477" t="s">
        <v>17</v>
      </c>
      <c r="C477" t="s">
        <v>10</v>
      </c>
      <c r="D477" t="s">
        <v>14</v>
      </c>
      <c r="E477">
        <v>202602</v>
      </c>
      <c r="F477" t="s">
        <v>199</v>
      </c>
      <c r="G477">
        <v>0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7</v>
      </c>
      <c r="AM477">
        <v>0.66666666666666663</v>
      </c>
      <c r="AN477">
        <v>9.8684828558005009</v>
      </c>
    </row>
    <row r="478" spans="1:40" x14ac:dyDescent="0.3">
      <c r="A478" t="s">
        <v>173</v>
      </c>
      <c r="B478" t="s">
        <v>17</v>
      </c>
      <c r="C478" t="s">
        <v>10</v>
      </c>
      <c r="D478" t="s">
        <v>14</v>
      </c>
      <c r="E478">
        <v>202602</v>
      </c>
      <c r="F478" t="s">
        <v>202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1</v>
      </c>
    </row>
    <row r="479" spans="1:40" x14ac:dyDescent="0.3">
      <c r="A479" t="s">
        <v>173</v>
      </c>
      <c r="B479" t="s">
        <v>17</v>
      </c>
      <c r="C479" t="s">
        <v>10</v>
      </c>
      <c r="D479" t="s">
        <v>14</v>
      </c>
      <c r="E479">
        <v>202602</v>
      </c>
      <c r="F479" t="s">
        <v>686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3</v>
      </c>
      <c r="AM479">
        <v>0.66666666666666663</v>
      </c>
      <c r="AN479">
        <v>5.8684828558005</v>
      </c>
    </row>
    <row r="480" spans="1:40" x14ac:dyDescent="0.3">
      <c r="A480" t="s">
        <v>173</v>
      </c>
      <c r="B480" t="s">
        <v>17</v>
      </c>
      <c r="C480" t="s">
        <v>10</v>
      </c>
      <c r="D480" t="s">
        <v>14</v>
      </c>
      <c r="E480">
        <v>202602</v>
      </c>
      <c r="F480" t="s">
        <v>177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1</v>
      </c>
    </row>
    <row r="481" spans="1:40" x14ac:dyDescent="0.3">
      <c r="A481" t="s">
        <v>173</v>
      </c>
      <c r="B481" t="s">
        <v>17</v>
      </c>
      <c r="C481" t="s">
        <v>16</v>
      </c>
      <c r="D481" t="s">
        <v>11</v>
      </c>
      <c r="E481">
        <v>202602</v>
      </c>
      <c r="F481" t="s">
        <v>181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0.33333333333333331</v>
      </c>
      <c r="AN481">
        <v>2.6796686227130611</v>
      </c>
    </row>
    <row r="482" spans="1:40" x14ac:dyDescent="0.3">
      <c r="A482" t="s">
        <v>173</v>
      </c>
      <c r="B482" t="s">
        <v>17</v>
      </c>
      <c r="C482" t="s">
        <v>16</v>
      </c>
      <c r="D482" t="s">
        <v>11</v>
      </c>
      <c r="E482">
        <v>202602</v>
      </c>
      <c r="F482" t="s">
        <v>182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</v>
      </c>
      <c r="AM482">
        <v>0.33333333333333331</v>
      </c>
      <c r="AN482">
        <v>4.6796686227130611</v>
      </c>
    </row>
    <row r="483" spans="1:40" x14ac:dyDescent="0.3">
      <c r="A483" t="s">
        <v>173</v>
      </c>
      <c r="B483" t="s">
        <v>17</v>
      </c>
      <c r="C483" t="s">
        <v>16</v>
      </c>
      <c r="D483" t="s">
        <v>11</v>
      </c>
      <c r="E483">
        <v>202602</v>
      </c>
      <c r="F483" t="s">
        <v>185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</v>
      </c>
      <c r="AM483">
        <v>0.33333333333333331</v>
      </c>
      <c r="AN483">
        <v>5.6796686227130611</v>
      </c>
    </row>
    <row r="484" spans="1:40" x14ac:dyDescent="0.3">
      <c r="A484" t="s">
        <v>173</v>
      </c>
      <c r="B484" t="s">
        <v>17</v>
      </c>
      <c r="C484" t="s">
        <v>16</v>
      </c>
      <c r="D484" t="s">
        <v>11</v>
      </c>
      <c r="E484">
        <v>202602</v>
      </c>
      <c r="F484" t="s">
        <v>187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1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5</v>
      </c>
      <c r="AM484">
        <v>1</v>
      </c>
      <c r="AN484">
        <v>10.039005868139181</v>
      </c>
    </row>
    <row r="485" spans="1:40" x14ac:dyDescent="0.3">
      <c r="A485" t="s">
        <v>173</v>
      </c>
      <c r="B485" t="s">
        <v>17</v>
      </c>
      <c r="C485" t="s">
        <v>16</v>
      </c>
      <c r="D485" t="s">
        <v>11</v>
      </c>
      <c r="E485">
        <v>202602</v>
      </c>
      <c r="F485" t="s">
        <v>188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1</v>
      </c>
    </row>
    <row r="486" spans="1:40" x14ac:dyDescent="0.3">
      <c r="A486" t="s">
        <v>173</v>
      </c>
      <c r="B486" t="s">
        <v>17</v>
      </c>
      <c r="C486" t="s">
        <v>16</v>
      </c>
      <c r="D486" t="s">
        <v>11</v>
      </c>
      <c r="E486">
        <v>202602</v>
      </c>
      <c r="F486" t="s">
        <v>189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1</v>
      </c>
    </row>
    <row r="487" spans="1:40" x14ac:dyDescent="0.3">
      <c r="A487" t="s">
        <v>173</v>
      </c>
      <c r="B487" t="s">
        <v>17</v>
      </c>
      <c r="C487" t="s">
        <v>16</v>
      </c>
      <c r="D487" t="s">
        <v>11</v>
      </c>
      <c r="E487">
        <v>202602</v>
      </c>
      <c r="F487" t="s">
        <v>191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1</v>
      </c>
    </row>
    <row r="488" spans="1:40" x14ac:dyDescent="0.3">
      <c r="A488" t="s">
        <v>173</v>
      </c>
      <c r="B488" t="s">
        <v>17</v>
      </c>
      <c r="C488" t="s">
        <v>16</v>
      </c>
      <c r="D488" t="s">
        <v>11</v>
      </c>
      <c r="E488">
        <v>202602</v>
      </c>
      <c r="F488" t="s">
        <v>194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</v>
      </c>
      <c r="AM488">
        <v>0</v>
      </c>
      <c r="AN488">
        <v>2</v>
      </c>
    </row>
    <row r="489" spans="1:40" x14ac:dyDescent="0.3">
      <c r="A489" t="s">
        <v>173</v>
      </c>
      <c r="B489" t="s">
        <v>17</v>
      </c>
      <c r="C489" t="s">
        <v>16</v>
      </c>
      <c r="D489" t="s">
        <v>11</v>
      </c>
      <c r="E489">
        <v>202602</v>
      </c>
      <c r="F489" t="s">
        <v>196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1</v>
      </c>
    </row>
    <row r="490" spans="1:40" x14ac:dyDescent="0.3">
      <c r="A490" t="s">
        <v>173</v>
      </c>
      <c r="B490" t="s">
        <v>17</v>
      </c>
      <c r="C490" t="s">
        <v>16</v>
      </c>
      <c r="D490" t="s">
        <v>14</v>
      </c>
      <c r="E490">
        <v>202602</v>
      </c>
      <c r="F490" t="s">
        <v>179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1</v>
      </c>
    </row>
    <row r="491" spans="1:40" x14ac:dyDescent="0.3">
      <c r="A491" t="s">
        <v>173</v>
      </c>
      <c r="B491" t="s">
        <v>17</v>
      </c>
      <c r="C491" t="s">
        <v>16</v>
      </c>
      <c r="D491" t="s">
        <v>14</v>
      </c>
      <c r="E491">
        <v>202602</v>
      </c>
      <c r="F491" t="s">
        <v>181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</v>
      </c>
      <c r="AM491">
        <v>0.33333333333333331</v>
      </c>
      <c r="AN491">
        <v>3.43424142790025</v>
      </c>
    </row>
    <row r="492" spans="1:40" x14ac:dyDescent="0.3">
      <c r="A492" t="s">
        <v>173</v>
      </c>
      <c r="B492" t="s">
        <v>17</v>
      </c>
      <c r="C492" t="s">
        <v>16</v>
      </c>
      <c r="D492" t="s">
        <v>14</v>
      </c>
      <c r="E492">
        <v>202602</v>
      </c>
      <c r="F492" t="s">
        <v>182</v>
      </c>
      <c r="G492">
        <v>1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4</v>
      </c>
      <c r="AM492">
        <v>0.33333333333333331</v>
      </c>
      <c r="AN492">
        <v>5.4342414279002504</v>
      </c>
    </row>
    <row r="493" spans="1:40" x14ac:dyDescent="0.3">
      <c r="A493" t="s">
        <v>173</v>
      </c>
      <c r="B493" t="s">
        <v>17</v>
      </c>
      <c r="C493" t="s">
        <v>16</v>
      </c>
      <c r="D493" t="s">
        <v>14</v>
      </c>
      <c r="E493">
        <v>202602</v>
      </c>
      <c r="F493" t="s">
        <v>185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6</v>
      </c>
      <c r="AM493">
        <v>0.66666666666666663</v>
      </c>
      <c r="AN493">
        <v>8.8684828558005009</v>
      </c>
    </row>
    <row r="494" spans="1:40" x14ac:dyDescent="0.3">
      <c r="A494" t="s">
        <v>173</v>
      </c>
      <c r="B494" t="s">
        <v>17</v>
      </c>
      <c r="C494" t="s">
        <v>16</v>
      </c>
      <c r="D494" t="s">
        <v>14</v>
      </c>
      <c r="E494">
        <v>202602</v>
      </c>
      <c r="F494" t="s">
        <v>187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4</v>
      </c>
      <c r="AM494">
        <v>0.33333333333333331</v>
      </c>
      <c r="AN494">
        <v>5.4342414279002504</v>
      </c>
    </row>
    <row r="495" spans="1:40" x14ac:dyDescent="0.3">
      <c r="A495" t="s">
        <v>173</v>
      </c>
      <c r="B495" t="s">
        <v>17</v>
      </c>
      <c r="C495" t="s">
        <v>16</v>
      </c>
      <c r="D495" t="s">
        <v>14</v>
      </c>
      <c r="E495">
        <v>202602</v>
      </c>
      <c r="F495" t="s">
        <v>188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</v>
      </c>
      <c r="AM495">
        <v>0.33333333333333331</v>
      </c>
      <c r="AN495">
        <v>3.43424142790025</v>
      </c>
    </row>
    <row r="496" spans="1:40" x14ac:dyDescent="0.3">
      <c r="A496" t="s">
        <v>173</v>
      </c>
      <c r="B496" t="s">
        <v>17</v>
      </c>
      <c r="C496" t="s">
        <v>16</v>
      </c>
      <c r="D496" t="s">
        <v>14</v>
      </c>
      <c r="E496">
        <v>202602</v>
      </c>
      <c r="F496" t="s">
        <v>189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1</v>
      </c>
    </row>
    <row r="497" spans="1:40" x14ac:dyDescent="0.3">
      <c r="A497" t="s">
        <v>173</v>
      </c>
      <c r="B497" t="s">
        <v>17</v>
      </c>
      <c r="C497" t="s">
        <v>16</v>
      </c>
      <c r="D497" t="s">
        <v>14</v>
      </c>
      <c r="E497">
        <v>202602</v>
      </c>
      <c r="F497" t="s">
        <v>190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1</v>
      </c>
    </row>
    <row r="498" spans="1:40" x14ac:dyDescent="0.3">
      <c r="A498" t="s">
        <v>173</v>
      </c>
      <c r="B498" t="s">
        <v>17</v>
      </c>
      <c r="C498" t="s">
        <v>16</v>
      </c>
      <c r="D498" t="s">
        <v>14</v>
      </c>
      <c r="E498">
        <v>202602</v>
      </c>
      <c r="F498" t="s">
        <v>191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1</v>
      </c>
    </row>
    <row r="499" spans="1:40" x14ac:dyDescent="0.3">
      <c r="A499" t="s">
        <v>173</v>
      </c>
      <c r="B499" t="s">
        <v>17</v>
      </c>
      <c r="C499" t="s">
        <v>16</v>
      </c>
      <c r="D499" t="s">
        <v>14</v>
      </c>
      <c r="E499">
        <v>202602</v>
      </c>
      <c r="F499" t="s">
        <v>194</v>
      </c>
      <c r="G499">
        <v>0</v>
      </c>
      <c r="H499">
        <v>0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</v>
      </c>
      <c r="AM499">
        <v>0</v>
      </c>
      <c r="AN499">
        <v>2</v>
      </c>
    </row>
    <row r="500" spans="1:40" x14ac:dyDescent="0.3">
      <c r="A500" t="s">
        <v>173</v>
      </c>
      <c r="B500" t="s">
        <v>17</v>
      </c>
      <c r="C500" t="s">
        <v>16</v>
      </c>
      <c r="D500" t="s">
        <v>14</v>
      </c>
      <c r="E500">
        <v>202602</v>
      </c>
      <c r="F500" t="s">
        <v>196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1</v>
      </c>
    </row>
    <row r="501" spans="1:40" x14ac:dyDescent="0.3">
      <c r="A501" t="s">
        <v>173</v>
      </c>
      <c r="B501" t="s">
        <v>49</v>
      </c>
      <c r="C501" t="s">
        <v>10</v>
      </c>
      <c r="D501" t="s">
        <v>11</v>
      </c>
      <c r="E501">
        <v>202602</v>
      </c>
      <c r="F501" t="s">
        <v>50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4</v>
      </c>
      <c r="AM501">
        <v>0</v>
      </c>
      <c r="AN501">
        <v>4</v>
      </c>
    </row>
    <row r="502" spans="1:40" x14ac:dyDescent="0.3">
      <c r="A502" t="s">
        <v>173</v>
      </c>
      <c r="B502" t="s">
        <v>49</v>
      </c>
      <c r="C502" t="s">
        <v>10</v>
      </c>
      <c r="D502" t="s">
        <v>11</v>
      </c>
      <c r="E502">
        <v>202602</v>
      </c>
      <c r="F502" t="s">
        <v>203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1</v>
      </c>
    </row>
    <row r="503" spans="1:40" x14ac:dyDescent="0.3">
      <c r="A503" t="s">
        <v>173</v>
      </c>
      <c r="B503" t="s">
        <v>49</v>
      </c>
      <c r="C503" t="s">
        <v>10</v>
      </c>
      <c r="D503" t="s">
        <v>11</v>
      </c>
      <c r="E503">
        <v>202602</v>
      </c>
      <c r="F503" t="s">
        <v>51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1</v>
      </c>
    </row>
    <row r="504" spans="1:40" x14ac:dyDescent="0.3">
      <c r="A504" t="s">
        <v>173</v>
      </c>
      <c r="B504" t="s">
        <v>49</v>
      </c>
      <c r="C504" t="s">
        <v>10</v>
      </c>
      <c r="D504" t="s">
        <v>11</v>
      </c>
      <c r="E504">
        <v>202602</v>
      </c>
      <c r="F504" t="s">
        <v>52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1</v>
      </c>
    </row>
    <row r="505" spans="1:40" x14ac:dyDescent="0.3">
      <c r="A505" t="s">
        <v>173</v>
      </c>
      <c r="B505" t="s">
        <v>49</v>
      </c>
      <c r="C505" t="s">
        <v>10</v>
      </c>
      <c r="D505" t="s">
        <v>14</v>
      </c>
      <c r="E505">
        <v>202602</v>
      </c>
      <c r="F505" t="s">
        <v>50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2</v>
      </c>
      <c r="N505">
        <v>0</v>
      </c>
      <c r="O505">
        <v>0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</v>
      </c>
      <c r="AM505">
        <v>0.33333333333333331</v>
      </c>
      <c r="AN505">
        <v>10.43424142790025</v>
      </c>
    </row>
    <row r="506" spans="1:40" x14ac:dyDescent="0.3">
      <c r="A506" t="s">
        <v>173</v>
      </c>
      <c r="B506" t="s">
        <v>49</v>
      </c>
      <c r="C506" t="s">
        <v>10</v>
      </c>
      <c r="D506" t="s">
        <v>14</v>
      </c>
      <c r="E506">
        <v>202602</v>
      </c>
      <c r="F506" t="s">
        <v>203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1</v>
      </c>
    </row>
    <row r="507" spans="1:40" x14ac:dyDescent="0.3">
      <c r="A507" t="s">
        <v>173</v>
      </c>
      <c r="B507" t="s">
        <v>49</v>
      </c>
      <c r="C507" t="s">
        <v>10</v>
      </c>
      <c r="D507" t="s">
        <v>14</v>
      </c>
      <c r="E507">
        <v>202602</v>
      </c>
      <c r="F507" t="s">
        <v>51</v>
      </c>
      <c r="G507">
        <v>0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</v>
      </c>
      <c r="AM507">
        <v>0</v>
      </c>
      <c r="AN507">
        <v>2</v>
      </c>
    </row>
    <row r="508" spans="1:40" x14ac:dyDescent="0.3">
      <c r="A508" t="s">
        <v>173</v>
      </c>
      <c r="B508" t="s">
        <v>49</v>
      </c>
      <c r="C508" t="s">
        <v>16</v>
      </c>
      <c r="D508" t="s">
        <v>11</v>
      </c>
      <c r="E508">
        <v>202602</v>
      </c>
      <c r="F508" t="s">
        <v>50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3</v>
      </c>
      <c r="AM508">
        <v>0</v>
      </c>
      <c r="AN508">
        <v>3</v>
      </c>
    </row>
    <row r="509" spans="1:40" x14ac:dyDescent="0.3">
      <c r="A509" t="s">
        <v>173</v>
      </c>
      <c r="B509" t="s">
        <v>49</v>
      </c>
      <c r="C509" t="s">
        <v>16</v>
      </c>
      <c r="D509" t="s">
        <v>11</v>
      </c>
      <c r="E509">
        <v>202602</v>
      </c>
      <c r="F509" t="s">
        <v>203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1</v>
      </c>
    </row>
    <row r="510" spans="1:40" x14ac:dyDescent="0.3">
      <c r="A510" t="s">
        <v>173</v>
      </c>
      <c r="B510" t="s">
        <v>49</v>
      </c>
      <c r="C510" t="s">
        <v>16</v>
      </c>
      <c r="D510" t="s">
        <v>11</v>
      </c>
      <c r="E510">
        <v>202602</v>
      </c>
      <c r="F510" t="s">
        <v>51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5</v>
      </c>
      <c r="AM510">
        <v>0</v>
      </c>
      <c r="AN510">
        <v>5</v>
      </c>
    </row>
    <row r="511" spans="1:40" x14ac:dyDescent="0.3">
      <c r="A511" t="s">
        <v>173</v>
      </c>
      <c r="B511" t="s">
        <v>49</v>
      </c>
      <c r="C511" t="s">
        <v>16</v>
      </c>
      <c r="D511" t="s">
        <v>11</v>
      </c>
      <c r="E511">
        <v>202602</v>
      </c>
      <c r="F511" t="s">
        <v>110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0.33333333333333331</v>
      </c>
      <c r="AN511">
        <v>2.6796686227130611</v>
      </c>
    </row>
    <row r="512" spans="1:40" x14ac:dyDescent="0.3">
      <c r="A512" t="s">
        <v>173</v>
      </c>
      <c r="B512" t="s">
        <v>49</v>
      </c>
      <c r="C512" t="s">
        <v>16</v>
      </c>
      <c r="D512" t="s">
        <v>11</v>
      </c>
      <c r="E512">
        <v>202602</v>
      </c>
      <c r="F512" t="s">
        <v>52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1</v>
      </c>
    </row>
    <row r="513" spans="1:40" x14ac:dyDescent="0.3">
      <c r="A513" t="s">
        <v>173</v>
      </c>
      <c r="B513" t="s">
        <v>49</v>
      </c>
      <c r="C513" t="s">
        <v>16</v>
      </c>
      <c r="D513" t="s">
        <v>11</v>
      </c>
      <c r="E513">
        <v>202602</v>
      </c>
      <c r="F513" t="s">
        <v>171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1</v>
      </c>
    </row>
    <row r="514" spans="1:40" x14ac:dyDescent="0.3">
      <c r="A514" t="s">
        <v>173</v>
      </c>
      <c r="B514" t="s">
        <v>49</v>
      </c>
      <c r="C514" t="s">
        <v>16</v>
      </c>
      <c r="D514" t="s">
        <v>14</v>
      </c>
      <c r="E514">
        <v>202602</v>
      </c>
      <c r="F514" t="s">
        <v>50</v>
      </c>
      <c r="G514">
        <v>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2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8</v>
      </c>
      <c r="AM514">
        <v>0.33333333333333331</v>
      </c>
      <c r="AN514">
        <v>9.4342414279002504</v>
      </c>
    </row>
    <row r="515" spans="1:40" x14ac:dyDescent="0.3">
      <c r="A515" t="s">
        <v>173</v>
      </c>
      <c r="B515" t="s">
        <v>49</v>
      </c>
      <c r="C515" t="s">
        <v>16</v>
      </c>
      <c r="D515" t="s">
        <v>14</v>
      </c>
      <c r="E515">
        <v>202602</v>
      </c>
      <c r="F515" t="s">
        <v>203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1</v>
      </c>
    </row>
    <row r="516" spans="1:40" x14ac:dyDescent="0.3">
      <c r="A516" t="s">
        <v>173</v>
      </c>
      <c r="B516" t="s">
        <v>49</v>
      </c>
      <c r="C516" t="s">
        <v>16</v>
      </c>
      <c r="D516" t="s">
        <v>14</v>
      </c>
      <c r="E516">
        <v>202602</v>
      </c>
      <c r="F516" t="s">
        <v>51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1</v>
      </c>
      <c r="Q516">
        <v>1</v>
      </c>
      <c r="R516">
        <v>0</v>
      </c>
      <c r="S516">
        <v>1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6</v>
      </c>
      <c r="AM516">
        <v>0.33333333333333331</v>
      </c>
      <c r="AN516">
        <v>7.4342414279002504</v>
      </c>
    </row>
    <row r="517" spans="1:40" x14ac:dyDescent="0.3">
      <c r="A517" t="s">
        <v>173</v>
      </c>
      <c r="B517" t="s">
        <v>49</v>
      </c>
      <c r="C517" t="s">
        <v>16</v>
      </c>
      <c r="D517" t="s">
        <v>14</v>
      </c>
      <c r="E517">
        <v>202602</v>
      </c>
      <c r="F517" t="s">
        <v>110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2</v>
      </c>
      <c r="AM517">
        <v>0.66666666666666663</v>
      </c>
      <c r="AN517">
        <v>4.8684828558005</v>
      </c>
    </row>
    <row r="518" spans="1:40" x14ac:dyDescent="0.3">
      <c r="A518" t="s">
        <v>173</v>
      </c>
      <c r="B518" t="s">
        <v>49</v>
      </c>
      <c r="C518" t="s">
        <v>16</v>
      </c>
      <c r="D518" t="s">
        <v>14</v>
      </c>
      <c r="E518">
        <v>202602</v>
      </c>
      <c r="F518" t="s">
        <v>52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1</v>
      </c>
    </row>
    <row r="519" spans="1:40" x14ac:dyDescent="0.3">
      <c r="A519" t="s">
        <v>173</v>
      </c>
      <c r="B519" t="s">
        <v>49</v>
      </c>
      <c r="C519" t="s">
        <v>16</v>
      </c>
      <c r="D519" t="s">
        <v>14</v>
      </c>
      <c r="E519">
        <v>202602</v>
      </c>
      <c r="F519" t="s">
        <v>171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1</v>
      </c>
    </row>
    <row r="520" spans="1:40" x14ac:dyDescent="0.3">
      <c r="A520" t="s">
        <v>173</v>
      </c>
      <c r="B520" t="s">
        <v>49</v>
      </c>
      <c r="C520" t="s">
        <v>16</v>
      </c>
      <c r="D520" t="s">
        <v>14</v>
      </c>
      <c r="E520">
        <v>202602</v>
      </c>
      <c r="F520" t="s">
        <v>58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1</v>
      </c>
    </row>
    <row r="521" spans="1:40" x14ac:dyDescent="0.3">
      <c r="A521" t="s">
        <v>173</v>
      </c>
      <c r="B521" t="s">
        <v>49</v>
      </c>
      <c r="C521" t="s">
        <v>16</v>
      </c>
      <c r="D521" t="s">
        <v>14</v>
      </c>
      <c r="E521">
        <v>202602</v>
      </c>
      <c r="F521" t="s">
        <v>53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1</v>
      </c>
    </row>
    <row r="522" spans="1:40" x14ac:dyDescent="0.3">
      <c r="A522" t="s">
        <v>173</v>
      </c>
      <c r="B522" t="s">
        <v>54</v>
      </c>
      <c r="C522" t="s">
        <v>10</v>
      </c>
      <c r="D522" t="s">
        <v>11</v>
      </c>
      <c r="E522">
        <v>202602</v>
      </c>
      <c r="F522" t="s">
        <v>55</v>
      </c>
      <c r="G522">
        <v>0</v>
      </c>
      <c r="H522">
        <v>4</v>
      </c>
      <c r="I522">
        <v>1</v>
      </c>
      <c r="J522">
        <v>2</v>
      </c>
      <c r="K522">
        <v>4</v>
      </c>
      <c r="L522">
        <v>2</v>
      </c>
      <c r="M522">
        <v>2</v>
      </c>
      <c r="N522">
        <v>0</v>
      </c>
      <c r="O522">
        <v>1</v>
      </c>
      <c r="P522">
        <v>1</v>
      </c>
      <c r="Q522">
        <v>1</v>
      </c>
      <c r="R522">
        <v>0</v>
      </c>
      <c r="S522">
        <v>3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1</v>
      </c>
      <c r="AA522">
        <v>3</v>
      </c>
      <c r="AB522">
        <v>0</v>
      </c>
      <c r="AC522">
        <v>2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28</v>
      </c>
      <c r="AM522">
        <v>1</v>
      </c>
      <c r="AN522">
        <v>33.039005868139185</v>
      </c>
    </row>
    <row r="523" spans="1:40" x14ac:dyDescent="0.3">
      <c r="A523" t="s">
        <v>173</v>
      </c>
      <c r="B523" t="s">
        <v>54</v>
      </c>
      <c r="C523" t="s">
        <v>10</v>
      </c>
      <c r="D523" t="s">
        <v>11</v>
      </c>
      <c r="E523">
        <v>202602</v>
      </c>
      <c r="F523" t="s">
        <v>56</v>
      </c>
      <c r="G523">
        <v>0</v>
      </c>
      <c r="H523">
        <v>7</v>
      </c>
      <c r="I523">
        <v>5</v>
      </c>
      <c r="J523">
        <v>6</v>
      </c>
      <c r="K523">
        <v>15</v>
      </c>
      <c r="L523">
        <v>11</v>
      </c>
      <c r="M523">
        <v>5</v>
      </c>
      <c r="N523">
        <v>0</v>
      </c>
      <c r="O523">
        <v>3</v>
      </c>
      <c r="P523">
        <v>9</v>
      </c>
      <c r="Q523">
        <v>7</v>
      </c>
      <c r="R523">
        <v>6</v>
      </c>
      <c r="S523">
        <v>9</v>
      </c>
      <c r="T523">
        <v>4</v>
      </c>
      <c r="U523">
        <v>0</v>
      </c>
      <c r="V523">
        <v>1</v>
      </c>
      <c r="W523">
        <v>0</v>
      </c>
      <c r="X523">
        <v>6</v>
      </c>
      <c r="Y523">
        <v>13</v>
      </c>
      <c r="Z523">
        <v>4</v>
      </c>
      <c r="AA523">
        <v>3</v>
      </c>
      <c r="AB523">
        <v>0</v>
      </c>
      <c r="AC523">
        <v>16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130</v>
      </c>
      <c r="AM523">
        <v>11</v>
      </c>
      <c r="AN523">
        <v>185.42906454953101</v>
      </c>
    </row>
    <row r="524" spans="1:40" x14ac:dyDescent="0.3">
      <c r="A524" t="s">
        <v>173</v>
      </c>
      <c r="B524" t="s">
        <v>54</v>
      </c>
      <c r="C524" t="s">
        <v>10</v>
      </c>
      <c r="D524" t="s">
        <v>11</v>
      </c>
      <c r="E524">
        <v>202602</v>
      </c>
      <c r="F524" t="s">
        <v>57</v>
      </c>
      <c r="G524">
        <v>0</v>
      </c>
      <c r="H524">
        <v>3</v>
      </c>
      <c r="I524">
        <v>3</v>
      </c>
      <c r="J524">
        <v>0</v>
      </c>
      <c r="K524">
        <v>5</v>
      </c>
      <c r="L524">
        <v>5</v>
      </c>
      <c r="M524">
        <v>1</v>
      </c>
      <c r="N524">
        <v>0</v>
      </c>
      <c r="O524">
        <v>0</v>
      </c>
      <c r="P524">
        <v>5</v>
      </c>
      <c r="Q524">
        <v>2</v>
      </c>
      <c r="R524">
        <v>2</v>
      </c>
      <c r="S524">
        <v>3</v>
      </c>
      <c r="T524">
        <v>2</v>
      </c>
      <c r="U524">
        <v>0</v>
      </c>
      <c r="V524">
        <v>3</v>
      </c>
      <c r="W524">
        <v>0</v>
      </c>
      <c r="X524">
        <v>4</v>
      </c>
      <c r="Y524">
        <v>1</v>
      </c>
      <c r="Z524">
        <v>1</v>
      </c>
      <c r="AA524">
        <v>1</v>
      </c>
      <c r="AB524">
        <v>0</v>
      </c>
      <c r="AC524">
        <v>5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46</v>
      </c>
      <c r="AM524">
        <v>2.3333333333333335</v>
      </c>
      <c r="AN524">
        <v>57.757680358991422</v>
      </c>
    </row>
    <row r="525" spans="1:40" x14ac:dyDescent="0.3">
      <c r="A525" t="s">
        <v>173</v>
      </c>
      <c r="B525" t="s">
        <v>54</v>
      </c>
      <c r="C525" t="s">
        <v>10</v>
      </c>
      <c r="D525" t="s">
        <v>11</v>
      </c>
      <c r="E525">
        <v>202602</v>
      </c>
      <c r="F525" t="s">
        <v>58</v>
      </c>
      <c r="G525">
        <v>0</v>
      </c>
      <c r="H525">
        <v>3</v>
      </c>
      <c r="I525">
        <v>1</v>
      </c>
      <c r="J525">
        <v>1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1</v>
      </c>
      <c r="Y525">
        <v>0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10</v>
      </c>
      <c r="AM525">
        <v>0.33333333333333331</v>
      </c>
      <c r="AN525">
        <v>11.679668622713061</v>
      </c>
    </row>
    <row r="526" spans="1:40" x14ac:dyDescent="0.3">
      <c r="A526" t="s">
        <v>173</v>
      </c>
      <c r="B526" t="s">
        <v>54</v>
      </c>
      <c r="C526" t="s">
        <v>10</v>
      </c>
      <c r="D526" t="s">
        <v>14</v>
      </c>
      <c r="E526">
        <v>202602</v>
      </c>
      <c r="F526" t="s">
        <v>55</v>
      </c>
      <c r="G526">
        <v>0</v>
      </c>
      <c r="H526">
        <v>4</v>
      </c>
      <c r="I526">
        <v>7</v>
      </c>
      <c r="J526">
        <v>3</v>
      </c>
      <c r="K526">
        <v>4</v>
      </c>
      <c r="L526">
        <v>1</v>
      </c>
      <c r="M526">
        <v>1</v>
      </c>
      <c r="N526">
        <v>1</v>
      </c>
      <c r="O526">
        <v>3</v>
      </c>
      <c r="P526">
        <v>2</v>
      </c>
      <c r="Q526">
        <v>2</v>
      </c>
      <c r="R526">
        <v>1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4</v>
      </c>
      <c r="Z526">
        <v>2</v>
      </c>
      <c r="AA526">
        <v>0</v>
      </c>
      <c r="AB526">
        <v>0</v>
      </c>
      <c r="AC526">
        <v>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39</v>
      </c>
      <c r="AM526">
        <v>3</v>
      </c>
      <c r="AN526">
        <v>51.90817285110225</v>
      </c>
    </row>
    <row r="527" spans="1:40" x14ac:dyDescent="0.3">
      <c r="A527" t="s">
        <v>173</v>
      </c>
      <c r="B527" t="s">
        <v>54</v>
      </c>
      <c r="C527" t="s">
        <v>10</v>
      </c>
      <c r="D527" t="s">
        <v>14</v>
      </c>
      <c r="E527">
        <v>202602</v>
      </c>
      <c r="F527" t="s">
        <v>56</v>
      </c>
      <c r="G527">
        <v>0</v>
      </c>
      <c r="H527">
        <v>7</v>
      </c>
      <c r="I527">
        <v>10</v>
      </c>
      <c r="J527">
        <v>20</v>
      </c>
      <c r="K527">
        <v>11</v>
      </c>
      <c r="L527">
        <v>11</v>
      </c>
      <c r="M527">
        <v>2</v>
      </c>
      <c r="N527">
        <v>0</v>
      </c>
      <c r="O527">
        <v>17</v>
      </c>
      <c r="P527">
        <v>12</v>
      </c>
      <c r="Q527">
        <v>12</v>
      </c>
      <c r="R527">
        <v>11</v>
      </c>
      <c r="S527">
        <v>4</v>
      </c>
      <c r="T527">
        <v>1</v>
      </c>
      <c r="U527">
        <v>1</v>
      </c>
      <c r="V527">
        <v>3</v>
      </c>
      <c r="W527">
        <v>6</v>
      </c>
      <c r="X527">
        <v>6</v>
      </c>
      <c r="Y527">
        <v>14</v>
      </c>
      <c r="Z527">
        <v>9</v>
      </c>
      <c r="AA527">
        <v>2</v>
      </c>
      <c r="AB527">
        <v>2</v>
      </c>
      <c r="AC527">
        <v>17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178</v>
      </c>
      <c r="AM527">
        <v>13.333333333333334</v>
      </c>
      <c r="AN527">
        <v>235.36965711600999</v>
      </c>
    </row>
    <row r="528" spans="1:40" x14ac:dyDescent="0.3">
      <c r="A528" t="s">
        <v>173</v>
      </c>
      <c r="B528" t="s">
        <v>54</v>
      </c>
      <c r="C528" t="s">
        <v>10</v>
      </c>
      <c r="D528" t="s">
        <v>14</v>
      </c>
      <c r="E528">
        <v>202602</v>
      </c>
      <c r="F528" t="s">
        <v>57</v>
      </c>
      <c r="G528">
        <v>0</v>
      </c>
      <c r="H528">
        <v>3</v>
      </c>
      <c r="I528">
        <v>3</v>
      </c>
      <c r="J528">
        <v>9</v>
      </c>
      <c r="K528">
        <v>4</v>
      </c>
      <c r="L528">
        <v>0</v>
      </c>
      <c r="M528">
        <v>3</v>
      </c>
      <c r="N528">
        <v>0</v>
      </c>
      <c r="O528">
        <v>3</v>
      </c>
      <c r="P528">
        <v>6</v>
      </c>
      <c r="Q528">
        <v>0</v>
      </c>
      <c r="R528">
        <v>7</v>
      </c>
      <c r="S528">
        <v>4</v>
      </c>
      <c r="T528">
        <v>3</v>
      </c>
      <c r="U528">
        <v>0</v>
      </c>
      <c r="V528">
        <v>0</v>
      </c>
      <c r="W528">
        <v>0</v>
      </c>
      <c r="X528">
        <v>1</v>
      </c>
      <c r="Y528">
        <v>2</v>
      </c>
      <c r="Z528">
        <v>3</v>
      </c>
      <c r="AA528">
        <v>4</v>
      </c>
      <c r="AB528">
        <v>0</v>
      </c>
      <c r="AC528">
        <v>3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58</v>
      </c>
      <c r="AM528">
        <v>2.6666666666666665</v>
      </c>
      <c r="AN528">
        <v>69.473931423202004</v>
      </c>
    </row>
    <row r="529" spans="1:40" x14ac:dyDescent="0.3">
      <c r="A529" t="s">
        <v>173</v>
      </c>
      <c r="B529" t="s">
        <v>54</v>
      </c>
      <c r="C529" t="s">
        <v>10</v>
      </c>
      <c r="D529" t="s">
        <v>14</v>
      </c>
      <c r="E529">
        <v>202602</v>
      </c>
      <c r="F529" t="s">
        <v>58</v>
      </c>
      <c r="G529">
        <v>0</v>
      </c>
      <c r="H529">
        <v>0</v>
      </c>
      <c r="I529">
        <v>0</v>
      </c>
      <c r="J529">
        <v>2</v>
      </c>
      <c r="K529">
        <v>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10</v>
      </c>
      <c r="AM529">
        <v>0.66666666666666663</v>
      </c>
      <c r="AN529">
        <v>12.868482855800501</v>
      </c>
    </row>
    <row r="530" spans="1:40" x14ac:dyDescent="0.3">
      <c r="A530" t="s">
        <v>173</v>
      </c>
      <c r="B530" t="s">
        <v>54</v>
      </c>
      <c r="C530" t="s">
        <v>16</v>
      </c>
      <c r="D530" t="s">
        <v>11</v>
      </c>
      <c r="E530">
        <v>202602</v>
      </c>
      <c r="F530" t="s">
        <v>56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</v>
      </c>
      <c r="AM530">
        <v>0.33333333333333331</v>
      </c>
      <c r="AN530">
        <v>3.6796686227130611</v>
      </c>
    </row>
    <row r="531" spans="1:40" x14ac:dyDescent="0.3">
      <c r="A531" t="s">
        <v>173</v>
      </c>
      <c r="B531" t="s">
        <v>54</v>
      </c>
      <c r="C531" t="s">
        <v>16</v>
      </c>
      <c r="D531" t="s">
        <v>11</v>
      </c>
      <c r="E531">
        <v>202602</v>
      </c>
      <c r="F531" t="s">
        <v>58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</v>
      </c>
      <c r="AM531">
        <v>0</v>
      </c>
      <c r="AN531">
        <v>2</v>
      </c>
    </row>
    <row r="532" spans="1:40" x14ac:dyDescent="0.3">
      <c r="A532" t="s">
        <v>173</v>
      </c>
      <c r="B532" t="s">
        <v>54</v>
      </c>
      <c r="C532" t="s">
        <v>16</v>
      </c>
      <c r="D532" t="s">
        <v>14</v>
      </c>
      <c r="E532">
        <v>202602</v>
      </c>
      <c r="F532" t="s">
        <v>56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2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6</v>
      </c>
      <c r="AM532">
        <v>0.66666666666666663</v>
      </c>
      <c r="AN532">
        <v>8.8684828558005009</v>
      </c>
    </row>
    <row r="533" spans="1:40" x14ac:dyDescent="0.3">
      <c r="A533" t="s">
        <v>173</v>
      </c>
      <c r="B533" t="s">
        <v>54</v>
      </c>
      <c r="C533" t="s">
        <v>16</v>
      </c>
      <c r="D533" t="s">
        <v>14</v>
      </c>
      <c r="E533">
        <v>202602</v>
      </c>
      <c r="F533" t="s">
        <v>57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1</v>
      </c>
    </row>
    <row r="534" spans="1:40" x14ac:dyDescent="0.3">
      <c r="A534" t="s">
        <v>173</v>
      </c>
      <c r="B534" t="s">
        <v>54</v>
      </c>
      <c r="C534" t="s">
        <v>16</v>
      </c>
      <c r="D534" t="s">
        <v>14</v>
      </c>
      <c r="E534">
        <v>202602</v>
      </c>
      <c r="F534" t="s">
        <v>58</v>
      </c>
      <c r="G534">
        <v>3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6</v>
      </c>
      <c r="AM534">
        <v>0.33333333333333331</v>
      </c>
      <c r="AN534">
        <v>7.4342414279002504</v>
      </c>
    </row>
    <row r="535" spans="1:40" x14ac:dyDescent="0.3">
      <c r="A535" t="s">
        <v>173</v>
      </c>
      <c r="B535" t="s">
        <v>59</v>
      </c>
      <c r="C535" t="s">
        <v>10</v>
      </c>
      <c r="D535" t="s">
        <v>11</v>
      </c>
      <c r="E535">
        <v>202602</v>
      </c>
      <c r="F535" t="s">
        <v>60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1</v>
      </c>
    </row>
    <row r="536" spans="1:40" x14ac:dyDescent="0.3">
      <c r="A536" t="s">
        <v>173</v>
      </c>
      <c r="B536" t="s">
        <v>59</v>
      </c>
      <c r="C536" t="s">
        <v>10</v>
      </c>
      <c r="D536" t="s">
        <v>11</v>
      </c>
      <c r="E536">
        <v>202602</v>
      </c>
      <c r="F536" t="s">
        <v>204</v>
      </c>
      <c r="G536">
        <v>0</v>
      </c>
      <c r="H536">
        <v>1</v>
      </c>
      <c r="I536">
        <v>1</v>
      </c>
      <c r="J536">
        <v>2</v>
      </c>
      <c r="K536">
        <v>6</v>
      </c>
      <c r="L536">
        <v>2</v>
      </c>
      <c r="M536">
        <v>2</v>
      </c>
      <c r="N536">
        <v>0</v>
      </c>
      <c r="O536">
        <v>2</v>
      </c>
      <c r="P536">
        <v>4</v>
      </c>
      <c r="Q536">
        <v>2</v>
      </c>
      <c r="R536">
        <v>8</v>
      </c>
      <c r="S536">
        <v>3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6</v>
      </c>
      <c r="Z536">
        <v>1</v>
      </c>
      <c r="AA536">
        <v>2</v>
      </c>
      <c r="AB536">
        <v>0</v>
      </c>
      <c r="AC536">
        <v>3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46</v>
      </c>
      <c r="AM536">
        <v>3.3333333333333335</v>
      </c>
      <c r="AN536">
        <v>62.796686227130607</v>
      </c>
    </row>
    <row r="537" spans="1:40" x14ac:dyDescent="0.3">
      <c r="A537" t="s">
        <v>173</v>
      </c>
      <c r="B537" t="s">
        <v>59</v>
      </c>
      <c r="C537" t="s">
        <v>10</v>
      </c>
      <c r="D537" t="s">
        <v>11</v>
      </c>
      <c r="E537">
        <v>202602</v>
      </c>
      <c r="F537" t="s">
        <v>61</v>
      </c>
      <c r="G537">
        <v>0</v>
      </c>
      <c r="H537">
        <v>6</v>
      </c>
      <c r="I537">
        <v>2</v>
      </c>
      <c r="J537">
        <v>4</v>
      </c>
      <c r="K537">
        <v>5</v>
      </c>
      <c r="L537">
        <v>5</v>
      </c>
      <c r="M537">
        <v>3</v>
      </c>
      <c r="N537">
        <v>0</v>
      </c>
      <c r="O537">
        <v>2</v>
      </c>
      <c r="P537">
        <v>3</v>
      </c>
      <c r="Q537">
        <v>5</v>
      </c>
      <c r="R537">
        <v>3</v>
      </c>
      <c r="S537">
        <v>5</v>
      </c>
      <c r="T537">
        <v>4</v>
      </c>
      <c r="U537">
        <v>0</v>
      </c>
      <c r="V537">
        <v>3</v>
      </c>
      <c r="W537">
        <v>0</v>
      </c>
      <c r="X537">
        <v>3</v>
      </c>
      <c r="Y537">
        <v>1</v>
      </c>
      <c r="Z537">
        <v>2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56</v>
      </c>
      <c r="AM537">
        <v>1</v>
      </c>
      <c r="AN537">
        <v>61.039005868139185</v>
      </c>
    </row>
    <row r="538" spans="1:40" x14ac:dyDescent="0.3">
      <c r="A538" t="s">
        <v>173</v>
      </c>
      <c r="B538" t="s">
        <v>59</v>
      </c>
      <c r="C538" t="s">
        <v>10</v>
      </c>
      <c r="D538" t="s">
        <v>11</v>
      </c>
      <c r="E538">
        <v>202602</v>
      </c>
      <c r="F538" t="s">
        <v>63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1</v>
      </c>
    </row>
    <row r="539" spans="1:40" x14ac:dyDescent="0.3">
      <c r="A539" t="s">
        <v>173</v>
      </c>
      <c r="B539" t="s">
        <v>59</v>
      </c>
      <c r="C539" t="s">
        <v>10</v>
      </c>
      <c r="D539" t="s">
        <v>11</v>
      </c>
      <c r="E539">
        <v>202602</v>
      </c>
      <c r="F539" t="s">
        <v>205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1</v>
      </c>
    </row>
    <row r="540" spans="1:40" x14ac:dyDescent="0.3">
      <c r="A540" t="s">
        <v>173</v>
      </c>
      <c r="B540" t="s">
        <v>59</v>
      </c>
      <c r="C540" t="s">
        <v>10</v>
      </c>
      <c r="D540" t="s">
        <v>11</v>
      </c>
      <c r="E540">
        <v>202602</v>
      </c>
      <c r="F540" t="s">
        <v>206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3</v>
      </c>
      <c r="AM540">
        <v>0</v>
      </c>
      <c r="AN540">
        <v>3</v>
      </c>
    </row>
    <row r="541" spans="1:40" x14ac:dyDescent="0.3">
      <c r="A541" t="s">
        <v>173</v>
      </c>
      <c r="B541" t="s">
        <v>59</v>
      </c>
      <c r="C541" t="s">
        <v>10</v>
      </c>
      <c r="D541" t="s">
        <v>11</v>
      </c>
      <c r="E541">
        <v>202602</v>
      </c>
      <c r="F541" t="s">
        <v>76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0.33333333333333331</v>
      </c>
      <c r="AN541">
        <v>2.6796686227130611</v>
      </c>
    </row>
    <row r="542" spans="1:40" x14ac:dyDescent="0.3">
      <c r="A542" t="s">
        <v>173</v>
      </c>
      <c r="B542" t="s">
        <v>59</v>
      </c>
      <c r="C542" t="s">
        <v>10</v>
      </c>
      <c r="D542" t="s">
        <v>11</v>
      </c>
      <c r="E542">
        <v>202602</v>
      </c>
      <c r="F542" t="s">
        <v>207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1</v>
      </c>
    </row>
    <row r="543" spans="1:40" x14ac:dyDescent="0.3">
      <c r="A543" t="s">
        <v>173</v>
      </c>
      <c r="B543" t="s">
        <v>59</v>
      </c>
      <c r="C543" t="s">
        <v>10</v>
      </c>
      <c r="D543" t="s">
        <v>11</v>
      </c>
      <c r="E543">
        <v>202602</v>
      </c>
      <c r="F543" t="s">
        <v>64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1</v>
      </c>
    </row>
    <row r="544" spans="1:40" x14ac:dyDescent="0.3">
      <c r="A544" t="s">
        <v>173</v>
      </c>
      <c r="B544" t="s">
        <v>59</v>
      </c>
      <c r="C544" t="s">
        <v>10</v>
      </c>
      <c r="D544" t="s">
        <v>11</v>
      </c>
      <c r="E544">
        <v>202602</v>
      </c>
      <c r="F544" t="s">
        <v>66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2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6</v>
      </c>
      <c r="AM544">
        <v>0.33333333333333331</v>
      </c>
      <c r="AN544">
        <v>7.6796686227130611</v>
      </c>
    </row>
    <row r="545" spans="1:40" x14ac:dyDescent="0.3">
      <c r="A545" t="s">
        <v>173</v>
      </c>
      <c r="B545" t="s">
        <v>59</v>
      </c>
      <c r="C545" t="s">
        <v>10</v>
      </c>
      <c r="D545" t="s">
        <v>11</v>
      </c>
      <c r="E545">
        <v>202602</v>
      </c>
      <c r="F545" t="s">
        <v>213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0</v>
      </c>
      <c r="AN545">
        <v>1</v>
      </c>
    </row>
    <row r="546" spans="1:40" x14ac:dyDescent="0.3">
      <c r="A546" t="s">
        <v>173</v>
      </c>
      <c r="B546" t="s">
        <v>59</v>
      </c>
      <c r="C546" t="s">
        <v>10</v>
      </c>
      <c r="D546" t="s">
        <v>11</v>
      </c>
      <c r="E546">
        <v>202602</v>
      </c>
      <c r="F546" t="s">
        <v>68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1</v>
      </c>
    </row>
    <row r="547" spans="1:40" x14ac:dyDescent="0.3">
      <c r="A547" t="s">
        <v>173</v>
      </c>
      <c r="B547" t="s">
        <v>59</v>
      </c>
      <c r="C547" t="s">
        <v>10</v>
      </c>
      <c r="D547" t="s">
        <v>11</v>
      </c>
      <c r="E547">
        <v>202602</v>
      </c>
      <c r="F547" t="s">
        <v>260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1</v>
      </c>
    </row>
    <row r="548" spans="1:40" x14ac:dyDescent="0.3">
      <c r="A548" t="s">
        <v>173</v>
      </c>
      <c r="B548" t="s">
        <v>59</v>
      </c>
      <c r="C548" t="s">
        <v>10</v>
      </c>
      <c r="D548" t="s">
        <v>11</v>
      </c>
      <c r="E548">
        <v>202602</v>
      </c>
      <c r="F548" t="s">
        <v>69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1</v>
      </c>
      <c r="R548">
        <v>1</v>
      </c>
      <c r="S548">
        <v>2</v>
      </c>
      <c r="T548">
        <v>1</v>
      </c>
      <c r="U548">
        <v>0</v>
      </c>
      <c r="V548">
        <v>2</v>
      </c>
      <c r="W548">
        <v>0</v>
      </c>
      <c r="X548">
        <v>0</v>
      </c>
      <c r="Y548">
        <v>4</v>
      </c>
      <c r="Z548">
        <v>2</v>
      </c>
      <c r="AA548">
        <v>1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19</v>
      </c>
      <c r="AM548">
        <v>2.3333333333333335</v>
      </c>
      <c r="AN548">
        <v>30.757680358991426</v>
      </c>
    </row>
    <row r="549" spans="1:40" x14ac:dyDescent="0.3">
      <c r="A549" t="s">
        <v>173</v>
      </c>
      <c r="B549" t="s">
        <v>59</v>
      </c>
      <c r="C549" t="s">
        <v>10</v>
      </c>
      <c r="D549" t="s">
        <v>11</v>
      </c>
      <c r="E549">
        <v>202602</v>
      </c>
      <c r="F549" t="s">
        <v>208</v>
      </c>
      <c r="G549">
        <v>0</v>
      </c>
      <c r="H549">
        <v>0</v>
      </c>
      <c r="I549">
        <v>0</v>
      </c>
      <c r="J549">
        <v>1</v>
      </c>
      <c r="K549">
        <v>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2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7</v>
      </c>
      <c r="AM549">
        <v>0.66666666666666663</v>
      </c>
      <c r="AN549">
        <v>10.359337245426122</v>
      </c>
    </row>
    <row r="550" spans="1:40" x14ac:dyDescent="0.3">
      <c r="A550" t="s">
        <v>173</v>
      </c>
      <c r="B550" t="s">
        <v>59</v>
      </c>
      <c r="C550" t="s">
        <v>10</v>
      </c>
      <c r="D550" t="s">
        <v>11</v>
      </c>
      <c r="E550">
        <v>202602</v>
      </c>
      <c r="F550" t="s">
        <v>209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2</v>
      </c>
      <c r="M550">
        <v>0</v>
      </c>
      <c r="N550">
        <v>0</v>
      </c>
      <c r="O550">
        <v>2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8</v>
      </c>
      <c r="AM550">
        <v>0.33333333333333331</v>
      </c>
      <c r="AN550">
        <v>9.6796686227130611</v>
      </c>
    </row>
    <row r="551" spans="1:40" x14ac:dyDescent="0.3">
      <c r="A551" t="s">
        <v>173</v>
      </c>
      <c r="B551" t="s">
        <v>59</v>
      </c>
      <c r="C551" t="s">
        <v>10</v>
      </c>
      <c r="D551" t="s">
        <v>11</v>
      </c>
      <c r="E551">
        <v>202602</v>
      </c>
      <c r="F551" t="s">
        <v>210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1</v>
      </c>
    </row>
    <row r="552" spans="1:40" x14ac:dyDescent="0.3">
      <c r="A552" t="s">
        <v>173</v>
      </c>
      <c r="B552" t="s">
        <v>59</v>
      </c>
      <c r="C552" t="s">
        <v>10</v>
      </c>
      <c r="D552" t="s">
        <v>11</v>
      </c>
      <c r="E552">
        <v>202602</v>
      </c>
      <c r="F552" t="s">
        <v>211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1</v>
      </c>
    </row>
    <row r="553" spans="1:40" x14ac:dyDescent="0.3">
      <c r="A553" t="s">
        <v>173</v>
      </c>
      <c r="B553" t="s">
        <v>59</v>
      </c>
      <c r="C553" t="s">
        <v>10</v>
      </c>
      <c r="D553" t="s">
        <v>11</v>
      </c>
      <c r="E553">
        <v>202602</v>
      </c>
      <c r="F553" t="s">
        <v>212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2</v>
      </c>
      <c r="Z553">
        <v>1</v>
      </c>
      <c r="AA553">
        <v>1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8</v>
      </c>
      <c r="AM553">
        <v>1.3333333333333333</v>
      </c>
      <c r="AN553">
        <v>14.718674490852244</v>
      </c>
    </row>
    <row r="554" spans="1:40" x14ac:dyDescent="0.3">
      <c r="A554" t="s">
        <v>173</v>
      </c>
      <c r="B554" t="s">
        <v>59</v>
      </c>
      <c r="C554" t="s">
        <v>10</v>
      </c>
      <c r="D554" t="s">
        <v>11</v>
      </c>
      <c r="E554">
        <v>202602</v>
      </c>
      <c r="F554" t="s">
        <v>79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0.33333333333333331</v>
      </c>
      <c r="AN554">
        <v>2.6796686227130611</v>
      </c>
    </row>
    <row r="555" spans="1:40" x14ac:dyDescent="0.3">
      <c r="A555" t="s">
        <v>173</v>
      </c>
      <c r="B555" t="s">
        <v>59</v>
      </c>
      <c r="C555" t="s">
        <v>10</v>
      </c>
      <c r="D555" t="s">
        <v>11</v>
      </c>
      <c r="E555">
        <v>202602</v>
      </c>
      <c r="F555" t="s">
        <v>214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1</v>
      </c>
    </row>
    <row r="556" spans="1:40" x14ac:dyDescent="0.3">
      <c r="A556" t="s">
        <v>173</v>
      </c>
      <c r="B556" t="s">
        <v>59</v>
      </c>
      <c r="C556" t="s">
        <v>10</v>
      </c>
      <c r="D556" t="s">
        <v>14</v>
      </c>
      <c r="E556">
        <v>202602</v>
      </c>
      <c r="F556" t="s">
        <v>60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</v>
      </c>
      <c r="AM556">
        <v>0</v>
      </c>
      <c r="AN556">
        <v>2</v>
      </c>
    </row>
    <row r="557" spans="1:40" x14ac:dyDescent="0.3">
      <c r="A557" t="s">
        <v>173</v>
      </c>
      <c r="B557" t="s">
        <v>59</v>
      </c>
      <c r="C557" t="s">
        <v>10</v>
      </c>
      <c r="D557" t="s">
        <v>14</v>
      </c>
      <c r="E557">
        <v>202602</v>
      </c>
      <c r="F557" t="s">
        <v>204</v>
      </c>
      <c r="G557">
        <v>0</v>
      </c>
      <c r="H557">
        <v>5</v>
      </c>
      <c r="I557">
        <v>10</v>
      </c>
      <c r="J557">
        <v>5</v>
      </c>
      <c r="K557">
        <v>1</v>
      </c>
      <c r="L557">
        <v>3</v>
      </c>
      <c r="M557">
        <v>0</v>
      </c>
      <c r="N557">
        <v>0</v>
      </c>
      <c r="O557">
        <v>8</v>
      </c>
      <c r="P557">
        <v>6</v>
      </c>
      <c r="Q557">
        <v>6</v>
      </c>
      <c r="R557">
        <v>5</v>
      </c>
      <c r="S557">
        <v>4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11</v>
      </c>
      <c r="Z557">
        <v>5</v>
      </c>
      <c r="AA557">
        <v>0</v>
      </c>
      <c r="AB557">
        <v>0</v>
      </c>
      <c r="AC557">
        <v>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72</v>
      </c>
      <c r="AM557">
        <v>6.333333333333333</v>
      </c>
      <c r="AN557">
        <v>99.250587130104748</v>
      </c>
    </row>
    <row r="558" spans="1:40" x14ac:dyDescent="0.3">
      <c r="A558" t="s">
        <v>173</v>
      </c>
      <c r="B558" t="s">
        <v>59</v>
      </c>
      <c r="C558" t="s">
        <v>10</v>
      </c>
      <c r="D558" t="s">
        <v>14</v>
      </c>
      <c r="E558">
        <v>202602</v>
      </c>
      <c r="F558" t="s">
        <v>61</v>
      </c>
      <c r="G558">
        <v>0</v>
      </c>
      <c r="H558">
        <v>6</v>
      </c>
      <c r="I558">
        <v>4</v>
      </c>
      <c r="J558">
        <v>7</v>
      </c>
      <c r="K558">
        <v>5</v>
      </c>
      <c r="L558">
        <v>9</v>
      </c>
      <c r="M558">
        <v>0</v>
      </c>
      <c r="N558">
        <v>0</v>
      </c>
      <c r="O558">
        <v>8</v>
      </c>
      <c r="P558">
        <v>5</v>
      </c>
      <c r="Q558">
        <v>8</v>
      </c>
      <c r="R558">
        <v>5</v>
      </c>
      <c r="S558">
        <v>5</v>
      </c>
      <c r="T558">
        <v>0</v>
      </c>
      <c r="U558">
        <v>0</v>
      </c>
      <c r="V558">
        <v>0</v>
      </c>
      <c r="W558">
        <v>0</v>
      </c>
      <c r="X558">
        <v>2</v>
      </c>
      <c r="Y558">
        <v>4</v>
      </c>
      <c r="Z558">
        <v>2</v>
      </c>
      <c r="AA558">
        <v>0</v>
      </c>
      <c r="AB558">
        <v>0</v>
      </c>
      <c r="AC558">
        <v>8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78</v>
      </c>
      <c r="AM558">
        <v>4.666666666666667</v>
      </c>
      <c r="AN558">
        <v>98.079379990603499</v>
      </c>
    </row>
    <row r="559" spans="1:40" x14ac:dyDescent="0.3">
      <c r="A559" t="s">
        <v>173</v>
      </c>
      <c r="B559" t="s">
        <v>59</v>
      </c>
      <c r="C559" t="s">
        <v>10</v>
      </c>
      <c r="D559" t="s">
        <v>14</v>
      </c>
      <c r="E559">
        <v>202602</v>
      </c>
      <c r="F559" t="s">
        <v>63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</v>
      </c>
      <c r="AM559">
        <v>0</v>
      </c>
      <c r="AN559">
        <v>2</v>
      </c>
    </row>
    <row r="560" spans="1:40" x14ac:dyDescent="0.3">
      <c r="A560" t="s">
        <v>173</v>
      </c>
      <c r="B560" t="s">
        <v>59</v>
      </c>
      <c r="C560" t="s">
        <v>10</v>
      </c>
      <c r="D560" t="s">
        <v>14</v>
      </c>
      <c r="E560">
        <v>202602</v>
      </c>
      <c r="F560" t="s">
        <v>205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1</v>
      </c>
    </row>
    <row r="561" spans="1:40" x14ac:dyDescent="0.3">
      <c r="A561" t="s">
        <v>173</v>
      </c>
      <c r="B561" t="s">
        <v>59</v>
      </c>
      <c r="C561" t="s">
        <v>10</v>
      </c>
      <c r="D561" t="s">
        <v>14</v>
      </c>
      <c r="E561">
        <v>202602</v>
      </c>
      <c r="F561" t="s">
        <v>75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1</v>
      </c>
    </row>
    <row r="562" spans="1:40" x14ac:dyDescent="0.3">
      <c r="A562" t="s">
        <v>173</v>
      </c>
      <c r="B562" t="s">
        <v>59</v>
      </c>
      <c r="C562" t="s">
        <v>10</v>
      </c>
      <c r="D562" t="s">
        <v>14</v>
      </c>
      <c r="E562">
        <v>202602</v>
      </c>
      <c r="F562" t="s">
        <v>206</v>
      </c>
      <c r="G562">
        <v>0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5</v>
      </c>
      <c r="AM562">
        <v>0.33333333333333331</v>
      </c>
      <c r="AN562">
        <v>6.4342414279002504</v>
      </c>
    </row>
    <row r="563" spans="1:40" x14ac:dyDescent="0.3">
      <c r="A563" t="s">
        <v>173</v>
      </c>
      <c r="B563" t="s">
        <v>59</v>
      </c>
      <c r="C563" t="s">
        <v>10</v>
      </c>
      <c r="D563" t="s">
        <v>14</v>
      </c>
      <c r="E563">
        <v>202602</v>
      </c>
      <c r="F563" t="s">
        <v>76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1</v>
      </c>
    </row>
    <row r="564" spans="1:40" x14ac:dyDescent="0.3">
      <c r="A564" t="s">
        <v>173</v>
      </c>
      <c r="B564" t="s">
        <v>59</v>
      </c>
      <c r="C564" t="s">
        <v>10</v>
      </c>
      <c r="D564" t="s">
        <v>14</v>
      </c>
      <c r="E564">
        <v>202602</v>
      </c>
      <c r="F564" t="s">
        <v>207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1</v>
      </c>
    </row>
    <row r="565" spans="1:40" x14ac:dyDescent="0.3">
      <c r="A565" t="s">
        <v>173</v>
      </c>
      <c r="B565" t="s">
        <v>59</v>
      </c>
      <c r="C565" t="s">
        <v>10</v>
      </c>
      <c r="D565" t="s">
        <v>14</v>
      </c>
      <c r="E565">
        <v>202602</v>
      </c>
      <c r="F565" t="s">
        <v>64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</v>
      </c>
      <c r="AM565">
        <v>0.66666666666666663</v>
      </c>
      <c r="AN565">
        <v>4.8684828558005</v>
      </c>
    </row>
    <row r="566" spans="1:40" x14ac:dyDescent="0.3">
      <c r="A566" t="s">
        <v>173</v>
      </c>
      <c r="B566" t="s">
        <v>59</v>
      </c>
      <c r="C566" t="s">
        <v>10</v>
      </c>
      <c r="D566" t="s">
        <v>14</v>
      </c>
      <c r="E566">
        <v>202602</v>
      </c>
      <c r="F566" t="s">
        <v>66</v>
      </c>
      <c r="G566">
        <v>0</v>
      </c>
      <c r="H566">
        <v>0</v>
      </c>
      <c r="I566">
        <v>1</v>
      </c>
      <c r="J566">
        <v>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5</v>
      </c>
      <c r="AM566">
        <v>0</v>
      </c>
      <c r="AN566">
        <v>5</v>
      </c>
    </row>
    <row r="567" spans="1:40" x14ac:dyDescent="0.3">
      <c r="A567" t="s">
        <v>173</v>
      </c>
      <c r="B567" t="s">
        <v>59</v>
      </c>
      <c r="C567" t="s">
        <v>10</v>
      </c>
      <c r="D567" t="s">
        <v>14</v>
      </c>
      <c r="E567">
        <v>202602</v>
      </c>
      <c r="F567" t="s">
        <v>213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1</v>
      </c>
    </row>
    <row r="568" spans="1:40" x14ac:dyDescent="0.3">
      <c r="A568" t="s">
        <v>173</v>
      </c>
      <c r="B568" t="s">
        <v>59</v>
      </c>
      <c r="C568" t="s">
        <v>10</v>
      </c>
      <c r="D568" t="s">
        <v>14</v>
      </c>
      <c r="E568">
        <v>202602</v>
      </c>
      <c r="F568" t="s">
        <v>68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3</v>
      </c>
      <c r="AM568">
        <v>0.33333333333333331</v>
      </c>
      <c r="AN568">
        <v>4.4342414279002504</v>
      </c>
    </row>
    <row r="569" spans="1:40" x14ac:dyDescent="0.3">
      <c r="A569" t="s">
        <v>173</v>
      </c>
      <c r="B569" t="s">
        <v>59</v>
      </c>
      <c r="C569" t="s">
        <v>10</v>
      </c>
      <c r="D569" t="s">
        <v>14</v>
      </c>
      <c r="E569">
        <v>202602</v>
      </c>
      <c r="F569" t="s">
        <v>304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0.33333333333333331</v>
      </c>
      <c r="AN569">
        <v>2.43424142790025</v>
      </c>
    </row>
    <row r="570" spans="1:40" x14ac:dyDescent="0.3">
      <c r="A570" t="s">
        <v>173</v>
      </c>
      <c r="B570" t="s">
        <v>59</v>
      </c>
      <c r="C570" t="s">
        <v>10</v>
      </c>
      <c r="D570" t="s">
        <v>14</v>
      </c>
      <c r="E570">
        <v>202602</v>
      </c>
      <c r="F570" t="s">
        <v>260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0.33333333333333331</v>
      </c>
      <c r="AN570">
        <v>2.43424142790025</v>
      </c>
    </row>
    <row r="571" spans="1:40" x14ac:dyDescent="0.3">
      <c r="A571" t="s">
        <v>173</v>
      </c>
      <c r="B571" t="s">
        <v>59</v>
      </c>
      <c r="C571" t="s">
        <v>10</v>
      </c>
      <c r="D571" t="s">
        <v>14</v>
      </c>
      <c r="E571">
        <v>202602</v>
      </c>
      <c r="F571" t="s">
        <v>69</v>
      </c>
      <c r="G571">
        <v>0</v>
      </c>
      <c r="H571">
        <v>2</v>
      </c>
      <c r="I571">
        <v>2</v>
      </c>
      <c r="J571">
        <v>3</v>
      </c>
      <c r="K571">
        <v>1</v>
      </c>
      <c r="L571">
        <v>2</v>
      </c>
      <c r="M571">
        <v>0</v>
      </c>
      <c r="N571">
        <v>0</v>
      </c>
      <c r="O571">
        <v>5</v>
      </c>
      <c r="P571">
        <v>1</v>
      </c>
      <c r="Q571">
        <v>1</v>
      </c>
      <c r="R571">
        <v>3</v>
      </c>
      <c r="S571">
        <v>2</v>
      </c>
      <c r="T571">
        <v>0</v>
      </c>
      <c r="U571">
        <v>0</v>
      </c>
      <c r="V571">
        <v>2</v>
      </c>
      <c r="W571">
        <v>1</v>
      </c>
      <c r="X571">
        <v>3</v>
      </c>
      <c r="Y571">
        <v>1</v>
      </c>
      <c r="Z571">
        <v>0</v>
      </c>
      <c r="AA571">
        <v>2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32</v>
      </c>
      <c r="AM571">
        <v>0.66666666666666663</v>
      </c>
      <c r="AN571">
        <v>34.868482855800501</v>
      </c>
    </row>
    <row r="572" spans="1:40" x14ac:dyDescent="0.3">
      <c r="A572" t="s">
        <v>173</v>
      </c>
      <c r="B572" t="s">
        <v>59</v>
      </c>
      <c r="C572" t="s">
        <v>10</v>
      </c>
      <c r="D572" t="s">
        <v>14</v>
      </c>
      <c r="E572">
        <v>202602</v>
      </c>
      <c r="F572" t="s">
        <v>208</v>
      </c>
      <c r="G572">
        <v>0</v>
      </c>
      <c r="H572">
        <v>2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2</v>
      </c>
      <c r="AA572">
        <v>0</v>
      </c>
      <c r="AB572">
        <v>0</v>
      </c>
      <c r="AC572">
        <v>4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16</v>
      </c>
      <c r="AM572">
        <v>2.3333333333333335</v>
      </c>
      <c r="AN572">
        <v>26.03968999530175</v>
      </c>
    </row>
    <row r="573" spans="1:40" x14ac:dyDescent="0.3">
      <c r="A573" t="s">
        <v>173</v>
      </c>
      <c r="B573" t="s">
        <v>59</v>
      </c>
      <c r="C573" t="s">
        <v>10</v>
      </c>
      <c r="D573" t="s">
        <v>14</v>
      </c>
      <c r="E573">
        <v>202602</v>
      </c>
      <c r="F573" t="s">
        <v>72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1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4</v>
      </c>
      <c r="AM573">
        <v>0.66666666666666663</v>
      </c>
      <c r="AN573">
        <v>6.8684828558005</v>
      </c>
    </row>
    <row r="574" spans="1:40" x14ac:dyDescent="0.3">
      <c r="A574" t="s">
        <v>173</v>
      </c>
      <c r="B574" t="s">
        <v>59</v>
      </c>
      <c r="C574" t="s">
        <v>10</v>
      </c>
      <c r="D574" t="s">
        <v>14</v>
      </c>
      <c r="E574">
        <v>202602</v>
      </c>
      <c r="F574" t="s">
        <v>209</v>
      </c>
      <c r="G574">
        <v>0</v>
      </c>
      <c r="H574">
        <v>1</v>
      </c>
      <c r="I574">
        <v>1</v>
      </c>
      <c r="J574">
        <v>1</v>
      </c>
      <c r="K574">
        <v>1</v>
      </c>
      <c r="L574">
        <v>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1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12</v>
      </c>
      <c r="AM574">
        <v>1</v>
      </c>
      <c r="AN574">
        <v>16.302724283700751</v>
      </c>
    </row>
    <row r="575" spans="1:40" x14ac:dyDescent="0.3">
      <c r="A575" t="s">
        <v>173</v>
      </c>
      <c r="B575" t="s">
        <v>59</v>
      </c>
      <c r="C575" t="s">
        <v>10</v>
      </c>
      <c r="D575" t="s">
        <v>14</v>
      </c>
      <c r="E575">
        <v>202602</v>
      </c>
      <c r="F575" t="s">
        <v>210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1</v>
      </c>
    </row>
    <row r="576" spans="1:40" x14ac:dyDescent="0.3">
      <c r="A576" t="s">
        <v>173</v>
      </c>
      <c r="B576" t="s">
        <v>59</v>
      </c>
      <c r="C576" t="s">
        <v>10</v>
      </c>
      <c r="D576" t="s">
        <v>14</v>
      </c>
      <c r="E576">
        <v>202602</v>
      </c>
      <c r="F576" t="s">
        <v>211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1</v>
      </c>
    </row>
    <row r="577" spans="1:40" x14ac:dyDescent="0.3">
      <c r="A577" t="s">
        <v>173</v>
      </c>
      <c r="B577" t="s">
        <v>59</v>
      </c>
      <c r="C577" t="s">
        <v>10</v>
      </c>
      <c r="D577" t="s">
        <v>14</v>
      </c>
      <c r="E577">
        <v>202602</v>
      </c>
      <c r="F577" t="s">
        <v>212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4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10</v>
      </c>
      <c r="AM577">
        <v>0.66666666666666663</v>
      </c>
      <c r="AN577">
        <v>12.868482855800501</v>
      </c>
    </row>
    <row r="578" spans="1:40" x14ac:dyDescent="0.3">
      <c r="A578" t="s">
        <v>173</v>
      </c>
      <c r="B578" t="s">
        <v>59</v>
      </c>
      <c r="C578" t="s">
        <v>10</v>
      </c>
      <c r="D578" t="s">
        <v>14</v>
      </c>
      <c r="E578">
        <v>202602</v>
      </c>
      <c r="F578" t="s">
        <v>79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0.33333333333333331</v>
      </c>
      <c r="AN578">
        <v>2.43424142790025</v>
      </c>
    </row>
    <row r="579" spans="1:40" x14ac:dyDescent="0.3">
      <c r="A579" t="s">
        <v>173</v>
      </c>
      <c r="B579" t="s">
        <v>59</v>
      </c>
      <c r="C579" t="s">
        <v>10</v>
      </c>
      <c r="D579" t="s">
        <v>14</v>
      </c>
      <c r="E579">
        <v>202602</v>
      </c>
      <c r="F579" t="s">
        <v>214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1</v>
      </c>
    </row>
    <row r="580" spans="1:40" x14ac:dyDescent="0.3">
      <c r="A580" t="s">
        <v>173</v>
      </c>
      <c r="B580" t="s">
        <v>81</v>
      </c>
      <c r="C580" t="s">
        <v>10</v>
      </c>
      <c r="D580" t="s">
        <v>11</v>
      </c>
      <c r="E580">
        <v>202602</v>
      </c>
      <c r="F580" t="s">
        <v>203</v>
      </c>
      <c r="G580">
        <v>0</v>
      </c>
      <c r="H580">
        <v>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</v>
      </c>
      <c r="AM580">
        <v>0</v>
      </c>
      <c r="AN580">
        <v>3</v>
      </c>
    </row>
    <row r="581" spans="1:40" x14ac:dyDescent="0.3">
      <c r="A581" t="s">
        <v>173</v>
      </c>
      <c r="B581" t="s">
        <v>81</v>
      </c>
      <c r="C581" t="s">
        <v>10</v>
      </c>
      <c r="D581" t="s">
        <v>11</v>
      </c>
      <c r="E581">
        <v>202602</v>
      </c>
      <c r="F581" t="s">
        <v>215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1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7</v>
      </c>
      <c r="AM581">
        <v>0.66666666666666663</v>
      </c>
      <c r="AN581">
        <v>10.359337245426122</v>
      </c>
    </row>
    <row r="582" spans="1:40" x14ac:dyDescent="0.3">
      <c r="A582" t="s">
        <v>173</v>
      </c>
      <c r="B582" t="s">
        <v>81</v>
      </c>
      <c r="C582" t="s">
        <v>10</v>
      </c>
      <c r="D582" t="s">
        <v>11</v>
      </c>
      <c r="E582">
        <v>202602</v>
      </c>
      <c r="F582" t="s">
        <v>216</v>
      </c>
      <c r="G582">
        <v>0</v>
      </c>
      <c r="H582">
        <v>0</v>
      </c>
      <c r="I582">
        <v>1</v>
      </c>
      <c r="J582">
        <v>1</v>
      </c>
      <c r="K582">
        <v>0</v>
      </c>
      <c r="L582">
        <v>0</v>
      </c>
      <c r="M582">
        <v>2</v>
      </c>
      <c r="N582">
        <v>0</v>
      </c>
      <c r="O582">
        <v>2</v>
      </c>
      <c r="P582">
        <v>1</v>
      </c>
      <c r="Q582">
        <v>0</v>
      </c>
      <c r="R582">
        <v>4</v>
      </c>
      <c r="S582">
        <v>1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15</v>
      </c>
      <c r="AM582">
        <v>0.66666666666666663</v>
      </c>
      <c r="AN582">
        <v>18.359337245426122</v>
      </c>
    </row>
    <row r="583" spans="1:40" x14ac:dyDescent="0.3">
      <c r="A583" t="s">
        <v>173</v>
      </c>
      <c r="B583" t="s">
        <v>81</v>
      </c>
      <c r="C583" t="s">
        <v>10</v>
      </c>
      <c r="D583" t="s">
        <v>11</v>
      </c>
      <c r="E583">
        <v>202602</v>
      </c>
      <c r="F583" t="s">
        <v>83</v>
      </c>
      <c r="G583">
        <v>0</v>
      </c>
      <c r="H583">
        <v>0</v>
      </c>
      <c r="I583">
        <v>0</v>
      </c>
      <c r="J583">
        <v>1</v>
      </c>
      <c r="K583">
        <v>3</v>
      </c>
      <c r="L583">
        <v>1</v>
      </c>
      <c r="M583">
        <v>4</v>
      </c>
      <c r="N583">
        <v>0</v>
      </c>
      <c r="O583">
        <v>2</v>
      </c>
      <c r="P583">
        <v>0</v>
      </c>
      <c r="Q583">
        <v>2</v>
      </c>
      <c r="R583">
        <v>3</v>
      </c>
      <c r="S583">
        <v>4</v>
      </c>
      <c r="T583">
        <v>2</v>
      </c>
      <c r="U583">
        <v>0</v>
      </c>
      <c r="V583">
        <v>1</v>
      </c>
      <c r="W583">
        <v>0</v>
      </c>
      <c r="X583">
        <v>3</v>
      </c>
      <c r="Y583">
        <v>0</v>
      </c>
      <c r="Z583">
        <v>1</v>
      </c>
      <c r="AA583">
        <v>2</v>
      </c>
      <c r="AB583">
        <v>0</v>
      </c>
      <c r="AC583">
        <v>6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35</v>
      </c>
      <c r="AM583">
        <v>2.3333333333333335</v>
      </c>
      <c r="AN583">
        <v>46.757680358991422</v>
      </c>
    </row>
    <row r="584" spans="1:40" x14ac:dyDescent="0.3">
      <c r="A584" t="s">
        <v>173</v>
      </c>
      <c r="B584" t="s">
        <v>81</v>
      </c>
      <c r="C584" t="s">
        <v>10</v>
      </c>
      <c r="D584" t="s">
        <v>11</v>
      </c>
      <c r="E584">
        <v>202602</v>
      </c>
      <c r="F584" t="s">
        <v>213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9</v>
      </c>
      <c r="AM584">
        <v>0.33333333333333331</v>
      </c>
      <c r="AN584">
        <v>10.679668622713061</v>
      </c>
    </row>
    <row r="585" spans="1:40" x14ac:dyDescent="0.3">
      <c r="A585" t="s">
        <v>173</v>
      </c>
      <c r="B585" t="s">
        <v>81</v>
      </c>
      <c r="C585" t="s">
        <v>10</v>
      </c>
      <c r="D585" t="s">
        <v>11</v>
      </c>
      <c r="E585">
        <v>202602</v>
      </c>
      <c r="F585" t="s">
        <v>217</v>
      </c>
      <c r="G585">
        <v>0</v>
      </c>
      <c r="H585">
        <v>2</v>
      </c>
      <c r="I585">
        <v>1</v>
      </c>
      <c r="J585">
        <v>2</v>
      </c>
      <c r="K585">
        <v>1</v>
      </c>
      <c r="L585">
        <v>1</v>
      </c>
      <c r="M585">
        <v>1</v>
      </c>
      <c r="N585">
        <v>0</v>
      </c>
      <c r="O585">
        <v>1</v>
      </c>
      <c r="P585">
        <v>0</v>
      </c>
      <c r="Q585">
        <v>3</v>
      </c>
      <c r="R585">
        <v>1</v>
      </c>
      <c r="S585">
        <v>4</v>
      </c>
      <c r="T585">
        <v>2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22</v>
      </c>
      <c r="AM585">
        <v>0.33333333333333331</v>
      </c>
      <c r="AN585">
        <v>23.679668622713059</v>
      </c>
    </row>
    <row r="586" spans="1:40" x14ac:dyDescent="0.3">
      <c r="A586" t="s">
        <v>173</v>
      </c>
      <c r="B586" t="s">
        <v>81</v>
      </c>
      <c r="C586" t="s">
        <v>10</v>
      </c>
      <c r="D586" t="s">
        <v>11</v>
      </c>
      <c r="E586">
        <v>202602</v>
      </c>
      <c r="F586" t="s">
        <v>218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</v>
      </c>
      <c r="P586">
        <v>1</v>
      </c>
      <c r="Q586">
        <v>2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9</v>
      </c>
      <c r="AM586">
        <v>0</v>
      </c>
      <c r="AN586">
        <v>9</v>
      </c>
    </row>
    <row r="587" spans="1:40" x14ac:dyDescent="0.3">
      <c r="A587" t="s">
        <v>173</v>
      </c>
      <c r="B587" t="s">
        <v>81</v>
      </c>
      <c r="C587" t="s">
        <v>10</v>
      </c>
      <c r="D587" t="s">
        <v>11</v>
      </c>
      <c r="E587">
        <v>202602</v>
      </c>
      <c r="F587" t="s">
        <v>219</v>
      </c>
      <c r="G587">
        <v>0</v>
      </c>
      <c r="H587">
        <v>0</v>
      </c>
      <c r="I587">
        <v>2</v>
      </c>
      <c r="J587">
        <v>0</v>
      </c>
      <c r="K587">
        <v>0</v>
      </c>
      <c r="L587">
        <v>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8</v>
      </c>
      <c r="AM587">
        <v>0</v>
      </c>
      <c r="AN587">
        <v>8</v>
      </c>
    </row>
    <row r="588" spans="1:40" x14ac:dyDescent="0.3">
      <c r="A588" t="s">
        <v>173</v>
      </c>
      <c r="B588" t="s">
        <v>81</v>
      </c>
      <c r="C588" t="s">
        <v>10</v>
      </c>
      <c r="D588" t="s">
        <v>11</v>
      </c>
      <c r="E588">
        <v>202602</v>
      </c>
      <c r="F588" t="s">
        <v>220</v>
      </c>
      <c r="G588">
        <v>0</v>
      </c>
      <c r="H588">
        <v>1</v>
      </c>
      <c r="I588">
        <v>0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1</v>
      </c>
      <c r="P588">
        <v>0</v>
      </c>
      <c r="Q588">
        <v>1</v>
      </c>
      <c r="R588">
        <v>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2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12</v>
      </c>
      <c r="AM588">
        <v>0.66666666666666663</v>
      </c>
      <c r="AN588">
        <v>15.359337245426122</v>
      </c>
    </row>
    <row r="589" spans="1:40" x14ac:dyDescent="0.3">
      <c r="A589" t="s">
        <v>173</v>
      </c>
      <c r="B589" t="s">
        <v>81</v>
      </c>
      <c r="C589" t="s">
        <v>10</v>
      </c>
      <c r="D589" t="s">
        <v>11</v>
      </c>
      <c r="E589">
        <v>202602</v>
      </c>
      <c r="F589" t="s">
        <v>221</v>
      </c>
      <c r="G589">
        <v>0</v>
      </c>
      <c r="H589">
        <v>0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5</v>
      </c>
      <c r="AM589">
        <v>0</v>
      </c>
      <c r="AN589">
        <v>5</v>
      </c>
    </row>
    <row r="590" spans="1:40" x14ac:dyDescent="0.3">
      <c r="A590" t="s">
        <v>173</v>
      </c>
      <c r="B590" t="s">
        <v>81</v>
      </c>
      <c r="C590" t="s">
        <v>10</v>
      </c>
      <c r="D590" t="s">
        <v>11</v>
      </c>
      <c r="E590">
        <v>202602</v>
      </c>
      <c r="F590" t="s">
        <v>222</v>
      </c>
      <c r="G590">
        <v>0</v>
      </c>
      <c r="H590">
        <v>0</v>
      </c>
      <c r="I590">
        <v>0</v>
      </c>
      <c r="J590">
        <v>2</v>
      </c>
      <c r="K590">
        <v>0</v>
      </c>
      <c r="L590">
        <v>1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3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12</v>
      </c>
      <c r="AM590">
        <v>0.66666666666666663</v>
      </c>
      <c r="AN590">
        <v>15.359337245426122</v>
      </c>
    </row>
    <row r="591" spans="1:40" x14ac:dyDescent="0.3">
      <c r="A591" t="s">
        <v>173</v>
      </c>
      <c r="B591" t="s">
        <v>81</v>
      </c>
      <c r="C591" t="s">
        <v>10</v>
      </c>
      <c r="D591" t="s">
        <v>14</v>
      </c>
      <c r="E591">
        <v>202602</v>
      </c>
      <c r="F591" t="s">
        <v>215</v>
      </c>
      <c r="G591">
        <v>0</v>
      </c>
      <c r="H591">
        <v>0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0</v>
      </c>
      <c r="Q591">
        <v>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3</v>
      </c>
      <c r="Y591">
        <v>0</v>
      </c>
      <c r="Z591">
        <v>1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11</v>
      </c>
      <c r="AM591">
        <v>0.66666666666666663</v>
      </c>
      <c r="AN591">
        <v>13.868482855800501</v>
      </c>
    </row>
    <row r="592" spans="1:40" x14ac:dyDescent="0.3">
      <c r="A592" t="s">
        <v>173</v>
      </c>
      <c r="B592" t="s">
        <v>81</v>
      </c>
      <c r="C592" t="s">
        <v>10</v>
      </c>
      <c r="D592" t="s">
        <v>14</v>
      </c>
      <c r="E592">
        <v>202602</v>
      </c>
      <c r="F592" t="s">
        <v>216</v>
      </c>
      <c r="G592">
        <v>0</v>
      </c>
      <c r="H592">
        <v>1</v>
      </c>
      <c r="I592">
        <v>2</v>
      </c>
      <c r="J592">
        <v>2</v>
      </c>
      <c r="K592">
        <v>5</v>
      </c>
      <c r="L592">
        <v>3</v>
      </c>
      <c r="M592">
        <v>0</v>
      </c>
      <c r="N592">
        <v>0</v>
      </c>
      <c r="O592">
        <v>5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4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25</v>
      </c>
      <c r="AM592">
        <v>1.6666666666666667</v>
      </c>
      <c r="AN592">
        <v>32.171207139501249</v>
      </c>
    </row>
    <row r="593" spans="1:40" x14ac:dyDescent="0.3">
      <c r="A593" t="s">
        <v>173</v>
      </c>
      <c r="B593" t="s">
        <v>81</v>
      </c>
      <c r="C593" t="s">
        <v>10</v>
      </c>
      <c r="D593" t="s">
        <v>14</v>
      </c>
      <c r="E593">
        <v>202602</v>
      </c>
      <c r="F593" t="s">
        <v>83</v>
      </c>
      <c r="G593">
        <v>0</v>
      </c>
      <c r="H593">
        <v>3</v>
      </c>
      <c r="I593">
        <v>2</v>
      </c>
      <c r="J593">
        <v>5</v>
      </c>
      <c r="K593">
        <v>2</v>
      </c>
      <c r="L593">
        <v>5</v>
      </c>
      <c r="M593">
        <v>1</v>
      </c>
      <c r="N593">
        <v>0</v>
      </c>
      <c r="O593">
        <v>6</v>
      </c>
      <c r="P593">
        <v>8</v>
      </c>
      <c r="Q593">
        <v>4</v>
      </c>
      <c r="R593">
        <v>2</v>
      </c>
      <c r="S593">
        <v>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6</v>
      </c>
      <c r="AA593">
        <v>3</v>
      </c>
      <c r="AB593">
        <v>0</v>
      </c>
      <c r="AC593">
        <v>3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56</v>
      </c>
      <c r="AM593">
        <v>3.3333333333333335</v>
      </c>
      <c r="AN593">
        <v>70.342414279002497</v>
      </c>
    </row>
    <row r="594" spans="1:40" x14ac:dyDescent="0.3">
      <c r="A594" t="s">
        <v>173</v>
      </c>
      <c r="B594" t="s">
        <v>81</v>
      </c>
      <c r="C594" t="s">
        <v>10</v>
      </c>
      <c r="D594" t="s">
        <v>14</v>
      </c>
      <c r="E594">
        <v>202602</v>
      </c>
      <c r="F594" t="s">
        <v>213</v>
      </c>
      <c r="G594">
        <v>0</v>
      </c>
      <c r="H594">
        <v>0</v>
      </c>
      <c r="I594">
        <v>0</v>
      </c>
      <c r="J594">
        <v>1</v>
      </c>
      <c r="K594">
        <v>2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1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10</v>
      </c>
      <c r="AM594">
        <v>1</v>
      </c>
      <c r="AN594">
        <v>14.302724283700751</v>
      </c>
    </row>
    <row r="595" spans="1:40" x14ac:dyDescent="0.3">
      <c r="A595" t="s">
        <v>173</v>
      </c>
      <c r="B595" t="s">
        <v>81</v>
      </c>
      <c r="C595" t="s">
        <v>10</v>
      </c>
      <c r="D595" t="s">
        <v>14</v>
      </c>
      <c r="E595">
        <v>202602</v>
      </c>
      <c r="F595" t="s">
        <v>217</v>
      </c>
      <c r="G595">
        <v>0</v>
      </c>
      <c r="H595">
        <v>2</v>
      </c>
      <c r="I595">
        <v>1</v>
      </c>
      <c r="J595">
        <v>2</v>
      </c>
      <c r="K595">
        <v>1</v>
      </c>
      <c r="L595">
        <v>2</v>
      </c>
      <c r="M595">
        <v>0</v>
      </c>
      <c r="N595">
        <v>0</v>
      </c>
      <c r="O595">
        <v>3</v>
      </c>
      <c r="P595">
        <v>3</v>
      </c>
      <c r="Q595">
        <v>5</v>
      </c>
      <c r="R595">
        <v>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</v>
      </c>
      <c r="Z595">
        <v>4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27</v>
      </c>
      <c r="AM595">
        <v>2</v>
      </c>
      <c r="AN595">
        <v>35.605448567401503</v>
      </c>
    </row>
    <row r="596" spans="1:40" x14ac:dyDescent="0.3">
      <c r="A596" t="s">
        <v>173</v>
      </c>
      <c r="B596" t="s">
        <v>81</v>
      </c>
      <c r="C596" t="s">
        <v>10</v>
      </c>
      <c r="D596" t="s">
        <v>14</v>
      </c>
      <c r="E596">
        <v>202602</v>
      </c>
      <c r="F596" t="s">
        <v>218</v>
      </c>
      <c r="G596">
        <v>0</v>
      </c>
      <c r="H596">
        <v>0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3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2</v>
      </c>
      <c r="Z596">
        <v>2</v>
      </c>
      <c r="AA596">
        <v>0</v>
      </c>
      <c r="AB596">
        <v>0</v>
      </c>
      <c r="AC596">
        <v>2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16</v>
      </c>
      <c r="AM596">
        <v>2</v>
      </c>
      <c r="AN596">
        <v>24.605448567401503</v>
      </c>
    </row>
    <row r="597" spans="1:40" x14ac:dyDescent="0.3">
      <c r="A597" t="s">
        <v>173</v>
      </c>
      <c r="B597" t="s">
        <v>81</v>
      </c>
      <c r="C597" t="s">
        <v>10</v>
      </c>
      <c r="D597" t="s">
        <v>14</v>
      </c>
      <c r="E597">
        <v>202602</v>
      </c>
      <c r="F597" t="s">
        <v>86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1</v>
      </c>
    </row>
    <row r="598" spans="1:40" x14ac:dyDescent="0.3">
      <c r="A598" t="s">
        <v>173</v>
      </c>
      <c r="B598" t="s">
        <v>81</v>
      </c>
      <c r="C598" t="s">
        <v>10</v>
      </c>
      <c r="D598" t="s">
        <v>14</v>
      </c>
      <c r="E598">
        <v>202602</v>
      </c>
      <c r="F598" t="s">
        <v>219</v>
      </c>
      <c r="G598">
        <v>0</v>
      </c>
      <c r="H598">
        <v>2</v>
      </c>
      <c r="I598">
        <v>1</v>
      </c>
      <c r="J598">
        <v>3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9</v>
      </c>
      <c r="AM598">
        <v>0.66666666666666663</v>
      </c>
      <c r="AN598">
        <v>11.868482855800501</v>
      </c>
    </row>
    <row r="599" spans="1:40" x14ac:dyDescent="0.3">
      <c r="A599" t="s">
        <v>173</v>
      </c>
      <c r="B599" t="s">
        <v>81</v>
      </c>
      <c r="C599" t="s">
        <v>10</v>
      </c>
      <c r="D599" t="s">
        <v>14</v>
      </c>
      <c r="E599">
        <v>202602</v>
      </c>
      <c r="F599" t="s">
        <v>220</v>
      </c>
      <c r="G599">
        <v>0</v>
      </c>
      <c r="H599">
        <v>1</v>
      </c>
      <c r="I599">
        <v>1</v>
      </c>
      <c r="J599">
        <v>1</v>
      </c>
      <c r="K599">
        <v>2</v>
      </c>
      <c r="L599">
        <v>1</v>
      </c>
      <c r="M599">
        <v>0</v>
      </c>
      <c r="N599">
        <v>0</v>
      </c>
      <c r="O599">
        <v>2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3</v>
      </c>
      <c r="Z599">
        <v>0</v>
      </c>
      <c r="AA599">
        <v>2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16</v>
      </c>
      <c r="AM599">
        <v>1.3333333333333333</v>
      </c>
      <c r="AN599">
        <v>21.736965711601002</v>
      </c>
    </row>
    <row r="600" spans="1:40" x14ac:dyDescent="0.3">
      <c r="A600" t="s">
        <v>173</v>
      </c>
      <c r="B600" t="s">
        <v>81</v>
      </c>
      <c r="C600" t="s">
        <v>10</v>
      </c>
      <c r="D600" t="s">
        <v>14</v>
      </c>
      <c r="E600">
        <v>202602</v>
      </c>
      <c r="F600" t="s">
        <v>221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2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1</v>
      </c>
      <c r="AA600">
        <v>0</v>
      </c>
      <c r="AB600">
        <v>0</v>
      </c>
      <c r="AC600">
        <v>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10</v>
      </c>
      <c r="AM600">
        <v>1.3333333333333333</v>
      </c>
      <c r="AN600">
        <v>15.736965711601</v>
      </c>
    </row>
    <row r="601" spans="1:40" x14ac:dyDescent="0.3">
      <c r="A601" t="s">
        <v>173</v>
      </c>
      <c r="B601" t="s">
        <v>81</v>
      </c>
      <c r="C601" t="s">
        <v>10</v>
      </c>
      <c r="D601" t="s">
        <v>14</v>
      </c>
      <c r="E601">
        <v>202602</v>
      </c>
      <c r="F601" t="s">
        <v>222</v>
      </c>
      <c r="G601">
        <v>0</v>
      </c>
      <c r="H601">
        <v>2</v>
      </c>
      <c r="I601">
        <v>1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3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2</v>
      </c>
      <c r="Z601">
        <v>1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16</v>
      </c>
      <c r="AM601">
        <v>1.3333333333333333</v>
      </c>
      <c r="AN601">
        <v>21.736965711601002</v>
      </c>
    </row>
    <row r="602" spans="1:40" x14ac:dyDescent="0.3">
      <c r="A602" t="s">
        <v>173</v>
      </c>
      <c r="B602" t="s">
        <v>81</v>
      </c>
      <c r="C602" t="s">
        <v>16</v>
      </c>
      <c r="D602" t="s">
        <v>14</v>
      </c>
      <c r="E602">
        <v>202602</v>
      </c>
      <c r="F602" t="s">
        <v>83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0</v>
      </c>
      <c r="AN602">
        <v>1</v>
      </c>
    </row>
    <row r="603" spans="1:40" x14ac:dyDescent="0.3">
      <c r="A603" t="s">
        <v>173</v>
      </c>
      <c r="B603" t="s">
        <v>100</v>
      </c>
      <c r="C603" t="s">
        <v>10</v>
      </c>
      <c r="D603" t="s">
        <v>11</v>
      </c>
      <c r="E603">
        <v>202602</v>
      </c>
      <c r="F603" t="s">
        <v>102</v>
      </c>
      <c r="G603">
        <v>0</v>
      </c>
      <c r="H603">
        <v>3</v>
      </c>
      <c r="I603">
        <v>6</v>
      </c>
      <c r="J603">
        <v>7</v>
      </c>
      <c r="K603">
        <v>9</v>
      </c>
      <c r="L603">
        <v>7</v>
      </c>
      <c r="M603">
        <v>4</v>
      </c>
      <c r="N603">
        <v>0</v>
      </c>
      <c r="O603">
        <v>11</v>
      </c>
      <c r="P603">
        <v>6</v>
      </c>
      <c r="Q603">
        <v>12</v>
      </c>
      <c r="R603">
        <v>6</v>
      </c>
      <c r="S603">
        <v>6</v>
      </c>
      <c r="T603">
        <v>4</v>
      </c>
      <c r="U603">
        <v>0</v>
      </c>
      <c r="V603">
        <v>4</v>
      </c>
      <c r="W603">
        <v>0</v>
      </c>
      <c r="X603">
        <v>4</v>
      </c>
      <c r="Y603">
        <v>10</v>
      </c>
      <c r="Z603">
        <v>1</v>
      </c>
      <c r="AA603">
        <v>9</v>
      </c>
      <c r="AB603">
        <v>0</v>
      </c>
      <c r="AC603">
        <v>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120</v>
      </c>
      <c r="AM603">
        <v>7.333333333333333</v>
      </c>
      <c r="AN603">
        <v>156.95270969968732</v>
      </c>
    </row>
    <row r="604" spans="1:40" x14ac:dyDescent="0.3">
      <c r="A604" t="s">
        <v>173</v>
      </c>
      <c r="B604" t="s">
        <v>100</v>
      </c>
      <c r="C604" t="s">
        <v>10</v>
      </c>
      <c r="D604" t="s">
        <v>11</v>
      </c>
      <c r="E604">
        <v>202602</v>
      </c>
      <c r="F604" t="s">
        <v>52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1</v>
      </c>
    </row>
    <row r="605" spans="1:40" x14ac:dyDescent="0.3">
      <c r="A605" t="s">
        <v>173</v>
      </c>
      <c r="B605" t="s">
        <v>100</v>
      </c>
      <c r="C605" t="s">
        <v>10</v>
      </c>
      <c r="D605" t="s">
        <v>14</v>
      </c>
      <c r="E605">
        <v>202602</v>
      </c>
      <c r="F605" t="s">
        <v>102</v>
      </c>
      <c r="G605">
        <v>0</v>
      </c>
      <c r="H605">
        <v>9</v>
      </c>
      <c r="I605">
        <v>12</v>
      </c>
      <c r="J605">
        <v>12</v>
      </c>
      <c r="K605">
        <v>15</v>
      </c>
      <c r="L605">
        <v>22</v>
      </c>
      <c r="M605">
        <v>3</v>
      </c>
      <c r="N605">
        <v>0</v>
      </c>
      <c r="O605">
        <v>16</v>
      </c>
      <c r="P605">
        <v>14</v>
      </c>
      <c r="Q605">
        <v>13</v>
      </c>
      <c r="R605">
        <v>16</v>
      </c>
      <c r="S605">
        <v>7</v>
      </c>
      <c r="T605">
        <v>2</v>
      </c>
      <c r="U605">
        <v>0</v>
      </c>
      <c r="V605">
        <v>0</v>
      </c>
      <c r="W605">
        <v>0</v>
      </c>
      <c r="X605">
        <v>2</v>
      </c>
      <c r="Y605">
        <v>18</v>
      </c>
      <c r="Z605">
        <v>12</v>
      </c>
      <c r="AA605">
        <v>5</v>
      </c>
      <c r="AB605">
        <v>0</v>
      </c>
      <c r="AC605">
        <v>17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195</v>
      </c>
      <c r="AM605">
        <v>15.666666666666666</v>
      </c>
      <c r="AN605">
        <v>262.40934711131172</v>
      </c>
    </row>
    <row r="606" spans="1:40" x14ac:dyDescent="0.3">
      <c r="A606" t="s">
        <v>173</v>
      </c>
      <c r="B606" t="s">
        <v>100</v>
      </c>
      <c r="C606" t="s">
        <v>10</v>
      </c>
      <c r="D606" t="s">
        <v>14</v>
      </c>
      <c r="E606">
        <v>202602</v>
      </c>
      <c r="F606" t="s">
        <v>101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6</v>
      </c>
      <c r="AM606">
        <v>0</v>
      </c>
      <c r="AN606">
        <v>6</v>
      </c>
    </row>
    <row r="607" spans="1:40" x14ac:dyDescent="0.3">
      <c r="A607" t="s">
        <v>173</v>
      </c>
      <c r="B607" t="s">
        <v>100</v>
      </c>
      <c r="C607" t="s">
        <v>16</v>
      </c>
      <c r="D607" t="s">
        <v>11</v>
      </c>
      <c r="E607">
        <v>202602</v>
      </c>
      <c r="F607" t="s">
        <v>102</v>
      </c>
      <c r="G607">
        <v>0</v>
      </c>
      <c r="H607">
        <v>3</v>
      </c>
      <c r="I607">
        <v>2</v>
      </c>
      <c r="J607">
        <v>2</v>
      </c>
      <c r="K607">
        <v>2</v>
      </c>
      <c r="L607">
        <v>5</v>
      </c>
      <c r="M607">
        <v>3</v>
      </c>
      <c r="N607">
        <v>0</v>
      </c>
      <c r="O607">
        <v>5</v>
      </c>
      <c r="P607">
        <v>1</v>
      </c>
      <c r="Q607">
        <v>0</v>
      </c>
      <c r="R607">
        <v>3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2</v>
      </c>
      <c r="Z607">
        <v>4</v>
      </c>
      <c r="AA607">
        <v>3</v>
      </c>
      <c r="AB607">
        <v>0</v>
      </c>
      <c r="AC607">
        <v>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39</v>
      </c>
      <c r="AM607">
        <v>2.6666666666666665</v>
      </c>
      <c r="AN607">
        <v>52.437348981704488</v>
      </c>
    </row>
    <row r="608" spans="1:40" x14ac:dyDescent="0.3">
      <c r="A608" t="s">
        <v>173</v>
      </c>
      <c r="B608" t="s">
        <v>100</v>
      </c>
      <c r="C608" t="s">
        <v>16</v>
      </c>
      <c r="D608" t="s">
        <v>14</v>
      </c>
      <c r="E608">
        <v>202602</v>
      </c>
      <c r="F608" t="s">
        <v>102</v>
      </c>
      <c r="G608">
        <v>0</v>
      </c>
      <c r="H608">
        <v>2</v>
      </c>
      <c r="I608">
        <v>4</v>
      </c>
      <c r="J608">
        <v>4</v>
      </c>
      <c r="K608">
        <v>6</v>
      </c>
      <c r="L608">
        <v>4</v>
      </c>
      <c r="M608">
        <v>1</v>
      </c>
      <c r="N608">
        <v>0</v>
      </c>
      <c r="O608">
        <v>2</v>
      </c>
      <c r="P608">
        <v>0</v>
      </c>
      <c r="Q608">
        <v>3</v>
      </c>
      <c r="R608">
        <v>0</v>
      </c>
      <c r="S608">
        <v>2</v>
      </c>
      <c r="T608">
        <v>3</v>
      </c>
      <c r="U608">
        <v>0</v>
      </c>
      <c r="V608">
        <v>0</v>
      </c>
      <c r="W608">
        <v>0</v>
      </c>
      <c r="X608">
        <v>2</v>
      </c>
      <c r="Y608">
        <v>4</v>
      </c>
      <c r="Z608">
        <v>4</v>
      </c>
      <c r="AA608">
        <v>1</v>
      </c>
      <c r="AB608">
        <v>0</v>
      </c>
      <c r="AC608">
        <v>3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45</v>
      </c>
      <c r="AM608">
        <v>3.6666666666666665</v>
      </c>
      <c r="AN608">
        <v>60.776655706902751</v>
      </c>
    </row>
    <row r="609" spans="1:40" x14ac:dyDescent="0.3">
      <c r="A609" t="s">
        <v>173</v>
      </c>
      <c r="B609" t="s">
        <v>643</v>
      </c>
      <c r="C609" t="s">
        <v>10</v>
      </c>
      <c r="D609" t="s">
        <v>11</v>
      </c>
      <c r="E609">
        <v>202602</v>
      </c>
      <c r="F609" t="s">
        <v>56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1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4</v>
      </c>
      <c r="AM609">
        <v>0.33333333333333331</v>
      </c>
      <c r="AN609">
        <v>5.6796686227130611</v>
      </c>
    </row>
    <row r="610" spans="1:40" x14ac:dyDescent="0.3">
      <c r="A610" t="s">
        <v>173</v>
      </c>
      <c r="B610" t="s">
        <v>643</v>
      </c>
      <c r="C610" t="s">
        <v>10</v>
      </c>
      <c r="D610" t="s">
        <v>11</v>
      </c>
      <c r="E610">
        <v>202602</v>
      </c>
      <c r="F610" t="s">
        <v>110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7</v>
      </c>
      <c r="AM610">
        <v>0.33333333333333331</v>
      </c>
      <c r="AN610">
        <v>8.6796686227130611</v>
      </c>
    </row>
    <row r="611" spans="1:40" x14ac:dyDescent="0.3">
      <c r="A611" t="s">
        <v>173</v>
      </c>
      <c r="B611" t="s">
        <v>643</v>
      </c>
      <c r="C611" t="s">
        <v>10</v>
      </c>
      <c r="D611" t="s">
        <v>11</v>
      </c>
      <c r="E611">
        <v>202602</v>
      </c>
      <c r="F611" t="s">
        <v>111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6</v>
      </c>
      <c r="AM611">
        <v>0.66666666666666663</v>
      </c>
      <c r="AN611">
        <v>9.3593372454261221</v>
      </c>
    </row>
    <row r="612" spans="1:40" x14ac:dyDescent="0.3">
      <c r="A612" t="s">
        <v>173</v>
      </c>
      <c r="B612" t="s">
        <v>643</v>
      </c>
      <c r="C612" t="s">
        <v>10</v>
      </c>
      <c r="D612" t="s">
        <v>11</v>
      </c>
      <c r="E612">
        <v>202602</v>
      </c>
      <c r="F612" t="s">
        <v>61</v>
      </c>
      <c r="G612">
        <v>0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5</v>
      </c>
      <c r="AM612">
        <v>0</v>
      </c>
      <c r="AN612">
        <v>5</v>
      </c>
    </row>
    <row r="613" spans="1:40" x14ac:dyDescent="0.3">
      <c r="A613" t="s">
        <v>173</v>
      </c>
      <c r="B613" t="s">
        <v>643</v>
      </c>
      <c r="C613" t="s">
        <v>10</v>
      </c>
      <c r="D613" t="s">
        <v>11</v>
      </c>
      <c r="E613">
        <v>202602</v>
      </c>
      <c r="F613" t="s">
        <v>112</v>
      </c>
      <c r="G613">
        <v>0</v>
      </c>
      <c r="H613">
        <v>1</v>
      </c>
      <c r="I613">
        <v>1</v>
      </c>
      <c r="J613">
        <v>0</v>
      </c>
      <c r="K613">
        <v>1</v>
      </c>
      <c r="L613">
        <v>2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2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1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11</v>
      </c>
      <c r="AM613">
        <v>1</v>
      </c>
      <c r="AN613">
        <v>16.039005868139181</v>
      </c>
    </row>
    <row r="614" spans="1:40" x14ac:dyDescent="0.3">
      <c r="A614" t="s">
        <v>173</v>
      </c>
      <c r="B614" t="s">
        <v>643</v>
      </c>
      <c r="C614" t="s">
        <v>10</v>
      </c>
      <c r="D614" t="s">
        <v>11</v>
      </c>
      <c r="E614">
        <v>202602</v>
      </c>
      <c r="F614" t="s">
        <v>114</v>
      </c>
      <c r="G614">
        <v>0</v>
      </c>
      <c r="H614">
        <v>1</v>
      </c>
      <c r="I614">
        <v>1</v>
      </c>
      <c r="J614">
        <v>1</v>
      </c>
      <c r="K614">
        <v>2</v>
      </c>
      <c r="L614">
        <v>1</v>
      </c>
      <c r="M614">
        <v>2</v>
      </c>
      <c r="N614">
        <v>0</v>
      </c>
      <c r="O614">
        <v>0</v>
      </c>
      <c r="P614">
        <v>2</v>
      </c>
      <c r="Q614">
        <v>1</v>
      </c>
      <c r="R614">
        <v>4</v>
      </c>
      <c r="S614">
        <v>2</v>
      </c>
      <c r="T614">
        <v>0</v>
      </c>
      <c r="U614">
        <v>0</v>
      </c>
      <c r="V614">
        <v>0</v>
      </c>
      <c r="W614">
        <v>0</v>
      </c>
      <c r="X614">
        <v>2</v>
      </c>
      <c r="Y614">
        <v>2</v>
      </c>
      <c r="Z614">
        <v>3</v>
      </c>
      <c r="AA614">
        <v>1</v>
      </c>
      <c r="AB614">
        <v>0</v>
      </c>
      <c r="AC614">
        <v>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27</v>
      </c>
      <c r="AM614">
        <v>2.3333333333333335</v>
      </c>
      <c r="AN614">
        <v>38.757680358991422</v>
      </c>
    </row>
    <row r="615" spans="1:40" x14ac:dyDescent="0.3">
      <c r="A615" t="s">
        <v>173</v>
      </c>
      <c r="B615" t="s">
        <v>643</v>
      </c>
      <c r="C615" t="s">
        <v>10</v>
      </c>
      <c r="D615" t="s">
        <v>11</v>
      </c>
      <c r="E615">
        <v>202602</v>
      </c>
      <c r="F615" t="s">
        <v>225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1</v>
      </c>
    </row>
    <row r="616" spans="1:40" x14ac:dyDescent="0.3">
      <c r="A616" t="s">
        <v>173</v>
      </c>
      <c r="B616" t="s">
        <v>643</v>
      </c>
      <c r="C616" t="s">
        <v>10</v>
      </c>
      <c r="D616" t="s">
        <v>11</v>
      </c>
      <c r="E616">
        <v>202602</v>
      </c>
      <c r="F616" t="s">
        <v>129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3</v>
      </c>
      <c r="AM616">
        <v>0</v>
      </c>
      <c r="AN616">
        <v>3</v>
      </c>
    </row>
    <row r="617" spans="1:40" x14ac:dyDescent="0.3">
      <c r="A617" t="s">
        <v>173</v>
      </c>
      <c r="B617" t="s">
        <v>643</v>
      </c>
      <c r="C617" t="s">
        <v>10</v>
      </c>
      <c r="D617" t="s">
        <v>11</v>
      </c>
      <c r="E617">
        <v>202602</v>
      </c>
      <c r="F617" t="s">
        <v>116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0.33333333333333331</v>
      </c>
      <c r="AN617">
        <v>2.6796686227130611</v>
      </c>
    </row>
    <row r="618" spans="1:40" x14ac:dyDescent="0.3">
      <c r="A618" t="s">
        <v>173</v>
      </c>
      <c r="B618" t="s">
        <v>643</v>
      </c>
      <c r="C618" t="s">
        <v>10</v>
      </c>
      <c r="D618" t="s">
        <v>11</v>
      </c>
      <c r="E618">
        <v>202602</v>
      </c>
      <c r="F618" t="s">
        <v>130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6</v>
      </c>
      <c r="AM618">
        <v>0.33333333333333331</v>
      </c>
      <c r="AN618">
        <v>7.6796686227130611</v>
      </c>
    </row>
    <row r="619" spans="1:40" x14ac:dyDescent="0.3">
      <c r="A619" t="s">
        <v>173</v>
      </c>
      <c r="B619" t="s">
        <v>643</v>
      </c>
      <c r="C619" t="s">
        <v>10</v>
      </c>
      <c r="D619" t="s">
        <v>11</v>
      </c>
      <c r="E619">
        <v>202602</v>
      </c>
      <c r="F619" t="s">
        <v>117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2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5</v>
      </c>
      <c r="AM619">
        <v>0</v>
      </c>
      <c r="AN619">
        <v>5</v>
      </c>
    </row>
    <row r="620" spans="1:40" x14ac:dyDescent="0.3">
      <c r="A620" t="s">
        <v>173</v>
      </c>
      <c r="B620" t="s">
        <v>643</v>
      </c>
      <c r="C620" t="s">
        <v>10</v>
      </c>
      <c r="D620" t="s">
        <v>11</v>
      </c>
      <c r="E620">
        <v>202602</v>
      </c>
      <c r="F620" t="s">
        <v>118</v>
      </c>
      <c r="G620">
        <v>0</v>
      </c>
      <c r="H620">
        <v>0</v>
      </c>
      <c r="I620">
        <v>0</v>
      </c>
      <c r="J620">
        <v>3</v>
      </c>
      <c r="K620">
        <v>2</v>
      </c>
      <c r="L620">
        <v>0</v>
      </c>
      <c r="M620">
        <v>0</v>
      </c>
      <c r="N620">
        <v>0</v>
      </c>
      <c r="O620">
        <v>1</v>
      </c>
      <c r="P620">
        <v>1</v>
      </c>
      <c r="Q620">
        <v>1</v>
      </c>
      <c r="R620">
        <v>0</v>
      </c>
      <c r="S620">
        <v>1</v>
      </c>
      <c r="T620">
        <v>1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13</v>
      </c>
      <c r="AM620">
        <v>0.66666666666666663</v>
      </c>
      <c r="AN620">
        <v>16.359337245426122</v>
      </c>
    </row>
    <row r="621" spans="1:40" x14ac:dyDescent="0.3">
      <c r="A621" t="s">
        <v>173</v>
      </c>
      <c r="B621" t="s">
        <v>643</v>
      </c>
      <c r="C621" t="s">
        <v>10</v>
      </c>
      <c r="D621" t="s">
        <v>11</v>
      </c>
      <c r="E621">
        <v>202602</v>
      </c>
      <c r="F621" t="s">
        <v>223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</v>
      </c>
      <c r="AM621">
        <v>0</v>
      </c>
      <c r="AN621">
        <v>2</v>
      </c>
    </row>
    <row r="622" spans="1:40" x14ac:dyDescent="0.3">
      <c r="A622" t="s">
        <v>173</v>
      </c>
      <c r="B622" t="s">
        <v>643</v>
      </c>
      <c r="C622" t="s">
        <v>10</v>
      </c>
      <c r="D622" t="s">
        <v>11</v>
      </c>
      <c r="E622">
        <v>202602</v>
      </c>
      <c r="F622" t="s">
        <v>121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2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4</v>
      </c>
      <c r="AM622">
        <v>0</v>
      </c>
      <c r="AN622">
        <v>4</v>
      </c>
    </row>
    <row r="623" spans="1:40" x14ac:dyDescent="0.3">
      <c r="A623" t="s">
        <v>173</v>
      </c>
      <c r="B623" t="s">
        <v>643</v>
      </c>
      <c r="C623" t="s">
        <v>10</v>
      </c>
      <c r="D623" t="s">
        <v>11</v>
      </c>
      <c r="E623">
        <v>202602</v>
      </c>
      <c r="F623" t="s">
        <v>134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0.33333333333333331</v>
      </c>
      <c r="AN623">
        <v>2.6796686227130611</v>
      </c>
    </row>
    <row r="624" spans="1:40" x14ac:dyDescent="0.3">
      <c r="A624" t="s">
        <v>173</v>
      </c>
      <c r="B624" t="s">
        <v>643</v>
      </c>
      <c r="C624" t="s">
        <v>10</v>
      </c>
      <c r="D624" t="s">
        <v>11</v>
      </c>
      <c r="E624">
        <v>202602</v>
      </c>
      <c r="F624" t="s">
        <v>224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1</v>
      </c>
    </row>
    <row r="625" spans="1:40" x14ac:dyDescent="0.3">
      <c r="A625" t="s">
        <v>173</v>
      </c>
      <c r="B625" t="s">
        <v>643</v>
      </c>
      <c r="C625" t="s">
        <v>10</v>
      </c>
      <c r="D625" t="s">
        <v>11</v>
      </c>
      <c r="E625">
        <v>202602</v>
      </c>
      <c r="F625" t="s">
        <v>122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1</v>
      </c>
    </row>
    <row r="626" spans="1:40" x14ac:dyDescent="0.3">
      <c r="A626" t="s">
        <v>173</v>
      </c>
      <c r="B626" t="s">
        <v>643</v>
      </c>
      <c r="C626" t="s">
        <v>10</v>
      </c>
      <c r="D626" t="s">
        <v>11</v>
      </c>
      <c r="E626">
        <v>202602</v>
      </c>
      <c r="F626" t="s">
        <v>135</v>
      </c>
      <c r="G626">
        <v>0</v>
      </c>
      <c r="H626">
        <v>0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</v>
      </c>
      <c r="AM626">
        <v>0</v>
      </c>
      <c r="AN626">
        <v>2</v>
      </c>
    </row>
    <row r="627" spans="1:40" x14ac:dyDescent="0.3">
      <c r="A627" t="s">
        <v>173</v>
      </c>
      <c r="B627" t="s">
        <v>643</v>
      </c>
      <c r="C627" t="s">
        <v>10</v>
      </c>
      <c r="D627" t="s">
        <v>11</v>
      </c>
      <c r="E627">
        <v>202602</v>
      </c>
      <c r="F627" t="s">
        <v>127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</v>
      </c>
      <c r="AM627">
        <v>0.66666666666666663</v>
      </c>
      <c r="AN627">
        <v>7.3593372454261221</v>
      </c>
    </row>
    <row r="628" spans="1:40" x14ac:dyDescent="0.3">
      <c r="A628" t="s">
        <v>173</v>
      </c>
      <c r="B628" t="s">
        <v>643</v>
      </c>
      <c r="C628" t="s">
        <v>10</v>
      </c>
      <c r="D628" t="s">
        <v>11</v>
      </c>
      <c r="E628">
        <v>202602</v>
      </c>
      <c r="F628" t="s">
        <v>709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1</v>
      </c>
    </row>
    <row r="629" spans="1:40" x14ac:dyDescent="0.3">
      <c r="A629" t="s">
        <v>173</v>
      </c>
      <c r="B629" t="s">
        <v>643</v>
      </c>
      <c r="C629" t="s">
        <v>10</v>
      </c>
      <c r="D629" t="s">
        <v>14</v>
      </c>
      <c r="E629">
        <v>202602</v>
      </c>
      <c r="F629" t="s">
        <v>56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6</v>
      </c>
      <c r="AM629">
        <v>0.33333333333333331</v>
      </c>
      <c r="AN629">
        <v>7.4342414279002504</v>
      </c>
    </row>
    <row r="630" spans="1:40" x14ac:dyDescent="0.3">
      <c r="A630" t="s">
        <v>173</v>
      </c>
      <c r="B630" t="s">
        <v>643</v>
      </c>
      <c r="C630" t="s">
        <v>10</v>
      </c>
      <c r="D630" t="s">
        <v>14</v>
      </c>
      <c r="E630">
        <v>202602</v>
      </c>
      <c r="F630" t="s">
        <v>110</v>
      </c>
      <c r="G630">
        <v>0</v>
      </c>
      <c r="H630">
        <v>0</v>
      </c>
      <c r="I630">
        <v>1</v>
      </c>
      <c r="J630">
        <v>0</v>
      </c>
      <c r="K630">
        <v>2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8</v>
      </c>
      <c r="AM630">
        <v>0.66666666666666663</v>
      </c>
      <c r="AN630">
        <v>10.868482855800501</v>
      </c>
    </row>
    <row r="631" spans="1:40" x14ac:dyDescent="0.3">
      <c r="A631" t="s">
        <v>173</v>
      </c>
      <c r="B631" t="s">
        <v>643</v>
      </c>
      <c r="C631" t="s">
        <v>10</v>
      </c>
      <c r="D631" t="s">
        <v>14</v>
      </c>
      <c r="E631">
        <v>202602</v>
      </c>
      <c r="F631" t="s">
        <v>111</v>
      </c>
      <c r="G631">
        <v>0</v>
      </c>
      <c r="H631">
        <v>0</v>
      </c>
      <c r="I631">
        <v>0</v>
      </c>
      <c r="J631">
        <v>0</v>
      </c>
      <c r="K631">
        <v>2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6</v>
      </c>
      <c r="AM631">
        <v>0.33333333333333331</v>
      </c>
      <c r="AN631">
        <v>7.4342414279002504</v>
      </c>
    </row>
    <row r="632" spans="1:40" x14ac:dyDescent="0.3">
      <c r="A632" t="s">
        <v>173</v>
      </c>
      <c r="B632" t="s">
        <v>643</v>
      </c>
      <c r="C632" t="s">
        <v>10</v>
      </c>
      <c r="D632" t="s">
        <v>14</v>
      </c>
      <c r="E632">
        <v>202602</v>
      </c>
      <c r="F632" t="s">
        <v>61</v>
      </c>
      <c r="G632">
        <v>0</v>
      </c>
      <c r="H632">
        <v>1</v>
      </c>
      <c r="I632">
        <v>0</v>
      </c>
      <c r="J632">
        <v>2</v>
      </c>
      <c r="K632">
        <v>1</v>
      </c>
      <c r="L632">
        <v>0</v>
      </c>
      <c r="M632">
        <v>0</v>
      </c>
      <c r="N632">
        <v>0</v>
      </c>
      <c r="O632">
        <v>1</v>
      </c>
      <c r="P632">
        <v>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9</v>
      </c>
      <c r="AM632">
        <v>0.33333333333333331</v>
      </c>
      <c r="AN632">
        <v>10.43424142790025</v>
      </c>
    </row>
    <row r="633" spans="1:40" x14ac:dyDescent="0.3">
      <c r="A633" t="s">
        <v>173</v>
      </c>
      <c r="B633" t="s">
        <v>643</v>
      </c>
      <c r="C633" t="s">
        <v>10</v>
      </c>
      <c r="D633" t="s">
        <v>14</v>
      </c>
      <c r="E633">
        <v>202602</v>
      </c>
      <c r="F633" t="s">
        <v>112</v>
      </c>
      <c r="G633">
        <v>0</v>
      </c>
      <c r="H633">
        <v>1</v>
      </c>
      <c r="I633">
        <v>1</v>
      </c>
      <c r="J633">
        <v>2</v>
      </c>
      <c r="K633">
        <v>1</v>
      </c>
      <c r="L633">
        <v>1</v>
      </c>
      <c r="M633">
        <v>0</v>
      </c>
      <c r="N633">
        <v>0</v>
      </c>
      <c r="O633">
        <v>1</v>
      </c>
      <c r="P633">
        <v>2</v>
      </c>
      <c r="Q633">
        <v>0</v>
      </c>
      <c r="R633">
        <v>1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14</v>
      </c>
      <c r="AM633">
        <v>0.33333333333333331</v>
      </c>
      <c r="AN633">
        <v>15.43424142790025</v>
      </c>
    </row>
    <row r="634" spans="1:40" x14ac:dyDescent="0.3">
      <c r="A634" t="s">
        <v>173</v>
      </c>
      <c r="B634" t="s">
        <v>643</v>
      </c>
      <c r="C634" t="s">
        <v>10</v>
      </c>
      <c r="D634" t="s">
        <v>14</v>
      </c>
      <c r="E634">
        <v>202602</v>
      </c>
      <c r="F634" t="s">
        <v>365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</v>
      </c>
      <c r="AM634">
        <v>0</v>
      </c>
      <c r="AN634">
        <v>2</v>
      </c>
    </row>
    <row r="635" spans="1:40" x14ac:dyDescent="0.3">
      <c r="A635" t="s">
        <v>173</v>
      </c>
      <c r="B635" t="s">
        <v>643</v>
      </c>
      <c r="C635" t="s">
        <v>10</v>
      </c>
      <c r="D635" t="s">
        <v>14</v>
      </c>
      <c r="E635">
        <v>202602</v>
      </c>
      <c r="F635" t="s">
        <v>114</v>
      </c>
      <c r="G635">
        <v>0</v>
      </c>
      <c r="H635">
        <v>8</v>
      </c>
      <c r="I635">
        <v>3</v>
      </c>
      <c r="J635">
        <v>3</v>
      </c>
      <c r="K635">
        <v>1</v>
      </c>
      <c r="L635">
        <v>3</v>
      </c>
      <c r="M635">
        <v>1</v>
      </c>
      <c r="N635">
        <v>0</v>
      </c>
      <c r="O635">
        <v>4</v>
      </c>
      <c r="P635">
        <v>4</v>
      </c>
      <c r="Q635">
        <v>3</v>
      </c>
      <c r="R635">
        <v>4</v>
      </c>
      <c r="S635">
        <v>3</v>
      </c>
      <c r="T635">
        <v>0</v>
      </c>
      <c r="U635">
        <v>0</v>
      </c>
      <c r="V635">
        <v>3</v>
      </c>
      <c r="W635">
        <v>0</v>
      </c>
      <c r="X635">
        <v>1</v>
      </c>
      <c r="Y635">
        <v>2</v>
      </c>
      <c r="Z635">
        <v>3</v>
      </c>
      <c r="AA635">
        <v>0</v>
      </c>
      <c r="AB635">
        <v>0</v>
      </c>
      <c r="AC635">
        <v>2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48</v>
      </c>
      <c r="AM635">
        <v>2.3333333333333335</v>
      </c>
      <c r="AN635">
        <v>58.03968999530175</v>
      </c>
    </row>
    <row r="636" spans="1:40" x14ac:dyDescent="0.3">
      <c r="A636" t="s">
        <v>173</v>
      </c>
      <c r="B636" t="s">
        <v>643</v>
      </c>
      <c r="C636" t="s">
        <v>10</v>
      </c>
      <c r="D636" t="s">
        <v>14</v>
      </c>
      <c r="E636">
        <v>202602</v>
      </c>
      <c r="F636" t="s">
        <v>225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1</v>
      </c>
    </row>
    <row r="637" spans="1:40" x14ac:dyDescent="0.3">
      <c r="A637" t="s">
        <v>173</v>
      </c>
      <c r="B637" t="s">
        <v>643</v>
      </c>
      <c r="C637" t="s">
        <v>10</v>
      </c>
      <c r="D637" t="s">
        <v>14</v>
      </c>
      <c r="E637">
        <v>202602</v>
      </c>
      <c r="F637" t="s">
        <v>129</v>
      </c>
      <c r="G637">
        <v>0</v>
      </c>
      <c r="H637">
        <v>1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2</v>
      </c>
      <c r="R637">
        <v>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7</v>
      </c>
      <c r="AM637">
        <v>0</v>
      </c>
      <c r="AN637">
        <v>7</v>
      </c>
    </row>
    <row r="638" spans="1:40" x14ac:dyDescent="0.3">
      <c r="A638" t="s">
        <v>173</v>
      </c>
      <c r="B638" t="s">
        <v>643</v>
      </c>
      <c r="C638" t="s">
        <v>10</v>
      </c>
      <c r="D638" t="s">
        <v>14</v>
      </c>
      <c r="E638">
        <v>202602</v>
      </c>
      <c r="F638" t="s">
        <v>115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1</v>
      </c>
    </row>
    <row r="639" spans="1:40" x14ac:dyDescent="0.3">
      <c r="A639" t="s">
        <v>173</v>
      </c>
      <c r="B639" t="s">
        <v>643</v>
      </c>
      <c r="C639" t="s">
        <v>10</v>
      </c>
      <c r="D639" t="s">
        <v>14</v>
      </c>
      <c r="E639">
        <v>202602</v>
      </c>
      <c r="F639" t="s">
        <v>116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</v>
      </c>
      <c r="AM639">
        <v>0.33333333333333331</v>
      </c>
      <c r="AN639">
        <v>3.43424142790025</v>
      </c>
    </row>
    <row r="640" spans="1:40" x14ac:dyDescent="0.3">
      <c r="A640" t="s">
        <v>173</v>
      </c>
      <c r="B640" t="s">
        <v>643</v>
      </c>
      <c r="C640" t="s">
        <v>10</v>
      </c>
      <c r="D640" t="s">
        <v>14</v>
      </c>
      <c r="E640">
        <v>202602</v>
      </c>
      <c r="F640" t="s">
        <v>130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6</v>
      </c>
      <c r="AM640">
        <v>0.66666666666666663</v>
      </c>
      <c r="AN640">
        <v>8.8684828558005009</v>
      </c>
    </row>
    <row r="641" spans="1:40" x14ac:dyDescent="0.3">
      <c r="A641" t="s">
        <v>173</v>
      </c>
      <c r="B641" t="s">
        <v>643</v>
      </c>
      <c r="C641" t="s">
        <v>10</v>
      </c>
      <c r="D641" t="s">
        <v>14</v>
      </c>
      <c r="E641">
        <v>202602</v>
      </c>
      <c r="F641" t="s">
        <v>117</v>
      </c>
      <c r="G641">
        <v>0</v>
      </c>
      <c r="H641">
        <v>1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6</v>
      </c>
      <c r="AM641">
        <v>0</v>
      </c>
      <c r="AN641">
        <v>6</v>
      </c>
    </row>
    <row r="642" spans="1:40" x14ac:dyDescent="0.3">
      <c r="A642" t="s">
        <v>173</v>
      </c>
      <c r="B642" t="s">
        <v>643</v>
      </c>
      <c r="C642" t="s">
        <v>10</v>
      </c>
      <c r="D642" t="s">
        <v>14</v>
      </c>
      <c r="E642">
        <v>202602</v>
      </c>
      <c r="F642" t="s">
        <v>118</v>
      </c>
      <c r="G642">
        <v>0</v>
      </c>
      <c r="H642">
        <v>5</v>
      </c>
      <c r="I642">
        <v>2</v>
      </c>
      <c r="J642">
        <v>0</v>
      </c>
      <c r="K642">
        <v>1</v>
      </c>
      <c r="L642">
        <v>2</v>
      </c>
      <c r="M642">
        <v>0</v>
      </c>
      <c r="N642">
        <v>0</v>
      </c>
      <c r="O642">
        <v>2</v>
      </c>
      <c r="P642">
        <v>1</v>
      </c>
      <c r="Q642">
        <v>3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1</v>
      </c>
      <c r="Z642">
        <v>2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21</v>
      </c>
      <c r="AM642">
        <v>1.3333333333333333</v>
      </c>
      <c r="AN642">
        <v>26.736965711601002</v>
      </c>
    </row>
    <row r="643" spans="1:40" x14ac:dyDescent="0.3">
      <c r="A643" t="s">
        <v>173</v>
      </c>
      <c r="B643" t="s">
        <v>643</v>
      </c>
      <c r="C643" t="s">
        <v>10</v>
      </c>
      <c r="D643" t="s">
        <v>14</v>
      </c>
      <c r="E643">
        <v>202602</v>
      </c>
      <c r="F643" t="s">
        <v>132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0.33333333333333331</v>
      </c>
      <c r="AN643">
        <v>2.43424142790025</v>
      </c>
    </row>
    <row r="644" spans="1:40" x14ac:dyDescent="0.3">
      <c r="A644" t="s">
        <v>173</v>
      </c>
      <c r="B644" t="s">
        <v>643</v>
      </c>
      <c r="C644" t="s">
        <v>10</v>
      </c>
      <c r="D644" t="s">
        <v>14</v>
      </c>
      <c r="E644">
        <v>202602</v>
      </c>
      <c r="F644" t="s">
        <v>223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2</v>
      </c>
      <c r="AM644">
        <v>0</v>
      </c>
      <c r="AN644">
        <v>2</v>
      </c>
    </row>
    <row r="645" spans="1:40" x14ac:dyDescent="0.3">
      <c r="A645" t="s">
        <v>173</v>
      </c>
      <c r="B645" t="s">
        <v>643</v>
      </c>
      <c r="C645" t="s">
        <v>10</v>
      </c>
      <c r="D645" t="s">
        <v>14</v>
      </c>
      <c r="E645">
        <v>202602</v>
      </c>
      <c r="F645" t="s">
        <v>119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0.33333333333333331</v>
      </c>
      <c r="AN645">
        <v>2.43424142790025</v>
      </c>
    </row>
    <row r="646" spans="1:40" x14ac:dyDescent="0.3">
      <c r="A646" t="s">
        <v>173</v>
      </c>
      <c r="B646" t="s">
        <v>643</v>
      </c>
      <c r="C646" t="s">
        <v>10</v>
      </c>
      <c r="D646" t="s">
        <v>14</v>
      </c>
      <c r="E646">
        <v>202602</v>
      </c>
      <c r="F646" t="s">
        <v>121</v>
      </c>
      <c r="G646">
        <v>0</v>
      </c>
      <c r="H646">
        <v>0</v>
      </c>
      <c r="I646">
        <v>0</v>
      </c>
      <c r="J646">
        <v>4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8</v>
      </c>
      <c r="AM646">
        <v>0.33333333333333331</v>
      </c>
      <c r="AN646">
        <v>9.4342414279002504</v>
      </c>
    </row>
    <row r="647" spans="1:40" x14ac:dyDescent="0.3">
      <c r="A647" t="s">
        <v>173</v>
      </c>
      <c r="B647" t="s">
        <v>643</v>
      </c>
      <c r="C647" t="s">
        <v>10</v>
      </c>
      <c r="D647" t="s">
        <v>14</v>
      </c>
      <c r="E647">
        <v>202602</v>
      </c>
      <c r="F647" t="s">
        <v>134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1</v>
      </c>
    </row>
    <row r="648" spans="1:40" x14ac:dyDescent="0.3">
      <c r="A648" t="s">
        <v>173</v>
      </c>
      <c r="B648" t="s">
        <v>643</v>
      </c>
      <c r="C648" t="s">
        <v>10</v>
      </c>
      <c r="D648" t="s">
        <v>14</v>
      </c>
      <c r="E648">
        <v>202602</v>
      </c>
      <c r="F648" t="s">
        <v>224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1</v>
      </c>
    </row>
    <row r="649" spans="1:40" x14ac:dyDescent="0.3">
      <c r="A649" t="s">
        <v>173</v>
      </c>
      <c r="B649" t="s">
        <v>643</v>
      </c>
      <c r="C649" t="s">
        <v>10</v>
      </c>
      <c r="D649" t="s">
        <v>14</v>
      </c>
      <c r="E649">
        <v>202602</v>
      </c>
      <c r="F649" t="s">
        <v>122</v>
      </c>
      <c r="G649">
        <v>0</v>
      </c>
      <c r="H649">
        <v>0</v>
      </c>
      <c r="I649">
        <v>0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4</v>
      </c>
      <c r="AM649">
        <v>0</v>
      </c>
      <c r="AN649">
        <v>4</v>
      </c>
    </row>
    <row r="650" spans="1:40" x14ac:dyDescent="0.3">
      <c r="A650" t="s">
        <v>173</v>
      </c>
      <c r="B650" t="s">
        <v>643</v>
      </c>
      <c r="C650" t="s">
        <v>10</v>
      </c>
      <c r="D650" t="s">
        <v>14</v>
      </c>
      <c r="E650">
        <v>202602</v>
      </c>
      <c r="F650" t="s">
        <v>124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</v>
      </c>
      <c r="AM650">
        <v>0</v>
      </c>
      <c r="AN650">
        <v>3</v>
      </c>
    </row>
    <row r="651" spans="1:40" x14ac:dyDescent="0.3">
      <c r="A651" t="s">
        <v>173</v>
      </c>
      <c r="B651" t="s">
        <v>643</v>
      </c>
      <c r="C651" t="s">
        <v>10</v>
      </c>
      <c r="D651" t="s">
        <v>14</v>
      </c>
      <c r="E651">
        <v>202602</v>
      </c>
      <c r="F651" t="s">
        <v>135</v>
      </c>
      <c r="G651">
        <v>0</v>
      </c>
      <c r="H651">
        <v>2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3</v>
      </c>
      <c r="AM651">
        <v>0</v>
      </c>
      <c r="AN651">
        <v>3</v>
      </c>
    </row>
    <row r="652" spans="1:40" x14ac:dyDescent="0.3">
      <c r="A652" t="s">
        <v>173</v>
      </c>
      <c r="B652" t="s">
        <v>643</v>
      </c>
      <c r="C652" t="s">
        <v>10</v>
      </c>
      <c r="D652" t="s">
        <v>14</v>
      </c>
      <c r="E652">
        <v>202602</v>
      </c>
      <c r="F652" t="s">
        <v>127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</v>
      </c>
      <c r="AM652">
        <v>0.33333333333333331</v>
      </c>
      <c r="AN652">
        <v>7.4342414279002504</v>
      </c>
    </row>
    <row r="653" spans="1:40" x14ac:dyDescent="0.3">
      <c r="A653" t="s">
        <v>173</v>
      </c>
      <c r="B653" t="s">
        <v>643</v>
      </c>
      <c r="C653" t="s">
        <v>10</v>
      </c>
      <c r="D653" t="s">
        <v>14</v>
      </c>
      <c r="E653">
        <v>202602</v>
      </c>
      <c r="F653" t="s">
        <v>226</v>
      </c>
      <c r="G653">
        <v>0</v>
      </c>
      <c r="H653">
        <v>1</v>
      </c>
      <c r="I653">
        <v>1</v>
      </c>
      <c r="J653">
        <v>1</v>
      </c>
      <c r="K653">
        <v>0</v>
      </c>
      <c r="L653">
        <v>0</v>
      </c>
      <c r="M653">
        <v>2</v>
      </c>
      <c r="N653">
        <v>0</v>
      </c>
      <c r="O653">
        <v>0</v>
      </c>
      <c r="P653">
        <v>0</v>
      </c>
      <c r="Q653">
        <v>1</v>
      </c>
      <c r="R653">
        <v>1</v>
      </c>
      <c r="S653">
        <v>2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10</v>
      </c>
      <c r="AM653">
        <v>0</v>
      </c>
      <c r="AN653">
        <v>10</v>
      </c>
    </row>
    <row r="654" spans="1:40" x14ac:dyDescent="0.3">
      <c r="A654" t="s">
        <v>173</v>
      </c>
      <c r="B654" t="s">
        <v>643</v>
      </c>
      <c r="C654" t="s">
        <v>10</v>
      </c>
      <c r="D654" t="s">
        <v>14</v>
      </c>
      <c r="E654">
        <v>202602</v>
      </c>
      <c r="F654" t="s">
        <v>709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1</v>
      </c>
    </row>
    <row r="655" spans="1:40" x14ac:dyDescent="0.3">
      <c r="A655" t="s">
        <v>173</v>
      </c>
      <c r="B655" t="s">
        <v>643</v>
      </c>
      <c r="C655" t="s">
        <v>16</v>
      </c>
      <c r="D655" t="s">
        <v>11</v>
      </c>
      <c r="E655">
        <v>202602</v>
      </c>
      <c r="F655" t="s">
        <v>110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0.33333333333333331</v>
      </c>
      <c r="AN655">
        <v>2.6796686227130611</v>
      </c>
    </row>
    <row r="656" spans="1:40" x14ac:dyDescent="0.3">
      <c r="A656" t="s">
        <v>173</v>
      </c>
      <c r="B656" t="s">
        <v>643</v>
      </c>
      <c r="C656" t="s">
        <v>16</v>
      </c>
      <c r="D656" t="s">
        <v>11</v>
      </c>
      <c r="E656">
        <v>202602</v>
      </c>
      <c r="F656" t="s">
        <v>206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0.33333333333333331</v>
      </c>
      <c r="AN656">
        <v>2.6796686227130611</v>
      </c>
    </row>
    <row r="657" spans="1:40" x14ac:dyDescent="0.3">
      <c r="A657" t="s">
        <v>173</v>
      </c>
      <c r="B657" t="s">
        <v>643</v>
      </c>
      <c r="C657" t="s">
        <v>16</v>
      </c>
      <c r="D657" t="s">
        <v>11</v>
      </c>
      <c r="E657">
        <v>202602</v>
      </c>
      <c r="F657" t="s">
        <v>561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0.33333333333333331</v>
      </c>
      <c r="AN657">
        <v>2.6796686227130611</v>
      </c>
    </row>
    <row r="658" spans="1:40" x14ac:dyDescent="0.3">
      <c r="A658" t="s">
        <v>173</v>
      </c>
      <c r="B658" t="s">
        <v>643</v>
      </c>
      <c r="C658" t="s">
        <v>16</v>
      </c>
      <c r="D658" t="s">
        <v>14</v>
      </c>
      <c r="E658">
        <v>202602</v>
      </c>
      <c r="F658" t="s">
        <v>110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1</v>
      </c>
    </row>
    <row r="659" spans="1:40" x14ac:dyDescent="0.3">
      <c r="A659" t="s">
        <v>173</v>
      </c>
      <c r="B659" t="s">
        <v>643</v>
      </c>
      <c r="C659" t="s">
        <v>16</v>
      </c>
      <c r="D659" t="s">
        <v>14</v>
      </c>
      <c r="E659">
        <v>202602</v>
      </c>
      <c r="F659" t="s">
        <v>206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2</v>
      </c>
      <c r="AM659">
        <v>0</v>
      </c>
      <c r="AN659">
        <v>2</v>
      </c>
    </row>
    <row r="660" spans="1:40" x14ac:dyDescent="0.3">
      <c r="A660" t="s">
        <v>173</v>
      </c>
      <c r="B660" t="s">
        <v>643</v>
      </c>
      <c r="C660" t="s">
        <v>16</v>
      </c>
      <c r="D660" t="s">
        <v>14</v>
      </c>
      <c r="E660">
        <v>202602</v>
      </c>
      <c r="F660" t="s">
        <v>710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1</v>
      </c>
    </row>
    <row r="661" spans="1:40" x14ac:dyDescent="0.3">
      <c r="A661" t="s">
        <v>173</v>
      </c>
      <c r="B661" t="s">
        <v>643</v>
      </c>
      <c r="C661" t="s">
        <v>16</v>
      </c>
      <c r="D661" t="s">
        <v>14</v>
      </c>
      <c r="E661">
        <v>202602</v>
      </c>
      <c r="F661" t="s">
        <v>561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1</v>
      </c>
    </row>
    <row r="662" spans="1:40" x14ac:dyDescent="0.3">
      <c r="A662" t="s">
        <v>173</v>
      </c>
      <c r="B662" t="s">
        <v>136</v>
      </c>
      <c r="C662" t="s">
        <v>10</v>
      </c>
      <c r="D662" t="s">
        <v>11</v>
      </c>
      <c r="E662">
        <v>202602</v>
      </c>
      <c r="F662" t="s">
        <v>42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0.33333333333333331</v>
      </c>
      <c r="AN662">
        <v>2.6796686227130611</v>
      </c>
    </row>
    <row r="663" spans="1:40" x14ac:dyDescent="0.3">
      <c r="A663" t="s">
        <v>173</v>
      </c>
      <c r="B663" t="s">
        <v>136</v>
      </c>
      <c r="C663" t="s">
        <v>10</v>
      </c>
      <c r="D663" t="s">
        <v>11</v>
      </c>
      <c r="E663">
        <v>202602</v>
      </c>
      <c r="F663" t="s">
        <v>102</v>
      </c>
      <c r="G663">
        <v>0</v>
      </c>
      <c r="H663">
        <v>7</v>
      </c>
      <c r="I663">
        <v>8</v>
      </c>
      <c r="J663">
        <v>5</v>
      </c>
      <c r="K663">
        <v>3</v>
      </c>
      <c r="L663">
        <v>4</v>
      </c>
      <c r="M663">
        <v>3</v>
      </c>
      <c r="N663">
        <v>0</v>
      </c>
      <c r="O663">
        <v>5</v>
      </c>
      <c r="P663">
        <v>7</v>
      </c>
      <c r="Q663">
        <v>5</v>
      </c>
      <c r="R663">
        <v>3</v>
      </c>
      <c r="S663">
        <v>1</v>
      </c>
      <c r="T663">
        <v>0</v>
      </c>
      <c r="U663">
        <v>0</v>
      </c>
      <c r="V663">
        <v>4</v>
      </c>
      <c r="W663">
        <v>0</v>
      </c>
      <c r="X663">
        <v>1</v>
      </c>
      <c r="Y663">
        <v>5</v>
      </c>
      <c r="Z663">
        <v>3</v>
      </c>
      <c r="AA663">
        <v>1</v>
      </c>
      <c r="AB663">
        <v>0</v>
      </c>
      <c r="AC663">
        <v>2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67</v>
      </c>
      <c r="AM663">
        <v>3.3333333333333335</v>
      </c>
      <c r="AN663">
        <v>83.796686227130607</v>
      </c>
    </row>
    <row r="664" spans="1:40" x14ac:dyDescent="0.3">
      <c r="A664" t="s">
        <v>173</v>
      </c>
      <c r="B664" t="s">
        <v>136</v>
      </c>
      <c r="C664" t="s">
        <v>10</v>
      </c>
      <c r="D664" t="s">
        <v>14</v>
      </c>
      <c r="E664">
        <v>202602</v>
      </c>
      <c r="F664" t="s">
        <v>42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1</v>
      </c>
    </row>
    <row r="665" spans="1:40" x14ac:dyDescent="0.3">
      <c r="A665" t="s">
        <v>173</v>
      </c>
      <c r="B665" t="s">
        <v>136</v>
      </c>
      <c r="C665" t="s">
        <v>10</v>
      </c>
      <c r="D665" t="s">
        <v>14</v>
      </c>
      <c r="E665">
        <v>202602</v>
      </c>
      <c r="F665" t="s">
        <v>102</v>
      </c>
      <c r="G665">
        <v>0</v>
      </c>
      <c r="H665">
        <v>3</v>
      </c>
      <c r="I665">
        <v>3</v>
      </c>
      <c r="J665">
        <v>0</v>
      </c>
      <c r="K665">
        <v>20</v>
      </c>
      <c r="L665">
        <v>11</v>
      </c>
      <c r="M665">
        <v>1</v>
      </c>
      <c r="N665">
        <v>0</v>
      </c>
      <c r="O665">
        <v>5</v>
      </c>
      <c r="P665">
        <v>2</v>
      </c>
      <c r="Q665">
        <v>6</v>
      </c>
      <c r="R665">
        <v>14</v>
      </c>
      <c r="S665">
        <v>2</v>
      </c>
      <c r="T665">
        <v>1</v>
      </c>
      <c r="U665">
        <v>0</v>
      </c>
      <c r="V665">
        <v>0</v>
      </c>
      <c r="W665">
        <v>0</v>
      </c>
      <c r="X665">
        <v>1</v>
      </c>
      <c r="Y665">
        <v>10</v>
      </c>
      <c r="Z665">
        <v>1</v>
      </c>
      <c r="AA665">
        <v>0</v>
      </c>
      <c r="AB665">
        <v>0</v>
      </c>
      <c r="AC665">
        <v>5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85</v>
      </c>
      <c r="AM665">
        <v>5.333333333333333</v>
      </c>
      <c r="AN665">
        <v>107.94786284640401</v>
      </c>
    </row>
    <row r="666" spans="1:40" x14ac:dyDescent="0.3">
      <c r="A666" t="s">
        <v>173</v>
      </c>
      <c r="B666" t="s">
        <v>136</v>
      </c>
      <c r="C666" t="s">
        <v>10</v>
      </c>
      <c r="D666" t="s">
        <v>14</v>
      </c>
      <c r="E666">
        <v>202602</v>
      </c>
      <c r="F666" t="s">
        <v>101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2</v>
      </c>
      <c r="AM666">
        <v>0.33333333333333331</v>
      </c>
      <c r="AN666">
        <v>3.43424142790025</v>
      </c>
    </row>
    <row r="667" spans="1:40" x14ac:dyDescent="0.3">
      <c r="A667" t="s">
        <v>173</v>
      </c>
      <c r="B667" t="s">
        <v>644</v>
      </c>
      <c r="C667" t="s">
        <v>10</v>
      </c>
      <c r="D667" t="s">
        <v>11</v>
      </c>
      <c r="E667">
        <v>202602</v>
      </c>
      <c r="F667" t="s">
        <v>101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3</v>
      </c>
      <c r="AM667">
        <v>0</v>
      </c>
      <c r="AN667">
        <v>3</v>
      </c>
    </row>
    <row r="668" spans="1:40" x14ac:dyDescent="0.3">
      <c r="A668" t="s">
        <v>173</v>
      </c>
      <c r="B668" t="s">
        <v>644</v>
      </c>
      <c r="C668" t="s">
        <v>10</v>
      </c>
      <c r="D668" t="s">
        <v>11</v>
      </c>
      <c r="E668">
        <v>202602</v>
      </c>
      <c r="F668" t="s">
        <v>138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</v>
      </c>
      <c r="AM668">
        <v>0</v>
      </c>
      <c r="AN668">
        <v>2</v>
      </c>
    </row>
    <row r="669" spans="1:40" x14ac:dyDescent="0.3">
      <c r="A669" t="s">
        <v>173</v>
      </c>
      <c r="B669" t="s">
        <v>644</v>
      </c>
      <c r="C669" t="s">
        <v>10</v>
      </c>
      <c r="D669" t="s">
        <v>14</v>
      </c>
      <c r="E669">
        <v>202602</v>
      </c>
      <c r="F669" t="s">
        <v>101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6</v>
      </c>
      <c r="AM669">
        <v>0.33333333333333331</v>
      </c>
      <c r="AN669">
        <v>7.4342414279002504</v>
      </c>
    </row>
    <row r="670" spans="1:40" x14ac:dyDescent="0.3">
      <c r="A670" t="s">
        <v>173</v>
      </c>
      <c r="B670" t="s">
        <v>644</v>
      </c>
      <c r="C670" t="s">
        <v>10</v>
      </c>
      <c r="D670" t="s">
        <v>14</v>
      </c>
      <c r="E670">
        <v>202602</v>
      </c>
      <c r="F670" t="s">
        <v>138</v>
      </c>
      <c r="G670">
        <v>0</v>
      </c>
      <c r="H670">
        <v>1</v>
      </c>
      <c r="I670">
        <v>0</v>
      </c>
      <c r="J670">
        <v>1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6</v>
      </c>
      <c r="AM670">
        <v>0.66666666666666663</v>
      </c>
      <c r="AN670">
        <v>8.8684828558005009</v>
      </c>
    </row>
    <row r="671" spans="1:40" x14ac:dyDescent="0.3">
      <c r="A671" t="s">
        <v>173</v>
      </c>
      <c r="B671" t="s">
        <v>139</v>
      </c>
      <c r="C671" t="s">
        <v>10</v>
      </c>
      <c r="D671" t="s">
        <v>11</v>
      </c>
      <c r="E671">
        <v>202602</v>
      </c>
      <c r="F671" t="s">
        <v>156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2</v>
      </c>
      <c r="AM671">
        <v>0.33333333333333331</v>
      </c>
      <c r="AN671">
        <v>3.6796686227130611</v>
      </c>
    </row>
    <row r="672" spans="1:40" x14ac:dyDescent="0.3">
      <c r="A672" t="s">
        <v>173</v>
      </c>
      <c r="B672" t="s">
        <v>139</v>
      </c>
      <c r="C672" t="s">
        <v>10</v>
      </c>
      <c r="D672" t="s">
        <v>11</v>
      </c>
      <c r="E672">
        <v>202602</v>
      </c>
      <c r="F672" t="s">
        <v>227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4</v>
      </c>
      <c r="AM672">
        <v>0.33333333333333331</v>
      </c>
      <c r="AN672">
        <v>5.6796686227130611</v>
      </c>
    </row>
    <row r="673" spans="1:40" x14ac:dyDescent="0.3">
      <c r="A673" t="s">
        <v>173</v>
      </c>
      <c r="B673" t="s">
        <v>139</v>
      </c>
      <c r="C673" t="s">
        <v>10</v>
      </c>
      <c r="D673" t="s">
        <v>11</v>
      </c>
      <c r="E673">
        <v>202602</v>
      </c>
      <c r="F673" t="s">
        <v>228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1</v>
      </c>
    </row>
    <row r="674" spans="1:40" x14ac:dyDescent="0.3">
      <c r="A674" t="s">
        <v>173</v>
      </c>
      <c r="B674" t="s">
        <v>139</v>
      </c>
      <c r="C674" t="s">
        <v>10</v>
      </c>
      <c r="D674" t="s">
        <v>11</v>
      </c>
      <c r="E674">
        <v>202602</v>
      </c>
      <c r="F674" t="s">
        <v>229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</v>
      </c>
      <c r="AM674">
        <v>0</v>
      </c>
      <c r="AN674">
        <v>2</v>
      </c>
    </row>
    <row r="675" spans="1:40" x14ac:dyDescent="0.3">
      <c r="A675" t="s">
        <v>173</v>
      </c>
      <c r="B675" t="s">
        <v>139</v>
      </c>
      <c r="C675" t="s">
        <v>10</v>
      </c>
      <c r="D675" t="s">
        <v>11</v>
      </c>
      <c r="E675">
        <v>202602</v>
      </c>
      <c r="F675" t="s">
        <v>230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1</v>
      </c>
    </row>
    <row r="676" spans="1:40" x14ac:dyDescent="0.3">
      <c r="A676" t="s">
        <v>173</v>
      </c>
      <c r="B676" t="s">
        <v>139</v>
      </c>
      <c r="C676" t="s">
        <v>10</v>
      </c>
      <c r="D676" t="s">
        <v>11</v>
      </c>
      <c r="E676">
        <v>202602</v>
      </c>
      <c r="F676" t="s">
        <v>740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1</v>
      </c>
    </row>
    <row r="677" spans="1:40" x14ac:dyDescent="0.3">
      <c r="A677" t="s">
        <v>173</v>
      </c>
      <c r="B677" t="s">
        <v>139</v>
      </c>
      <c r="C677" t="s">
        <v>10</v>
      </c>
      <c r="D677" t="s">
        <v>11</v>
      </c>
      <c r="E677">
        <v>202602</v>
      </c>
      <c r="F677" t="s">
        <v>231</v>
      </c>
      <c r="G677">
        <v>0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2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8</v>
      </c>
      <c r="AM677">
        <v>0.66666666666666663</v>
      </c>
      <c r="AN677">
        <v>11.359337245426122</v>
      </c>
    </row>
    <row r="678" spans="1:40" x14ac:dyDescent="0.3">
      <c r="A678" t="s">
        <v>173</v>
      </c>
      <c r="B678" t="s">
        <v>139</v>
      </c>
      <c r="C678" t="s">
        <v>10</v>
      </c>
      <c r="D678" t="s">
        <v>11</v>
      </c>
      <c r="E678">
        <v>202602</v>
      </c>
      <c r="F678" t="s">
        <v>236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1</v>
      </c>
    </row>
    <row r="679" spans="1:40" x14ac:dyDescent="0.3">
      <c r="A679" t="s">
        <v>173</v>
      </c>
      <c r="B679" t="s">
        <v>139</v>
      </c>
      <c r="C679" t="s">
        <v>10</v>
      </c>
      <c r="D679" t="s">
        <v>11</v>
      </c>
      <c r="E679">
        <v>202602</v>
      </c>
      <c r="F679" t="s">
        <v>148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1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5</v>
      </c>
      <c r="AM679">
        <v>0.66666666666666663</v>
      </c>
      <c r="AN679">
        <v>8.3593372454261221</v>
      </c>
    </row>
    <row r="680" spans="1:40" x14ac:dyDescent="0.3">
      <c r="A680" t="s">
        <v>173</v>
      </c>
      <c r="B680" t="s">
        <v>139</v>
      </c>
      <c r="C680" t="s">
        <v>10</v>
      </c>
      <c r="D680" t="s">
        <v>11</v>
      </c>
      <c r="E680">
        <v>202602</v>
      </c>
      <c r="F680" t="s">
        <v>634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2</v>
      </c>
      <c r="AM680">
        <v>0.33333333333333331</v>
      </c>
      <c r="AN680">
        <v>3.6796686227130611</v>
      </c>
    </row>
    <row r="681" spans="1:40" x14ac:dyDescent="0.3">
      <c r="A681" t="s">
        <v>173</v>
      </c>
      <c r="B681" t="s">
        <v>139</v>
      </c>
      <c r="C681" t="s">
        <v>10</v>
      </c>
      <c r="D681" t="s">
        <v>11</v>
      </c>
      <c r="E681">
        <v>202602</v>
      </c>
      <c r="F681" t="s">
        <v>232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1</v>
      </c>
    </row>
    <row r="682" spans="1:40" x14ac:dyDescent="0.3">
      <c r="A682" t="s">
        <v>173</v>
      </c>
      <c r="B682" t="s">
        <v>139</v>
      </c>
      <c r="C682" t="s">
        <v>10</v>
      </c>
      <c r="D682" t="s">
        <v>11</v>
      </c>
      <c r="E682">
        <v>202602</v>
      </c>
      <c r="F682" t="s">
        <v>233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1</v>
      </c>
    </row>
    <row r="683" spans="1:40" x14ac:dyDescent="0.3">
      <c r="A683" t="s">
        <v>173</v>
      </c>
      <c r="B683" t="s">
        <v>139</v>
      </c>
      <c r="C683" t="s">
        <v>10</v>
      </c>
      <c r="D683" t="s">
        <v>11</v>
      </c>
      <c r="E683">
        <v>202602</v>
      </c>
      <c r="F683" t="s">
        <v>234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1</v>
      </c>
    </row>
    <row r="684" spans="1:40" x14ac:dyDescent="0.3">
      <c r="A684" t="s">
        <v>173</v>
      </c>
      <c r="B684" t="s">
        <v>139</v>
      </c>
      <c r="C684" t="s">
        <v>10</v>
      </c>
      <c r="D684" t="s">
        <v>11</v>
      </c>
      <c r="E684">
        <v>202602</v>
      </c>
      <c r="F684" t="s">
        <v>235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5</v>
      </c>
      <c r="AM684">
        <v>0.33333333333333331</v>
      </c>
      <c r="AN684">
        <v>6.6796686227130611</v>
      </c>
    </row>
    <row r="685" spans="1:40" x14ac:dyDescent="0.3">
      <c r="A685" t="s">
        <v>173</v>
      </c>
      <c r="B685" t="s">
        <v>139</v>
      </c>
      <c r="C685" t="s">
        <v>10</v>
      </c>
      <c r="D685" t="s">
        <v>11</v>
      </c>
      <c r="E685">
        <v>202602</v>
      </c>
      <c r="F685" t="s">
        <v>711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1</v>
      </c>
    </row>
    <row r="686" spans="1:40" x14ac:dyDescent="0.3">
      <c r="A686" t="s">
        <v>173</v>
      </c>
      <c r="B686" t="s">
        <v>139</v>
      </c>
      <c r="C686" t="s">
        <v>10</v>
      </c>
      <c r="D686" t="s">
        <v>14</v>
      </c>
      <c r="E686">
        <v>202602</v>
      </c>
      <c r="F686" t="s">
        <v>156</v>
      </c>
      <c r="G686">
        <v>0</v>
      </c>
      <c r="H686">
        <v>0</v>
      </c>
      <c r="I686">
        <v>2</v>
      </c>
      <c r="J686">
        <v>0</v>
      </c>
      <c r="K686">
        <v>1</v>
      </c>
      <c r="L686">
        <v>2</v>
      </c>
      <c r="M686">
        <v>0</v>
      </c>
      <c r="N686">
        <v>0</v>
      </c>
      <c r="O686">
        <v>2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8</v>
      </c>
      <c r="AM686">
        <v>0</v>
      </c>
      <c r="AN686">
        <v>8</v>
      </c>
    </row>
    <row r="687" spans="1:40" x14ac:dyDescent="0.3">
      <c r="A687" t="s">
        <v>173</v>
      </c>
      <c r="B687" t="s">
        <v>139</v>
      </c>
      <c r="C687" t="s">
        <v>10</v>
      </c>
      <c r="D687" t="s">
        <v>14</v>
      </c>
      <c r="E687">
        <v>202602</v>
      </c>
      <c r="F687" t="s">
        <v>687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1</v>
      </c>
    </row>
    <row r="688" spans="1:40" x14ac:dyDescent="0.3">
      <c r="A688" t="s">
        <v>173</v>
      </c>
      <c r="B688" t="s">
        <v>139</v>
      </c>
      <c r="C688" t="s">
        <v>10</v>
      </c>
      <c r="D688" t="s">
        <v>14</v>
      </c>
      <c r="E688">
        <v>202602</v>
      </c>
      <c r="F688" t="s">
        <v>227</v>
      </c>
      <c r="G688">
        <v>0</v>
      </c>
      <c r="H688">
        <v>0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6</v>
      </c>
      <c r="AM688">
        <v>0.33333333333333331</v>
      </c>
      <c r="AN688">
        <v>7.4342414279002504</v>
      </c>
    </row>
    <row r="689" spans="1:40" x14ac:dyDescent="0.3">
      <c r="A689" t="s">
        <v>173</v>
      </c>
      <c r="B689" t="s">
        <v>139</v>
      </c>
      <c r="C689" t="s">
        <v>10</v>
      </c>
      <c r="D689" t="s">
        <v>14</v>
      </c>
      <c r="E689">
        <v>202602</v>
      </c>
      <c r="F689" t="s">
        <v>228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1</v>
      </c>
    </row>
    <row r="690" spans="1:40" x14ac:dyDescent="0.3">
      <c r="A690" t="s">
        <v>173</v>
      </c>
      <c r="B690" t="s">
        <v>139</v>
      </c>
      <c r="C690" t="s">
        <v>10</v>
      </c>
      <c r="D690" t="s">
        <v>14</v>
      </c>
      <c r="E690">
        <v>202602</v>
      </c>
      <c r="F690" t="s">
        <v>229</v>
      </c>
      <c r="G690">
        <v>0</v>
      </c>
      <c r="H690">
        <v>0</v>
      </c>
      <c r="I690">
        <v>0</v>
      </c>
      <c r="J690">
        <v>0</v>
      </c>
      <c r="K690">
        <v>2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2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1</v>
      </c>
      <c r="AB690">
        <v>0</v>
      </c>
      <c r="AC690">
        <v>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10</v>
      </c>
      <c r="AM690">
        <v>1</v>
      </c>
      <c r="AN690">
        <v>14.302724283700751</v>
      </c>
    </row>
    <row r="691" spans="1:40" x14ac:dyDescent="0.3">
      <c r="A691" t="s">
        <v>173</v>
      </c>
      <c r="B691" t="s">
        <v>139</v>
      </c>
      <c r="C691" t="s">
        <v>10</v>
      </c>
      <c r="D691" t="s">
        <v>14</v>
      </c>
      <c r="E691">
        <v>202602</v>
      </c>
      <c r="F691" t="s">
        <v>143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0.33333333333333331</v>
      </c>
      <c r="AN691">
        <v>2.43424142790025</v>
      </c>
    </row>
    <row r="692" spans="1:40" x14ac:dyDescent="0.3">
      <c r="A692" t="s">
        <v>173</v>
      </c>
      <c r="B692" t="s">
        <v>139</v>
      </c>
      <c r="C692" t="s">
        <v>10</v>
      </c>
      <c r="D692" t="s">
        <v>14</v>
      </c>
      <c r="E692">
        <v>202602</v>
      </c>
      <c r="F692" t="s">
        <v>740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0.33333333333333331</v>
      </c>
      <c r="AN692">
        <v>2.43424142790025</v>
      </c>
    </row>
    <row r="693" spans="1:40" x14ac:dyDescent="0.3">
      <c r="A693" t="s">
        <v>173</v>
      </c>
      <c r="B693" t="s">
        <v>139</v>
      </c>
      <c r="C693" t="s">
        <v>10</v>
      </c>
      <c r="D693" t="s">
        <v>14</v>
      </c>
      <c r="E693">
        <v>202602</v>
      </c>
      <c r="F693" t="s">
        <v>231</v>
      </c>
      <c r="G693">
        <v>0</v>
      </c>
      <c r="H693">
        <v>1</v>
      </c>
      <c r="I693">
        <v>3</v>
      </c>
      <c r="J693">
        <v>0</v>
      </c>
      <c r="K693">
        <v>2</v>
      </c>
      <c r="L693">
        <v>1</v>
      </c>
      <c r="M693">
        <v>0</v>
      </c>
      <c r="N693">
        <v>0</v>
      </c>
      <c r="O693">
        <v>2</v>
      </c>
      <c r="P693">
        <v>2</v>
      </c>
      <c r="Q693">
        <v>4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2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19</v>
      </c>
      <c r="AM693">
        <v>1</v>
      </c>
      <c r="AN693">
        <v>23.302724283700751</v>
      </c>
    </row>
    <row r="694" spans="1:40" x14ac:dyDescent="0.3">
      <c r="A694" t="s">
        <v>173</v>
      </c>
      <c r="B694" t="s">
        <v>139</v>
      </c>
      <c r="C694" t="s">
        <v>10</v>
      </c>
      <c r="D694" t="s">
        <v>14</v>
      </c>
      <c r="E694">
        <v>202602</v>
      </c>
      <c r="F694" t="s">
        <v>236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1</v>
      </c>
    </row>
    <row r="695" spans="1:40" x14ac:dyDescent="0.3">
      <c r="A695" t="s">
        <v>173</v>
      </c>
      <c r="B695" t="s">
        <v>139</v>
      </c>
      <c r="C695" t="s">
        <v>10</v>
      </c>
      <c r="D695" t="s">
        <v>14</v>
      </c>
      <c r="E695">
        <v>202602</v>
      </c>
      <c r="F695" t="s">
        <v>148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3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2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8</v>
      </c>
      <c r="AM695">
        <v>0.33333333333333331</v>
      </c>
      <c r="AN695">
        <v>9.4342414279002504</v>
      </c>
    </row>
    <row r="696" spans="1:40" x14ac:dyDescent="0.3">
      <c r="A696" t="s">
        <v>173</v>
      </c>
      <c r="B696" t="s">
        <v>139</v>
      </c>
      <c r="C696" t="s">
        <v>10</v>
      </c>
      <c r="D696" t="s">
        <v>14</v>
      </c>
      <c r="E696">
        <v>202602</v>
      </c>
      <c r="F696" t="s">
        <v>634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1</v>
      </c>
      <c r="Z696">
        <v>1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6</v>
      </c>
      <c r="AM696">
        <v>1</v>
      </c>
      <c r="AN696">
        <v>10.302724283700751</v>
      </c>
    </row>
    <row r="697" spans="1:40" x14ac:dyDescent="0.3">
      <c r="A697" t="s">
        <v>173</v>
      </c>
      <c r="B697" t="s">
        <v>139</v>
      </c>
      <c r="C697" t="s">
        <v>10</v>
      </c>
      <c r="D697" t="s">
        <v>14</v>
      </c>
      <c r="E697">
        <v>202602</v>
      </c>
      <c r="F697" t="s">
        <v>232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1</v>
      </c>
    </row>
    <row r="698" spans="1:40" x14ac:dyDescent="0.3">
      <c r="A698" t="s">
        <v>173</v>
      </c>
      <c r="B698" t="s">
        <v>139</v>
      </c>
      <c r="C698" t="s">
        <v>10</v>
      </c>
      <c r="D698" t="s">
        <v>14</v>
      </c>
      <c r="E698">
        <v>202602</v>
      </c>
      <c r="F698" t="s">
        <v>233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1</v>
      </c>
    </row>
    <row r="699" spans="1:40" x14ac:dyDescent="0.3">
      <c r="A699" t="s">
        <v>173</v>
      </c>
      <c r="B699" t="s">
        <v>139</v>
      </c>
      <c r="C699" t="s">
        <v>10</v>
      </c>
      <c r="D699" t="s">
        <v>14</v>
      </c>
      <c r="E699">
        <v>202602</v>
      </c>
      <c r="F699" t="s">
        <v>234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1</v>
      </c>
    </row>
    <row r="700" spans="1:40" x14ac:dyDescent="0.3">
      <c r="A700" t="s">
        <v>173</v>
      </c>
      <c r="B700" t="s">
        <v>139</v>
      </c>
      <c r="C700" t="s">
        <v>10</v>
      </c>
      <c r="D700" t="s">
        <v>14</v>
      </c>
      <c r="E700">
        <v>202602</v>
      </c>
      <c r="F700" t="s">
        <v>235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4</v>
      </c>
      <c r="AM700">
        <v>0</v>
      </c>
      <c r="AN700">
        <v>4</v>
      </c>
    </row>
    <row r="701" spans="1:40" x14ac:dyDescent="0.3">
      <c r="A701" t="s">
        <v>173</v>
      </c>
      <c r="B701" t="s">
        <v>139</v>
      </c>
      <c r="C701" t="s">
        <v>10</v>
      </c>
      <c r="D701" t="s">
        <v>14</v>
      </c>
      <c r="E701">
        <v>202602</v>
      </c>
      <c r="F701" t="s">
        <v>712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1</v>
      </c>
    </row>
    <row r="702" spans="1:40" x14ac:dyDescent="0.3">
      <c r="A702" t="s">
        <v>173</v>
      </c>
      <c r="B702" t="s">
        <v>139</v>
      </c>
      <c r="C702" t="s">
        <v>10</v>
      </c>
      <c r="D702" t="s">
        <v>14</v>
      </c>
      <c r="E702">
        <v>202602</v>
      </c>
      <c r="F702" t="s">
        <v>711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1</v>
      </c>
    </row>
    <row r="703" spans="1:40" x14ac:dyDescent="0.3">
      <c r="A703" t="s">
        <v>173</v>
      </c>
      <c r="B703" t="s">
        <v>139</v>
      </c>
      <c r="C703" t="s">
        <v>10</v>
      </c>
      <c r="D703" t="s">
        <v>14</v>
      </c>
      <c r="E703">
        <v>202602</v>
      </c>
      <c r="F703" t="s">
        <v>237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1</v>
      </c>
    </row>
    <row r="704" spans="1:40" x14ac:dyDescent="0.3">
      <c r="A704" t="s">
        <v>173</v>
      </c>
      <c r="B704" t="s">
        <v>139</v>
      </c>
      <c r="C704" t="s">
        <v>16</v>
      </c>
      <c r="D704" t="s">
        <v>11</v>
      </c>
      <c r="E704">
        <v>202602</v>
      </c>
      <c r="F704" t="s">
        <v>227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3</v>
      </c>
      <c r="AM704">
        <v>0</v>
      </c>
      <c r="AN704">
        <v>3</v>
      </c>
    </row>
    <row r="705" spans="1:40" x14ac:dyDescent="0.3">
      <c r="A705" t="s">
        <v>173</v>
      </c>
      <c r="B705" t="s">
        <v>139</v>
      </c>
      <c r="C705" t="s">
        <v>16</v>
      </c>
      <c r="D705" t="s">
        <v>11</v>
      </c>
      <c r="E705">
        <v>202602</v>
      </c>
      <c r="F705" t="s">
        <v>231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0.33333333333333331</v>
      </c>
      <c r="AN705">
        <v>2.6796686227130611</v>
      </c>
    </row>
    <row r="706" spans="1:40" x14ac:dyDescent="0.3">
      <c r="A706" t="s">
        <v>173</v>
      </c>
      <c r="B706" t="s">
        <v>139</v>
      </c>
      <c r="C706" t="s">
        <v>16</v>
      </c>
      <c r="D706" t="s">
        <v>11</v>
      </c>
      <c r="E706">
        <v>202602</v>
      </c>
      <c r="F706" t="s">
        <v>634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1</v>
      </c>
    </row>
    <row r="707" spans="1:40" x14ac:dyDescent="0.3">
      <c r="A707" t="s">
        <v>173</v>
      </c>
      <c r="B707" t="s">
        <v>139</v>
      </c>
      <c r="C707" t="s">
        <v>16</v>
      </c>
      <c r="D707" t="s">
        <v>14</v>
      </c>
      <c r="E707">
        <v>202602</v>
      </c>
      <c r="F707" t="s">
        <v>227</v>
      </c>
      <c r="G707">
        <v>0</v>
      </c>
      <c r="H707">
        <v>0</v>
      </c>
      <c r="I707">
        <v>0</v>
      </c>
      <c r="J707">
        <v>1</v>
      </c>
      <c r="K707">
        <v>1</v>
      </c>
      <c r="L707">
        <v>1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6</v>
      </c>
      <c r="AM707">
        <v>0</v>
      </c>
      <c r="AN707">
        <v>6</v>
      </c>
    </row>
    <row r="708" spans="1:40" x14ac:dyDescent="0.3">
      <c r="A708" t="s">
        <v>173</v>
      </c>
      <c r="B708" t="s">
        <v>139</v>
      </c>
      <c r="C708" t="s">
        <v>16</v>
      </c>
      <c r="D708" t="s">
        <v>14</v>
      </c>
      <c r="E708">
        <v>202602</v>
      </c>
      <c r="F708" t="s">
        <v>231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1</v>
      </c>
    </row>
    <row r="709" spans="1:40" x14ac:dyDescent="0.3">
      <c r="A709" t="s">
        <v>173</v>
      </c>
      <c r="B709" t="s">
        <v>139</v>
      </c>
      <c r="C709" t="s">
        <v>16</v>
      </c>
      <c r="D709" t="s">
        <v>14</v>
      </c>
      <c r="E709">
        <v>202602</v>
      </c>
      <c r="F709" t="s">
        <v>634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1</v>
      </c>
    </row>
    <row r="710" spans="1:40" x14ac:dyDescent="0.3">
      <c r="A710" t="s">
        <v>173</v>
      </c>
      <c r="B710" t="s">
        <v>238</v>
      </c>
      <c r="C710" t="s">
        <v>10</v>
      </c>
      <c r="D710" t="s">
        <v>11</v>
      </c>
      <c r="E710">
        <v>202602</v>
      </c>
      <c r="F710" t="s">
        <v>203</v>
      </c>
      <c r="G710">
        <v>0</v>
      </c>
      <c r="H710">
        <v>0</v>
      </c>
      <c r="I710">
        <v>0</v>
      </c>
      <c r="J710">
        <v>1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2</v>
      </c>
      <c r="Q710">
        <v>1</v>
      </c>
      <c r="R710">
        <v>0</v>
      </c>
      <c r="S710">
        <v>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11</v>
      </c>
      <c r="AM710">
        <v>0.66666666666666663</v>
      </c>
      <c r="AN710">
        <v>14.359337245426122</v>
      </c>
    </row>
    <row r="711" spans="1:40" x14ac:dyDescent="0.3">
      <c r="A711" t="s">
        <v>173</v>
      </c>
      <c r="B711" t="s">
        <v>238</v>
      </c>
      <c r="C711" t="s">
        <v>10</v>
      </c>
      <c r="D711" t="s">
        <v>11</v>
      </c>
      <c r="E711">
        <v>202602</v>
      </c>
      <c r="F711" t="s">
        <v>239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1</v>
      </c>
    </row>
    <row r="712" spans="1:40" x14ac:dyDescent="0.3">
      <c r="A712" t="s">
        <v>173</v>
      </c>
      <c r="B712" t="s">
        <v>238</v>
      </c>
      <c r="C712" t="s">
        <v>10</v>
      </c>
      <c r="D712" t="s">
        <v>11</v>
      </c>
      <c r="E712">
        <v>202602</v>
      </c>
      <c r="F712" t="s">
        <v>571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0.33333333333333331</v>
      </c>
      <c r="AN712">
        <v>2.6796686227130611</v>
      </c>
    </row>
    <row r="713" spans="1:40" x14ac:dyDescent="0.3">
      <c r="A713" t="s">
        <v>173</v>
      </c>
      <c r="B713" t="s">
        <v>238</v>
      </c>
      <c r="C713" t="s">
        <v>10</v>
      </c>
      <c r="D713" t="s">
        <v>14</v>
      </c>
      <c r="E713">
        <v>202602</v>
      </c>
      <c r="F713" t="s">
        <v>203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2</v>
      </c>
      <c r="M713">
        <v>1</v>
      </c>
      <c r="N713">
        <v>0</v>
      </c>
      <c r="O713">
        <v>4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4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14</v>
      </c>
      <c r="AM713">
        <v>1.6666666666666667</v>
      </c>
      <c r="AN713">
        <v>21.171207139501249</v>
      </c>
    </row>
    <row r="714" spans="1:40" x14ac:dyDescent="0.3">
      <c r="A714" t="s">
        <v>173</v>
      </c>
      <c r="B714" t="s">
        <v>238</v>
      </c>
      <c r="C714" t="s">
        <v>10</v>
      </c>
      <c r="D714" t="s">
        <v>14</v>
      </c>
      <c r="E714">
        <v>202602</v>
      </c>
      <c r="F714" t="s">
        <v>239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1</v>
      </c>
    </row>
    <row r="715" spans="1:40" x14ac:dyDescent="0.3">
      <c r="A715" t="s">
        <v>173</v>
      </c>
      <c r="B715" t="s">
        <v>238</v>
      </c>
      <c r="C715" t="s">
        <v>10</v>
      </c>
      <c r="D715" t="s">
        <v>14</v>
      </c>
      <c r="E715">
        <v>202602</v>
      </c>
      <c r="F715" t="s">
        <v>571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4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5</v>
      </c>
      <c r="AM715">
        <v>0</v>
      </c>
      <c r="AN715">
        <v>5</v>
      </c>
    </row>
    <row r="716" spans="1:40" x14ac:dyDescent="0.3">
      <c r="A716" t="s">
        <v>173</v>
      </c>
      <c r="B716" t="s">
        <v>238</v>
      </c>
      <c r="C716" t="s">
        <v>16</v>
      </c>
      <c r="D716" t="s">
        <v>11</v>
      </c>
      <c r="E716">
        <v>202602</v>
      </c>
      <c r="F716" t="s">
        <v>240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1</v>
      </c>
    </row>
    <row r="717" spans="1:40" x14ac:dyDescent="0.3">
      <c r="A717" t="s">
        <v>173</v>
      </c>
      <c r="B717" t="s">
        <v>238</v>
      </c>
      <c r="C717" t="s">
        <v>16</v>
      </c>
      <c r="D717" t="s">
        <v>14</v>
      </c>
      <c r="E717">
        <v>202602</v>
      </c>
      <c r="F717" t="s">
        <v>240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1</v>
      </c>
    </row>
    <row r="718" spans="1:40" x14ac:dyDescent="0.3">
      <c r="A718" t="s">
        <v>173</v>
      </c>
      <c r="B718" t="s">
        <v>656</v>
      </c>
      <c r="C718" t="s">
        <v>10</v>
      </c>
      <c r="D718" t="s">
        <v>11</v>
      </c>
      <c r="E718">
        <v>202602</v>
      </c>
      <c r="F718" t="s">
        <v>171</v>
      </c>
      <c r="G718">
        <v>0</v>
      </c>
      <c r="H718">
        <v>0</v>
      </c>
      <c r="I718">
        <v>3</v>
      </c>
      <c r="J718">
        <v>4</v>
      </c>
      <c r="K718">
        <v>5</v>
      </c>
      <c r="L718">
        <v>8</v>
      </c>
      <c r="M718">
        <v>2</v>
      </c>
      <c r="N718">
        <v>0</v>
      </c>
      <c r="O718">
        <v>8</v>
      </c>
      <c r="P718">
        <v>7</v>
      </c>
      <c r="Q718">
        <v>6</v>
      </c>
      <c r="R718">
        <v>12</v>
      </c>
      <c r="S718">
        <v>9</v>
      </c>
      <c r="T718">
        <v>8</v>
      </c>
      <c r="U718">
        <v>0</v>
      </c>
      <c r="V718">
        <v>2</v>
      </c>
      <c r="W718">
        <v>0</v>
      </c>
      <c r="X718">
        <v>3</v>
      </c>
      <c r="Y718">
        <v>5</v>
      </c>
      <c r="Z718">
        <v>5</v>
      </c>
      <c r="AA718">
        <v>8</v>
      </c>
      <c r="AB718">
        <v>0</v>
      </c>
      <c r="AC718">
        <v>7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102</v>
      </c>
      <c r="AM718">
        <v>5.666666666666667</v>
      </c>
      <c r="AN718">
        <v>130.55436658612203</v>
      </c>
    </row>
    <row r="719" spans="1:40" x14ac:dyDescent="0.3">
      <c r="A719" t="s">
        <v>173</v>
      </c>
      <c r="B719" t="s">
        <v>656</v>
      </c>
      <c r="C719" t="s">
        <v>10</v>
      </c>
      <c r="D719" t="s">
        <v>14</v>
      </c>
      <c r="E719">
        <v>202602</v>
      </c>
      <c r="F719" t="s">
        <v>171</v>
      </c>
      <c r="G719">
        <v>0</v>
      </c>
      <c r="H719">
        <v>6</v>
      </c>
      <c r="I719">
        <v>9</v>
      </c>
      <c r="J719">
        <v>14</v>
      </c>
      <c r="K719">
        <v>9</v>
      </c>
      <c r="L719">
        <v>9</v>
      </c>
      <c r="M719">
        <v>4</v>
      </c>
      <c r="N719">
        <v>0</v>
      </c>
      <c r="O719">
        <v>9</v>
      </c>
      <c r="P719">
        <v>20</v>
      </c>
      <c r="Q719">
        <v>7</v>
      </c>
      <c r="R719">
        <v>6</v>
      </c>
      <c r="S719">
        <v>9</v>
      </c>
      <c r="T719">
        <v>4</v>
      </c>
      <c r="U719">
        <v>0</v>
      </c>
      <c r="V719">
        <v>0</v>
      </c>
      <c r="W719">
        <v>0</v>
      </c>
      <c r="X719">
        <v>2</v>
      </c>
      <c r="Y719">
        <v>10</v>
      </c>
      <c r="Z719">
        <v>12</v>
      </c>
      <c r="AA719">
        <v>6</v>
      </c>
      <c r="AB719">
        <v>0</v>
      </c>
      <c r="AC719">
        <v>19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155</v>
      </c>
      <c r="AM719">
        <v>13.666666666666666</v>
      </c>
      <c r="AN719">
        <v>213.80389854391026</v>
      </c>
    </row>
    <row r="720" spans="1:40" x14ac:dyDescent="0.3">
      <c r="A720" t="s">
        <v>173</v>
      </c>
      <c r="B720" t="s">
        <v>656</v>
      </c>
      <c r="C720" t="s">
        <v>16</v>
      </c>
      <c r="D720" t="s">
        <v>11</v>
      </c>
      <c r="E720">
        <v>202602</v>
      </c>
      <c r="F720" t="s">
        <v>171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</v>
      </c>
      <c r="AM720">
        <v>0</v>
      </c>
      <c r="AN720">
        <v>2</v>
      </c>
    </row>
    <row r="721" spans="1:40" x14ac:dyDescent="0.3">
      <c r="A721" t="s">
        <v>173</v>
      </c>
      <c r="B721" t="s">
        <v>656</v>
      </c>
      <c r="C721" t="s">
        <v>16</v>
      </c>
      <c r="D721" t="s">
        <v>14</v>
      </c>
      <c r="E721">
        <v>202602</v>
      </c>
      <c r="F721" t="s">
        <v>171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</v>
      </c>
      <c r="AM721">
        <v>0</v>
      </c>
      <c r="AN721">
        <v>2</v>
      </c>
    </row>
    <row r="722" spans="1:40" x14ac:dyDescent="0.3">
      <c r="A722" t="s">
        <v>173</v>
      </c>
      <c r="B722" t="s">
        <v>164</v>
      </c>
      <c r="C722" t="s">
        <v>10</v>
      </c>
      <c r="D722" t="s">
        <v>11</v>
      </c>
      <c r="E722">
        <v>202602</v>
      </c>
      <c r="F722" t="s">
        <v>18</v>
      </c>
      <c r="G722">
        <v>0</v>
      </c>
      <c r="H722">
        <v>6</v>
      </c>
      <c r="I722">
        <v>12</v>
      </c>
      <c r="J722">
        <v>4</v>
      </c>
      <c r="K722">
        <v>8</v>
      </c>
      <c r="L722">
        <v>10</v>
      </c>
      <c r="M722">
        <v>3</v>
      </c>
      <c r="N722">
        <v>0</v>
      </c>
      <c r="O722">
        <v>9</v>
      </c>
      <c r="P722">
        <v>6</v>
      </c>
      <c r="Q722">
        <v>7</v>
      </c>
      <c r="R722">
        <v>11</v>
      </c>
      <c r="S722">
        <v>9</v>
      </c>
      <c r="T722">
        <v>8</v>
      </c>
      <c r="U722">
        <v>0</v>
      </c>
      <c r="V722">
        <v>2</v>
      </c>
      <c r="W722">
        <v>0</v>
      </c>
      <c r="X722">
        <v>9</v>
      </c>
      <c r="Y722">
        <v>10</v>
      </c>
      <c r="Z722">
        <v>8</v>
      </c>
      <c r="AA722">
        <v>1</v>
      </c>
      <c r="AB722">
        <v>0</v>
      </c>
      <c r="AC722">
        <v>9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132</v>
      </c>
      <c r="AM722">
        <v>9</v>
      </c>
      <c r="AN722">
        <v>177.35105281325264</v>
      </c>
    </row>
    <row r="723" spans="1:40" x14ac:dyDescent="0.3">
      <c r="A723" t="s">
        <v>173</v>
      </c>
      <c r="B723" t="s">
        <v>164</v>
      </c>
      <c r="C723" t="s">
        <v>10</v>
      </c>
      <c r="D723" t="s">
        <v>11</v>
      </c>
      <c r="E723">
        <v>202602</v>
      </c>
      <c r="F723" t="s">
        <v>138</v>
      </c>
      <c r="G723">
        <v>0</v>
      </c>
      <c r="H723">
        <v>7</v>
      </c>
      <c r="I723">
        <v>4</v>
      </c>
      <c r="J723">
        <v>6</v>
      </c>
      <c r="K723">
        <v>9</v>
      </c>
      <c r="L723">
        <v>2</v>
      </c>
      <c r="M723">
        <v>5</v>
      </c>
      <c r="N723">
        <v>0</v>
      </c>
      <c r="O723">
        <v>5</v>
      </c>
      <c r="P723">
        <v>6</v>
      </c>
      <c r="Q723">
        <v>3</v>
      </c>
      <c r="R723">
        <v>4</v>
      </c>
      <c r="S723">
        <v>6</v>
      </c>
      <c r="T723">
        <v>6</v>
      </c>
      <c r="U723">
        <v>0</v>
      </c>
      <c r="V723">
        <v>4</v>
      </c>
      <c r="W723">
        <v>0</v>
      </c>
      <c r="X723">
        <v>4</v>
      </c>
      <c r="Y723">
        <v>11</v>
      </c>
      <c r="Z723">
        <v>6</v>
      </c>
      <c r="AA723">
        <v>5</v>
      </c>
      <c r="AB723">
        <v>0</v>
      </c>
      <c r="AC723">
        <v>9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102</v>
      </c>
      <c r="AM723">
        <v>8.6666666666666661</v>
      </c>
      <c r="AN723">
        <v>145.67138419053958</v>
      </c>
    </row>
    <row r="724" spans="1:40" x14ac:dyDescent="0.3">
      <c r="A724" t="s">
        <v>173</v>
      </c>
      <c r="B724" t="s">
        <v>164</v>
      </c>
      <c r="C724" t="s">
        <v>10</v>
      </c>
      <c r="D724" t="s">
        <v>14</v>
      </c>
      <c r="E724">
        <v>202602</v>
      </c>
      <c r="F724" t="s">
        <v>18</v>
      </c>
      <c r="G724">
        <v>2</v>
      </c>
      <c r="H724">
        <v>9</v>
      </c>
      <c r="I724">
        <v>12</v>
      </c>
      <c r="J724">
        <v>16</v>
      </c>
      <c r="K724">
        <v>4</v>
      </c>
      <c r="L724">
        <v>8</v>
      </c>
      <c r="M724">
        <v>5</v>
      </c>
      <c r="N724">
        <v>3</v>
      </c>
      <c r="O724">
        <v>15</v>
      </c>
      <c r="P724">
        <v>18</v>
      </c>
      <c r="Q724">
        <v>14</v>
      </c>
      <c r="R724">
        <v>12</v>
      </c>
      <c r="S724">
        <v>6</v>
      </c>
      <c r="T724">
        <v>4</v>
      </c>
      <c r="U724">
        <v>3</v>
      </c>
      <c r="V724">
        <v>6</v>
      </c>
      <c r="W724">
        <v>3</v>
      </c>
      <c r="X724">
        <v>10</v>
      </c>
      <c r="Y724">
        <v>6</v>
      </c>
      <c r="Z724">
        <v>12</v>
      </c>
      <c r="AA724">
        <v>9</v>
      </c>
      <c r="AB724">
        <v>4</v>
      </c>
      <c r="AC724">
        <v>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189</v>
      </c>
      <c r="AM724">
        <v>8.6666666666666661</v>
      </c>
      <c r="AN724">
        <v>226.2902771254065</v>
      </c>
    </row>
    <row r="725" spans="1:40" x14ac:dyDescent="0.3">
      <c r="A725" t="s">
        <v>173</v>
      </c>
      <c r="B725" t="s">
        <v>164</v>
      </c>
      <c r="C725" t="s">
        <v>10</v>
      </c>
      <c r="D725" t="s">
        <v>14</v>
      </c>
      <c r="E725">
        <v>202602</v>
      </c>
      <c r="F725" t="s">
        <v>138</v>
      </c>
      <c r="G725">
        <v>0</v>
      </c>
      <c r="H725">
        <v>8</v>
      </c>
      <c r="I725">
        <v>17</v>
      </c>
      <c r="J725">
        <v>8</v>
      </c>
      <c r="K725">
        <v>11</v>
      </c>
      <c r="L725">
        <v>7</v>
      </c>
      <c r="M725">
        <v>7</v>
      </c>
      <c r="N725">
        <v>0</v>
      </c>
      <c r="O725">
        <v>9</v>
      </c>
      <c r="P725">
        <v>10</v>
      </c>
      <c r="Q725">
        <v>12</v>
      </c>
      <c r="R725">
        <v>7</v>
      </c>
      <c r="S725">
        <v>8</v>
      </c>
      <c r="T725">
        <v>4</v>
      </c>
      <c r="U725">
        <v>0</v>
      </c>
      <c r="V725">
        <v>5</v>
      </c>
      <c r="W725">
        <v>5</v>
      </c>
      <c r="X725">
        <v>4</v>
      </c>
      <c r="Y725">
        <v>11</v>
      </c>
      <c r="Z725">
        <v>14</v>
      </c>
      <c r="AA725">
        <v>7</v>
      </c>
      <c r="AB725">
        <v>0</v>
      </c>
      <c r="AC725">
        <v>13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167</v>
      </c>
      <c r="AM725">
        <v>12.666666666666666</v>
      </c>
      <c r="AN725">
        <v>221.5011742602095</v>
      </c>
    </row>
    <row r="726" spans="1:40" x14ac:dyDescent="0.3">
      <c r="A726" t="s">
        <v>173</v>
      </c>
      <c r="B726" t="s">
        <v>164</v>
      </c>
      <c r="C726" t="s">
        <v>16</v>
      </c>
      <c r="D726" t="s">
        <v>11</v>
      </c>
      <c r="E726">
        <v>202602</v>
      </c>
      <c r="F726" t="s">
        <v>18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6</v>
      </c>
      <c r="AM726">
        <v>0.66666666666666663</v>
      </c>
      <c r="AN726">
        <v>9.3593372454261221</v>
      </c>
    </row>
    <row r="727" spans="1:40" x14ac:dyDescent="0.3">
      <c r="A727" t="s">
        <v>173</v>
      </c>
      <c r="B727" t="s">
        <v>164</v>
      </c>
      <c r="C727" t="s">
        <v>16</v>
      </c>
      <c r="D727" t="s">
        <v>11</v>
      </c>
      <c r="E727">
        <v>202602</v>
      </c>
      <c r="F727" t="s">
        <v>138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2</v>
      </c>
      <c r="R727">
        <v>1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9</v>
      </c>
      <c r="AM727">
        <v>0.66666666666666663</v>
      </c>
      <c r="AN727">
        <v>12.359337245426122</v>
      </c>
    </row>
    <row r="728" spans="1:40" x14ac:dyDescent="0.3">
      <c r="A728" t="s">
        <v>173</v>
      </c>
      <c r="B728" t="s">
        <v>164</v>
      </c>
      <c r="C728" t="s">
        <v>16</v>
      </c>
      <c r="D728" t="s">
        <v>14</v>
      </c>
      <c r="E728">
        <v>202602</v>
      </c>
      <c r="F728" t="s">
        <v>18</v>
      </c>
      <c r="G728">
        <v>0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2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8</v>
      </c>
      <c r="AM728">
        <v>0.33333333333333331</v>
      </c>
      <c r="AN728">
        <v>9.4342414279002504</v>
      </c>
    </row>
    <row r="729" spans="1:40" x14ac:dyDescent="0.3">
      <c r="A729" t="s">
        <v>173</v>
      </c>
      <c r="B729" t="s">
        <v>164</v>
      </c>
      <c r="C729" t="s">
        <v>16</v>
      </c>
      <c r="D729" t="s">
        <v>14</v>
      </c>
      <c r="E729">
        <v>202602</v>
      </c>
      <c r="F729" t="s">
        <v>138</v>
      </c>
      <c r="G729">
        <v>0</v>
      </c>
      <c r="H729">
        <v>0</v>
      </c>
      <c r="I729">
        <v>1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1</v>
      </c>
      <c r="P729">
        <v>2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2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10</v>
      </c>
      <c r="AM729">
        <v>0.33333333333333331</v>
      </c>
      <c r="AN729">
        <v>11.43424142790025</v>
      </c>
    </row>
    <row r="730" spans="1:40" x14ac:dyDescent="0.3">
      <c r="A730" t="s">
        <v>173</v>
      </c>
      <c r="B730" t="s">
        <v>168</v>
      </c>
      <c r="C730" t="s">
        <v>10</v>
      </c>
      <c r="D730" t="s">
        <v>11</v>
      </c>
      <c r="E730">
        <v>202602</v>
      </c>
      <c r="F730" t="s">
        <v>169</v>
      </c>
      <c r="G730">
        <v>0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1</v>
      </c>
      <c r="N730">
        <v>0</v>
      </c>
      <c r="O730">
        <v>0</v>
      </c>
      <c r="P730">
        <v>2</v>
      </c>
      <c r="Q730">
        <v>0</v>
      </c>
      <c r="R730">
        <v>2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12</v>
      </c>
      <c r="AM730">
        <v>1</v>
      </c>
      <c r="AN730">
        <v>17.039005868139181</v>
      </c>
    </row>
    <row r="731" spans="1:40" x14ac:dyDescent="0.3">
      <c r="A731" t="s">
        <v>173</v>
      </c>
      <c r="B731" t="s">
        <v>168</v>
      </c>
      <c r="C731" t="s">
        <v>10</v>
      </c>
      <c r="D731" t="s">
        <v>11</v>
      </c>
      <c r="E731">
        <v>202602</v>
      </c>
      <c r="F731" t="s">
        <v>102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1</v>
      </c>
    </row>
    <row r="732" spans="1:40" x14ac:dyDescent="0.3">
      <c r="A732" t="s">
        <v>173</v>
      </c>
      <c r="B732" t="s">
        <v>168</v>
      </c>
      <c r="C732" t="s">
        <v>10</v>
      </c>
      <c r="D732" t="s">
        <v>11</v>
      </c>
      <c r="E732">
        <v>202602</v>
      </c>
      <c r="F732" t="s">
        <v>241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1</v>
      </c>
    </row>
    <row r="733" spans="1:40" x14ac:dyDescent="0.3">
      <c r="A733" t="s">
        <v>173</v>
      </c>
      <c r="B733" t="s">
        <v>168</v>
      </c>
      <c r="C733" t="s">
        <v>10</v>
      </c>
      <c r="D733" t="s">
        <v>14</v>
      </c>
      <c r="E733">
        <v>202602</v>
      </c>
      <c r="F733" t="s">
        <v>169</v>
      </c>
      <c r="G733">
        <v>0</v>
      </c>
      <c r="H733">
        <v>0</v>
      </c>
      <c r="I733">
        <v>2</v>
      </c>
      <c r="J733">
        <v>3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2</v>
      </c>
      <c r="Q733">
        <v>1</v>
      </c>
      <c r="R733">
        <v>1</v>
      </c>
      <c r="S733">
        <v>2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3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17</v>
      </c>
      <c r="AM733">
        <v>1.6666666666666667</v>
      </c>
      <c r="AN733">
        <v>24.171207139501249</v>
      </c>
    </row>
    <row r="734" spans="1:40" x14ac:dyDescent="0.3">
      <c r="A734" t="s">
        <v>173</v>
      </c>
      <c r="B734" t="s">
        <v>168</v>
      </c>
      <c r="C734" t="s">
        <v>10</v>
      </c>
      <c r="D734" t="s">
        <v>14</v>
      </c>
      <c r="E734">
        <v>202602</v>
      </c>
      <c r="F734" t="s">
        <v>102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</v>
      </c>
      <c r="AM734">
        <v>0</v>
      </c>
      <c r="AN734">
        <v>2</v>
      </c>
    </row>
    <row r="735" spans="1:40" x14ac:dyDescent="0.3">
      <c r="A735" t="s">
        <v>173</v>
      </c>
      <c r="B735" t="s">
        <v>168</v>
      </c>
      <c r="C735" t="s">
        <v>10</v>
      </c>
      <c r="D735" t="s">
        <v>14</v>
      </c>
      <c r="E735">
        <v>202602</v>
      </c>
      <c r="F735" t="s">
        <v>241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1</v>
      </c>
    </row>
    <row r="736" spans="1:40" x14ac:dyDescent="0.3">
      <c r="A736" t="s">
        <v>173</v>
      </c>
      <c r="B736" t="s">
        <v>170</v>
      </c>
      <c r="C736" t="s">
        <v>10</v>
      </c>
      <c r="D736" t="s">
        <v>11</v>
      </c>
      <c r="E736">
        <v>202602</v>
      </c>
      <c r="F736" t="s">
        <v>50</v>
      </c>
      <c r="G736">
        <v>0</v>
      </c>
      <c r="H736">
        <v>0</v>
      </c>
      <c r="I736">
        <v>0</v>
      </c>
      <c r="J736">
        <v>1</v>
      </c>
      <c r="K736">
        <v>4</v>
      </c>
      <c r="L736">
        <v>0</v>
      </c>
      <c r="M736">
        <v>2</v>
      </c>
      <c r="N736">
        <v>0</v>
      </c>
      <c r="O736">
        <v>1</v>
      </c>
      <c r="P736">
        <v>0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13</v>
      </c>
      <c r="AM736">
        <v>0.66666666666666663</v>
      </c>
      <c r="AN736">
        <v>16.359337245426122</v>
      </c>
    </row>
    <row r="737" spans="1:40" x14ac:dyDescent="0.3">
      <c r="A737" t="s">
        <v>173</v>
      </c>
      <c r="B737" t="s">
        <v>170</v>
      </c>
      <c r="C737" t="s">
        <v>10</v>
      </c>
      <c r="D737" t="s">
        <v>14</v>
      </c>
      <c r="E737">
        <v>202602</v>
      </c>
      <c r="F737" t="s">
        <v>50</v>
      </c>
      <c r="G737">
        <v>0</v>
      </c>
      <c r="H737">
        <v>1</v>
      </c>
      <c r="I737">
        <v>3</v>
      </c>
      <c r="J737">
        <v>1</v>
      </c>
      <c r="K737">
        <v>2</v>
      </c>
      <c r="L737">
        <v>2</v>
      </c>
      <c r="M737">
        <v>0</v>
      </c>
      <c r="N737">
        <v>0</v>
      </c>
      <c r="O737">
        <v>2</v>
      </c>
      <c r="P737">
        <v>1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1</v>
      </c>
      <c r="Z737">
        <v>0</v>
      </c>
      <c r="AA737">
        <v>0</v>
      </c>
      <c r="AB737">
        <v>0</v>
      </c>
      <c r="AC737">
        <v>2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18</v>
      </c>
      <c r="AM737">
        <v>1</v>
      </c>
      <c r="AN737">
        <v>22.302724283700751</v>
      </c>
    </row>
    <row r="738" spans="1:40" x14ac:dyDescent="0.3">
      <c r="A738" t="s">
        <v>173</v>
      </c>
      <c r="B738" t="s">
        <v>172</v>
      </c>
      <c r="C738" t="s">
        <v>10</v>
      </c>
      <c r="D738" t="s">
        <v>11</v>
      </c>
      <c r="E738">
        <v>202602</v>
      </c>
      <c r="F738" t="s">
        <v>171</v>
      </c>
      <c r="G738">
        <v>0</v>
      </c>
      <c r="H738">
        <v>3</v>
      </c>
      <c r="I738">
        <v>1</v>
      </c>
      <c r="J738">
        <v>4</v>
      </c>
      <c r="K738">
        <v>5</v>
      </c>
      <c r="L738">
        <v>10</v>
      </c>
      <c r="M738">
        <v>4</v>
      </c>
      <c r="N738">
        <v>0</v>
      </c>
      <c r="O738">
        <v>11</v>
      </c>
      <c r="P738">
        <v>8</v>
      </c>
      <c r="Q738">
        <v>8</v>
      </c>
      <c r="R738">
        <v>5</v>
      </c>
      <c r="S738">
        <v>3</v>
      </c>
      <c r="T738">
        <v>5</v>
      </c>
      <c r="U738">
        <v>0</v>
      </c>
      <c r="V738">
        <v>2</v>
      </c>
      <c r="W738">
        <v>0</v>
      </c>
      <c r="X738">
        <v>3</v>
      </c>
      <c r="Y738">
        <v>5</v>
      </c>
      <c r="Z738">
        <v>4</v>
      </c>
      <c r="AA738">
        <v>5</v>
      </c>
      <c r="AB738">
        <v>0</v>
      </c>
      <c r="AC738">
        <v>9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95</v>
      </c>
      <c r="AM738">
        <v>6</v>
      </c>
      <c r="AN738">
        <v>125.2340352088351</v>
      </c>
    </row>
    <row r="739" spans="1:40" x14ac:dyDescent="0.3">
      <c r="A739" t="s">
        <v>173</v>
      </c>
      <c r="B739" t="s">
        <v>172</v>
      </c>
      <c r="C739" t="s">
        <v>10</v>
      </c>
      <c r="D739" t="s">
        <v>14</v>
      </c>
      <c r="E739">
        <v>202602</v>
      </c>
      <c r="F739" t="s">
        <v>171</v>
      </c>
      <c r="G739">
        <v>0</v>
      </c>
      <c r="H739">
        <v>9</v>
      </c>
      <c r="I739">
        <v>8</v>
      </c>
      <c r="J739">
        <v>10</v>
      </c>
      <c r="K739">
        <v>14</v>
      </c>
      <c r="L739">
        <v>14</v>
      </c>
      <c r="M739">
        <v>8</v>
      </c>
      <c r="N739">
        <v>0</v>
      </c>
      <c r="O739">
        <v>9</v>
      </c>
      <c r="P739">
        <v>15</v>
      </c>
      <c r="Q739">
        <v>7</v>
      </c>
      <c r="R739">
        <v>17</v>
      </c>
      <c r="S739">
        <v>6</v>
      </c>
      <c r="T739">
        <v>1</v>
      </c>
      <c r="U739">
        <v>0</v>
      </c>
      <c r="V739">
        <v>1</v>
      </c>
      <c r="W739">
        <v>1</v>
      </c>
      <c r="X739">
        <v>1</v>
      </c>
      <c r="Y739">
        <v>8</v>
      </c>
      <c r="Z739">
        <v>8</v>
      </c>
      <c r="AA739">
        <v>8</v>
      </c>
      <c r="AB739">
        <v>0</v>
      </c>
      <c r="AC739">
        <v>10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155</v>
      </c>
      <c r="AM739">
        <v>8.6666666666666661</v>
      </c>
      <c r="AN739">
        <v>192.2902771254065</v>
      </c>
    </row>
    <row r="740" spans="1:40" x14ac:dyDescent="0.3">
      <c r="A740" t="s">
        <v>173</v>
      </c>
      <c r="B740" t="s">
        <v>172</v>
      </c>
      <c r="C740" t="s">
        <v>16</v>
      </c>
      <c r="D740" t="s">
        <v>11</v>
      </c>
      <c r="E740">
        <v>202602</v>
      </c>
      <c r="F740" t="s">
        <v>171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2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4</v>
      </c>
      <c r="AM740">
        <v>0.66666666666666663</v>
      </c>
      <c r="AN740">
        <v>7.3593372454261221</v>
      </c>
    </row>
    <row r="741" spans="1:40" x14ac:dyDescent="0.3">
      <c r="A741" t="s">
        <v>173</v>
      </c>
      <c r="B741" t="s">
        <v>172</v>
      </c>
      <c r="C741" t="s">
        <v>16</v>
      </c>
      <c r="D741" t="s">
        <v>14</v>
      </c>
      <c r="E741">
        <v>202602</v>
      </c>
      <c r="F741" t="s">
        <v>171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5</v>
      </c>
      <c r="AM741">
        <v>1</v>
      </c>
      <c r="AN741">
        <v>9.3027242837007513</v>
      </c>
    </row>
    <row r="742" spans="1:40" x14ac:dyDescent="0.3">
      <c r="A742" t="s">
        <v>242</v>
      </c>
      <c r="B742" t="s">
        <v>9</v>
      </c>
      <c r="C742" t="s">
        <v>10</v>
      </c>
      <c r="D742" t="s">
        <v>11</v>
      </c>
      <c r="E742">
        <v>202602</v>
      </c>
      <c r="F742" t="s">
        <v>176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</v>
      </c>
      <c r="AM742">
        <v>0</v>
      </c>
      <c r="AN742">
        <v>2</v>
      </c>
    </row>
    <row r="743" spans="1:40" x14ac:dyDescent="0.3">
      <c r="A743" t="s">
        <v>242</v>
      </c>
      <c r="B743" t="s">
        <v>9</v>
      </c>
      <c r="C743" t="s">
        <v>10</v>
      </c>
      <c r="D743" t="s">
        <v>11</v>
      </c>
      <c r="E743">
        <v>202602</v>
      </c>
      <c r="F743" t="s">
        <v>243</v>
      </c>
      <c r="G743">
        <v>0</v>
      </c>
      <c r="H743">
        <v>1</v>
      </c>
      <c r="I743">
        <v>2</v>
      </c>
      <c r="J743">
        <v>1</v>
      </c>
      <c r="K743">
        <v>3</v>
      </c>
      <c r="L743">
        <v>2</v>
      </c>
      <c r="M743">
        <v>2</v>
      </c>
      <c r="N743">
        <v>0</v>
      </c>
      <c r="O743">
        <v>1</v>
      </c>
      <c r="P743">
        <v>2</v>
      </c>
      <c r="Q743">
        <v>4</v>
      </c>
      <c r="R743">
        <v>1</v>
      </c>
      <c r="S743">
        <v>3</v>
      </c>
      <c r="T743">
        <v>3</v>
      </c>
      <c r="U743">
        <v>0</v>
      </c>
      <c r="V743">
        <v>1</v>
      </c>
      <c r="W743">
        <v>0</v>
      </c>
      <c r="X743">
        <v>2</v>
      </c>
      <c r="Y743">
        <v>3</v>
      </c>
      <c r="Z743">
        <v>2</v>
      </c>
      <c r="AA743">
        <v>0</v>
      </c>
      <c r="AB743">
        <v>0</v>
      </c>
      <c r="AC743">
        <v>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36</v>
      </c>
      <c r="AM743">
        <v>2.6666666666666665</v>
      </c>
      <c r="AN743">
        <v>49.437348981704488</v>
      </c>
    </row>
    <row r="744" spans="1:40" x14ac:dyDescent="0.3">
      <c r="A744" t="s">
        <v>242</v>
      </c>
      <c r="B744" t="s">
        <v>9</v>
      </c>
      <c r="C744" t="s">
        <v>10</v>
      </c>
      <c r="D744" t="s">
        <v>14</v>
      </c>
      <c r="E744">
        <v>202602</v>
      </c>
      <c r="F744" t="s">
        <v>176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</v>
      </c>
      <c r="AM744">
        <v>0</v>
      </c>
      <c r="AN744">
        <v>2</v>
      </c>
    </row>
    <row r="745" spans="1:40" x14ac:dyDescent="0.3">
      <c r="A745" t="s">
        <v>242</v>
      </c>
      <c r="B745" t="s">
        <v>9</v>
      </c>
      <c r="C745" t="s">
        <v>10</v>
      </c>
      <c r="D745" t="s">
        <v>14</v>
      </c>
      <c r="E745">
        <v>202602</v>
      </c>
      <c r="F745" t="s">
        <v>243</v>
      </c>
      <c r="G745">
        <v>0</v>
      </c>
      <c r="H745">
        <v>4</v>
      </c>
      <c r="I745">
        <v>3</v>
      </c>
      <c r="J745">
        <v>3</v>
      </c>
      <c r="K745">
        <v>6</v>
      </c>
      <c r="L745">
        <v>3</v>
      </c>
      <c r="M745">
        <v>1</v>
      </c>
      <c r="N745">
        <v>0</v>
      </c>
      <c r="O745">
        <v>1</v>
      </c>
      <c r="P745">
        <v>6</v>
      </c>
      <c r="Q745">
        <v>3</v>
      </c>
      <c r="R745">
        <v>4</v>
      </c>
      <c r="S745">
        <v>3</v>
      </c>
      <c r="T745">
        <v>1</v>
      </c>
      <c r="U745">
        <v>0</v>
      </c>
      <c r="V745">
        <v>2</v>
      </c>
      <c r="W745">
        <v>0</v>
      </c>
      <c r="X745">
        <v>4</v>
      </c>
      <c r="Y745">
        <v>3</v>
      </c>
      <c r="Z745">
        <v>4</v>
      </c>
      <c r="AA745">
        <v>3</v>
      </c>
      <c r="AB745">
        <v>0</v>
      </c>
      <c r="AC745">
        <v>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57</v>
      </c>
      <c r="AM745">
        <v>3.3333333333333335</v>
      </c>
      <c r="AN745">
        <v>71.342414279002497</v>
      </c>
    </row>
    <row r="746" spans="1:40" x14ac:dyDescent="0.3">
      <c r="A746" t="s">
        <v>242</v>
      </c>
      <c r="B746" t="s">
        <v>9</v>
      </c>
      <c r="C746" t="s">
        <v>16</v>
      </c>
      <c r="D746" t="s">
        <v>11</v>
      </c>
      <c r="E746">
        <v>202602</v>
      </c>
      <c r="F746" t="s">
        <v>176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1</v>
      </c>
    </row>
    <row r="747" spans="1:40" x14ac:dyDescent="0.3">
      <c r="A747" t="s">
        <v>242</v>
      </c>
      <c r="B747" t="s">
        <v>9</v>
      </c>
      <c r="C747" t="s">
        <v>16</v>
      </c>
      <c r="D747" t="s">
        <v>11</v>
      </c>
      <c r="E747">
        <v>202602</v>
      </c>
      <c r="F747" t="s">
        <v>243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2</v>
      </c>
      <c r="AM747">
        <v>0</v>
      </c>
      <c r="AN747">
        <v>2</v>
      </c>
    </row>
    <row r="748" spans="1:40" x14ac:dyDescent="0.3">
      <c r="A748" t="s">
        <v>242</v>
      </c>
      <c r="B748" t="s">
        <v>9</v>
      </c>
      <c r="C748" t="s">
        <v>16</v>
      </c>
      <c r="D748" t="s">
        <v>14</v>
      </c>
      <c r="E748">
        <v>202602</v>
      </c>
      <c r="F748" t="s">
        <v>176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  <c r="AN748">
        <v>1</v>
      </c>
    </row>
    <row r="749" spans="1:40" x14ac:dyDescent="0.3">
      <c r="A749" t="s">
        <v>242</v>
      </c>
      <c r="B749" t="s">
        <v>9</v>
      </c>
      <c r="C749" t="s">
        <v>16</v>
      </c>
      <c r="D749" t="s">
        <v>14</v>
      </c>
      <c r="E749">
        <v>202602</v>
      </c>
      <c r="F749" t="s">
        <v>243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2</v>
      </c>
      <c r="AM749">
        <v>0</v>
      </c>
      <c r="AN749">
        <v>2</v>
      </c>
    </row>
    <row r="750" spans="1:40" x14ac:dyDescent="0.3">
      <c r="A750" t="s">
        <v>242</v>
      </c>
      <c r="B750" t="s">
        <v>17</v>
      </c>
      <c r="C750" t="s">
        <v>10</v>
      </c>
      <c r="D750" t="s">
        <v>11</v>
      </c>
      <c r="E750">
        <v>202602</v>
      </c>
      <c r="F750" t="s">
        <v>18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5</v>
      </c>
      <c r="AM750">
        <v>0</v>
      </c>
      <c r="AN750">
        <v>5</v>
      </c>
    </row>
    <row r="751" spans="1:40" x14ac:dyDescent="0.3">
      <c r="A751" t="s">
        <v>242</v>
      </c>
      <c r="B751" t="s">
        <v>17</v>
      </c>
      <c r="C751" t="s">
        <v>10</v>
      </c>
      <c r="D751" t="s">
        <v>11</v>
      </c>
      <c r="E751">
        <v>202602</v>
      </c>
      <c r="F751" t="s">
        <v>19</v>
      </c>
      <c r="G751">
        <v>0</v>
      </c>
      <c r="H751">
        <v>0</v>
      </c>
      <c r="I751">
        <v>0</v>
      </c>
      <c r="J751">
        <v>1</v>
      </c>
      <c r="K751">
        <v>3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6</v>
      </c>
      <c r="AM751">
        <v>0</v>
      </c>
      <c r="AN751">
        <v>6</v>
      </c>
    </row>
    <row r="752" spans="1:40" x14ac:dyDescent="0.3">
      <c r="A752" t="s">
        <v>242</v>
      </c>
      <c r="B752" t="s">
        <v>17</v>
      </c>
      <c r="C752" t="s">
        <v>10</v>
      </c>
      <c r="D752" t="s">
        <v>11</v>
      </c>
      <c r="E752">
        <v>202602</v>
      </c>
      <c r="F752" t="s">
        <v>244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3</v>
      </c>
      <c r="AM752">
        <v>0.33333333333333331</v>
      </c>
      <c r="AN752">
        <v>4.6796686227130611</v>
      </c>
    </row>
    <row r="753" spans="1:40" x14ac:dyDescent="0.3">
      <c r="A753" t="s">
        <v>242</v>
      </c>
      <c r="B753" t="s">
        <v>17</v>
      </c>
      <c r="C753" t="s">
        <v>10</v>
      </c>
      <c r="D753" t="s">
        <v>11</v>
      </c>
      <c r="E753">
        <v>202602</v>
      </c>
      <c r="F753" t="s">
        <v>245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2</v>
      </c>
      <c r="P753">
        <v>0</v>
      </c>
      <c r="Q753">
        <v>0</v>
      </c>
      <c r="R753">
        <v>1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6</v>
      </c>
      <c r="AM753">
        <v>0</v>
      </c>
      <c r="AN753">
        <v>6</v>
      </c>
    </row>
    <row r="754" spans="1:40" x14ac:dyDescent="0.3">
      <c r="A754" t="s">
        <v>242</v>
      </c>
      <c r="B754" t="s">
        <v>17</v>
      </c>
      <c r="C754" t="s">
        <v>10</v>
      </c>
      <c r="D754" t="s">
        <v>11</v>
      </c>
      <c r="E754">
        <v>202602</v>
      </c>
      <c r="F754" t="s">
        <v>254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3</v>
      </c>
      <c r="AM754">
        <v>0.66666666666666663</v>
      </c>
      <c r="AN754">
        <v>6.3593372454261221</v>
      </c>
    </row>
    <row r="755" spans="1:40" x14ac:dyDescent="0.3">
      <c r="A755" t="s">
        <v>242</v>
      </c>
      <c r="B755" t="s">
        <v>17</v>
      </c>
      <c r="C755" t="s">
        <v>10</v>
      </c>
      <c r="D755" t="s">
        <v>11</v>
      </c>
      <c r="E755">
        <v>202602</v>
      </c>
      <c r="F755" t="s">
        <v>246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4</v>
      </c>
      <c r="AM755">
        <v>0</v>
      </c>
      <c r="AN755">
        <v>4</v>
      </c>
    </row>
    <row r="756" spans="1:40" x14ac:dyDescent="0.3">
      <c r="A756" t="s">
        <v>242</v>
      </c>
      <c r="B756" t="s">
        <v>17</v>
      </c>
      <c r="C756" t="s">
        <v>10</v>
      </c>
      <c r="D756" t="s">
        <v>11</v>
      </c>
      <c r="E756">
        <v>202602</v>
      </c>
      <c r="F756" t="s">
        <v>255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1</v>
      </c>
    </row>
    <row r="757" spans="1:40" x14ac:dyDescent="0.3">
      <c r="A757" t="s">
        <v>242</v>
      </c>
      <c r="B757" t="s">
        <v>17</v>
      </c>
      <c r="C757" t="s">
        <v>10</v>
      </c>
      <c r="D757" t="s">
        <v>11</v>
      </c>
      <c r="E757">
        <v>202602</v>
      </c>
      <c r="F757" t="s">
        <v>247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3</v>
      </c>
      <c r="AM757">
        <v>0.33333333333333331</v>
      </c>
      <c r="AN757">
        <v>4.6796686227130611</v>
      </c>
    </row>
    <row r="758" spans="1:40" x14ac:dyDescent="0.3">
      <c r="A758" t="s">
        <v>242</v>
      </c>
      <c r="B758" t="s">
        <v>17</v>
      </c>
      <c r="C758" t="s">
        <v>10</v>
      </c>
      <c r="D758" t="s">
        <v>11</v>
      </c>
      <c r="E758">
        <v>202602</v>
      </c>
      <c r="F758" t="s">
        <v>248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3</v>
      </c>
      <c r="AM758">
        <v>0</v>
      </c>
      <c r="AN758">
        <v>3</v>
      </c>
    </row>
    <row r="759" spans="1:40" x14ac:dyDescent="0.3">
      <c r="A759" t="s">
        <v>242</v>
      </c>
      <c r="B759" t="s">
        <v>17</v>
      </c>
      <c r="C759" t="s">
        <v>10</v>
      </c>
      <c r="D759" t="s">
        <v>11</v>
      </c>
      <c r="E759">
        <v>202602</v>
      </c>
      <c r="F759" t="s">
        <v>249</v>
      </c>
      <c r="G759">
        <v>0</v>
      </c>
      <c r="H759">
        <v>0</v>
      </c>
      <c r="I759">
        <v>0</v>
      </c>
      <c r="J759">
        <v>0</v>
      </c>
      <c r="K759">
        <v>2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4</v>
      </c>
      <c r="AM759">
        <v>0.33333333333333331</v>
      </c>
      <c r="AN759">
        <v>5.6796686227130611</v>
      </c>
    </row>
    <row r="760" spans="1:40" x14ac:dyDescent="0.3">
      <c r="A760" t="s">
        <v>242</v>
      </c>
      <c r="B760" t="s">
        <v>17</v>
      </c>
      <c r="C760" t="s">
        <v>10</v>
      </c>
      <c r="D760" t="s">
        <v>11</v>
      </c>
      <c r="E760">
        <v>202602</v>
      </c>
      <c r="F760" t="s">
        <v>250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4</v>
      </c>
      <c r="AM760">
        <v>0</v>
      </c>
      <c r="AN760">
        <v>4</v>
      </c>
    </row>
    <row r="761" spans="1:40" x14ac:dyDescent="0.3">
      <c r="A761" t="s">
        <v>242</v>
      </c>
      <c r="B761" t="s">
        <v>17</v>
      </c>
      <c r="C761" t="s">
        <v>10</v>
      </c>
      <c r="D761" t="s">
        <v>11</v>
      </c>
      <c r="E761">
        <v>202602</v>
      </c>
      <c r="F761" t="s">
        <v>251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3</v>
      </c>
      <c r="AM761">
        <v>0.33333333333333331</v>
      </c>
      <c r="AN761">
        <v>4.6796686227130611</v>
      </c>
    </row>
    <row r="762" spans="1:40" x14ac:dyDescent="0.3">
      <c r="A762" t="s">
        <v>242</v>
      </c>
      <c r="B762" t="s">
        <v>17</v>
      </c>
      <c r="C762" t="s">
        <v>10</v>
      </c>
      <c r="D762" t="s">
        <v>11</v>
      </c>
      <c r="E762">
        <v>202602</v>
      </c>
      <c r="F762" t="s">
        <v>252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1</v>
      </c>
    </row>
    <row r="763" spans="1:40" x14ac:dyDescent="0.3">
      <c r="A763" t="s">
        <v>242</v>
      </c>
      <c r="B763" t="s">
        <v>17</v>
      </c>
      <c r="C763" t="s">
        <v>10</v>
      </c>
      <c r="D763" t="s">
        <v>11</v>
      </c>
      <c r="E763">
        <v>202602</v>
      </c>
      <c r="F763" t="s">
        <v>253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1</v>
      </c>
    </row>
    <row r="764" spans="1:40" x14ac:dyDescent="0.3">
      <c r="A764" t="s">
        <v>242</v>
      </c>
      <c r="B764" t="s">
        <v>17</v>
      </c>
      <c r="C764" t="s">
        <v>10</v>
      </c>
      <c r="D764" t="s">
        <v>11</v>
      </c>
      <c r="E764">
        <v>202602</v>
      </c>
      <c r="F764" t="s">
        <v>41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0.33333333333333331</v>
      </c>
      <c r="AN764">
        <v>2.6796686227130611</v>
      </c>
    </row>
    <row r="765" spans="1:40" x14ac:dyDescent="0.3">
      <c r="A765" t="s">
        <v>242</v>
      </c>
      <c r="B765" t="s">
        <v>17</v>
      </c>
      <c r="C765" t="s">
        <v>10</v>
      </c>
      <c r="D765" t="s">
        <v>14</v>
      </c>
      <c r="E765">
        <v>202602</v>
      </c>
      <c r="F765" t="s">
        <v>18</v>
      </c>
      <c r="G765">
        <v>0</v>
      </c>
      <c r="H765">
        <v>0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5</v>
      </c>
      <c r="AM765">
        <v>0.33333333333333331</v>
      </c>
      <c r="AN765">
        <v>6.4342414279002504</v>
      </c>
    </row>
    <row r="766" spans="1:40" x14ac:dyDescent="0.3">
      <c r="A766" t="s">
        <v>242</v>
      </c>
      <c r="B766" t="s">
        <v>17</v>
      </c>
      <c r="C766" t="s">
        <v>10</v>
      </c>
      <c r="D766" t="s">
        <v>14</v>
      </c>
      <c r="E766">
        <v>202602</v>
      </c>
      <c r="F766" t="s">
        <v>19</v>
      </c>
      <c r="G766">
        <v>0</v>
      </c>
      <c r="H766">
        <v>1</v>
      </c>
      <c r="I766">
        <v>2</v>
      </c>
      <c r="J766">
        <v>1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6</v>
      </c>
      <c r="AM766">
        <v>0</v>
      </c>
      <c r="AN766">
        <v>6</v>
      </c>
    </row>
    <row r="767" spans="1:40" x14ac:dyDescent="0.3">
      <c r="A767" t="s">
        <v>242</v>
      </c>
      <c r="B767" t="s">
        <v>17</v>
      </c>
      <c r="C767" t="s">
        <v>10</v>
      </c>
      <c r="D767" t="s">
        <v>14</v>
      </c>
      <c r="E767">
        <v>202602</v>
      </c>
      <c r="F767" t="s">
        <v>244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3</v>
      </c>
      <c r="AM767">
        <v>0.33333333333333331</v>
      </c>
      <c r="AN767">
        <v>4.4342414279002504</v>
      </c>
    </row>
    <row r="768" spans="1:40" x14ac:dyDescent="0.3">
      <c r="A768" t="s">
        <v>242</v>
      </c>
      <c r="B768" t="s">
        <v>17</v>
      </c>
      <c r="C768" t="s">
        <v>10</v>
      </c>
      <c r="D768" t="s">
        <v>14</v>
      </c>
      <c r="E768">
        <v>202602</v>
      </c>
      <c r="F768" t="s">
        <v>245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6</v>
      </c>
      <c r="AM768">
        <v>0.33333333333333331</v>
      </c>
      <c r="AN768">
        <v>7.4342414279002504</v>
      </c>
    </row>
    <row r="769" spans="1:40" x14ac:dyDescent="0.3">
      <c r="A769" t="s">
        <v>242</v>
      </c>
      <c r="B769" t="s">
        <v>17</v>
      </c>
      <c r="C769" t="s">
        <v>10</v>
      </c>
      <c r="D769" t="s">
        <v>14</v>
      </c>
      <c r="E769">
        <v>202602</v>
      </c>
      <c r="F769" t="s">
        <v>254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</v>
      </c>
      <c r="AM769">
        <v>0</v>
      </c>
      <c r="AN769">
        <v>5</v>
      </c>
    </row>
    <row r="770" spans="1:40" x14ac:dyDescent="0.3">
      <c r="A770" t="s">
        <v>242</v>
      </c>
      <c r="B770" t="s">
        <v>17</v>
      </c>
      <c r="C770" t="s">
        <v>10</v>
      </c>
      <c r="D770" t="s">
        <v>14</v>
      </c>
      <c r="E770">
        <v>202602</v>
      </c>
      <c r="F770" t="s">
        <v>246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</v>
      </c>
      <c r="AM770">
        <v>0</v>
      </c>
      <c r="AN770">
        <v>5</v>
      </c>
    </row>
    <row r="771" spans="1:40" x14ac:dyDescent="0.3">
      <c r="A771" t="s">
        <v>242</v>
      </c>
      <c r="B771" t="s">
        <v>17</v>
      </c>
      <c r="C771" t="s">
        <v>10</v>
      </c>
      <c r="D771" t="s">
        <v>14</v>
      </c>
      <c r="E771">
        <v>202602</v>
      </c>
      <c r="F771" t="s">
        <v>255</v>
      </c>
      <c r="G771">
        <v>0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5</v>
      </c>
      <c r="AM771">
        <v>0.66666666666666663</v>
      </c>
      <c r="AN771">
        <v>7.8684828558005</v>
      </c>
    </row>
    <row r="772" spans="1:40" x14ac:dyDescent="0.3">
      <c r="A772" t="s">
        <v>242</v>
      </c>
      <c r="B772" t="s">
        <v>17</v>
      </c>
      <c r="C772" t="s">
        <v>10</v>
      </c>
      <c r="D772" t="s">
        <v>14</v>
      </c>
      <c r="E772">
        <v>202602</v>
      </c>
      <c r="F772" t="s">
        <v>247</v>
      </c>
      <c r="G772">
        <v>1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5</v>
      </c>
      <c r="AM772">
        <v>0.33333333333333331</v>
      </c>
      <c r="AN772">
        <v>6.4342414279002504</v>
      </c>
    </row>
    <row r="773" spans="1:40" x14ac:dyDescent="0.3">
      <c r="A773" t="s">
        <v>242</v>
      </c>
      <c r="B773" t="s">
        <v>17</v>
      </c>
      <c r="C773" t="s">
        <v>10</v>
      </c>
      <c r="D773" t="s">
        <v>14</v>
      </c>
      <c r="E773">
        <v>202602</v>
      </c>
      <c r="F773" t="s">
        <v>248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4</v>
      </c>
      <c r="AM773">
        <v>0</v>
      </c>
      <c r="AN773">
        <v>4</v>
      </c>
    </row>
    <row r="774" spans="1:40" x14ac:dyDescent="0.3">
      <c r="A774" t="s">
        <v>242</v>
      </c>
      <c r="B774" t="s">
        <v>17</v>
      </c>
      <c r="C774" t="s">
        <v>10</v>
      </c>
      <c r="D774" t="s">
        <v>14</v>
      </c>
      <c r="E774">
        <v>202602</v>
      </c>
      <c r="F774" t="s">
        <v>752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0.33333333333333331</v>
      </c>
      <c r="AN774">
        <v>2.43424142790025</v>
      </c>
    </row>
    <row r="775" spans="1:40" x14ac:dyDescent="0.3">
      <c r="A775" t="s">
        <v>242</v>
      </c>
      <c r="B775" t="s">
        <v>17</v>
      </c>
      <c r="C775" t="s">
        <v>10</v>
      </c>
      <c r="D775" t="s">
        <v>14</v>
      </c>
      <c r="E775">
        <v>202602</v>
      </c>
      <c r="F775" t="s">
        <v>249</v>
      </c>
      <c r="G775">
        <v>0</v>
      </c>
      <c r="H775">
        <v>1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4</v>
      </c>
      <c r="AM775">
        <v>0.33333333333333331</v>
      </c>
      <c r="AN775">
        <v>5.4342414279002504</v>
      </c>
    </row>
    <row r="776" spans="1:40" x14ac:dyDescent="0.3">
      <c r="A776" t="s">
        <v>242</v>
      </c>
      <c r="B776" t="s">
        <v>17</v>
      </c>
      <c r="C776" t="s">
        <v>10</v>
      </c>
      <c r="D776" t="s">
        <v>14</v>
      </c>
      <c r="E776">
        <v>202602</v>
      </c>
      <c r="F776" t="s">
        <v>250</v>
      </c>
      <c r="G776">
        <v>0</v>
      </c>
      <c r="H776">
        <v>0</v>
      </c>
      <c r="I776">
        <v>0</v>
      </c>
      <c r="J776">
        <v>2</v>
      </c>
      <c r="K776">
        <v>0</v>
      </c>
      <c r="L776">
        <v>0</v>
      </c>
      <c r="M776">
        <v>0</v>
      </c>
      <c r="N776">
        <v>2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6</v>
      </c>
      <c r="AM776">
        <v>0</v>
      </c>
      <c r="AN776">
        <v>6</v>
      </c>
    </row>
    <row r="777" spans="1:40" x14ac:dyDescent="0.3">
      <c r="A777" t="s">
        <v>242</v>
      </c>
      <c r="B777" t="s">
        <v>17</v>
      </c>
      <c r="C777" t="s">
        <v>10</v>
      </c>
      <c r="D777" t="s">
        <v>14</v>
      </c>
      <c r="E777">
        <v>202602</v>
      </c>
      <c r="F777" t="s">
        <v>251</v>
      </c>
      <c r="G777">
        <v>0</v>
      </c>
      <c r="H777">
        <v>1</v>
      </c>
      <c r="I777">
        <v>0</v>
      </c>
      <c r="J777">
        <v>0</v>
      </c>
      <c r="K777">
        <v>1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5</v>
      </c>
      <c r="AM777">
        <v>0</v>
      </c>
      <c r="AN777">
        <v>5</v>
      </c>
    </row>
    <row r="778" spans="1:40" x14ac:dyDescent="0.3">
      <c r="A778" t="s">
        <v>242</v>
      </c>
      <c r="B778" t="s">
        <v>17</v>
      </c>
      <c r="C778" t="s">
        <v>10</v>
      </c>
      <c r="D778" t="s">
        <v>14</v>
      </c>
      <c r="E778">
        <v>202602</v>
      </c>
      <c r="F778" t="s">
        <v>252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1</v>
      </c>
    </row>
    <row r="779" spans="1:40" x14ac:dyDescent="0.3">
      <c r="A779" t="s">
        <v>242</v>
      </c>
      <c r="B779" t="s">
        <v>17</v>
      </c>
      <c r="C779" t="s">
        <v>10</v>
      </c>
      <c r="D779" t="s">
        <v>14</v>
      </c>
      <c r="E779">
        <v>202602</v>
      </c>
      <c r="F779" t="s">
        <v>253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</v>
      </c>
      <c r="AM779">
        <v>0.33333333333333331</v>
      </c>
      <c r="AN779">
        <v>3.43424142790025</v>
      </c>
    </row>
    <row r="780" spans="1:40" x14ac:dyDescent="0.3">
      <c r="A780" t="s">
        <v>242</v>
      </c>
      <c r="B780" t="s">
        <v>17</v>
      </c>
      <c r="C780" t="s">
        <v>10</v>
      </c>
      <c r="D780" t="s">
        <v>14</v>
      </c>
      <c r="E780">
        <v>202602</v>
      </c>
      <c r="F780" t="s">
        <v>41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1</v>
      </c>
    </row>
    <row r="781" spans="1:40" x14ac:dyDescent="0.3">
      <c r="A781" t="s">
        <v>242</v>
      </c>
      <c r="B781" t="s">
        <v>17</v>
      </c>
      <c r="C781" t="s">
        <v>16</v>
      </c>
      <c r="D781" t="s">
        <v>11</v>
      </c>
      <c r="E781">
        <v>202602</v>
      </c>
      <c r="F781" t="s">
        <v>245</v>
      </c>
      <c r="G781">
        <v>0</v>
      </c>
      <c r="H781">
        <v>2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3</v>
      </c>
      <c r="AM781">
        <v>0</v>
      </c>
      <c r="AN781">
        <v>3</v>
      </c>
    </row>
    <row r="782" spans="1:40" x14ac:dyDescent="0.3">
      <c r="A782" t="s">
        <v>242</v>
      </c>
      <c r="B782" t="s">
        <v>17</v>
      </c>
      <c r="C782" t="s">
        <v>16</v>
      </c>
      <c r="D782" t="s">
        <v>11</v>
      </c>
      <c r="E782">
        <v>202602</v>
      </c>
      <c r="F782" t="s">
        <v>256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1</v>
      </c>
    </row>
    <row r="783" spans="1:40" x14ac:dyDescent="0.3">
      <c r="A783" t="s">
        <v>242</v>
      </c>
      <c r="B783" t="s">
        <v>17</v>
      </c>
      <c r="C783" t="s">
        <v>16</v>
      </c>
      <c r="D783" t="s">
        <v>11</v>
      </c>
      <c r="E783">
        <v>202602</v>
      </c>
      <c r="F783" t="s">
        <v>249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</v>
      </c>
      <c r="AM783">
        <v>0</v>
      </c>
      <c r="AN783">
        <v>2</v>
      </c>
    </row>
    <row r="784" spans="1:40" x14ac:dyDescent="0.3">
      <c r="A784" t="s">
        <v>242</v>
      </c>
      <c r="B784" t="s">
        <v>17</v>
      </c>
      <c r="C784" t="s">
        <v>16</v>
      </c>
      <c r="D784" t="s">
        <v>14</v>
      </c>
      <c r="E784">
        <v>202602</v>
      </c>
      <c r="F784" t="s">
        <v>244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1</v>
      </c>
    </row>
    <row r="785" spans="1:40" x14ac:dyDescent="0.3">
      <c r="A785" t="s">
        <v>242</v>
      </c>
      <c r="B785" t="s">
        <v>17</v>
      </c>
      <c r="C785" t="s">
        <v>16</v>
      </c>
      <c r="D785" t="s">
        <v>14</v>
      </c>
      <c r="E785">
        <v>202602</v>
      </c>
      <c r="F785" t="s">
        <v>245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</v>
      </c>
      <c r="AM785">
        <v>0.33333333333333331</v>
      </c>
      <c r="AN785">
        <v>3.43424142790025</v>
      </c>
    </row>
    <row r="786" spans="1:40" x14ac:dyDescent="0.3">
      <c r="A786" t="s">
        <v>242</v>
      </c>
      <c r="B786" t="s">
        <v>17</v>
      </c>
      <c r="C786" t="s">
        <v>16</v>
      </c>
      <c r="D786" t="s">
        <v>14</v>
      </c>
      <c r="E786">
        <v>202602</v>
      </c>
      <c r="F786" t="s">
        <v>256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1</v>
      </c>
    </row>
    <row r="787" spans="1:40" x14ac:dyDescent="0.3">
      <c r="A787" t="s">
        <v>242</v>
      </c>
      <c r="B787" t="s">
        <v>17</v>
      </c>
      <c r="C787" t="s">
        <v>16</v>
      </c>
      <c r="D787" t="s">
        <v>14</v>
      </c>
      <c r="E787">
        <v>202602</v>
      </c>
      <c r="F787" t="s">
        <v>249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</v>
      </c>
      <c r="AM787">
        <v>0</v>
      </c>
      <c r="AN787">
        <v>2</v>
      </c>
    </row>
    <row r="788" spans="1:40" x14ac:dyDescent="0.3">
      <c r="A788" t="s">
        <v>242</v>
      </c>
      <c r="B788" t="s">
        <v>49</v>
      </c>
      <c r="C788" t="s">
        <v>10</v>
      </c>
      <c r="D788" t="s">
        <v>11</v>
      </c>
      <c r="E788">
        <v>202602</v>
      </c>
      <c r="F788" t="s">
        <v>50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</v>
      </c>
      <c r="AM788">
        <v>1</v>
      </c>
      <c r="AN788">
        <v>8.0390058681391814</v>
      </c>
    </row>
    <row r="789" spans="1:40" x14ac:dyDescent="0.3">
      <c r="A789" t="s">
        <v>242</v>
      </c>
      <c r="B789" t="s">
        <v>49</v>
      </c>
      <c r="C789" t="s">
        <v>10</v>
      </c>
      <c r="D789" t="s">
        <v>11</v>
      </c>
      <c r="E789">
        <v>202602</v>
      </c>
      <c r="F789" t="s">
        <v>51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2</v>
      </c>
      <c r="AM789">
        <v>0.33333333333333331</v>
      </c>
      <c r="AN789">
        <v>3.6796686227130611</v>
      </c>
    </row>
    <row r="790" spans="1:40" x14ac:dyDescent="0.3">
      <c r="A790" t="s">
        <v>242</v>
      </c>
      <c r="B790" t="s">
        <v>49</v>
      </c>
      <c r="C790" t="s">
        <v>10</v>
      </c>
      <c r="D790" t="s">
        <v>11</v>
      </c>
      <c r="E790">
        <v>202602</v>
      </c>
      <c r="F790" t="s">
        <v>171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1</v>
      </c>
    </row>
    <row r="791" spans="1:40" x14ac:dyDescent="0.3">
      <c r="A791" t="s">
        <v>242</v>
      </c>
      <c r="B791" t="s">
        <v>49</v>
      </c>
      <c r="C791" t="s">
        <v>10</v>
      </c>
      <c r="D791" t="s">
        <v>11</v>
      </c>
      <c r="E791">
        <v>202602</v>
      </c>
      <c r="F791" t="s">
        <v>58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1</v>
      </c>
    </row>
    <row r="792" spans="1:40" x14ac:dyDescent="0.3">
      <c r="A792" t="s">
        <v>242</v>
      </c>
      <c r="B792" t="s">
        <v>49</v>
      </c>
      <c r="C792" t="s">
        <v>10</v>
      </c>
      <c r="D792" t="s">
        <v>14</v>
      </c>
      <c r="E792">
        <v>202602</v>
      </c>
      <c r="F792" t="s">
        <v>50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</v>
      </c>
      <c r="Z792">
        <v>4</v>
      </c>
      <c r="AA792">
        <v>0</v>
      </c>
      <c r="AB792">
        <v>1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10</v>
      </c>
      <c r="AM792">
        <v>2.3333333333333335</v>
      </c>
      <c r="AN792">
        <v>20.03968999530175</v>
      </c>
    </row>
    <row r="793" spans="1:40" x14ac:dyDescent="0.3">
      <c r="A793" t="s">
        <v>242</v>
      </c>
      <c r="B793" t="s">
        <v>49</v>
      </c>
      <c r="C793" t="s">
        <v>10</v>
      </c>
      <c r="D793" t="s">
        <v>14</v>
      </c>
      <c r="E793">
        <v>202602</v>
      </c>
      <c r="F793" t="s">
        <v>51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</v>
      </c>
      <c r="AM793">
        <v>0</v>
      </c>
      <c r="AN793">
        <v>2</v>
      </c>
    </row>
    <row r="794" spans="1:40" x14ac:dyDescent="0.3">
      <c r="A794" t="s">
        <v>242</v>
      </c>
      <c r="B794" t="s">
        <v>49</v>
      </c>
      <c r="C794" t="s">
        <v>10</v>
      </c>
      <c r="D794" t="s">
        <v>14</v>
      </c>
      <c r="E794">
        <v>202602</v>
      </c>
      <c r="F794" t="s">
        <v>171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1</v>
      </c>
    </row>
    <row r="795" spans="1:40" x14ac:dyDescent="0.3">
      <c r="A795" t="s">
        <v>242</v>
      </c>
      <c r="B795" t="s">
        <v>49</v>
      </c>
      <c r="C795" t="s">
        <v>10</v>
      </c>
      <c r="D795" t="s">
        <v>14</v>
      </c>
      <c r="E795">
        <v>202602</v>
      </c>
      <c r="F795" t="s">
        <v>58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1</v>
      </c>
    </row>
    <row r="796" spans="1:40" x14ac:dyDescent="0.3">
      <c r="A796" t="s">
        <v>242</v>
      </c>
      <c r="B796" t="s">
        <v>49</v>
      </c>
      <c r="C796" t="s">
        <v>16</v>
      </c>
      <c r="D796" t="s">
        <v>11</v>
      </c>
      <c r="E796">
        <v>202602</v>
      </c>
      <c r="F796" t="s">
        <v>50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</v>
      </c>
      <c r="AM796">
        <v>0</v>
      </c>
      <c r="AN796">
        <v>2</v>
      </c>
    </row>
    <row r="797" spans="1:40" x14ac:dyDescent="0.3">
      <c r="A797" t="s">
        <v>242</v>
      </c>
      <c r="B797" t="s">
        <v>49</v>
      </c>
      <c r="C797" t="s">
        <v>16</v>
      </c>
      <c r="D797" t="s">
        <v>14</v>
      </c>
      <c r="E797">
        <v>202602</v>
      </c>
      <c r="F797" t="s">
        <v>50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</v>
      </c>
      <c r="AM797">
        <v>0</v>
      </c>
      <c r="AN797">
        <v>2</v>
      </c>
    </row>
    <row r="798" spans="1:40" x14ac:dyDescent="0.3">
      <c r="A798" t="s">
        <v>242</v>
      </c>
      <c r="B798" t="s">
        <v>54</v>
      </c>
      <c r="C798" t="s">
        <v>10</v>
      </c>
      <c r="D798" t="s">
        <v>11</v>
      </c>
      <c r="E798">
        <v>202602</v>
      </c>
      <c r="F798" t="s">
        <v>55</v>
      </c>
      <c r="G798">
        <v>0</v>
      </c>
      <c r="H798">
        <v>2</v>
      </c>
      <c r="I798">
        <v>2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3</v>
      </c>
      <c r="P798">
        <v>1</v>
      </c>
      <c r="Q798">
        <v>1</v>
      </c>
      <c r="R798">
        <v>0</v>
      </c>
      <c r="S798">
        <v>2</v>
      </c>
      <c r="T798">
        <v>2</v>
      </c>
      <c r="U798">
        <v>0</v>
      </c>
      <c r="V798">
        <v>1</v>
      </c>
      <c r="W798">
        <v>0</v>
      </c>
      <c r="X798">
        <v>1</v>
      </c>
      <c r="Y798">
        <v>1</v>
      </c>
      <c r="Z798">
        <v>2</v>
      </c>
      <c r="AA798">
        <v>0</v>
      </c>
      <c r="AB798">
        <v>1</v>
      </c>
      <c r="AC798">
        <v>3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23</v>
      </c>
      <c r="AM798">
        <v>2</v>
      </c>
      <c r="AN798">
        <v>33.078011736278363</v>
      </c>
    </row>
    <row r="799" spans="1:40" x14ac:dyDescent="0.3">
      <c r="A799" t="s">
        <v>242</v>
      </c>
      <c r="B799" t="s">
        <v>54</v>
      </c>
      <c r="C799" t="s">
        <v>10</v>
      </c>
      <c r="D799" t="s">
        <v>11</v>
      </c>
      <c r="E799">
        <v>202602</v>
      </c>
      <c r="F799" t="s">
        <v>56</v>
      </c>
      <c r="G799">
        <v>0</v>
      </c>
      <c r="H799">
        <v>4</v>
      </c>
      <c r="I799">
        <v>2</v>
      </c>
      <c r="J799">
        <v>6</v>
      </c>
      <c r="K799">
        <v>5</v>
      </c>
      <c r="L799">
        <v>3</v>
      </c>
      <c r="M799">
        <v>0</v>
      </c>
      <c r="N799">
        <v>0</v>
      </c>
      <c r="O799">
        <v>2</v>
      </c>
      <c r="P799">
        <v>2</v>
      </c>
      <c r="Q799">
        <v>3</v>
      </c>
      <c r="R799">
        <v>7</v>
      </c>
      <c r="S799">
        <v>7</v>
      </c>
      <c r="T799">
        <v>1</v>
      </c>
      <c r="U799">
        <v>0</v>
      </c>
      <c r="V799">
        <v>1</v>
      </c>
      <c r="W799">
        <v>0</v>
      </c>
      <c r="X799">
        <v>3</v>
      </c>
      <c r="Y799">
        <v>8</v>
      </c>
      <c r="Z799">
        <v>6</v>
      </c>
      <c r="AA799">
        <v>1</v>
      </c>
      <c r="AB799">
        <v>0</v>
      </c>
      <c r="AC799">
        <v>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70</v>
      </c>
      <c r="AM799">
        <v>7.666666666666667</v>
      </c>
      <c r="AN799">
        <v>108.6323783224004</v>
      </c>
    </row>
    <row r="800" spans="1:40" x14ac:dyDescent="0.3">
      <c r="A800" t="s">
        <v>242</v>
      </c>
      <c r="B800" t="s">
        <v>54</v>
      </c>
      <c r="C800" t="s">
        <v>10</v>
      </c>
      <c r="D800" t="s">
        <v>11</v>
      </c>
      <c r="E800">
        <v>202602</v>
      </c>
      <c r="F800" t="s">
        <v>57</v>
      </c>
      <c r="G800">
        <v>0</v>
      </c>
      <c r="H800">
        <v>1</v>
      </c>
      <c r="I800">
        <v>4</v>
      </c>
      <c r="J800">
        <v>3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4</v>
      </c>
      <c r="T800">
        <v>2</v>
      </c>
      <c r="U800">
        <v>0</v>
      </c>
      <c r="V800">
        <v>1</v>
      </c>
      <c r="W800">
        <v>0</v>
      </c>
      <c r="X800">
        <v>1</v>
      </c>
      <c r="Y800">
        <v>0</v>
      </c>
      <c r="Z800">
        <v>1</v>
      </c>
      <c r="AA800">
        <v>1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21</v>
      </c>
      <c r="AM800">
        <v>0.66666666666666663</v>
      </c>
      <c r="AN800">
        <v>24.359337245426122</v>
      </c>
    </row>
    <row r="801" spans="1:40" x14ac:dyDescent="0.3">
      <c r="A801" t="s">
        <v>242</v>
      </c>
      <c r="B801" t="s">
        <v>54</v>
      </c>
      <c r="C801" t="s">
        <v>10</v>
      </c>
      <c r="D801" t="s">
        <v>11</v>
      </c>
      <c r="E801">
        <v>202602</v>
      </c>
      <c r="F801" t="s">
        <v>58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1</v>
      </c>
    </row>
    <row r="802" spans="1:40" x14ac:dyDescent="0.3">
      <c r="A802" t="s">
        <v>242</v>
      </c>
      <c r="B802" t="s">
        <v>54</v>
      </c>
      <c r="C802" t="s">
        <v>10</v>
      </c>
      <c r="D802" t="s">
        <v>14</v>
      </c>
      <c r="E802">
        <v>202602</v>
      </c>
      <c r="F802" t="s">
        <v>55</v>
      </c>
      <c r="G802">
        <v>0</v>
      </c>
      <c r="H802">
        <v>0</v>
      </c>
      <c r="I802">
        <v>0</v>
      </c>
      <c r="J802">
        <v>1</v>
      </c>
      <c r="K802">
        <v>2</v>
      </c>
      <c r="L802">
        <v>4</v>
      </c>
      <c r="M802">
        <v>0</v>
      </c>
      <c r="N802">
        <v>0</v>
      </c>
      <c r="O802">
        <v>1</v>
      </c>
      <c r="P802">
        <v>4</v>
      </c>
      <c r="Q802">
        <v>1</v>
      </c>
      <c r="R802">
        <v>3</v>
      </c>
      <c r="S802">
        <v>2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1</v>
      </c>
      <c r="Z802">
        <v>4</v>
      </c>
      <c r="AA802">
        <v>1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26</v>
      </c>
      <c r="AM802">
        <v>2</v>
      </c>
      <c r="AN802">
        <v>34.605448567401503</v>
      </c>
    </row>
    <row r="803" spans="1:40" x14ac:dyDescent="0.3">
      <c r="A803" t="s">
        <v>242</v>
      </c>
      <c r="B803" t="s">
        <v>54</v>
      </c>
      <c r="C803" t="s">
        <v>10</v>
      </c>
      <c r="D803" t="s">
        <v>14</v>
      </c>
      <c r="E803">
        <v>202602</v>
      </c>
      <c r="F803" t="s">
        <v>56</v>
      </c>
      <c r="G803">
        <v>0</v>
      </c>
      <c r="H803">
        <v>4</v>
      </c>
      <c r="I803">
        <v>7</v>
      </c>
      <c r="J803">
        <v>5</v>
      </c>
      <c r="K803">
        <v>3</v>
      </c>
      <c r="L803">
        <v>7</v>
      </c>
      <c r="M803">
        <v>0</v>
      </c>
      <c r="N803">
        <v>0</v>
      </c>
      <c r="O803">
        <v>6</v>
      </c>
      <c r="P803">
        <v>8</v>
      </c>
      <c r="Q803">
        <v>6</v>
      </c>
      <c r="R803">
        <v>8</v>
      </c>
      <c r="S803">
        <v>6</v>
      </c>
      <c r="T803">
        <v>0</v>
      </c>
      <c r="U803">
        <v>0</v>
      </c>
      <c r="V803">
        <v>2</v>
      </c>
      <c r="W803">
        <v>0</v>
      </c>
      <c r="X803">
        <v>8</v>
      </c>
      <c r="Y803">
        <v>11</v>
      </c>
      <c r="Z803">
        <v>8</v>
      </c>
      <c r="AA803">
        <v>2</v>
      </c>
      <c r="AB803">
        <v>0</v>
      </c>
      <c r="AC803">
        <v>10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101</v>
      </c>
      <c r="AM803">
        <v>9.6666666666666661</v>
      </c>
      <c r="AN803">
        <v>142.59300140910725</v>
      </c>
    </row>
    <row r="804" spans="1:40" x14ac:dyDescent="0.3">
      <c r="A804" t="s">
        <v>242</v>
      </c>
      <c r="B804" t="s">
        <v>54</v>
      </c>
      <c r="C804" t="s">
        <v>10</v>
      </c>
      <c r="D804" t="s">
        <v>14</v>
      </c>
      <c r="E804">
        <v>202602</v>
      </c>
      <c r="F804" t="s">
        <v>57</v>
      </c>
      <c r="G804">
        <v>0</v>
      </c>
      <c r="H804">
        <v>7</v>
      </c>
      <c r="I804">
        <v>1</v>
      </c>
      <c r="J804">
        <v>1</v>
      </c>
      <c r="K804">
        <v>0</v>
      </c>
      <c r="L804">
        <v>1</v>
      </c>
      <c r="M804">
        <v>1</v>
      </c>
      <c r="N804">
        <v>0</v>
      </c>
      <c r="O804">
        <v>0</v>
      </c>
      <c r="P804">
        <v>1</v>
      </c>
      <c r="Q804">
        <v>3</v>
      </c>
      <c r="R804">
        <v>4</v>
      </c>
      <c r="S804">
        <v>1</v>
      </c>
      <c r="T804">
        <v>1</v>
      </c>
      <c r="U804">
        <v>0</v>
      </c>
      <c r="V804">
        <v>3</v>
      </c>
      <c r="W804">
        <v>0</v>
      </c>
      <c r="X804">
        <v>1</v>
      </c>
      <c r="Y804">
        <v>1</v>
      </c>
      <c r="Z804">
        <v>2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28</v>
      </c>
      <c r="AM804">
        <v>1</v>
      </c>
      <c r="AN804">
        <v>32.302724283700748</v>
      </c>
    </row>
    <row r="805" spans="1:40" x14ac:dyDescent="0.3">
      <c r="A805" t="s">
        <v>242</v>
      </c>
      <c r="B805" t="s">
        <v>54</v>
      </c>
      <c r="C805" t="s">
        <v>10</v>
      </c>
      <c r="D805" t="s">
        <v>14</v>
      </c>
      <c r="E805">
        <v>202602</v>
      </c>
      <c r="F805" t="s">
        <v>58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</v>
      </c>
      <c r="AM805">
        <v>0</v>
      </c>
      <c r="AN805">
        <v>2</v>
      </c>
    </row>
    <row r="806" spans="1:40" x14ac:dyDescent="0.3">
      <c r="A806" t="s">
        <v>242</v>
      </c>
      <c r="B806" t="s">
        <v>54</v>
      </c>
      <c r="C806" t="s">
        <v>16</v>
      </c>
      <c r="D806" t="s">
        <v>11</v>
      </c>
      <c r="E806">
        <v>202602</v>
      </c>
      <c r="F806" t="s">
        <v>57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0.33333333333333331</v>
      </c>
      <c r="AN806">
        <v>2.6796686227130611</v>
      </c>
    </row>
    <row r="807" spans="1:40" x14ac:dyDescent="0.3">
      <c r="A807" t="s">
        <v>242</v>
      </c>
      <c r="B807" t="s">
        <v>54</v>
      </c>
      <c r="C807" t="s">
        <v>16</v>
      </c>
      <c r="D807" t="s">
        <v>14</v>
      </c>
      <c r="E807">
        <v>202602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0.33333333333333331</v>
      </c>
      <c r="AN807">
        <v>2.43424142790025</v>
      </c>
    </row>
    <row r="808" spans="1:40" x14ac:dyDescent="0.3">
      <c r="A808" t="s">
        <v>242</v>
      </c>
      <c r="B808" t="s">
        <v>54</v>
      </c>
      <c r="C808" t="s">
        <v>16</v>
      </c>
      <c r="D808" t="s">
        <v>14</v>
      </c>
      <c r="E808">
        <v>202602</v>
      </c>
      <c r="F808" t="s">
        <v>57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1</v>
      </c>
    </row>
    <row r="809" spans="1:40" x14ac:dyDescent="0.3">
      <c r="A809" t="s">
        <v>242</v>
      </c>
      <c r="B809" t="s">
        <v>59</v>
      </c>
      <c r="C809" t="s">
        <v>10</v>
      </c>
      <c r="D809" t="s">
        <v>11</v>
      </c>
      <c r="E809">
        <v>202602</v>
      </c>
      <c r="F809" t="s">
        <v>61</v>
      </c>
      <c r="G809">
        <v>0</v>
      </c>
      <c r="H809">
        <v>0</v>
      </c>
      <c r="I809">
        <v>1</v>
      </c>
      <c r="J809">
        <v>1</v>
      </c>
      <c r="K809">
        <v>1</v>
      </c>
      <c r="L809">
        <v>3</v>
      </c>
      <c r="M809">
        <v>0</v>
      </c>
      <c r="N809">
        <v>0</v>
      </c>
      <c r="O809">
        <v>1</v>
      </c>
      <c r="P809">
        <v>0</v>
      </c>
      <c r="Q809">
        <v>1</v>
      </c>
      <c r="R809">
        <v>1</v>
      </c>
      <c r="S809">
        <v>2</v>
      </c>
      <c r="T809">
        <v>1</v>
      </c>
      <c r="U809">
        <v>0</v>
      </c>
      <c r="V809">
        <v>2</v>
      </c>
      <c r="W809">
        <v>0</v>
      </c>
      <c r="X809">
        <v>0</v>
      </c>
      <c r="Y809">
        <v>1</v>
      </c>
      <c r="Z809">
        <v>1</v>
      </c>
      <c r="AA809">
        <v>2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19</v>
      </c>
      <c r="AM809">
        <v>0.66666666666666663</v>
      </c>
      <c r="AN809">
        <v>22.359337245426122</v>
      </c>
    </row>
    <row r="810" spans="1:40" x14ac:dyDescent="0.3">
      <c r="A810" t="s">
        <v>242</v>
      </c>
      <c r="B810" t="s">
        <v>59</v>
      </c>
      <c r="C810" t="s">
        <v>10</v>
      </c>
      <c r="D810" t="s">
        <v>11</v>
      </c>
      <c r="E810">
        <v>202602</v>
      </c>
      <c r="F810" t="s">
        <v>63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2</v>
      </c>
      <c r="AM810">
        <v>0.33333333333333331</v>
      </c>
      <c r="AN810">
        <v>3.6796686227130611</v>
      </c>
    </row>
    <row r="811" spans="1:40" x14ac:dyDescent="0.3">
      <c r="A811" t="s">
        <v>242</v>
      </c>
      <c r="B811" t="s">
        <v>59</v>
      </c>
      <c r="C811" t="s">
        <v>10</v>
      </c>
      <c r="D811" t="s">
        <v>11</v>
      </c>
      <c r="E811">
        <v>202602</v>
      </c>
      <c r="F811" t="s">
        <v>75</v>
      </c>
      <c r="G811">
        <v>0</v>
      </c>
      <c r="H811">
        <v>2</v>
      </c>
      <c r="I811">
        <v>1</v>
      </c>
      <c r="J811">
        <v>4</v>
      </c>
      <c r="K811">
        <v>1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2</v>
      </c>
      <c r="R811">
        <v>1</v>
      </c>
      <c r="S811">
        <v>3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6</v>
      </c>
      <c r="Z811">
        <v>1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24</v>
      </c>
      <c r="AM811">
        <v>2.3333333333333335</v>
      </c>
      <c r="AN811">
        <v>35.757680358991422</v>
      </c>
    </row>
    <row r="812" spans="1:40" x14ac:dyDescent="0.3">
      <c r="A812" t="s">
        <v>242</v>
      </c>
      <c r="B812" t="s">
        <v>59</v>
      </c>
      <c r="C812" t="s">
        <v>10</v>
      </c>
      <c r="D812" t="s">
        <v>11</v>
      </c>
      <c r="E812">
        <v>202602</v>
      </c>
      <c r="F812" t="s">
        <v>257</v>
      </c>
      <c r="G812">
        <v>0</v>
      </c>
      <c r="H812">
        <v>0</v>
      </c>
      <c r="I812">
        <v>0</v>
      </c>
      <c r="J812">
        <v>1</v>
      </c>
      <c r="K812">
        <v>1</v>
      </c>
      <c r="L812">
        <v>2</v>
      </c>
      <c r="M812">
        <v>0</v>
      </c>
      <c r="N812">
        <v>0</v>
      </c>
      <c r="O812">
        <v>0</v>
      </c>
      <c r="P812">
        <v>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7</v>
      </c>
      <c r="AM812">
        <v>0.33333333333333331</v>
      </c>
      <c r="AN812">
        <v>8.6796686227130611</v>
      </c>
    </row>
    <row r="813" spans="1:40" x14ac:dyDescent="0.3">
      <c r="A813" t="s">
        <v>242</v>
      </c>
      <c r="B813" t="s">
        <v>59</v>
      </c>
      <c r="C813" t="s">
        <v>10</v>
      </c>
      <c r="D813" t="s">
        <v>11</v>
      </c>
      <c r="E813">
        <v>202602</v>
      </c>
      <c r="F813" t="s">
        <v>206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2</v>
      </c>
      <c r="AM813">
        <v>0.33333333333333331</v>
      </c>
      <c r="AN813">
        <v>3.6796686227130611</v>
      </c>
    </row>
    <row r="814" spans="1:40" x14ac:dyDescent="0.3">
      <c r="A814" t="s">
        <v>242</v>
      </c>
      <c r="B814" t="s">
        <v>59</v>
      </c>
      <c r="C814" t="s">
        <v>10</v>
      </c>
      <c r="D814" t="s">
        <v>11</v>
      </c>
      <c r="E814">
        <v>202602</v>
      </c>
      <c r="F814" t="s">
        <v>76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1</v>
      </c>
    </row>
    <row r="815" spans="1:40" x14ac:dyDescent="0.3">
      <c r="A815" t="s">
        <v>242</v>
      </c>
      <c r="B815" t="s">
        <v>59</v>
      </c>
      <c r="C815" t="s">
        <v>10</v>
      </c>
      <c r="D815" t="s">
        <v>11</v>
      </c>
      <c r="E815">
        <v>202602</v>
      </c>
      <c r="F815" t="s">
        <v>258</v>
      </c>
      <c r="G815">
        <v>0</v>
      </c>
      <c r="H815">
        <v>1</v>
      </c>
      <c r="I815">
        <v>0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3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7</v>
      </c>
      <c r="AM815">
        <v>0.33333333333333331</v>
      </c>
      <c r="AN815">
        <v>8.6796686227130611</v>
      </c>
    </row>
    <row r="816" spans="1:40" x14ac:dyDescent="0.3">
      <c r="A816" t="s">
        <v>242</v>
      </c>
      <c r="B816" t="s">
        <v>59</v>
      </c>
      <c r="C816" t="s">
        <v>10</v>
      </c>
      <c r="D816" t="s">
        <v>11</v>
      </c>
      <c r="E816">
        <v>202602</v>
      </c>
      <c r="F816" t="s">
        <v>259</v>
      </c>
      <c r="G816">
        <v>0</v>
      </c>
      <c r="H816">
        <v>0</v>
      </c>
      <c r="I816">
        <v>2</v>
      </c>
      <c r="J816">
        <v>2</v>
      </c>
      <c r="K816">
        <v>1</v>
      </c>
      <c r="L816">
        <v>5</v>
      </c>
      <c r="M816">
        <v>0</v>
      </c>
      <c r="N816">
        <v>0</v>
      </c>
      <c r="O816">
        <v>4</v>
      </c>
      <c r="P816">
        <v>1</v>
      </c>
      <c r="Q816">
        <v>2</v>
      </c>
      <c r="R816">
        <v>1</v>
      </c>
      <c r="S816">
        <v>1</v>
      </c>
      <c r="T816">
        <v>1</v>
      </c>
      <c r="U816">
        <v>0</v>
      </c>
      <c r="V816">
        <v>6</v>
      </c>
      <c r="W816">
        <v>0</v>
      </c>
      <c r="X816">
        <v>1</v>
      </c>
      <c r="Y816">
        <v>1</v>
      </c>
      <c r="Z816">
        <v>4</v>
      </c>
      <c r="AA816">
        <v>1</v>
      </c>
      <c r="AB816">
        <v>0</v>
      </c>
      <c r="AC816">
        <v>3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36</v>
      </c>
      <c r="AM816">
        <v>2.6666666666666665</v>
      </c>
      <c r="AN816">
        <v>49.437348981704488</v>
      </c>
    </row>
    <row r="817" spans="1:40" x14ac:dyDescent="0.3">
      <c r="A817" t="s">
        <v>242</v>
      </c>
      <c r="B817" t="s">
        <v>59</v>
      </c>
      <c r="C817" t="s">
        <v>10</v>
      </c>
      <c r="D817" t="s">
        <v>11</v>
      </c>
      <c r="E817">
        <v>202602</v>
      </c>
      <c r="F817" t="s">
        <v>64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5</v>
      </c>
      <c r="AM817">
        <v>0.33333333333333331</v>
      </c>
      <c r="AN817">
        <v>6.6796686227130611</v>
      </c>
    </row>
    <row r="818" spans="1:40" x14ac:dyDescent="0.3">
      <c r="A818" t="s">
        <v>242</v>
      </c>
      <c r="B818" t="s">
        <v>59</v>
      </c>
      <c r="C818" t="s">
        <v>10</v>
      </c>
      <c r="D818" t="s">
        <v>11</v>
      </c>
      <c r="E818">
        <v>202602</v>
      </c>
      <c r="F818" t="s">
        <v>68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0.33333333333333331</v>
      </c>
      <c r="AN818">
        <v>2.6796686227130611</v>
      </c>
    </row>
    <row r="819" spans="1:40" x14ac:dyDescent="0.3">
      <c r="A819" t="s">
        <v>242</v>
      </c>
      <c r="B819" t="s">
        <v>59</v>
      </c>
      <c r="C819" t="s">
        <v>10</v>
      </c>
      <c r="D819" t="s">
        <v>11</v>
      </c>
      <c r="E819">
        <v>202602</v>
      </c>
      <c r="F819" t="s">
        <v>260</v>
      </c>
      <c r="G819">
        <v>0</v>
      </c>
      <c r="H819">
        <v>2</v>
      </c>
      <c r="I819">
        <v>0</v>
      </c>
      <c r="J819">
        <v>3</v>
      </c>
      <c r="K819">
        <v>0</v>
      </c>
      <c r="L819">
        <v>3</v>
      </c>
      <c r="M819">
        <v>2</v>
      </c>
      <c r="N819">
        <v>0</v>
      </c>
      <c r="O819">
        <v>7</v>
      </c>
      <c r="P819">
        <v>1</v>
      </c>
      <c r="Q819">
        <v>4</v>
      </c>
      <c r="R819">
        <v>7</v>
      </c>
      <c r="S819">
        <v>4</v>
      </c>
      <c r="T819">
        <v>1</v>
      </c>
      <c r="U819">
        <v>0</v>
      </c>
      <c r="V819">
        <v>1</v>
      </c>
      <c r="W819">
        <v>0</v>
      </c>
      <c r="X819">
        <v>5</v>
      </c>
      <c r="Y819">
        <v>7</v>
      </c>
      <c r="Z819">
        <v>3</v>
      </c>
      <c r="AA819">
        <v>0</v>
      </c>
      <c r="AB819">
        <v>0</v>
      </c>
      <c r="AC819">
        <v>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54</v>
      </c>
      <c r="AM819">
        <v>4.666666666666667</v>
      </c>
      <c r="AN819">
        <v>77.515360717982844</v>
      </c>
    </row>
    <row r="820" spans="1:40" x14ac:dyDescent="0.3">
      <c r="A820" t="s">
        <v>242</v>
      </c>
      <c r="B820" t="s">
        <v>59</v>
      </c>
      <c r="C820" t="s">
        <v>10</v>
      </c>
      <c r="D820" t="s">
        <v>11</v>
      </c>
      <c r="E820">
        <v>202602</v>
      </c>
      <c r="F820" t="s">
        <v>69</v>
      </c>
      <c r="G820">
        <v>0</v>
      </c>
      <c r="H820">
        <v>1</v>
      </c>
      <c r="I820">
        <v>0</v>
      </c>
      <c r="J820">
        <v>2</v>
      </c>
      <c r="K820">
        <v>4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2</v>
      </c>
      <c r="R820">
        <v>1</v>
      </c>
      <c r="S820">
        <v>0</v>
      </c>
      <c r="T820">
        <v>2</v>
      </c>
      <c r="U820">
        <v>0</v>
      </c>
      <c r="V820">
        <v>2</v>
      </c>
      <c r="W820">
        <v>0</v>
      </c>
      <c r="X820">
        <v>2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17</v>
      </c>
      <c r="AM820">
        <v>0.33333333333333331</v>
      </c>
      <c r="AN820">
        <v>18.679668622713059</v>
      </c>
    </row>
    <row r="821" spans="1:40" x14ac:dyDescent="0.3">
      <c r="A821" t="s">
        <v>242</v>
      </c>
      <c r="B821" t="s">
        <v>59</v>
      </c>
      <c r="C821" t="s">
        <v>10</v>
      </c>
      <c r="D821" t="s">
        <v>11</v>
      </c>
      <c r="E821">
        <v>202602</v>
      </c>
      <c r="F821" t="s">
        <v>261</v>
      </c>
      <c r="G821">
        <v>0</v>
      </c>
      <c r="H821">
        <v>0</v>
      </c>
      <c r="I821">
        <v>1</v>
      </c>
      <c r="J821">
        <v>6</v>
      </c>
      <c r="K821">
        <v>6</v>
      </c>
      <c r="L821">
        <v>2</v>
      </c>
      <c r="M821">
        <v>2</v>
      </c>
      <c r="N821">
        <v>0</v>
      </c>
      <c r="O821">
        <v>2</v>
      </c>
      <c r="P821">
        <v>1</v>
      </c>
      <c r="Q821">
        <v>10</v>
      </c>
      <c r="R821">
        <v>4</v>
      </c>
      <c r="S821">
        <v>1</v>
      </c>
      <c r="T821">
        <v>0</v>
      </c>
      <c r="U821">
        <v>0</v>
      </c>
      <c r="V821">
        <v>1</v>
      </c>
      <c r="W821">
        <v>0</v>
      </c>
      <c r="X821">
        <v>4</v>
      </c>
      <c r="Y821">
        <v>3</v>
      </c>
      <c r="Z821">
        <v>0</v>
      </c>
      <c r="AA821">
        <v>2</v>
      </c>
      <c r="AB821">
        <v>0</v>
      </c>
      <c r="AC821">
        <v>4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49</v>
      </c>
      <c r="AM821">
        <v>2.3333333333333335</v>
      </c>
      <c r="AN821">
        <v>60.757680358991422</v>
      </c>
    </row>
    <row r="822" spans="1:40" x14ac:dyDescent="0.3">
      <c r="A822" t="s">
        <v>242</v>
      </c>
      <c r="B822" t="s">
        <v>59</v>
      </c>
      <c r="C822" t="s">
        <v>10</v>
      </c>
      <c r="D822" t="s">
        <v>11</v>
      </c>
      <c r="E822">
        <v>202602</v>
      </c>
      <c r="F822" t="s">
        <v>72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1</v>
      </c>
    </row>
    <row r="823" spans="1:40" x14ac:dyDescent="0.3">
      <c r="A823" t="s">
        <v>242</v>
      </c>
      <c r="B823" t="s">
        <v>59</v>
      </c>
      <c r="C823" t="s">
        <v>10</v>
      </c>
      <c r="D823" t="s">
        <v>11</v>
      </c>
      <c r="E823">
        <v>202602</v>
      </c>
      <c r="F823" t="s">
        <v>211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</v>
      </c>
      <c r="AM823">
        <v>0</v>
      </c>
      <c r="AN823">
        <v>2</v>
      </c>
    </row>
    <row r="824" spans="1:40" x14ac:dyDescent="0.3">
      <c r="A824" t="s">
        <v>242</v>
      </c>
      <c r="B824" t="s">
        <v>59</v>
      </c>
      <c r="C824" t="s">
        <v>10</v>
      </c>
      <c r="D824" t="s">
        <v>11</v>
      </c>
      <c r="E824">
        <v>202602</v>
      </c>
      <c r="F824" t="s">
        <v>262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5</v>
      </c>
      <c r="AM824">
        <v>0.66666666666666663</v>
      </c>
      <c r="AN824">
        <v>8.3593372454261221</v>
      </c>
    </row>
    <row r="825" spans="1:40" x14ac:dyDescent="0.3">
      <c r="A825" t="s">
        <v>242</v>
      </c>
      <c r="B825" t="s">
        <v>59</v>
      </c>
      <c r="C825" t="s">
        <v>10</v>
      </c>
      <c r="D825" t="s">
        <v>11</v>
      </c>
      <c r="E825">
        <v>202602</v>
      </c>
      <c r="F825" t="s">
        <v>263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3</v>
      </c>
      <c r="AM825">
        <v>0</v>
      </c>
      <c r="AN825">
        <v>3</v>
      </c>
    </row>
    <row r="826" spans="1:40" x14ac:dyDescent="0.3">
      <c r="A826" t="s">
        <v>242</v>
      </c>
      <c r="B826" t="s">
        <v>59</v>
      </c>
      <c r="C826" t="s">
        <v>10</v>
      </c>
      <c r="D826" t="s">
        <v>11</v>
      </c>
      <c r="E826">
        <v>202602</v>
      </c>
      <c r="F826" t="s">
        <v>77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0.33333333333333331</v>
      </c>
      <c r="AN826">
        <v>2.6796686227130611</v>
      </c>
    </row>
    <row r="827" spans="1:40" x14ac:dyDescent="0.3">
      <c r="A827" t="s">
        <v>242</v>
      </c>
      <c r="B827" t="s">
        <v>59</v>
      </c>
      <c r="C827" t="s">
        <v>10</v>
      </c>
      <c r="D827" t="s">
        <v>11</v>
      </c>
      <c r="E827">
        <v>202602</v>
      </c>
      <c r="F827" t="s">
        <v>264</v>
      </c>
      <c r="G827">
        <v>0</v>
      </c>
      <c r="H827">
        <v>0</v>
      </c>
      <c r="I827">
        <v>1</v>
      </c>
      <c r="J827">
        <v>3</v>
      </c>
      <c r="K827">
        <v>2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2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1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13</v>
      </c>
      <c r="AM827">
        <v>0.66666666666666663</v>
      </c>
      <c r="AN827">
        <v>16.359337245426122</v>
      </c>
    </row>
    <row r="828" spans="1:40" x14ac:dyDescent="0.3">
      <c r="A828" t="s">
        <v>242</v>
      </c>
      <c r="B828" t="s">
        <v>59</v>
      </c>
      <c r="C828" t="s">
        <v>10</v>
      </c>
      <c r="D828" t="s">
        <v>11</v>
      </c>
      <c r="E828">
        <v>202602</v>
      </c>
      <c r="F828" t="s">
        <v>265</v>
      </c>
      <c r="G828">
        <v>0</v>
      </c>
      <c r="H828">
        <v>0</v>
      </c>
      <c r="I828">
        <v>0</v>
      </c>
      <c r="J828">
        <v>1</v>
      </c>
      <c r="K828">
        <v>1</v>
      </c>
      <c r="L828">
        <v>3</v>
      </c>
      <c r="M828">
        <v>2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2</v>
      </c>
      <c r="Y828">
        <v>0</v>
      </c>
      <c r="Z828">
        <v>1</v>
      </c>
      <c r="AA828">
        <v>0</v>
      </c>
      <c r="AB828">
        <v>0</v>
      </c>
      <c r="AC828">
        <v>4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16</v>
      </c>
      <c r="AM828">
        <v>1.6666666666666667</v>
      </c>
      <c r="AN828">
        <v>24.398343113565303</v>
      </c>
    </row>
    <row r="829" spans="1:40" x14ac:dyDescent="0.3">
      <c r="A829" t="s">
        <v>242</v>
      </c>
      <c r="B829" t="s">
        <v>59</v>
      </c>
      <c r="C829" t="s">
        <v>10</v>
      </c>
      <c r="D829" t="s">
        <v>11</v>
      </c>
      <c r="E829">
        <v>202602</v>
      </c>
      <c r="F829" t="s">
        <v>551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1</v>
      </c>
    </row>
    <row r="830" spans="1:40" x14ac:dyDescent="0.3">
      <c r="A830" t="s">
        <v>242</v>
      </c>
      <c r="B830" t="s">
        <v>59</v>
      </c>
      <c r="C830" t="s">
        <v>10</v>
      </c>
      <c r="D830" t="s">
        <v>11</v>
      </c>
      <c r="E830">
        <v>202602</v>
      </c>
      <c r="F830" t="s">
        <v>266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2</v>
      </c>
      <c r="AM830">
        <v>0</v>
      </c>
      <c r="AN830">
        <v>2</v>
      </c>
    </row>
    <row r="831" spans="1:40" x14ac:dyDescent="0.3">
      <c r="A831" t="s">
        <v>242</v>
      </c>
      <c r="B831" t="s">
        <v>59</v>
      </c>
      <c r="C831" t="s">
        <v>10</v>
      </c>
      <c r="D831" t="s">
        <v>11</v>
      </c>
      <c r="E831">
        <v>202602</v>
      </c>
      <c r="F831" t="s">
        <v>78</v>
      </c>
      <c r="G831">
        <v>0</v>
      </c>
      <c r="H831">
        <v>0</v>
      </c>
      <c r="I831">
        <v>0</v>
      </c>
      <c r="J831">
        <v>0</v>
      </c>
      <c r="K831">
        <v>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2</v>
      </c>
      <c r="AM831">
        <v>0</v>
      </c>
      <c r="AN831">
        <v>2</v>
      </c>
    </row>
    <row r="832" spans="1:40" x14ac:dyDescent="0.3">
      <c r="A832" t="s">
        <v>242</v>
      </c>
      <c r="B832" t="s">
        <v>59</v>
      </c>
      <c r="C832" t="s">
        <v>10</v>
      </c>
      <c r="D832" t="s">
        <v>11</v>
      </c>
      <c r="E832">
        <v>202602</v>
      </c>
      <c r="F832" t="s">
        <v>79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2</v>
      </c>
      <c r="AM832">
        <v>0</v>
      </c>
      <c r="AN832">
        <v>2</v>
      </c>
    </row>
    <row r="833" spans="1:40" x14ac:dyDescent="0.3">
      <c r="A833" t="s">
        <v>242</v>
      </c>
      <c r="B833" t="s">
        <v>59</v>
      </c>
      <c r="C833" t="s">
        <v>10</v>
      </c>
      <c r="D833" t="s">
        <v>14</v>
      </c>
      <c r="E833">
        <v>202602</v>
      </c>
      <c r="F833" t="s">
        <v>61</v>
      </c>
      <c r="G833">
        <v>0</v>
      </c>
      <c r="H833">
        <v>1</v>
      </c>
      <c r="I833">
        <v>3</v>
      </c>
      <c r="J833">
        <v>4</v>
      </c>
      <c r="K833">
        <v>3</v>
      </c>
      <c r="L833">
        <v>1</v>
      </c>
      <c r="M833">
        <v>0</v>
      </c>
      <c r="N833">
        <v>0</v>
      </c>
      <c r="O833">
        <v>2</v>
      </c>
      <c r="P833">
        <v>1</v>
      </c>
      <c r="Q833">
        <v>4</v>
      </c>
      <c r="R833">
        <v>3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4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29</v>
      </c>
      <c r="AM833">
        <v>1.6666666666666667</v>
      </c>
      <c r="AN833">
        <v>36.171207139501249</v>
      </c>
    </row>
    <row r="834" spans="1:40" x14ac:dyDescent="0.3">
      <c r="A834" t="s">
        <v>242</v>
      </c>
      <c r="B834" t="s">
        <v>59</v>
      </c>
      <c r="C834" t="s">
        <v>10</v>
      </c>
      <c r="D834" t="s">
        <v>14</v>
      </c>
      <c r="E834">
        <v>202602</v>
      </c>
      <c r="F834" t="s">
        <v>63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3</v>
      </c>
      <c r="AM834">
        <v>0</v>
      </c>
      <c r="AN834">
        <v>3</v>
      </c>
    </row>
    <row r="835" spans="1:40" x14ac:dyDescent="0.3">
      <c r="A835" t="s">
        <v>242</v>
      </c>
      <c r="B835" t="s">
        <v>59</v>
      </c>
      <c r="C835" t="s">
        <v>10</v>
      </c>
      <c r="D835" t="s">
        <v>14</v>
      </c>
      <c r="E835">
        <v>202602</v>
      </c>
      <c r="F835" t="s">
        <v>75</v>
      </c>
      <c r="G835">
        <v>0</v>
      </c>
      <c r="H835">
        <v>4</v>
      </c>
      <c r="I835">
        <v>1</v>
      </c>
      <c r="J835">
        <v>2</v>
      </c>
      <c r="K835">
        <v>1</v>
      </c>
      <c r="L835">
        <v>3</v>
      </c>
      <c r="M835">
        <v>0</v>
      </c>
      <c r="N835">
        <v>0</v>
      </c>
      <c r="O835">
        <v>6</v>
      </c>
      <c r="P835">
        <v>2</v>
      </c>
      <c r="Q835">
        <v>3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6</v>
      </c>
      <c r="Y835">
        <v>1</v>
      </c>
      <c r="Z835">
        <v>0</v>
      </c>
      <c r="AA835">
        <v>0</v>
      </c>
      <c r="AB835">
        <v>0</v>
      </c>
      <c r="AC835">
        <v>3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34</v>
      </c>
      <c r="AM835">
        <v>1.3333333333333333</v>
      </c>
      <c r="AN835">
        <v>39.736965711601002</v>
      </c>
    </row>
    <row r="836" spans="1:40" x14ac:dyDescent="0.3">
      <c r="A836" t="s">
        <v>242</v>
      </c>
      <c r="B836" t="s">
        <v>59</v>
      </c>
      <c r="C836" t="s">
        <v>10</v>
      </c>
      <c r="D836" t="s">
        <v>14</v>
      </c>
      <c r="E836">
        <v>202602</v>
      </c>
      <c r="F836" t="s">
        <v>257</v>
      </c>
      <c r="G836">
        <v>0</v>
      </c>
      <c r="H836">
        <v>3</v>
      </c>
      <c r="I836">
        <v>2</v>
      </c>
      <c r="J836">
        <v>2</v>
      </c>
      <c r="K836">
        <v>0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2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14</v>
      </c>
      <c r="AM836">
        <v>1</v>
      </c>
      <c r="AN836">
        <v>18.302724283700751</v>
      </c>
    </row>
    <row r="837" spans="1:40" x14ac:dyDescent="0.3">
      <c r="A837" t="s">
        <v>242</v>
      </c>
      <c r="B837" t="s">
        <v>59</v>
      </c>
      <c r="C837" t="s">
        <v>10</v>
      </c>
      <c r="D837" t="s">
        <v>14</v>
      </c>
      <c r="E837">
        <v>202602</v>
      </c>
      <c r="F837" t="s">
        <v>206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3</v>
      </c>
      <c r="AM837">
        <v>0.33333333333333331</v>
      </c>
      <c r="AN837">
        <v>4.4342414279002504</v>
      </c>
    </row>
    <row r="838" spans="1:40" x14ac:dyDescent="0.3">
      <c r="A838" t="s">
        <v>242</v>
      </c>
      <c r="B838" t="s">
        <v>59</v>
      </c>
      <c r="C838" t="s">
        <v>10</v>
      </c>
      <c r="D838" t="s">
        <v>14</v>
      </c>
      <c r="E838">
        <v>202602</v>
      </c>
      <c r="F838" t="s">
        <v>258</v>
      </c>
      <c r="G838">
        <v>0</v>
      </c>
      <c r="H838">
        <v>1</v>
      </c>
      <c r="I838">
        <v>1</v>
      </c>
      <c r="J838">
        <v>1</v>
      </c>
      <c r="K838">
        <v>2</v>
      </c>
      <c r="L838">
        <v>1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9</v>
      </c>
      <c r="AM838">
        <v>0.66666666666666663</v>
      </c>
      <c r="AN838">
        <v>11.868482855800501</v>
      </c>
    </row>
    <row r="839" spans="1:40" x14ac:dyDescent="0.3">
      <c r="A839" t="s">
        <v>242</v>
      </c>
      <c r="B839" t="s">
        <v>59</v>
      </c>
      <c r="C839" t="s">
        <v>10</v>
      </c>
      <c r="D839" t="s">
        <v>14</v>
      </c>
      <c r="E839">
        <v>202602</v>
      </c>
      <c r="F839" t="s">
        <v>259</v>
      </c>
      <c r="G839">
        <v>0</v>
      </c>
      <c r="H839">
        <v>4</v>
      </c>
      <c r="I839">
        <v>3</v>
      </c>
      <c r="J839">
        <v>3</v>
      </c>
      <c r="K839">
        <v>1</v>
      </c>
      <c r="L839">
        <v>7</v>
      </c>
      <c r="M839">
        <v>0</v>
      </c>
      <c r="N839">
        <v>0</v>
      </c>
      <c r="O839">
        <v>4</v>
      </c>
      <c r="P839">
        <v>6</v>
      </c>
      <c r="Q839">
        <v>4</v>
      </c>
      <c r="R839">
        <v>5</v>
      </c>
      <c r="S839">
        <v>2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3</v>
      </c>
      <c r="Z839">
        <v>1</v>
      </c>
      <c r="AA839">
        <v>1</v>
      </c>
      <c r="AB839">
        <v>0</v>
      </c>
      <c r="AC839">
        <v>5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50</v>
      </c>
      <c r="AM839">
        <v>3</v>
      </c>
      <c r="AN839">
        <v>62.90817285110225</v>
      </c>
    </row>
    <row r="840" spans="1:40" x14ac:dyDescent="0.3">
      <c r="A840" t="s">
        <v>242</v>
      </c>
      <c r="B840" t="s">
        <v>59</v>
      </c>
      <c r="C840" t="s">
        <v>10</v>
      </c>
      <c r="D840" t="s">
        <v>14</v>
      </c>
      <c r="E840">
        <v>202602</v>
      </c>
      <c r="F840" t="s">
        <v>64</v>
      </c>
      <c r="G840">
        <v>0</v>
      </c>
      <c r="H840">
        <v>0</v>
      </c>
      <c r="I840">
        <v>1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3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6</v>
      </c>
      <c r="AM840">
        <v>0</v>
      </c>
      <c r="AN840">
        <v>6</v>
      </c>
    </row>
    <row r="841" spans="1:40" x14ac:dyDescent="0.3">
      <c r="A841" t="s">
        <v>242</v>
      </c>
      <c r="B841" t="s">
        <v>59</v>
      </c>
      <c r="C841" t="s">
        <v>10</v>
      </c>
      <c r="D841" t="s">
        <v>14</v>
      </c>
      <c r="E841">
        <v>202602</v>
      </c>
      <c r="F841" t="s">
        <v>66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</v>
      </c>
      <c r="AM841">
        <v>0.33333333333333331</v>
      </c>
      <c r="AN841">
        <v>3.43424142790025</v>
      </c>
    </row>
    <row r="842" spans="1:40" x14ac:dyDescent="0.3">
      <c r="A842" t="s">
        <v>242</v>
      </c>
      <c r="B842" t="s">
        <v>59</v>
      </c>
      <c r="C842" t="s">
        <v>10</v>
      </c>
      <c r="D842" t="s">
        <v>14</v>
      </c>
      <c r="E842">
        <v>202602</v>
      </c>
      <c r="F842" t="s">
        <v>68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0.33333333333333331</v>
      </c>
      <c r="AN842">
        <v>2.43424142790025</v>
      </c>
    </row>
    <row r="843" spans="1:40" x14ac:dyDescent="0.3">
      <c r="A843" t="s">
        <v>242</v>
      </c>
      <c r="B843" t="s">
        <v>59</v>
      </c>
      <c r="C843" t="s">
        <v>10</v>
      </c>
      <c r="D843" t="s">
        <v>14</v>
      </c>
      <c r="E843">
        <v>202602</v>
      </c>
      <c r="F843" t="s">
        <v>260</v>
      </c>
      <c r="G843">
        <v>0</v>
      </c>
      <c r="H843">
        <v>2</v>
      </c>
      <c r="I843">
        <v>1</v>
      </c>
      <c r="J843">
        <v>2</v>
      </c>
      <c r="K843">
        <v>7</v>
      </c>
      <c r="L843">
        <v>6</v>
      </c>
      <c r="M843">
        <v>0</v>
      </c>
      <c r="N843">
        <v>0</v>
      </c>
      <c r="O843">
        <v>6</v>
      </c>
      <c r="P843">
        <v>5</v>
      </c>
      <c r="Q843">
        <v>4</v>
      </c>
      <c r="R843">
        <v>6</v>
      </c>
      <c r="S843">
        <v>7</v>
      </c>
      <c r="T843">
        <v>0</v>
      </c>
      <c r="U843">
        <v>0</v>
      </c>
      <c r="V843">
        <v>4</v>
      </c>
      <c r="W843">
        <v>1</v>
      </c>
      <c r="X843">
        <v>5</v>
      </c>
      <c r="Y843">
        <v>6</v>
      </c>
      <c r="Z843">
        <v>3</v>
      </c>
      <c r="AA843">
        <v>0</v>
      </c>
      <c r="AB843">
        <v>0</v>
      </c>
      <c r="AC843">
        <v>4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69</v>
      </c>
      <c r="AM843">
        <v>4.333333333333333</v>
      </c>
      <c r="AN843">
        <v>87.645138562703252</v>
      </c>
    </row>
    <row r="844" spans="1:40" x14ac:dyDescent="0.3">
      <c r="A844" t="s">
        <v>242</v>
      </c>
      <c r="B844" t="s">
        <v>59</v>
      </c>
      <c r="C844" t="s">
        <v>10</v>
      </c>
      <c r="D844" t="s">
        <v>14</v>
      </c>
      <c r="E844">
        <v>202602</v>
      </c>
      <c r="F844" t="s">
        <v>69</v>
      </c>
      <c r="G844">
        <v>0</v>
      </c>
      <c r="H844">
        <v>2</v>
      </c>
      <c r="I844">
        <v>3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4</v>
      </c>
      <c r="P844">
        <v>4</v>
      </c>
      <c r="Q844">
        <v>3</v>
      </c>
      <c r="R844">
        <v>0</v>
      </c>
      <c r="S844">
        <v>3</v>
      </c>
      <c r="T844">
        <v>1</v>
      </c>
      <c r="U844">
        <v>0</v>
      </c>
      <c r="V844">
        <v>0</v>
      </c>
      <c r="W844">
        <v>1</v>
      </c>
      <c r="X844">
        <v>1</v>
      </c>
      <c r="Y844">
        <v>1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25</v>
      </c>
      <c r="AM844">
        <v>0.33333333333333331</v>
      </c>
      <c r="AN844">
        <v>26.43424142790025</v>
      </c>
    </row>
    <row r="845" spans="1:40" x14ac:dyDescent="0.3">
      <c r="A845" t="s">
        <v>242</v>
      </c>
      <c r="B845" t="s">
        <v>59</v>
      </c>
      <c r="C845" t="s">
        <v>10</v>
      </c>
      <c r="D845" t="s">
        <v>14</v>
      </c>
      <c r="E845">
        <v>202602</v>
      </c>
      <c r="F845" t="s">
        <v>70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</v>
      </c>
      <c r="AM845">
        <v>0.33333333333333331</v>
      </c>
      <c r="AN845">
        <v>2.43424142790025</v>
      </c>
    </row>
    <row r="846" spans="1:40" x14ac:dyDescent="0.3">
      <c r="A846" t="s">
        <v>242</v>
      </c>
      <c r="B846" t="s">
        <v>59</v>
      </c>
      <c r="C846" t="s">
        <v>10</v>
      </c>
      <c r="D846" t="s">
        <v>14</v>
      </c>
      <c r="E846">
        <v>202602</v>
      </c>
      <c r="F846" t="s">
        <v>261</v>
      </c>
      <c r="G846">
        <v>0</v>
      </c>
      <c r="H846">
        <v>13</v>
      </c>
      <c r="I846">
        <v>6</v>
      </c>
      <c r="J846">
        <v>4</v>
      </c>
      <c r="K846">
        <v>2</v>
      </c>
      <c r="L846">
        <v>0</v>
      </c>
      <c r="M846">
        <v>0</v>
      </c>
      <c r="N846">
        <v>0</v>
      </c>
      <c r="O846">
        <v>11</v>
      </c>
      <c r="P846">
        <v>5</v>
      </c>
      <c r="Q846">
        <v>1</v>
      </c>
      <c r="R846">
        <v>3</v>
      </c>
      <c r="S846">
        <v>8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7</v>
      </c>
      <c r="Z846">
        <v>3</v>
      </c>
      <c r="AA846">
        <v>0</v>
      </c>
      <c r="AB846">
        <v>0</v>
      </c>
      <c r="AC846">
        <v>4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67</v>
      </c>
      <c r="AM846">
        <v>4.666666666666667</v>
      </c>
      <c r="AN846">
        <v>87.079379990603499</v>
      </c>
    </row>
    <row r="847" spans="1:40" x14ac:dyDescent="0.3">
      <c r="A847" t="s">
        <v>242</v>
      </c>
      <c r="B847" t="s">
        <v>59</v>
      </c>
      <c r="C847" t="s">
        <v>10</v>
      </c>
      <c r="D847" t="s">
        <v>14</v>
      </c>
      <c r="E847">
        <v>202602</v>
      </c>
      <c r="F847" t="s">
        <v>72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</v>
      </c>
      <c r="AM847">
        <v>0.33333333333333331</v>
      </c>
      <c r="AN847">
        <v>3.43424142790025</v>
      </c>
    </row>
    <row r="848" spans="1:40" x14ac:dyDescent="0.3">
      <c r="A848" t="s">
        <v>242</v>
      </c>
      <c r="B848" t="s">
        <v>59</v>
      </c>
      <c r="C848" t="s">
        <v>10</v>
      </c>
      <c r="D848" t="s">
        <v>14</v>
      </c>
      <c r="E848">
        <v>202602</v>
      </c>
      <c r="F848" t="s">
        <v>306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1</v>
      </c>
    </row>
    <row r="849" spans="1:40" x14ac:dyDescent="0.3">
      <c r="A849" t="s">
        <v>242</v>
      </c>
      <c r="B849" t="s">
        <v>59</v>
      </c>
      <c r="C849" t="s">
        <v>10</v>
      </c>
      <c r="D849" t="s">
        <v>14</v>
      </c>
      <c r="E849">
        <v>202602</v>
      </c>
      <c r="F849" t="s">
        <v>211</v>
      </c>
      <c r="G849">
        <v>0</v>
      </c>
      <c r="H849">
        <v>0</v>
      </c>
      <c r="I849">
        <v>0</v>
      </c>
      <c r="J849">
        <v>0</v>
      </c>
      <c r="K849">
        <v>3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2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7</v>
      </c>
      <c r="AM849">
        <v>1</v>
      </c>
      <c r="AN849">
        <v>11.302724283700751</v>
      </c>
    </row>
    <row r="850" spans="1:40" x14ac:dyDescent="0.3">
      <c r="A850" t="s">
        <v>242</v>
      </c>
      <c r="B850" t="s">
        <v>59</v>
      </c>
      <c r="C850" t="s">
        <v>10</v>
      </c>
      <c r="D850" t="s">
        <v>14</v>
      </c>
      <c r="E850">
        <v>202602</v>
      </c>
      <c r="F850" t="s">
        <v>262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5</v>
      </c>
      <c r="AM850">
        <v>1</v>
      </c>
      <c r="AN850">
        <v>9.3027242837007513</v>
      </c>
    </row>
    <row r="851" spans="1:40" x14ac:dyDescent="0.3">
      <c r="A851" t="s">
        <v>242</v>
      </c>
      <c r="B851" t="s">
        <v>59</v>
      </c>
      <c r="C851" t="s">
        <v>10</v>
      </c>
      <c r="D851" t="s">
        <v>14</v>
      </c>
      <c r="E851">
        <v>202602</v>
      </c>
      <c r="F851" t="s">
        <v>263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1</v>
      </c>
    </row>
    <row r="852" spans="1:40" x14ac:dyDescent="0.3">
      <c r="A852" t="s">
        <v>242</v>
      </c>
      <c r="B852" t="s">
        <v>59</v>
      </c>
      <c r="C852" t="s">
        <v>10</v>
      </c>
      <c r="D852" t="s">
        <v>14</v>
      </c>
      <c r="E852">
        <v>202602</v>
      </c>
      <c r="F852" t="s">
        <v>77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0.33333333333333331</v>
      </c>
      <c r="AN852">
        <v>2.43424142790025</v>
      </c>
    </row>
    <row r="853" spans="1:40" x14ac:dyDescent="0.3">
      <c r="A853" t="s">
        <v>242</v>
      </c>
      <c r="B853" t="s">
        <v>59</v>
      </c>
      <c r="C853" t="s">
        <v>10</v>
      </c>
      <c r="D853" t="s">
        <v>14</v>
      </c>
      <c r="E853">
        <v>202602</v>
      </c>
      <c r="F853" t="s">
        <v>264</v>
      </c>
      <c r="G853">
        <v>0</v>
      </c>
      <c r="H853">
        <v>4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2</v>
      </c>
      <c r="R853">
        <v>2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11</v>
      </c>
      <c r="AM853">
        <v>0</v>
      </c>
      <c r="AN853">
        <v>11</v>
      </c>
    </row>
    <row r="854" spans="1:40" x14ac:dyDescent="0.3">
      <c r="A854" t="s">
        <v>242</v>
      </c>
      <c r="B854" t="s">
        <v>59</v>
      </c>
      <c r="C854" t="s">
        <v>10</v>
      </c>
      <c r="D854" t="s">
        <v>14</v>
      </c>
      <c r="E854">
        <v>202602</v>
      </c>
      <c r="F854" t="s">
        <v>265</v>
      </c>
      <c r="G854">
        <v>0</v>
      </c>
      <c r="H854">
        <v>0</v>
      </c>
      <c r="I854">
        <v>3</v>
      </c>
      <c r="J854">
        <v>2</v>
      </c>
      <c r="K854">
        <v>4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1</v>
      </c>
      <c r="R854">
        <v>0</v>
      </c>
      <c r="S854">
        <v>1</v>
      </c>
      <c r="T854">
        <v>0</v>
      </c>
      <c r="U854">
        <v>0</v>
      </c>
      <c r="V854">
        <v>1</v>
      </c>
      <c r="W854">
        <v>0</v>
      </c>
      <c r="X854">
        <v>2</v>
      </c>
      <c r="Y854">
        <v>3</v>
      </c>
      <c r="Z854">
        <v>1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20</v>
      </c>
      <c r="AM854">
        <v>1.6666666666666667</v>
      </c>
      <c r="AN854">
        <v>27.171207139501249</v>
      </c>
    </row>
    <row r="855" spans="1:40" x14ac:dyDescent="0.3">
      <c r="A855" t="s">
        <v>242</v>
      </c>
      <c r="B855" t="s">
        <v>59</v>
      </c>
      <c r="C855" t="s">
        <v>10</v>
      </c>
      <c r="D855" t="s">
        <v>14</v>
      </c>
      <c r="E855">
        <v>202602</v>
      </c>
      <c r="F855" t="s">
        <v>551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1</v>
      </c>
    </row>
    <row r="856" spans="1:40" x14ac:dyDescent="0.3">
      <c r="A856" t="s">
        <v>242</v>
      </c>
      <c r="B856" t="s">
        <v>59</v>
      </c>
      <c r="C856" t="s">
        <v>10</v>
      </c>
      <c r="D856" t="s">
        <v>14</v>
      </c>
      <c r="E856">
        <v>202602</v>
      </c>
      <c r="F856" t="s">
        <v>266</v>
      </c>
      <c r="G856">
        <v>0</v>
      </c>
      <c r="H856">
        <v>0</v>
      </c>
      <c r="I856">
        <v>0</v>
      </c>
      <c r="J856">
        <v>1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</v>
      </c>
      <c r="AM856">
        <v>0</v>
      </c>
      <c r="AN856">
        <v>2</v>
      </c>
    </row>
    <row r="857" spans="1:40" x14ac:dyDescent="0.3">
      <c r="A857" t="s">
        <v>242</v>
      </c>
      <c r="B857" t="s">
        <v>59</v>
      </c>
      <c r="C857" t="s">
        <v>10</v>
      </c>
      <c r="D857" t="s">
        <v>14</v>
      </c>
      <c r="E857">
        <v>202602</v>
      </c>
      <c r="F857" t="s">
        <v>78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</v>
      </c>
      <c r="AM857">
        <v>0</v>
      </c>
      <c r="AN857">
        <v>2</v>
      </c>
    </row>
    <row r="858" spans="1:40" x14ac:dyDescent="0.3">
      <c r="A858" t="s">
        <v>242</v>
      </c>
      <c r="B858" t="s">
        <v>59</v>
      </c>
      <c r="C858" t="s">
        <v>10</v>
      </c>
      <c r="D858" t="s">
        <v>14</v>
      </c>
      <c r="E858">
        <v>202602</v>
      </c>
      <c r="F858" t="s">
        <v>79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3</v>
      </c>
      <c r="AM858">
        <v>0</v>
      </c>
      <c r="AN858">
        <v>3</v>
      </c>
    </row>
    <row r="859" spans="1:40" x14ac:dyDescent="0.3">
      <c r="A859" t="s">
        <v>242</v>
      </c>
      <c r="B859" t="s">
        <v>81</v>
      </c>
      <c r="C859" t="s">
        <v>10</v>
      </c>
      <c r="D859" t="s">
        <v>11</v>
      </c>
      <c r="E859">
        <v>202602</v>
      </c>
      <c r="F859" t="s">
        <v>267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3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7</v>
      </c>
      <c r="AM859">
        <v>0.33333333333333331</v>
      </c>
      <c r="AN859">
        <v>8.6796686227130611</v>
      </c>
    </row>
    <row r="860" spans="1:40" x14ac:dyDescent="0.3">
      <c r="A860" t="s">
        <v>242</v>
      </c>
      <c r="B860" t="s">
        <v>81</v>
      </c>
      <c r="C860" t="s">
        <v>10</v>
      </c>
      <c r="D860" t="s">
        <v>11</v>
      </c>
      <c r="E860">
        <v>202602</v>
      </c>
      <c r="F860" t="s">
        <v>83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</v>
      </c>
      <c r="AM860">
        <v>0</v>
      </c>
      <c r="AN860">
        <v>2</v>
      </c>
    </row>
    <row r="861" spans="1:40" x14ac:dyDescent="0.3">
      <c r="A861" t="s">
        <v>242</v>
      </c>
      <c r="B861" t="s">
        <v>81</v>
      </c>
      <c r="C861" t="s">
        <v>10</v>
      </c>
      <c r="D861" t="s">
        <v>11</v>
      </c>
      <c r="E861">
        <v>202602</v>
      </c>
      <c r="F861" t="s">
        <v>268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1</v>
      </c>
    </row>
    <row r="862" spans="1:40" x14ac:dyDescent="0.3">
      <c r="A862" t="s">
        <v>242</v>
      </c>
      <c r="B862" t="s">
        <v>81</v>
      </c>
      <c r="C862" t="s">
        <v>10</v>
      </c>
      <c r="D862" t="s">
        <v>11</v>
      </c>
      <c r="E862">
        <v>202602</v>
      </c>
      <c r="F862" t="s">
        <v>86</v>
      </c>
      <c r="G862">
        <v>0</v>
      </c>
      <c r="H862">
        <v>1</v>
      </c>
      <c r="I862">
        <v>1</v>
      </c>
      <c r="J862">
        <v>1</v>
      </c>
      <c r="K862">
        <v>1</v>
      </c>
      <c r="L862">
        <v>0</v>
      </c>
      <c r="M862">
        <v>1</v>
      </c>
      <c r="N862">
        <v>0</v>
      </c>
      <c r="O862">
        <v>3</v>
      </c>
      <c r="P862">
        <v>0</v>
      </c>
      <c r="Q862">
        <v>2</v>
      </c>
      <c r="R862">
        <v>1</v>
      </c>
      <c r="S862">
        <v>4</v>
      </c>
      <c r="T862">
        <v>3</v>
      </c>
      <c r="U862">
        <v>0</v>
      </c>
      <c r="V862">
        <v>2</v>
      </c>
      <c r="W862">
        <v>0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23</v>
      </c>
      <c r="AM862">
        <v>0.33333333333333331</v>
      </c>
      <c r="AN862">
        <v>24.679668622713059</v>
      </c>
    </row>
    <row r="863" spans="1:40" x14ac:dyDescent="0.3">
      <c r="A863" t="s">
        <v>242</v>
      </c>
      <c r="B863" t="s">
        <v>81</v>
      </c>
      <c r="C863" t="s">
        <v>10</v>
      </c>
      <c r="D863" t="s">
        <v>11</v>
      </c>
      <c r="E863">
        <v>202602</v>
      </c>
      <c r="F863" t="s">
        <v>269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1</v>
      </c>
    </row>
    <row r="864" spans="1:40" x14ac:dyDescent="0.3">
      <c r="A864" t="s">
        <v>242</v>
      </c>
      <c r="B864" t="s">
        <v>81</v>
      </c>
      <c r="C864" t="s">
        <v>10</v>
      </c>
      <c r="D864" t="s">
        <v>11</v>
      </c>
      <c r="E864">
        <v>202602</v>
      </c>
      <c r="F864" t="s">
        <v>270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4</v>
      </c>
      <c r="AM864">
        <v>0.33333333333333331</v>
      </c>
      <c r="AN864">
        <v>5.6796686227130611</v>
      </c>
    </row>
    <row r="865" spans="1:40" x14ac:dyDescent="0.3">
      <c r="A865" t="s">
        <v>242</v>
      </c>
      <c r="B865" t="s">
        <v>81</v>
      </c>
      <c r="C865" t="s">
        <v>10</v>
      </c>
      <c r="D865" t="s">
        <v>11</v>
      </c>
      <c r="E865">
        <v>202602</v>
      </c>
      <c r="F865" t="s">
        <v>271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3</v>
      </c>
      <c r="AM865">
        <v>0</v>
      </c>
      <c r="AN865">
        <v>3</v>
      </c>
    </row>
    <row r="866" spans="1:40" x14ac:dyDescent="0.3">
      <c r="A866" t="s">
        <v>242</v>
      </c>
      <c r="B866" t="s">
        <v>81</v>
      </c>
      <c r="C866" t="s">
        <v>10</v>
      </c>
      <c r="D866" t="s">
        <v>11</v>
      </c>
      <c r="E866">
        <v>202602</v>
      </c>
      <c r="F866" t="s">
        <v>272</v>
      </c>
      <c r="G866">
        <v>0</v>
      </c>
      <c r="H866">
        <v>0</v>
      </c>
      <c r="I866">
        <v>0</v>
      </c>
      <c r="J866">
        <v>1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2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7</v>
      </c>
      <c r="AM866">
        <v>1</v>
      </c>
      <c r="AN866">
        <v>12.039005868139181</v>
      </c>
    </row>
    <row r="867" spans="1:40" x14ac:dyDescent="0.3">
      <c r="A867" t="s">
        <v>242</v>
      </c>
      <c r="B867" t="s">
        <v>81</v>
      </c>
      <c r="C867" t="s">
        <v>10</v>
      </c>
      <c r="D867" t="s">
        <v>11</v>
      </c>
      <c r="E867">
        <v>202602</v>
      </c>
      <c r="F867" t="s">
        <v>273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1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6</v>
      </c>
      <c r="AM867">
        <v>0.33333333333333331</v>
      </c>
      <c r="AN867">
        <v>7.6796686227130611</v>
      </c>
    </row>
    <row r="868" spans="1:40" x14ac:dyDescent="0.3">
      <c r="A868" t="s">
        <v>242</v>
      </c>
      <c r="B868" t="s">
        <v>81</v>
      </c>
      <c r="C868" t="s">
        <v>10</v>
      </c>
      <c r="D868" t="s">
        <v>11</v>
      </c>
      <c r="E868">
        <v>202602</v>
      </c>
      <c r="F868" t="s">
        <v>276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</v>
      </c>
      <c r="AM868">
        <v>0.33333333333333331</v>
      </c>
      <c r="AN868">
        <v>3.6796686227130611</v>
      </c>
    </row>
    <row r="869" spans="1:40" x14ac:dyDescent="0.3">
      <c r="A869" t="s">
        <v>242</v>
      </c>
      <c r="B869" t="s">
        <v>81</v>
      </c>
      <c r="C869" t="s">
        <v>10</v>
      </c>
      <c r="D869" t="s">
        <v>11</v>
      </c>
      <c r="E869">
        <v>202602</v>
      </c>
      <c r="F869" t="s">
        <v>274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1</v>
      </c>
    </row>
    <row r="870" spans="1:40" x14ac:dyDescent="0.3">
      <c r="A870" t="s">
        <v>242</v>
      </c>
      <c r="B870" t="s">
        <v>81</v>
      </c>
      <c r="C870" t="s">
        <v>10</v>
      </c>
      <c r="D870" t="s">
        <v>14</v>
      </c>
      <c r="E870">
        <v>202602</v>
      </c>
      <c r="F870" t="s">
        <v>267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1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1</v>
      </c>
      <c r="AA870">
        <v>1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9</v>
      </c>
      <c r="AM870">
        <v>1</v>
      </c>
      <c r="AN870">
        <v>13.302724283700751</v>
      </c>
    </row>
    <row r="871" spans="1:40" x14ac:dyDescent="0.3">
      <c r="A871" t="s">
        <v>242</v>
      </c>
      <c r="B871" t="s">
        <v>81</v>
      </c>
      <c r="C871" t="s">
        <v>10</v>
      </c>
      <c r="D871" t="s">
        <v>14</v>
      </c>
      <c r="E871">
        <v>202602</v>
      </c>
      <c r="F871" t="s">
        <v>83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</v>
      </c>
      <c r="AM871">
        <v>0</v>
      </c>
      <c r="AN871">
        <v>2</v>
      </c>
    </row>
    <row r="872" spans="1:40" x14ac:dyDescent="0.3">
      <c r="A872" t="s">
        <v>242</v>
      </c>
      <c r="B872" t="s">
        <v>81</v>
      </c>
      <c r="C872" t="s">
        <v>10</v>
      </c>
      <c r="D872" t="s">
        <v>14</v>
      </c>
      <c r="E872">
        <v>202602</v>
      </c>
      <c r="F872" t="s">
        <v>268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1</v>
      </c>
    </row>
    <row r="873" spans="1:40" x14ac:dyDescent="0.3">
      <c r="A873" t="s">
        <v>242</v>
      </c>
      <c r="B873" t="s">
        <v>81</v>
      </c>
      <c r="C873" t="s">
        <v>10</v>
      </c>
      <c r="D873" t="s">
        <v>14</v>
      </c>
      <c r="E873">
        <v>202602</v>
      </c>
      <c r="F873" t="s">
        <v>86</v>
      </c>
      <c r="G873">
        <v>0</v>
      </c>
      <c r="H873">
        <v>1</v>
      </c>
      <c r="I873">
        <v>2</v>
      </c>
      <c r="J873">
        <v>2</v>
      </c>
      <c r="K873">
        <v>2</v>
      </c>
      <c r="L873">
        <v>2</v>
      </c>
      <c r="M873">
        <v>1</v>
      </c>
      <c r="N873">
        <v>0</v>
      </c>
      <c r="O873">
        <v>3</v>
      </c>
      <c r="P873">
        <v>7</v>
      </c>
      <c r="Q873">
        <v>4</v>
      </c>
      <c r="R873">
        <v>2</v>
      </c>
      <c r="S873">
        <v>1</v>
      </c>
      <c r="T873">
        <v>1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2</v>
      </c>
      <c r="AA873">
        <v>3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34</v>
      </c>
      <c r="AM873">
        <v>0.66666666666666663</v>
      </c>
      <c r="AN873">
        <v>36.868482855800501</v>
      </c>
    </row>
    <row r="874" spans="1:40" x14ac:dyDescent="0.3">
      <c r="A874" t="s">
        <v>242</v>
      </c>
      <c r="B874" t="s">
        <v>81</v>
      </c>
      <c r="C874" t="s">
        <v>10</v>
      </c>
      <c r="D874" t="s">
        <v>14</v>
      </c>
      <c r="E874">
        <v>202602</v>
      </c>
      <c r="F874" t="s">
        <v>275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1</v>
      </c>
    </row>
    <row r="875" spans="1:40" x14ac:dyDescent="0.3">
      <c r="A875" t="s">
        <v>242</v>
      </c>
      <c r="B875" t="s">
        <v>81</v>
      </c>
      <c r="C875" t="s">
        <v>10</v>
      </c>
      <c r="D875" t="s">
        <v>14</v>
      </c>
      <c r="E875">
        <v>202602</v>
      </c>
      <c r="F875" t="s">
        <v>269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0.33333333333333331</v>
      </c>
      <c r="AN875">
        <v>2.43424142790025</v>
      </c>
    </row>
    <row r="876" spans="1:40" x14ac:dyDescent="0.3">
      <c r="A876" t="s">
        <v>242</v>
      </c>
      <c r="B876" t="s">
        <v>81</v>
      </c>
      <c r="C876" t="s">
        <v>10</v>
      </c>
      <c r="D876" t="s">
        <v>14</v>
      </c>
      <c r="E876">
        <v>202602</v>
      </c>
      <c r="F876" t="s">
        <v>270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1</v>
      </c>
      <c r="Z876">
        <v>1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8</v>
      </c>
      <c r="AM876">
        <v>1</v>
      </c>
      <c r="AN876">
        <v>12.302724283700751</v>
      </c>
    </row>
    <row r="877" spans="1:40" x14ac:dyDescent="0.3">
      <c r="A877" t="s">
        <v>242</v>
      </c>
      <c r="B877" t="s">
        <v>81</v>
      </c>
      <c r="C877" t="s">
        <v>10</v>
      </c>
      <c r="D877" t="s">
        <v>14</v>
      </c>
      <c r="E877">
        <v>202602</v>
      </c>
      <c r="F877" t="s">
        <v>271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3</v>
      </c>
      <c r="AM877">
        <v>0</v>
      </c>
      <c r="AN877">
        <v>3</v>
      </c>
    </row>
    <row r="878" spans="1:40" x14ac:dyDescent="0.3">
      <c r="A878" t="s">
        <v>242</v>
      </c>
      <c r="B878" t="s">
        <v>81</v>
      </c>
      <c r="C878" t="s">
        <v>10</v>
      </c>
      <c r="D878" t="s">
        <v>14</v>
      </c>
      <c r="E878">
        <v>202602</v>
      </c>
      <c r="F878" t="s">
        <v>272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3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9</v>
      </c>
      <c r="AM878">
        <v>0.33333333333333331</v>
      </c>
      <c r="AN878">
        <v>10.43424142790025</v>
      </c>
    </row>
    <row r="879" spans="1:40" x14ac:dyDescent="0.3">
      <c r="A879" t="s">
        <v>242</v>
      </c>
      <c r="B879" t="s">
        <v>81</v>
      </c>
      <c r="C879" t="s">
        <v>10</v>
      </c>
      <c r="D879" t="s">
        <v>14</v>
      </c>
      <c r="E879">
        <v>202602</v>
      </c>
      <c r="F879" t="s">
        <v>273</v>
      </c>
      <c r="G879">
        <v>0</v>
      </c>
      <c r="H879">
        <v>0</v>
      </c>
      <c r="I879">
        <v>2</v>
      </c>
      <c r="J879">
        <v>1</v>
      </c>
      <c r="K879">
        <v>2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1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10</v>
      </c>
      <c r="AM879">
        <v>0.33333333333333331</v>
      </c>
      <c r="AN879">
        <v>11.43424142790025</v>
      </c>
    </row>
    <row r="880" spans="1:40" x14ac:dyDescent="0.3">
      <c r="A880" t="s">
        <v>242</v>
      </c>
      <c r="B880" t="s">
        <v>81</v>
      </c>
      <c r="C880" t="s">
        <v>10</v>
      </c>
      <c r="D880" t="s">
        <v>14</v>
      </c>
      <c r="E880">
        <v>202602</v>
      </c>
      <c r="F880" t="s">
        <v>276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3</v>
      </c>
      <c r="AM880">
        <v>0.66666666666666663</v>
      </c>
      <c r="AN880">
        <v>5.8684828558005</v>
      </c>
    </row>
    <row r="881" spans="1:40" x14ac:dyDescent="0.3">
      <c r="A881" t="s">
        <v>242</v>
      </c>
      <c r="B881" t="s">
        <v>81</v>
      </c>
      <c r="C881" t="s">
        <v>10</v>
      </c>
      <c r="D881" t="s">
        <v>14</v>
      </c>
      <c r="E881">
        <v>202602</v>
      </c>
      <c r="F881" t="s">
        <v>274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1</v>
      </c>
    </row>
    <row r="882" spans="1:40" x14ac:dyDescent="0.3">
      <c r="A882" t="s">
        <v>242</v>
      </c>
      <c r="B882" t="s">
        <v>81</v>
      </c>
      <c r="C882" t="s">
        <v>16</v>
      </c>
      <c r="D882" t="s">
        <v>14</v>
      </c>
      <c r="E882">
        <v>202602</v>
      </c>
      <c r="F882" t="s">
        <v>272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1</v>
      </c>
    </row>
    <row r="883" spans="1:40" x14ac:dyDescent="0.3">
      <c r="A883" t="s">
        <v>242</v>
      </c>
      <c r="B883" t="s">
        <v>100</v>
      </c>
      <c r="C883" t="s">
        <v>10</v>
      </c>
      <c r="D883" t="s">
        <v>11</v>
      </c>
      <c r="E883">
        <v>202602</v>
      </c>
      <c r="F883" t="s">
        <v>42</v>
      </c>
      <c r="G883">
        <v>0</v>
      </c>
      <c r="H883">
        <v>5</v>
      </c>
      <c r="I883">
        <v>9</v>
      </c>
      <c r="J883">
        <v>10</v>
      </c>
      <c r="K883">
        <v>4</v>
      </c>
      <c r="L883">
        <v>15</v>
      </c>
      <c r="M883">
        <v>8</v>
      </c>
      <c r="N883">
        <v>0</v>
      </c>
      <c r="O883">
        <v>14</v>
      </c>
      <c r="P883">
        <v>14</v>
      </c>
      <c r="Q883">
        <v>26</v>
      </c>
      <c r="R883">
        <v>16</v>
      </c>
      <c r="S883">
        <v>22</v>
      </c>
      <c r="T883">
        <v>4</v>
      </c>
      <c r="U883">
        <v>0</v>
      </c>
      <c r="V883">
        <v>1</v>
      </c>
      <c r="W883">
        <v>0</v>
      </c>
      <c r="X883">
        <v>8</v>
      </c>
      <c r="Y883">
        <v>9</v>
      </c>
      <c r="Z883">
        <v>11</v>
      </c>
      <c r="AA883">
        <v>7</v>
      </c>
      <c r="AB883">
        <v>0</v>
      </c>
      <c r="AC883">
        <v>20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203</v>
      </c>
      <c r="AM883">
        <v>13.333333333333334</v>
      </c>
      <c r="AN883">
        <v>270.18674490852243</v>
      </c>
    </row>
    <row r="884" spans="1:40" x14ac:dyDescent="0.3">
      <c r="A884" t="s">
        <v>242</v>
      </c>
      <c r="B884" t="s">
        <v>100</v>
      </c>
      <c r="C884" t="s">
        <v>10</v>
      </c>
      <c r="D884" t="s">
        <v>11</v>
      </c>
      <c r="E884">
        <v>202602</v>
      </c>
      <c r="F884" t="s">
        <v>102</v>
      </c>
      <c r="G884">
        <v>0</v>
      </c>
      <c r="H884">
        <v>1</v>
      </c>
      <c r="I884">
        <v>0</v>
      </c>
      <c r="J884">
        <v>0</v>
      </c>
      <c r="K884">
        <v>2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2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6</v>
      </c>
      <c r="AM884">
        <v>0.66666666666666663</v>
      </c>
      <c r="AN884">
        <v>9.3593372454261221</v>
      </c>
    </row>
    <row r="885" spans="1:40" x14ac:dyDescent="0.3">
      <c r="A885" t="s">
        <v>242</v>
      </c>
      <c r="B885" t="s">
        <v>100</v>
      </c>
      <c r="C885" t="s">
        <v>10</v>
      </c>
      <c r="D885" t="s">
        <v>14</v>
      </c>
      <c r="E885">
        <v>202602</v>
      </c>
      <c r="F885" t="s">
        <v>42</v>
      </c>
      <c r="G885">
        <v>0</v>
      </c>
      <c r="H885">
        <v>14</v>
      </c>
      <c r="I885">
        <v>13</v>
      </c>
      <c r="J885">
        <v>13</v>
      </c>
      <c r="K885">
        <v>20</v>
      </c>
      <c r="L885">
        <v>10</v>
      </c>
      <c r="M885">
        <v>11</v>
      </c>
      <c r="N885">
        <v>0</v>
      </c>
      <c r="O885">
        <v>23</v>
      </c>
      <c r="P885">
        <v>32</v>
      </c>
      <c r="Q885">
        <v>16</v>
      </c>
      <c r="R885">
        <v>17</v>
      </c>
      <c r="S885">
        <v>20</v>
      </c>
      <c r="T885">
        <v>0</v>
      </c>
      <c r="U885">
        <v>0</v>
      </c>
      <c r="V885">
        <v>0</v>
      </c>
      <c r="W885">
        <v>0</v>
      </c>
      <c r="X885">
        <v>13</v>
      </c>
      <c r="Y885">
        <v>20</v>
      </c>
      <c r="Z885">
        <v>17</v>
      </c>
      <c r="AA885">
        <v>8</v>
      </c>
      <c r="AB885">
        <v>0</v>
      </c>
      <c r="AC885">
        <v>16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263</v>
      </c>
      <c r="AM885">
        <v>17.666666666666668</v>
      </c>
      <c r="AN885">
        <v>339.01479567871326</v>
      </c>
    </row>
    <row r="886" spans="1:40" x14ac:dyDescent="0.3">
      <c r="A886" t="s">
        <v>242</v>
      </c>
      <c r="B886" t="s">
        <v>100</v>
      </c>
      <c r="C886" t="s">
        <v>10</v>
      </c>
      <c r="D886" t="s">
        <v>14</v>
      </c>
      <c r="E886">
        <v>202602</v>
      </c>
      <c r="F886" t="s">
        <v>102</v>
      </c>
      <c r="G886">
        <v>0</v>
      </c>
      <c r="H886">
        <v>0</v>
      </c>
      <c r="I886">
        <v>2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2</v>
      </c>
      <c r="AA886">
        <v>0</v>
      </c>
      <c r="AB886">
        <v>0</v>
      </c>
      <c r="AC886">
        <v>3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11</v>
      </c>
      <c r="AM886">
        <v>2</v>
      </c>
      <c r="AN886">
        <v>19.605448567401503</v>
      </c>
    </row>
    <row r="887" spans="1:40" x14ac:dyDescent="0.3">
      <c r="A887" t="s">
        <v>242</v>
      </c>
      <c r="B887" t="s">
        <v>100</v>
      </c>
      <c r="C887" t="s">
        <v>16</v>
      </c>
      <c r="D887" t="s">
        <v>11</v>
      </c>
      <c r="E887">
        <v>202602</v>
      </c>
      <c r="F887" t="s">
        <v>42</v>
      </c>
      <c r="G887">
        <v>0</v>
      </c>
      <c r="H887">
        <v>0</v>
      </c>
      <c r="I887">
        <v>5</v>
      </c>
      <c r="J887">
        <v>5</v>
      </c>
      <c r="K887">
        <v>3</v>
      </c>
      <c r="L887">
        <v>2</v>
      </c>
      <c r="M887">
        <v>2</v>
      </c>
      <c r="N887">
        <v>0</v>
      </c>
      <c r="O887">
        <v>5</v>
      </c>
      <c r="P887">
        <v>12</v>
      </c>
      <c r="Q887">
        <v>4</v>
      </c>
      <c r="R887">
        <v>6</v>
      </c>
      <c r="S887">
        <v>7</v>
      </c>
      <c r="T887">
        <v>5</v>
      </c>
      <c r="U887">
        <v>0</v>
      </c>
      <c r="V887">
        <v>2</v>
      </c>
      <c r="W887">
        <v>0</v>
      </c>
      <c r="X887">
        <v>2</v>
      </c>
      <c r="Y887">
        <v>1</v>
      </c>
      <c r="Z887">
        <v>0</v>
      </c>
      <c r="AA887">
        <v>2</v>
      </c>
      <c r="AB887">
        <v>0</v>
      </c>
      <c r="AC887">
        <v>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73</v>
      </c>
      <c r="AM887">
        <v>3.6666666666666665</v>
      </c>
      <c r="AN887">
        <v>91.476354849843659</v>
      </c>
    </row>
    <row r="888" spans="1:40" x14ac:dyDescent="0.3">
      <c r="A888" t="s">
        <v>242</v>
      </c>
      <c r="B888" t="s">
        <v>100</v>
      </c>
      <c r="C888" t="s">
        <v>16</v>
      </c>
      <c r="D888" t="s">
        <v>14</v>
      </c>
      <c r="E888">
        <v>202602</v>
      </c>
      <c r="F888" t="s">
        <v>42</v>
      </c>
      <c r="G888">
        <v>0</v>
      </c>
      <c r="H888">
        <v>9</v>
      </c>
      <c r="I888">
        <v>4</v>
      </c>
      <c r="J888">
        <v>7</v>
      </c>
      <c r="K888">
        <v>6</v>
      </c>
      <c r="L888">
        <v>4</v>
      </c>
      <c r="M888">
        <v>5</v>
      </c>
      <c r="N888">
        <v>0</v>
      </c>
      <c r="O888">
        <v>7</v>
      </c>
      <c r="P888">
        <v>4</v>
      </c>
      <c r="Q888">
        <v>7</v>
      </c>
      <c r="R888">
        <v>4</v>
      </c>
      <c r="S888">
        <v>7</v>
      </c>
      <c r="T888">
        <v>0</v>
      </c>
      <c r="U888">
        <v>0</v>
      </c>
      <c r="V888">
        <v>0</v>
      </c>
      <c r="W888">
        <v>0</v>
      </c>
      <c r="X888">
        <v>4</v>
      </c>
      <c r="Y888">
        <v>3</v>
      </c>
      <c r="Z888">
        <v>6</v>
      </c>
      <c r="AA888">
        <v>3</v>
      </c>
      <c r="AB888">
        <v>0</v>
      </c>
      <c r="AC888">
        <v>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83</v>
      </c>
      <c r="AM888">
        <v>4</v>
      </c>
      <c r="AN888">
        <v>100.21089713480301</v>
      </c>
    </row>
    <row r="889" spans="1:40" x14ac:dyDescent="0.3">
      <c r="A889" t="s">
        <v>242</v>
      </c>
      <c r="B889" t="s">
        <v>643</v>
      </c>
      <c r="C889" t="s">
        <v>10</v>
      </c>
      <c r="D889" t="s">
        <v>11</v>
      </c>
      <c r="E889">
        <v>202602</v>
      </c>
      <c r="F889" t="s">
        <v>110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1</v>
      </c>
    </row>
    <row r="890" spans="1:40" x14ac:dyDescent="0.3">
      <c r="A890" t="s">
        <v>242</v>
      </c>
      <c r="B890" t="s">
        <v>643</v>
      </c>
      <c r="C890" t="s">
        <v>10</v>
      </c>
      <c r="D890" t="s">
        <v>11</v>
      </c>
      <c r="E890">
        <v>202602</v>
      </c>
      <c r="F890" t="s">
        <v>111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3</v>
      </c>
      <c r="AM890">
        <v>0.66666666666666663</v>
      </c>
      <c r="AN890">
        <v>6.3593372454261221</v>
      </c>
    </row>
    <row r="891" spans="1:40" x14ac:dyDescent="0.3">
      <c r="A891" t="s">
        <v>242</v>
      </c>
      <c r="B891" t="s">
        <v>643</v>
      </c>
      <c r="C891" t="s">
        <v>10</v>
      </c>
      <c r="D891" t="s">
        <v>11</v>
      </c>
      <c r="E891">
        <v>202602</v>
      </c>
      <c r="F891" t="s">
        <v>61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2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6</v>
      </c>
      <c r="AM891">
        <v>0</v>
      </c>
      <c r="AN891">
        <v>6</v>
      </c>
    </row>
    <row r="892" spans="1:40" x14ac:dyDescent="0.3">
      <c r="A892" t="s">
        <v>242</v>
      </c>
      <c r="B892" t="s">
        <v>643</v>
      </c>
      <c r="C892" t="s">
        <v>10</v>
      </c>
      <c r="D892" t="s">
        <v>11</v>
      </c>
      <c r="E892">
        <v>202602</v>
      </c>
      <c r="F892" t="s">
        <v>112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2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2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6</v>
      </c>
      <c r="AM892">
        <v>0.66666666666666663</v>
      </c>
      <c r="AN892">
        <v>9.3593372454261221</v>
      </c>
    </row>
    <row r="893" spans="1:40" x14ac:dyDescent="0.3">
      <c r="A893" t="s">
        <v>242</v>
      </c>
      <c r="B893" t="s">
        <v>643</v>
      </c>
      <c r="C893" t="s">
        <v>10</v>
      </c>
      <c r="D893" t="s">
        <v>11</v>
      </c>
      <c r="E893">
        <v>202602</v>
      </c>
      <c r="F893" t="s">
        <v>277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1</v>
      </c>
    </row>
    <row r="894" spans="1:40" x14ac:dyDescent="0.3">
      <c r="A894" t="s">
        <v>242</v>
      </c>
      <c r="B894" t="s">
        <v>643</v>
      </c>
      <c r="C894" t="s">
        <v>10</v>
      </c>
      <c r="D894" t="s">
        <v>11</v>
      </c>
      <c r="E894">
        <v>202602</v>
      </c>
      <c r="F894" t="s">
        <v>278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1</v>
      </c>
    </row>
    <row r="895" spans="1:40" x14ac:dyDescent="0.3">
      <c r="A895" t="s">
        <v>242</v>
      </c>
      <c r="B895" t="s">
        <v>643</v>
      </c>
      <c r="C895" t="s">
        <v>10</v>
      </c>
      <c r="D895" t="s">
        <v>11</v>
      </c>
      <c r="E895">
        <v>202602</v>
      </c>
      <c r="F895" t="s">
        <v>114</v>
      </c>
      <c r="G895">
        <v>0</v>
      </c>
      <c r="H895">
        <v>0</v>
      </c>
      <c r="I895">
        <v>3</v>
      </c>
      <c r="J895">
        <v>1</v>
      </c>
      <c r="K895">
        <v>1</v>
      </c>
      <c r="L895">
        <v>3</v>
      </c>
      <c r="M895">
        <v>2</v>
      </c>
      <c r="N895">
        <v>0</v>
      </c>
      <c r="O895">
        <v>1</v>
      </c>
      <c r="P895">
        <v>0</v>
      </c>
      <c r="Q895">
        <v>1</v>
      </c>
      <c r="R895">
        <v>1</v>
      </c>
      <c r="S895">
        <v>3</v>
      </c>
      <c r="T895">
        <v>1</v>
      </c>
      <c r="U895">
        <v>0</v>
      </c>
      <c r="V895">
        <v>2</v>
      </c>
      <c r="W895">
        <v>0</v>
      </c>
      <c r="X895">
        <v>2</v>
      </c>
      <c r="Y895">
        <v>2</v>
      </c>
      <c r="Z895">
        <v>1</v>
      </c>
      <c r="AA895">
        <v>0</v>
      </c>
      <c r="AB895">
        <v>0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25</v>
      </c>
      <c r="AM895">
        <v>1.3333333333333333</v>
      </c>
      <c r="AN895">
        <v>31.718674490852244</v>
      </c>
    </row>
    <row r="896" spans="1:40" x14ac:dyDescent="0.3">
      <c r="A896" t="s">
        <v>242</v>
      </c>
      <c r="B896" t="s">
        <v>643</v>
      </c>
      <c r="C896" t="s">
        <v>10</v>
      </c>
      <c r="D896" t="s">
        <v>11</v>
      </c>
      <c r="E896">
        <v>202602</v>
      </c>
      <c r="F896" t="s">
        <v>129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1</v>
      </c>
    </row>
    <row r="897" spans="1:40" x14ac:dyDescent="0.3">
      <c r="A897" t="s">
        <v>242</v>
      </c>
      <c r="B897" t="s">
        <v>643</v>
      </c>
      <c r="C897" t="s">
        <v>10</v>
      </c>
      <c r="D897" t="s">
        <v>11</v>
      </c>
      <c r="E897">
        <v>202602</v>
      </c>
      <c r="F897" t="s">
        <v>115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1</v>
      </c>
    </row>
    <row r="898" spans="1:40" x14ac:dyDescent="0.3">
      <c r="A898" t="s">
        <v>242</v>
      </c>
      <c r="B898" t="s">
        <v>643</v>
      </c>
      <c r="C898" t="s">
        <v>10</v>
      </c>
      <c r="D898" t="s">
        <v>11</v>
      </c>
      <c r="E898">
        <v>202602</v>
      </c>
      <c r="F898" t="s">
        <v>130</v>
      </c>
      <c r="G898">
        <v>0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2</v>
      </c>
      <c r="AM898">
        <v>0</v>
      </c>
      <c r="AN898">
        <v>2</v>
      </c>
    </row>
    <row r="899" spans="1:40" x14ac:dyDescent="0.3">
      <c r="A899" t="s">
        <v>242</v>
      </c>
      <c r="B899" t="s">
        <v>643</v>
      </c>
      <c r="C899" t="s">
        <v>10</v>
      </c>
      <c r="D899" t="s">
        <v>11</v>
      </c>
      <c r="E899">
        <v>202602</v>
      </c>
      <c r="F899" t="s">
        <v>117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3</v>
      </c>
      <c r="AM899">
        <v>0.33333333333333331</v>
      </c>
      <c r="AN899">
        <v>4.6796686227130611</v>
      </c>
    </row>
    <row r="900" spans="1:40" x14ac:dyDescent="0.3">
      <c r="A900" t="s">
        <v>242</v>
      </c>
      <c r="B900" t="s">
        <v>643</v>
      </c>
      <c r="C900" t="s">
        <v>10</v>
      </c>
      <c r="D900" t="s">
        <v>11</v>
      </c>
      <c r="E900">
        <v>202602</v>
      </c>
      <c r="F900" t="s">
        <v>118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1</v>
      </c>
      <c r="M900">
        <v>0</v>
      </c>
      <c r="N900">
        <v>0</v>
      </c>
      <c r="O900">
        <v>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5</v>
      </c>
      <c r="AM900">
        <v>0.33333333333333331</v>
      </c>
      <c r="AN900">
        <v>6.6796686227130611</v>
      </c>
    </row>
    <row r="901" spans="1:40" x14ac:dyDescent="0.3">
      <c r="A901" t="s">
        <v>242</v>
      </c>
      <c r="B901" t="s">
        <v>643</v>
      </c>
      <c r="C901" t="s">
        <v>10</v>
      </c>
      <c r="D901" t="s">
        <v>11</v>
      </c>
      <c r="E901">
        <v>202602</v>
      </c>
      <c r="F901" t="s">
        <v>132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2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</v>
      </c>
      <c r="AM901">
        <v>0</v>
      </c>
      <c r="AN901">
        <v>2</v>
      </c>
    </row>
    <row r="902" spans="1:40" x14ac:dyDescent="0.3">
      <c r="A902" t="s">
        <v>242</v>
      </c>
      <c r="B902" t="s">
        <v>643</v>
      </c>
      <c r="C902" t="s">
        <v>10</v>
      </c>
      <c r="D902" t="s">
        <v>11</v>
      </c>
      <c r="E902">
        <v>202602</v>
      </c>
      <c r="F902" t="s">
        <v>223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1</v>
      </c>
    </row>
    <row r="903" spans="1:40" x14ac:dyDescent="0.3">
      <c r="A903" t="s">
        <v>242</v>
      </c>
      <c r="B903" t="s">
        <v>643</v>
      </c>
      <c r="C903" t="s">
        <v>10</v>
      </c>
      <c r="D903" t="s">
        <v>11</v>
      </c>
      <c r="E903">
        <v>202602</v>
      </c>
      <c r="F903" t="s">
        <v>119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1</v>
      </c>
    </row>
    <row r="904" spans="1:40" x14ac:dyDescent="0.3">
      <c r="A904" t="s">
        <v>242</v>
      </c>
      <c r="B904" t="s">
        <v>643</v>
      </c>
      <c r="C904" t="s">
        <v>10</v>
      </c>
      <c r="D904" t="s">
        <v>11</v>
      </c>
      <c r="E904">
        <v>202602</v>
      </c>
      <c r="F904" t="s">
        <v>121</v>
      </c>
      <c r="G904">
        <v>0</v>
      </c>
      <c r="H904">
        <v>5</v>
      </c>
      <c r="I904">
        <v>1</v>
      </c>
      <c r="J904">
        <v>0</v>
      </c>
      <c r="K904">
        <v>1</v>
      </c>
      <c r="L904">
        <v>5</v>
      </c>
      <c r="M904">
        <v>1</v>
      </c>
      <c r="N904">
        <v>0</v>
      </c>
      <c r="O904">
        <v>3</v>
      </c>
      <c r="P904">
        <v>1</v>
      </c>
      <c r="Q904">
        <v>3</v>
      </c>
      <c r="R904">
        <v>2</v>
      </c>
      <c r="S904">
        <v>1</v>
      </c>
      <c r="T904">
        <v>1</v>
      </c>
      <c r="U904">
        <v>0</v>
      </c>
      <c r="V904">
        <v>0</v>
      </c>
      <c r="W904">
        <v>0</v>
      </c>
      <c r="X904">
        <v>1</v>
      </c>
      <c r="Y904">
        <v>1</v>
      </c>
      <c r="Z904">
        <v>4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31</v>
      </c>
      <c r="AM904">
        <v>1.6666666666666667</v>
      </c>
      <c r="AN904">
        <v>39.398343113565303</v>
      </c>
    </row>
    <row r="905" spans="1:40" x14ac:dyDescent="0.3">
      <c r="A905" t="s">
        <v>242</v>
      </c>
      <c r="B905" t="s">
        <v>643</v>
      </c>
      <c r="C905" t="s">
        <v>10</v>
      </c>
      <c r="D905" t="s">
        <v>11</v>
      </c>
      <c r="E905">
        <v>202602</v>
      </c>
      <c r="F905" t="s">
        <v>321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1</v>
      </c>
    </row>
    <row r="906" spans="1:40" x14ac:dyDescent="0.3">
      <c r="A906" t="s">
        <v>242</v>
      </c>
      <c r="B906" t="s">
        <v>643</v>
      </c>
      <c r="C906" t="s">
        <v>10</v>
      </c>
      <c r="D906" t="s">
        <v>11</v>
      </c>
      <c r="E906">
        <v>202602</v>
      </c>
      <c r="F906" t="s">
        <v>122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1</v>
      </c>
    </row>
    <row r="907" spans="1:40" x14ac:dyDescent="0.3">
      <c r="A907" t="s">
        <v>242</v>
      </c>
      <c r="B907" t="s">
        <v>643</v>
      </c>
      <c r="C907" t="s">
        <v>10</v>
      </c>
      <c r="D907" t="s">
        <v>11</v>
      </c>
      <c r="E907">
        <v>202602</v>
      </c>
      <c r="F907" t="s">
        <v>123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0.33333333333333331</v>
      </c>
      <c r="AN907">
        <v>2.6796686227130611</v>
      </c>
    </row>
    <row r="908" spans="1:40" x14ac:dyDescent="0.3">
      <c r="A908" t="s">
        <v>242</v>
      </c>
      <c r="B908" t="s">
        <v>643</v>
      </c>
      <c r="C908" t="s">
        <v>10</v>
      </c>
      <c r="D908" t="s">
        <v>11</v>
      </c>
      <c r="E908">
        <v>202602</v>
      </c>
      <c r="F908" t="s">
        <v>124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1</v>
      </c>
    </row>
    <row r="909" spans="1:40" x14ac:dyDescent="0.3">
      <c r="A909" t="s">
        <v>242</v>
      </c>
      <c r="B909" t="s">
        <v>643</v>
      </c>
      <c r="C909" t="s">
        <v>10</v>
      </c>
      <c r="D909" t="s">
        <v>11</v>
      </c>
      <c r="E909">
        <v>202602</v>
      </c>
      <c r="F909" t="s">
        <v>279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</v>
      </c>
      <c r="AM909">
        <v>0</v>
      </c>
      <c r="AN909">
        <v>2</v>
      </c>
    </row>
    <row r="910" spans="1:40" x14ac:dyDescent="0.3">
      <c r="A910" t="s">
        <v>242</v>
      </c>
      <c r="B910" t="s">
        <v>643</v>
      </c>
      <c r="C910" t="s">
        <v>10</v>
      </c>
      <c r="D910" t="s">
        <v>11</v>
      </c>
      <c r="E910">
        <v>202602</v>
      </c>
      <c r="F910" t="s">
        <v>280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1</v>
      </c>
    </row>
    <row r="911" spans="1:40" x14ac:dyDescent="0.3">
      <c r="A911" t="s">
        <v>242</v>
      </c>
      <c r="B911" t="s">
        <v>643</v>
      </c>
      <c r="C911" t="s">
        <v>10</v>
      </c>
      <c r="D911" t="s">
        <v>11</v>
      </c>
      <c r="E911">
        <v>202602</v>
      </c>
      <c r="F911" t="s">
        <v>125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0.33333333333333331</v>
      </c>
      <c r="AN911">
        <v>2.6796686227130611</v>
      </c>
    </row>
    <row r="912" spans="1:40" x14ac:dyDescent="0.3">
      <c r="A912" t="s">
        <v>242</v>
      </c>
      <c r="B912" t="s">
        <v>643</v>
      </c>
      <c r="C912" t="s">
        <v>10</v>
      </c>
      <c r="D912" t="s">
        <v>11</v>
      </c>
      <c r="E912">
        <v>202602</v>
      </c>
      <c r="F912" t="s">
        <v>127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</v>
      </c>
      <c r="AM912">
        <v>0</v>
      </c>
      <c r="AN912">
        <v>2</v>
      </c>
    </row>
    <row r="913" spans="1:40" x14ac:dyDescent="0.3">
      <c r="A913" t="s">
        <v>242</v>
      </c>
      <c r="B913" t="s">
        <v>643</v>
      </c>
      <c r="C913" t="s">
        <v>10</v>
      </c>
      <c r="D913" t="s">
        <v>11</v>
      </c>
      <c r="E913">
        <v>202602</v>
      </c>
      <c r="F913" t="s">
        <v>281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0.33333333333333331</v>
      </c>
      <c r="AN913">
        <v>2.6796686227130611</v>
      </c>
    </row>
    <row r="914" spans="1:40" x14ac:dyDescent="0.3">
      <c r="A914" t="s">
        <v>242</v>
      </c>
      <c r="B914" t="s">
        <v>643</v>
      </c>
      <c r="C914" t="s">
        <v>10</v>
      </c>
      <c r="D914" t="s">
        <v>14</v>
      </c>
      <c r="E914">
        <v>202602</v>
      </c>
      <c r="F914" t="s">
        <v>110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</v>
      </c>
      <c r="AM914">
        <v>0</v>
      </c>
      <c r="AN914">
        <v>1</v>
      </c>
    </row>
    <row r="915" spans="1:40" x14ac:dyDescent="0.3">
      <c r="A915" t="s">
        <v>242</v>
      </c>
      <c r="B915" t="s">
        <v>643</v>
      </c>
      <c r="C915" t="s">
        <v>10</v>
      </c>
      <c r="D915" t="s">
        <v>14</v>
      </c>
      <c r="E915">
        <v>202602</v>
      </c>
      <c r="F915" t="s">
        <v>111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1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4</v>
      </c>
      <c r="AM915">
        <v>0</v>
      </c>
      <c r="AN915">
        <v>4</v>
      </c>
    </row>
    <row r="916" spans="1:40" x14ac:dyDescent="0.3">
      <c r="A916" t="s">
        <v>242</v>
      </c>
      <c r="B916" t="s">
        <v>643</v>
      </c>
      <c r="C916" t="s">
        <v>10</v>
      </c>
      <c r="D916" t="s">
        <v>14</v>
      </c>
      <c r="E916">
        <v>202602</v>
      </c>
      <c r="F916" t="s">
        <v>61</v>
      </c>
      <c r="G916">
        <v>0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</v>
      </c>
      <c r="P916">
        <v>0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2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10</v>
      </c>
      <c r="AM916">
        <v>0.66666666666666663</v>
      </c>
      <c r="AN916">
        <v>12.868482855800501</v>
      </c>
    </row>
    <row r="917" spans="1:40" x14ac:dyDescent="0.3">
      <c r="A917" t="s">
        <v>242</v>
      </c>
      <c r="B917" t="s">
        <v>643</v>
      </c>
      <c r="C917" t="s">
        <v>10</v>
      </c>
      <c r="D917" t="s">
        <v>14</v>
      </c>
      <c r="E917">
        <v>202602</v>
      </c>
      <c r="F917" t="s">
        <v>112</v>
      </c>
      <c r="G917">
        <v>0</v>
      </c>
      <c r="H917">
        <v>1</v>
      </c>
      <c r="I917">
        <v>0</v>
      </c>
      <c r="J917">
        <v>0</v>
      </c>
      <c r="K917">
        <v>2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2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10</v>
      </c>
      <c r="AM917">
        <v>0</v>
      </c>
      <c r="AN917">
        <v>10</v>
      </c>
    </row>
    <row r="918" spans="1:40" x14ac:dyDescent="0.3">
      <c r="A918" t="s">
        <v>242</v>
      </c>
      <c r="B918" t="s">
        <v>643</v>
      </c>
      <c r="C918" t="s">
        <v>10</v>
      </c>
      <c r="D918" t="s">
        <v>14</v>
      </c>
      <c r="E918">
        <v>202602</v>
      </c>
      <c r="F918" t="s">
        <v>277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1</v>
      </c>
    </row>
    <row r="919" spans="1:40" x14ac:dyDescent="0.3">
      <c r="A919" t="s">
        <v>242</v>
      </c>
      <c r="B919" t="s">
        <v>643</v>
      </c>
      <c r="C919" t="s">
        <v>10</v>
      </c>
      <c r="D919" t="s">
        <v>14</v>
      </c>
      <c r="E919">
        <v>202602</v>
      </c>
      <c r="F919" t="s">
        <v>278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1</v>
      </c>
    </row>
    <row r="920" spans="1:40" x14ac:dyDescent="0.3">
      <c r="A920" t="s">
        <v>242</v>
      </c>
      <c r="B920" t="s">
        <v>643</v>
      </c>
      <c r="C920" t="s">
        <v>10</v>
      </c>
      <c r="D920" t="s">
        <v>14</v>
      </c>
      <c r="E920">
        <v>202602</v>
      </c>
      <c r="F920" t="s">
        <v>114</v>
      </c>
      <c r="G920">
        <v>0</v>
      </c>
      <c r="H920">
        <v>6</v>
      </c>
      <c r="I920">
        <v>3</v>
      </c>
      <c r="J920">
        <v>2</v>
      </c>
      <c r="K920">
        <v>4</v>
      </c>
      <c r="L920">
        <v>4</v>
      </c>
      <c r="M920">
        <v>0</v>
      </c>
      <c r="N920">
        <v>0</v>
      </c>
      <c r="O920">
        <v>1</v>
      </c>
      <c r="P920">
        <v>4</v>
      </c>
      <c r="Q920">
        <v>4</v>
      </c>
      <c r="R920">
        <v>1</v>
      </c>
      <c r="S920">
        <v>2</v>
      </c>
      <c r="T920">
        <v>0</v>
      </c>
      <c r="U920">
        <v>0</v>
      </c>
      <c r="V920">
        <v>4</v>
      </c>
      <c r="W920">
        <v>1</v>
      </c>
      <c r="X920">
        <v>1</v>
      </c>
      <c r="Y920">
        <v>4</v>
      </c>
      <c r="Z920">
        <v>3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44</v>
      </c>
      <c r="AM920">
        <v>2.3333333333333335</v>
      </c>
      <c r="AN920">
        <v>54.03968999530175</v>
      </c>
    </row>
    <row r="921" spans="1:40" x14ac:dyDescent="0.3">
      <c r="A921" t="s">
        <v>242</v>
      </c>
      <c r="B921" t="s">
        <v>643</v>
      </c>
      <c r="C921" t="s">
        <v>10</v>
      </c>
      <c r="D921" t="s">
        <v>14</v>
      </c>
      <c r="E921">
        <v>202602</v>
      </c>
      <c r="F921" t="s">
        <v>129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1</v>
      </c>
    </row>
    <row r="922" spans="1:40" x14ac:dyDescent="0.3">
      <c r="A922" t="s">
        <v>242</v>
      </c>
      <c r="B922" t="s">
        <v>643</v>
      </c>
      <c r="C922" t="s">
        <v>10</v>
      </c>
      <c r="D922" t="s">
        <v>14</v>
      </c>
      <c r="E922">
        <v>202602</v>
      </c>
      <c r="F922" t="s">
        <v>115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2</v>
      </c>
      <c r="AM922">
        <v>0</v>
      </c>
      <c r="AN922">
        <v>2</v>
      </c>
    </row>
    <row r="923" spans="1:40" x14ac:dyDescent="0.3">
      <c r="A923" t="s">
        <v>242</v>
      </c>
      <c r="B923" t="s">
        <v>643</v>
      </c>
      <c r="C923" t="s">
        <v>10</v>
      </c>
      <c r="D923" t="s">
        <v>14</v>
      </c>
      <c r="E923">
        <v>202602</v>
      </c>
      <c r="F923" t="s">
        <v>116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</v>
      </c>
      <c r="AM923">
        <v>0</v>
      </c>
      <c r="AN923">
        <v>2</v>
      </c>
    </row>
    <row r="924" spans="1:40" x14ac:dyDescent="0.3">
      <c r="A924" t="s">
        <v>242</v>
      </c>
      <c r="B924" t="s">
        <v>643</v>
      </c>
      <c r="C924" t="s">
        <v>10</v>
      </c>
      <c r="D924" t="s">
        <v>14</v>
      </c>
      <c r="E924">
        <v>202602</v>
      </c>
      <c r="F924" t="s">
        <v>130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1</v>
      </c>
    </row>
    <row r="925" spans="1:40" x14ac:dyDescent="0.3">
      <c r="A925" t="s">
        <v>242</v>
      </c>
      <c r="B925" t="s">
        <v>643</v>
      </c>
      <c r="C925" t="s">
        <v>10</v>
      </c>
      <c r="D925" t="s">
        <v>14</v>
      </c>
      <c r="E925">
        <v>202602</v>
      </c>
      <c r="F925" t="s">
        <v>117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3</v>
      </c>
      <c r="AM925">
        <v>0</v>
      </c>
      <c r="AN925">
        <v>3</v>
      </c>
    </row>
    <row r="926" spans="1:40" x14ac:dyDescent="0.3">
      <c r="A926" t="s">
        <v>242</v>
      </c>
      <c r="B926" t="s">
        <v>643</v>
      </c>
      <c r="C926" t="s">
        <v>10</v>
      </c>
      <c r="D926" t="s">
        <v>14</v>
      </c>
      <c r="E926">
        <v>202602</v>
      </c>
      <c r="F926" t="s">
        <v>118</v>
      </c>
      <c r="G926">
        <v>0</v>
      </c>
      <c r="H926">
        <v>0</v>
      </c>
      <c r="I926">
        <v>1</v>
      </c>
      <c r="J926">
        <v>0</v>
      </c>
      <c r="K926">
        <v>4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9</v>
      </c>
      <c r="AM926">
        <v>0.33333333333333331</v>
      </c>
      <c r="AN926">
        <v>10.43424142790025</v>
      </c>
    </row>
    <row r="927" spans="1:40" x14ac:dyDescent="0.3">
      <c r="A927" t="s">
        <v>242</v>
      </c>
      <c r="B927" t="s">
        <v>643</v>
      </c>
      <c r="C927" t="s">
        <v>10</v>
      </c>
      <c r="D927" t="s">
        <v>14</v>
      </c>
      <c r="E927">
        <v>202602</v>
      </c>
      <c r="F927" t="s">
        <v>716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0.33333333333333331</v>
      </c>
      <c r="AN927">
        <v>2.43424142790025</v>
      </c>
    </row>
    <row r="928" spans="1:40" x14ac:dyDescent="0.3">
      <c r="A928" t="s">
        <v>242</v>
      </c>
      <c r="B928" t="s">
        <v>643</v>
      </c>
      <c r="C928" t="s">
        <v>10</v>
      </c>
      <c r="D928" t="s">
        <v>14</v>
      </c>
      <c r="E928">
        <v>202602</v>
      </c>
      <c r="F928" t="s">
        <v>132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4</v>
      </c>
      <c r="AM928">
        <v>0.33333333333333331</v>
      </c>
      <c r="AN928">
        <v>5.4342414279002504</v>
      </c>
    </row>
    <row r="929" spans="1:40" x14ac:dyDescent="0.3">
      <c r="A929" t="s">
        <v>242</v>
      </c>
      <c r="B929" t="s">
        <v>643</v>
      </c>
      <c r="C929" t="s">
        <v>10</v>
      </c>
      <c r="D929" t="s">
        <v>14</v>
      </c>
      <c r="E929">
        <v>202602</v>
      </c>
      <c r="F929" t="s">
        <v>223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</v>
      </c>
      <c r="AM929">
        <v>0</v>
      </c>
      <c r="AN929">
        <v>2</v>
      </c>
    </row>
    <row r="930" spans="1:40" x14ac:dyDescent="0.3">
      <c r="A930" t="s">
        <v>242</v>
      </c>
      <c r="B930" t="s">
        <v>643</v>
      </c>
      <c r="C930" t="s">
        <v>10</v>
      </c>
      <c r="D930" t="s">
        <v>14</v>
      </c>
      <c r="E930">
        <v>202602</v>
      </c>
      <c r="F930" t="s">
        <v>119</v>
      </c>
      <c r="G930">
        <v>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3</v>
      </c>
      <c r="AM930">
        <v>0.33333333333333331</v>
      </c>
      <c r="AN930">
        <v>4.4342414279002504</v>
      </c>
    </row>
    <row r="931" spans="1:40" x14ac:dyDescent="0.3">
      <c r="A931" t="s">
        <v>242</v>
      </c>
      <c r="B931" t="s">
        <v>643</v>
      </c>
      <c r="C931" t="s">
        <v>10</v>
      </c>
      <c r="D931" t="s">
        <v>14</v>
      </c>
      <c r="E931">
        <v>202602</v>
      </c>
      <c r="F931" t="s">
        <v>121</v>
      </c>
      <c r="G931">
        <v>0</v>
      </c>
      <c r="H931">
        <v>0</v>
      </c>
      <c r="I931">
        <v>3</v>
      </c>
      <c r="J931">
        <v>4</v>
      </c>
      <c r="K931">
        <v>3</v>
      </c>
      <c r="L931">
        <v>1</v>
      </c>
      <c r="M931">
        <v>2</v>
      </c>
      <c r="N931">
        <v>0</v>
      </c>
      <c r="O931">
        <v>8</v>
      </c>
      <c r="P931">
        <v>0</v>
      </c>
      <c r="Q931">
        <v>4</v>
      </c>
      <c r="R931">
        <v>7</v>
      </c>
      <c r="S931">
        <v>3</v>
      </c>
      <c r="T931">
        <v>0</v>
      </c>
      <c r="U931">
        <v>0</v>
      </c>
      <c r="V931">
        <v>0</v>
      </c>
      <c r="W931">
        <v>0</v>
      </c>
      <c r="X931">
        <v>3</v>
      </c>
      <c r="Y931">
        <v>1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41</v>
      </c>
      <c r="AM931">
        <v>1</v>
      </c>
      <c r="AN931">
        <v>45.302724283700748</v>
      </c>
    </row>
    <row r="932" spans="1:40" x14ac:dyDescent="0.3">
      <c r="A932" t="s">
        <v>242</v>
      </c>
      <c r="B932" t="s">
        <v>643</v>
      </c>
      <c r="C932" t="s">
        <v>10</v>
      </c>
      <c r="D932" t="s">
        <v>14</v>
      </c>
      <c r="E932">
        <v>202602</v>
      </c>
      <c r="F932" t="s">
        <v>321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1</v>
      </c>
    </row>
    <row r="933" spans="1:40" x14ac:dyDescent="0.3">
      <c r="A933" t="s">
        <v>242</v>
      </c>
      <c r="B933" t="s">
        <v>643</v>
      </c>
      <c r="C933" t="s">
        <v>10</v>
      </c>
      <c r="D933" t="s">
        <v>14</v>
      </c>
      <c r="E933">
        <v>202602</v>
      </c>
      <c r="F933" t="s">
        <v>122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1</v>
      </c>
    </row>
    <row r="934" spans="1:40" x14ac:dyDescent="0.3">
      <c r="A934" t="s">
        <v>242</v>
      </c>
      <c r="B934" t="s">
        <v>643</v>
      </c>
      <c r="C934" t="s">
        <v>10</v>
      </c>
      <c r="D934" t="s">
        <v>14</v>
      </c>
      <c r="E934">
        <v>202602</v>
      </c>
      <c r="F934" t="s">
        <v>123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3</v>
      </c>
      <c r="AM934">
        <v>0.66666666666666663</v>
      </c>
      <c r="AN934">
        <v>5.8684828558005</v>
      </c>
    </row>
    <row r="935" spans="1:40" x14ac:dyDescent="0.3">
      <c r="A935" t="s">
        <v>242</v>
      </c>
      <c r="B935" t="s">
        <v>643</v>
      </c>
      <c r="C935" t="s">
        <v>10</v>
      </c>
      <c r="D935" t="s">
        <v>14</v>
      </c>
      <c r="E935">
        <v>202602</v>
      </c>
      <c r="F935" t="s">
        <v>124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0.33333333333333331</v>
      </c>
      <c r="AN935">
        <v>2.43424142790025</v>
      </c>
    </row>
    <row r="936" spans="1:40" x14ac:dyDescent="0.3">
      <c r="A936" t="s">
        <v>242</v>
      </c>
      <c r="B936" t="s">
        <v>643</v>
      </c>
      <c r="C936" t="s">
        <v>10</v>
      </c>
      <c r="D936" t="s">
        <v>14</v>
      </c>
      <c r="E936">
        <v>202602</v>
      </c>
      <c r="F936" t="s">
        <v>279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3</v>
      </c>
      <c r="AM936">
        <v>0.33333333333333331</v>
      </c>
      <c r="AN936">
        <v>4.4342414279002504</v>
      </c>
    </row>
    <row r="937" spans="1:40" x14ac:dyDescent="0.3">
      <c r="A937" t="s">
        <v>242</v>
      </c>
      <c r="B937" t="s">
        <v>643</v>
      </c>
      <c r="C937" t="s">
        <v>10</v>
      </c>
      <c r="D937" t="s">
        <v>14</v>
      </c>
      <c r="E937">
        <v>202602</v>
      </c>
      <c r="F937" t="s">
        <v>280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1</v>
      </c>
    </row>
    <row r="938" spans="1:40" x14ac:dyDescent="0.3">
      <c r="A938" t="s">
        <v>242</v>
      </c>
      <c r="B938" t="s">
        <v>643</v>
      </c>
      <c r="C938" t="s">
        <v>10</v>
      </c>
      <c r="D938" t="s">
        <v>14</v>
      </c>
      <c r="E938">
        <v>202602</v>
      </c>
      <c r="F938" t="s">
        <v>125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0.33333333333333331</v>
      </c>
      <c r="AN938">
        <v>2.43424142790025</v>
      </c>
    </row>
    <row r="939" spans="1:40" x14ac:dyDescent="0.3">
      <c r="A939" t="s">
        <v>242</v>
      </c>
      <c r="B939" t="s">
        <v>643</v>
      </c>
      <c r="C939" t="s">
        <v>10</v>
      </c>
      <c r="D939" t="s">
        <v>14</v>
      </c>
      <c r="E939">
        <v>202602</v>
      </c>
      <c r="F939" t="s">
        <v>127</v>
      </c>
      <c r="G939">
        <v>0</v>
      </c>
      <c r="H939">
        <v>0</v>
      </c>
      <c r="I939">
        <v>0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</v>
      </c>
      <c r="AM939">
        <v>0</v>
      </c>
      <c r="AN939">
        <v>2</v>
      </c>
    </row>
    <row r="940" spans="1:40" x14ac:dyDescent="0.3">
      <c r="A940" t="s">
        <v>242</v>
      </c>
      <c r="B940" t="s">
        <v>643</v>
      </c>
      <c r="C940" t="s">
        <v>10</v>
      </c>
      <c r="D940" t="s">
        <v>14</v>
      </c>
      <c r="E940">
        <v>202602</v>
      </c>
      <c r="F940" t="s">
        <v>226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</v>
      </c>
      <c r="AM940">
        <v>0</v>
      </c>
      <c r="AN940">
        <v>2</v>
      </c>
    </row>
    <row r="941" spans="1:40" x14ac:dyDescent="0.3">
      <c r="A941" t="s">
        <v>242</v>
      </c>
      <c r="B941" t="s">
        <v>643</v>
      </c>
      <c r="C941" t="s">
        <v>10</v>
      </c>
      <c r="D941" t="s">
        <v>14</v>
      </c>
      <c r="E941">
        <v>202602</v>
      </c>
      <c r="F941" t="s">
        <v>281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2</v>
      </c>
      <c r="AM941">
        <v>0.33333333333333331</v>
      </c>
      <c r="AN941">
        <v>3.43424142790025</v>
      </c>
    </row>
    <row r="942" spans="1:40" x14ac:dyDescent="0.3">
      <c r="A942" t="s">
        <v>242</v>
      </c>
      <c r="B942" t="s">
        <v>643</v>
      </c>
      <c r="C942" t="s">
        <v>16</v>
      </c>
      <c r="D942" t="s">
        <v>11</v>
      </c>
      <c r="E942">
        <v>202602</v>
      </c>
      <c r="F942" t="s">
        <v>121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1</v>
      </c>
    </row>
    <row r="943" spans="1:40" x14ac:dyDescent="0.3">
      <c r="A943" t="s">
        <v>242</v>
      </c>
      <c r="B943" t="s">
        <v>643</v>
      </c>
      <c r="C943" t="s">
        <v>16</v>
      </c>
      <c r="D943" t="s">
        <v>14</v>
      </c>
      <c r="E943">
        <v>202602</v>
      </c>
      <c r="F943" t="s">
        <v>121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1</v>
      </c>
    </row>
    <row r="944" spans="1:40" x14ac:dyDescent="0.3">
      <c r="A944" t="s">
        <v>242</v>
      </c>
      <c r="B944" t="s">
        <v>136</v>
      </c>
      <c r="C944" t="s">
        <v>10</v>
      </c>
      <c r="D944" t="s">
        <v>11</v>
      </c>
      <c r="E944">
        <v>202602</v>
      </c>
      <c r="F944" t="s">
        <v>42</v>
      </c>
      <c r="G944">
        <v>0</v>
      </c>
      <c r="H944">
        <v>6</v>
      </c>
      <c r="I944">
        <v>1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1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3</v>
      </c>
      <c r="Z944">
        <v>1</v>
      </c>
      <c r="AA944">
        <v>1</v>
      </c>
      <c r="AB944">
        <v>0</v>
      </c>
      <c r="AC944">
        <v>4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28</v>
      </c>
      <c r="AM944">
        <v>2.6666666666666665</v>
      </c>
      <c r="AN944">
        <v>41.437348981704488</v>
      </c>
    </row>
    <row r="945" spans="1:40" x14ac:dyDescent="0.3">
      <c r="A945" t="s">
        <v>242</v>
      </c>
      <c r="B945" t="s">
        <v>136</v>
      </c>
      <c r="C945" t="s">
        <v>10</v>
      </c>
      <c r="D945" t="s">
        <v>14</v>
      </c>
      <c r="E945">
        <v>202602</v>
      </c>
      <c r="F945" t="s">
        <v>42</v>
      </c>
      <c r="G945">
        <v>0</v>
      </c>
      <c r="H945">
        <v>2</v>
      </c>
      <c r="I945">
        <v>2</v>
      </c>
      <c r="J945">
        <v>5</v>
      </c>
      <c r="K945">
        <v>2</v>
      </c>
      <c r="L945">
        <v>1</v>
      </c>
      <c r="M945">
        <v>0</v>
      </c>
      <c r="N945">
        <v>0</v>
      </c>
      <c r="O945">
        <v>1</v>
      </c>
      <c r="P945">
        <v>1</v>
      </c>
      <c r="Q945">
        <v>5</v>
      </c>
      <c r="R945">
        <v>0</v>
      </c>
      <c r="S945">
        <v>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5</v>
      </c>
      <c r="Z945">
        <v>5</v>
      </c>
      <c r="AA945">
        <v>0</v>
      </c>
      <c r="AB945">
        <v>0</v>
      </c>
      <c r="AC945">
        <v>3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37</v>
      </c>
      <c r="AM945">
        <v>4.333333333333333</v>
      </c>
      <c r="AN945">
        <v>55.645138562703252</v>
      </c>
    </row>
    <row r="946" spans="1:40" x14ac:dyDescent="0.3">
      <c r="A946" t="s">
        <v>242</v>
      </c>
      <c r="B946" t="s">
        <v>644</v>
      </c>
      <c r="C946" t="s">
        <v>10</v>
      </c>
      <c r="D946" t="s">
        <v>11</v>
      </c>
      <c r="E946">
        <v>202602</v>
      </c>
      <c r="F946" t="s">
        <v>101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2</v>
      </c>
      <c r="AM946">
        <v>0</v>
      </c>
      <c r="AN946">
        <v>2</v>
      </c>
    </row>
    <row r="947" spans="1:40" x14ac:dyDescent="0.3">
      <c r="A947" t="s">
        <v>242</v>
      </c>
      <c r="B947" t="s">
        <v>644</v>
      </c>
      <c r="C947" t="s">
        <v>10</v>
      </c>
      <c r="D947" t="s">
        <v>11</v>
      </c>
      <c r="E947">
        <v>202602</v>
      </c>
      <c r="F947" t="s">
        <v>138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</v>
      </c>
      <c r="AM947">
        <v>0.33333333333333331</v>
      </c>
      <c r="AN947">
        <v>3.6796686227130611</v>
      </c>
    </row>
    <row r="948" spans="1:40" x14ac:dyDescent="0.3">
      <c r="A948" t="s">
        <v>242</v>
      </c>
      <c r="B948" t="s">
        <v>644</v>
      </c>
      <c r="C948" t="s">
        <v>10</v>
      </c>
      <c r="D948" t="s">
        <v>14</v>
      </c>
      <c r="E948">
        <v>202602</v>
      </c>
      <c r="F948" t="s">
        <v>101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5</v>
      </c>
      <c r="AM948">
        <v>0.66666666666666663</v>
      </c>
      <c r="AN948">
        <v>7.8684828558005</v>
      </c>
    </row>
    <row r="949" spans="1:40" x14ac:dyDescent="0.3">
      <c r="A949" t="s">
        <v>242</v>
      </c>
      <c r="B949" t="s">
        <v>644</v>
      </c>
      <c r="C949" t="s">
        <v>10</v>
      </c>
      <c r="D949" t="s">
        <v>14</v>
      </c>
      <c r="E949">
        <v>202602</v>
      </c>
      <c r="F949" t="s">
        <v>138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3</v>
      </c>
      <c r="AM949">
        <v>0</v>
      </c>
      <c r="AN949">
        <v>3</v>
      </c>
    </row>
    <row r="950" spans="1:40" x14ac:dyDescent="0.3">
      <c r="A950" t="s">
        <v>242</v>
      </c>
      <c r="B950" t="s">
        <v>139</v>
      </c>
      <c r="C950" t="s">
        <v>10</v>
      </c>
      <c r="D950" t="s">
        <v>11</v>
      </c>
      <c r="E950">
        <v>202602</v>
      </c>
      <c r="F950" t="s">
        <v>140</v>
      </c>
      <c r="G950">
        <v>0</v>
      </c>
      <c r="H950">
        <v>2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1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1</v>
      </c>
      <c r="Y950">
        <v>1</v>
      </c>
      <c r="Z950">
        <v>1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10</v>
      </c>
      <c r="AM950">
        <v>0.66666666666666663</v>
      </c>
      <c r="AN950">
        <v>13.359337245426122</v>
      </c>
    </row>
    <row r="951" spans="1:40" x14ac:dyDescent="0.3">
      <c r="A951" t="s">
        <v>242</v>
      </c>
      <c r="B951" t="s">
        <v>139</v>
      </c>
      <c r="C951" t="s">
        <v>10</v>
      </c>
      <c r="D951" t="s">
        <v>11</v>
      </c>
      <c r="E951">
        <v>202602</v>
      </c>
      <c r="F951" t="s">
        <v>227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1</v>
      </c>
      <c r="P951">
        <v>0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6</v>
      </c>
      <c r="AM951">
        <v>0.66666666666666663</v>
      </c>
      <c r="AN951">
        <v>9.3593372454261221</v>
      </c>
    </row>
    <row r="952" spans="1:40" x14ac:dyDescent="0.3">
      <c r="A952" t="s">
        <v>242</v>
      </c>
      <c r="B952" t="s">
        <v>139</v>
      </c>
      <c r="C952" t="s">
        <v>10</v>
      </c>
      <c r="D952" t="s">
        <v>11</v>
      </c>
      <c r="E952">
        <v>202602</v>
      </c>
      <c r="F952" t="s">
        <v>282</v>
      </c>
      <c r="G952">
        <v>0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4</v>
      </c>
      <c r="AM952">
        <v>0</v>
      </c>
      <c r="AN952">
        <v>4</v>
      </c>
    </row>
    <row r="953" spans="1:40" x14ac:dyDescent="0.3">
      <c r="A953" t="s">
        <v>242</v>
      </c>
      <c r="B953" t="s">
        <v>139</v>
      </c>
      <c r="C953" t="s">
        <v>10</v>
      </c>
      <c r="D953" t="s">
        <v>11</v>
      </c>
      <c r="E953">
        <v>202602</v>
      </c>
      <c r="F953" t="s">
        <v>284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0.33333333333333331</v>
      </c>
      <c r="AN953">
        <v>2.6796686227130611</v>
      </c>
    </row>
    <row r="954" spans="1:40" x14ac:dyDescent="0.3">
      <c r="A954" t="s">
        <v>242</v>
      </c>
      <c r="B954" t="s">
        <v>139</v>
      </c>
      <c r="C954" t="s">
        <v>10</v>
      </c>
      <c r="D954" t="s">
        <v>11</v>
      </c>
      <c r="E954">
        <v>202602</v>
      </c>
      <c r="F954" t="s">
        <v>148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1</v>
      </c>
    </row>
    <row r="955" spans="1:40" x14ac:dyDescent="0.3">
      <c r="A955" t="s">
        <v>242</v>
      </c>
      <c r="B955" t="s">
        <v>139</v>
      </c>
      <c r="C955" t="s">
        <v>10</v>
      </c>
      <c r="D955" t="s">
        <v>11</v>
      </c>
      <c r="E955">
        <v>202602</v>
      </c>
      <c r="F955" t="s">
        <v>726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0.33333333333333331</v>
      </c>
      <c r="AN955">
        <v>2.6796686227130611</v>
      </c>
    </row>
    <row r="956" spans="1:40" x14ac:dyDescent="0.3">
      <c r="A956" t="s">
        <v>242</v>
      </c>
      <c r="B956" t="s">
        <v>139</v>
      </c>
      <c r="C956" t="s">
        <v>10</v>
      </c>
      <c r="D956" t="s">
        <v>11</v>
      </c>
      <c r="E956">
        <v>202602</v>
      </c>
      <c r="F956" t="s">
        <v>285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</v>
      </c>
      <c r="AM956">
        <v>0</v>
      </c>
      <c r="AN956">
        <v>2</v>
      </c>
    </row>
    <row r="957" spans="1:40" x14ac:dyDescent="0.3">
      <c r="A957" t="s">
        <v>242</v>
      </c>
      <c r="B957" t="s">
        <v>139</v>
      </c>
      <c r="C957" t="s">
        <v>10</v>
      </c>
      <c r="D957" t="s">
        <v>11</v>
      </c>
      <c r="E957">
        <v>202602</v>
      </c>
      <c r="F957" t="s">
        <v>753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0.33333333333333331</v>
      </c>
      <c r="AN957">
        <v>2.6796686227130611</v>
      </c>
    </row>
    <row r="958" spans="1:40" x14ac:dyDescent="0.3">
      <c r="A958" t="s">
        <v>242</v>
      </c>
      <c r="B958" t="s">
        <v>139</v>
      </c>
      <c r="C958" t="s">
        <v>10</v>
      </c>
      <c r="D958" t="s">
        <v>11</v>
      </c>
      <c r="E958">
        <v>202602</v>
      </c>
      <c r="F958" t="s">
        <v>283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</v>
      </c>
      <c r="AM958">
        <v>0</v>
      </c>
      <c r="AN958">
        <v>2</v>
      </c>
    </row>
    <row r="959" spans="1:40" x14ac:dyDescent="0.3">
      <c r="A959" t="s">
        <v>242</v>
      </c>
      <c r="B959" t="s">
        <v>139</v>
      </c>
      <c r="C959" t="s">
        <v>10</v>
      </c>
      <c r="D959" t="s">
        <v>14</v>
      </c>
      <c r="E959">
        <v>202602</v>
      </c>
      <c r="F959" t="s">
        <v>156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0.33333333333333331</v>
      </c>
      <c r="AN959">
        <v>2.43424142790025</v>
      </c>
    </row>
    <row r="960" spans="1:40" x14ac:dyDescent="0.3">
      <c r="A960" t="s">
        <v>242</v>
      </c>
      <c r="B960" t="s">
        <v>139</v>
      </c>
      <c r="C960" t="s">
        <v>10</v>
      </c>
      <c r="D960" t="s">
        <v>14</v>
      </c>
      <c r="E960">
        <v>202602</v>
      </c>
      <c r="F960" t="s">
        <v>140</v>
      </c>
      <c r="G960">
        <v>0</v>
      </c>
      <c r="H960">
        <v>1</v>
      </c>
      <c r="I960">
        <v>1</v>
      </c>
      <c r="J960">
        <v>1</v>
      </c>
      <c r="K960">
        <v>0</v>
      </c>
      <c r="L960">
        <v>1</v>
      </c>
      <c r="M960">
        <v>0</v>
      </c>
      <c r="N960">
        <v>0</v>
      </c>
      <c r="O960">
        <v>3</v>
      </c>
      <c r="P960">
        <v>0</v>
      </c>
      <c r="Q960">
        <v>2</v>
      </c>
      <c r="R960">
        <v>4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15</v>
      </c>
      <c r="AM960">
        <v>0</v>
      </c>
      <c r="AN960">
        <v>15</v>
      </c>
    </row>
    <row r="961" spans="1:40" x14ac:dyDescent="0.3">
      <c r="A961" t="s">
        <v>242</v>
      </c>
      <c r="B961" t="s">
        <v>139</v>
      </c>
      <c r="C961" t="s">
        <v>10</v>
      </c>
      <c r="D961" t="s">
        <v>14</v>
      </c>
      <c r="E961">
        <v>202602</v>
      </c>
      <c r="F961" t="s">
        <v>227</v>
      </c>
      <c r="G961">
        <v>0</v>
      </c>
      <c r="H961">
        <v>1</v>
      </c>
      <c r="I961">
        <v>1</v>
      </c>
      <c r="J961">
        <v>1</v>
      </c>
      <c r="K961">
        <v>2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8</v>
      </c>
      <c r="AM961">
        <v>0.33333333333333331</v>
      </c>
      <c r="AN961">
        <v>9.4342414279002504</v>
      </c>
    </row>
    <row r="962" spans="1:40" x14ac:dyDescent="0.3">
      <c r="A962" t="s">
        <v>242</v>
      </c>
      <c r="B962" t="s">
        <v>139</v>
      </c>
      <c r="C962" t="s">
        <v>10</v>
      </c>
      <c r="D962" t="s">
        <v>14</v>
      </c>
      <c r="E962">
        <v>202602</v>
      </c>
      <c r="F962" t="s">
        <v>437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</v>
      </c>
      <c r="AM962">
        <v>0.66666666666666663</v>
      </c>
      <c r="AN962">
        <v>4.8684828558005</v>
      </c>
    </row>
    <row r="963" spans="1:40" x14ac:dyDescent="0.3">
      <c r="A963" t="s">
        <v>242</v>
      </c>
      <c r="B963" t="s">
        <v>139</v>
      </c>
      <c r="C963" t="s">
        <v>10</v>
      </c>
      <c r="D963" t="s">
        <v>14</v>
      </c>
      <c r="E963">
        <v>202602</v>
      </c>
      <c r="F963" t="s">
        <v>282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6</v>
      </c>
      <c r="AM963">
        <v>1</v>
      </c>
      <c r="AN963">
        <v>10.302724283700751</v>
      </c>
    </row>
    <row r="964" spans="1:40" x14ac:dyDescent="0.3">
      <c r="A964" t="s">
        <v>242</v>
      </c>
      <c r="B964" t="s">
        <v>139</v>
      </c>
      <c r="C964" t="s">
        <v>10</v>
      </c>
      <c r="D964" t="s">
        <v>14</v>
      </c>
      <c r="E964">
        <v>202602</v>
      </c>
      <c r="F964" t="s">
        <v>284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</v>
      </c>
      <c r="AM964">
        <v>0</v>
      </c>
      <c r="AN964">
        <v>2</v>
      </c>
    </row>
    <row r="965" spans="1:40" x14ac:dyDescent="0.3">
      <c r="A965" t="s">
        <v>242</v>
      </c>
      <c r="B965" t="s">
        <v>139</v>
      </c>
      <c r="C965" t="s">
        <v>10</v>
      </c>
      <c r="D965" t="s">
        <v>14</v>
      </c>
      <c r="E965">
        <v>202602</v>
      </c>
      <c r="F965" t="s">
        <v>148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</v>
      </c>
      <c r="AM965">
        <v>0</v>
      </c>
      <c r="AN965">
        <v>1</v>
      </c>
    </row>
    <row r="966" spans="1:40" x14ac:dyDescent="0.3">
      <c r="A966" t="s">
        <v>242</v>
      </c>
      <c r="B966" t="s">
        <v>139</v>
      </c>
      <c r="C966" t="s">
        <v>10</v>
      </c>
      <c r="D966" t="s">
        <v>14</v>
      </c>
      <c r="E966">
        <v>202602</v>
      </c>
      <c r="F966" t="s">
        <v>726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0.33333333333333331</v>
      </c>
      <c r="AN966">
        <v>2.43424142790025</v>
      </c>
    </row>
    <row r="967" spans="1:40" x14ac:dyDescent="0.3">
      <c r="A967" t="s">
        <v>242</v>
      </c>
      <c r="B967" t="s">
        <v>139</v>
      </c>
      <c r="C967" t="s">
        <v>10</v>
      </c>
      <c r="D967" t="s">
        <v>14</v>
      </c>
      <c r="E967">
        <v>202602</v>
      </c>
      <c r="F967" t="s">
        <v>713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</v>
      </c>
      <c r="AM967">
        <v>0.33333333333333331</v>
      </c>
      <c r="AN967">
        <v>3.43424142790025</v>
      </c>
    </row>
    <row r="968" spans="1:40" x14ac:dyDescent="0.3">
      <c r="A968" t="s">
        <v>242</v>
      </c>
      <c r="B968" t="s">
        <v>139</v>
      </c>
      <c r="C968" t="s">
        <v>10</v>
      </c>
      <c r="D968" t="s">
        <v>14</v>
      </c>
      <c r="E968">
        <v>202602</v>
      </c>
      <c r="F968" t="s">
        <v>285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</v>
      </c>
      <c r="AM968">
        <v>0</v>
      </c>
      <c r="AN968">
        <v>3</v>
      </c>
    </row>
    <row r="969" spans="1:40" x14ac:dyDescent="0.3">
      <c r="A969" t="s">
        <v>242</v>
      </c>
      <c r="B969" t="s">
        <v>139</v>
      </c>
      <c r="C969" t="s">
        <v>10</v>
      </c>
      <c r="D969" t="s">
        <v>14</v>
      </c>
      <c r="E969">
        <v>202602</v>
      </c>
      <c r="F969" t="s">
        <v>753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1</v>
      </c>
    </row>
    <row r="970" spans="1:40" x14ac:dyDescent="0.3">
      <c r="A970" t="s">
        <v>242</v>
      </c>
      <c r="B970" t="s">
        <v>139</v>
      </c>
      <c r="C970" t="s">
        <v>10</v>
      </c>
      <c r="D970" t="s">
        <v>14</v>
      </c>
      <c r="E970">
        <v>202602</v>
      </c>
      <c r="F970" t="s">
        <v>283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</v>
      </c>
      <c r="AM970">
        <v>0</v>
      </c>
      <c r="AN970">
        <v>2</v>
      </c>
    </row>
    <row r="971" spans="1:40" x14ac:dyDescent="0.3">
      <c r="A971" t="s">
        <v>242</v>
      </c>
      <c r="B971" t="s">
        <v>139</v>
      </c>
      <c r="C971" t="s">
        <v>16</v>
      </c>
      <c r="D971" t="s">
        <v>11</v>
      </c>
      <c r="E971">
        <v>202602</v>
      </c>
      <c r="F971" t="s">
        <v>140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1</v>
      </c>
    </row>
    <row r="972" spans="1:40" x14ac:dyDescent="0.3">
      <c r="A972" t="s">
        <v>242</v>
      </c>
      <c r="B972" t="s">
        <v>139</v>
      </c>
      <c r="C972" t="s">
        <v>16</v>
      </c>
      <c r="D972" t="s">
        <v>11</v>
      </c>
      <c r="E972">
        <v>202602</v>
      </c>
      <c r="F972" t="s">
        <v>282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1</v>
      </c>
    </row>
    <row r="973" spans="1:40" x14ac:dyDescent="0.3">
      <c r="A973" t="s">
        <v>242</v>
      </c>
      <c r="B973" t="s">
        <v>139</v>
      </c>
      <c r="C973" t="s">
        <v>16</v>
      </c>
      <c r="D973" t="s">
        <v>14</v>
      </c>
      <c r="E973">
        <v>202602</v>
      </c>
      <c r="F973" t="s">
        <v>140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1</v>
      </c>
    </row>
    <row r="974" spans="1:40" x14ac:dyDescent="0.3">
      <c r="A974" t="s">
        <v>242</v>
      </c>
      <c r="B974" t="s">
        <v>139</v>
      </c>
      <c r="C974" t="s">
        <v>16</v>
      </c>
      <c r="D974" t="s">
        <v>14</v>
      </c>
      <c r="E974">
        <v>202602</v>
      </c>
      <c r="F974" t="s">
        <v>282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</v>
      </c>
      <c r="AM974">
        <v>0</v>
      </c>
      <c r="AN974">
        <v>1</v>
      </c>
    </row>
    <row r="975" spans="1:40" x14ac:dyDescent="0.3">
      <c r="A975" t="s">
        <v>242</v>
      </c>
      <c r="B975" t="s">
        <v>238</v>
      </c>
      <c r="C975" t="s">
        <v>10</v>
      </c>
      <c r="D975" t="s">
        <v>11</v>
      </c>
      <c r="E975">
        <v>202602</v>
      </c>
      <c r="F975" t="s">
        <v>203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4</v>
      </c>
      <c r="AM975">
        <v>0.33333333333333331</v>
      </c>
      <c r="AN975">
        <v>5.6796686227130611</v>
      </c>
    </row>
    <row r="976" spans="1:40" x14ac:dyDescent="0.3">
      <c r="A976" t="s">
        <v>242</v>
      </c>
      <c r="B976" t="s">
        <v>238</v>
      </c>
      <c r="C976" t="s">
        <v>10</v>
      </c>
      <c r="D976" t="s">
        <v>14</v>
      </c>
      <c r="E976">
        <v>202602</v>
      </c>
      <c r="F976" t="s">
        <v>203</v>
      </c>
      <c r="G976">
        <v>0</v>
      </c>
      <c r="H976">
        <v>0</v>
      </c>
      <c r="I976">
        <v>7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3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12</v>
      </c>
      <c r="AM976">
        <v>1.3333333333333333</v>
      </c>
      <c r="AN976">
        <v>17.736965711601002</v>
      </c>
    </row>
    <row r="977" spans="1:40" x14ac:dyDescent="0.3">
      <c r="A977" t="s">
        <v>242</v>
      </c>
      <c r="B977" t="s">
        <v>656</v>
      </c>
      <c r="C977" t="s">
        <v>10</v>
      </c>
      <c r="D977" t="s">
        <v>11</v>
      </c>
      <c r="E977">
        <v>202602</v>
      </c>
      <c r="F977" t="s">
        <v>171</v>
      </c>
      <c r="G977">
        <v>0</v>
      </c>
      <c r="H977">
        <v>1</v>
      </c>
      <c r="I977">
        <v>5</v>
      </c>
      <c r="J977">
        <v>3</v>
      </c>
      <c r="K977">
        <v>4</v>
      </c>
      <c r="L977">
        <v>4</v>
      </c>
      <c r="M977">
        <v>1</v>
      </c>
      <c r="N977">
        <v>0</v>
      </c>
      <c r="O977">
        <v>0</v>
      </c>
      <c r="P977">
        <v>5</v>
      </c>
      <c r="Q977">
        <v>6</v>
      </c>
      <c r="R977">
        <v>1</v>
      </c>
      <c r="S977">
        <v>2</v>
      </c>
      <c r="T977">
        <v>4</v>
      </c>
      <c r="U977">
        <v>0</v>
      </c>
      <c r="V977">
        <v>0</v>
      </c>
      <c r="W977">
        <v>0</v>
      </c>
      <c r="X977">
        <v>3</v>
      </c>
      <c r="Y977">
        <v>2</v>
      </c>
      <c r="Z977">
        <v>0</v>
      </c>
      <c r="AA977">
        <v>0</v>
      </c>
      <c r="AB977">
        <v>0</v>
      </c>
      <c r="AC977">
        <v>2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43</v>
      </c>
      <c r="AM977">
        <v>1.3333333333333333</v>
      </c>
      <c r="AN977">
        <v>49.718674490852244</v>
      </c>
    </row>
    <row r="978" spans="1:40" x14ac:dyDescent="0.3">
      <c r="A978" t="s">
        <v>242</v>
      </c>
      <c r="B978" t="s">
        <v>656</v>
      </c>
      <c r="C978" t="s">
        <v>10</v>
      </c>
      <c r="D978" t="s">
        <v>14</v>
      </c>
      <c r="E978">
        <v>202602</v>
      </c>
      <c r="F978" t="s">
        <v>171</v>
      </c>
      <c r="G978">
        <v>0</v>
      </c>
      <c r="H978">
        <v>4</v>
      </c>
      <c r="I978">
        <v>5</v>
      </c>
      <c r="J978">
        <v>5</v>
      </c>
      <c r="K978">
        <v>1</v>
      </c>
      <c r="L978">
        <v>2</v>
      </c>
      <c r="M978">
        <v>0</v>
      </c>
      <c r="N978">
        <v>0</v>
      </c>
      <c r="O978">
        <v>7</v>
      </c>
      <c r="P978">
        <v>4</v>
      </c>
      <c r="Q978">
        <v>7</v>
      </c>
      <c r="R978">
        <v>4</v>
      </c>
      <c r="S978">
        <v>8</v>
      </c>
      <c r="T978">
        <v>3</v>
      </c>
      <c r="U978">
        <v>0</v>
      </c>
      <c r="V978">
        <v>0</v>
      </c>
      <c r="W978">
        <v>0</v>
      </c>
      <c r="X978">
        <v>1</v>
      </c>
      <c r="Y978">
        <v>1</v>
      </c>
      <c r="Z978">
        <v>5</v>
      </c>
      <c r="AA978">
        <v>1</v>
      </c>
      <c r="AB978">
        <v>0</v>
      </c>
      <c r="AC978">
        <v>3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61</v>
      </c>
      <c r="AM978">
        <v>3</v>
      </c>
      <c r="AN978">
        <v>73.90817285110225</v>
      </c>
    </row>
    <row r="979" spans="1:40" x14ac:dyDescent="0.3">
      <c r="A979" t="s">
        <v>242</v>
      </c>
      <c r="B979" t="s">
        <v>656</v>
      </c>
      <c r="C979" t="s">
        <v>16</v>
      </c>
      <c r="D979" t="s">
        <v>11</v>
      </c>
      <c r="E979">
        <v>202602</v>
      </c>
      <c r="F979" t="s">
        <v>171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1</v>
      </c>
    </row>
    <row r="980" spans="1:40" x14ac:dyDescent="0.3">
      <c r="A980" t="s">
        <v>242</v>
      </c>
      <c r="B980" t="s">
        <v>164</v>
      </c>
      <c r="C980" t="s">
        <v>10</v>
      </c>
      <c r="D980" t="s">
        <v>11</v>
      </c>
      <c r="E980">
        <v>202602</v>
      </c>
      <c r="F980" t="s">
        <v>18</v>
      </c>
      <c r="G980">
        <v>0</v>
      </c>
      <c r="H980">
        <v>7</v>
      </c>
      <c r="I980">
        <v>4</v>
      </c>
      <c r="J980">
        <v>6</v>
      </c>
      <c r="K980">
        <v>7</v>
      </c>
      <c r="L980">
        <v>3</v>
      </c>
      <c r="M980">
        <v>3</v>
      </c>
      <c r="N980">
        <v>0</v>
      </c>
      <c r="O980">
        <v>5</v>
      </c>
      <c r="P980">
        <v>6</v>
      </c>
      <c r="Q980">
        <v>3</v>
      </c>
      <c r="R980">
        <v>4</v>
      </c>
      <c r="S980">
        <v>2</v>
      </c>
      <c r="T980">
        <v>4</v>
      </c>
      <c r="U980">
        <v>0</v>
      </c>
      <c r="V980">
        <v>1</v>
      </c>
      <c r="W980">
        <v>0</v>
      </c>
      <c r="X980">
        <v>3</v>
      </c>
      <c r="Y980">
        <v>8</v>
      </c>
      <c r="Z980">
        <v>8</v>
      </c>
      <c r="AA980">
        <v>2</v>
      </c>
      <c r="AB980">
        <v>2</v>
      </c>
      <c r="AC980">
        <v>3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81</v>
      </c>
      <c r="AM980">
        <v>6.333333333333333</v>
      </c>
      <c r="AN980">
        <v>112.91370383154816</v>
      </c>
    </row>
    <row r="981" spans="1:40" x14ac:dyDescent="0.3">
      <c r="A981" t="s">
        <v>242</v>
      </c>
      <c r="B981" t="s">
        <v>164</v>
      </c>
      <c r="C981" t="s">
        <v>10</v>
      </c>
      <c r="D981" t="s">
        <v>11</v>
      </c>
      <c r="E981">
        <v>202602</v>
      </c>
      <c r="F981" t="s">
        <v>138</v>
      </c>
      <c r="G981">
        <v>0</v>
      </c>
      <c r="H981">
        <v>7</v>
      </c>
      <c r="I981">
        <v>5</v>
      </c>
      <c r="J981">
        <v>4</v>
      </c>
      <c r="K981">
        <v>7</v>
      </c>
      <c r="L981">
        <v>4</v>
      </c>
      <c r="M981">
        <v>5</v>
      </c>
      <c r="N981">
        <v>0</v>
      </c>
      <c r="O981">
        <v>5</v>
      </c>
      <c r="P981">
        <v>6</v>
      </c>
      <c r="Q981">
        <v>4</v>
      </c>
      <c r="R981">
        <v>7</v>
      </c>
      <c r="S981">
        <v>3</v>
      </c>
      <c r="T981">
        <v>3</v>
      </c>
      <c r="U981">
        <v>0</v>
      </c>
      <c r="V981">
        <v>3</v>
      </c>
      <c r="W981">
        <v>0</v>
      </c>
      <c r="X981">
        <v>3</v>
      </c>
      <c r="Y981">
        <v>0</v>
      </c>
      <c r="Z981">
        <v>3</v>
      </c>
      <c r="AA981">
        <v>2</v>
      </c>
      <c r="AB981">
        <v>0</v>
      </c>
      <c r="AC981">
        <v>6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77</v>
      </c>
      <c r="AM981">
        <v>3</v>
      </c>
      <c r="AN981">
        <v>92.117017604417555</v>
      </c>
    </row>
    <row r="982" spans="1:40" x14ac:dyDescent="0.3">
      <c r="A982" t="s">
        <v>242</v>
      </c>
      <c r="B982" t="s">
        <v>164</v>
      </c>
      <c r="C982" t="s">
        <v>10</v>
      </c>
      <c r="D982" t="s">
        <v>14</v>
      </c>
      <c r="E982">
        <v>202602</v>
      </c>
      <c r="F982" t="s">
        <v>18</v>
      </c>
      <c r="G982">
        <v>1</v>
      </c>
      <c r="H982">
        <v>7</v>
      </c>
      <c r="I982">
        <v>11</v>
      </c>
      <c r="J982">
        <v>1</v>
      </c>
      <c r="K982">
        <v>8</v>
      </c>
      <c r="L982">
        <v>4</v>
      </c>
      <c r="M982">
        <v>3</v>
      </c>
      <c r="N982">
        <v>0</v>
      </c>
      <c r="O982">
        <v>6</v>
      </c>
      <c r="P982">
        <v>1</v>
      </c>
      <c r="Q982">
        <v>5</v>
      </c>
      <c r="R982">
        <v>9</v>
      </c>
      <c r="S982">
        <v>5</v>
      </c>
      <c r="T982">
        <v>1</v>
      </c>
      <c r="U982">
        <v>3</v>
      </c>
      <c r="V982">
        <v>2</v>
      </c>
      <c r="W982">
        <v>4</v>
      </c>
      <c r="X982">
        <v>6</v>
      </c>
      <c r="Y982">
        <v>11</v>
      </c>
      <c r="Z982">
        <v>5</v>
      </c>
      <c r="AA982">
        <v>3</v>
      </c>
      <c r="AB982">
        <v>1</v>
      </c>
      <c r="AC982">
        <v>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107</v>
      </c>
      <c r="AM982">
        <v>8.6666666666666661</v>
      </c>
      <c r="AN982">
        <v>144.2902771254065</v>
      </c>
    </row>
    <row r="983" spans="1:40" x14ac:dyDescent="0.3">
      <c r="A983" t="s">
        <v>242</v>
      </c>
      <c r="B983" t="s">
        <v>164</v>
      </c>
      <c r="C983" t="s">
        <v>10</v>
      </c>
      <c r="D983" t="s">
        <v>14</v>
      </c>
      <c r="E983">
        <v>202602</v>
      </c>
      <c r="F983" t="s">
        <v>138</v>
      </c>
      <c r="G983">
        <v>0</v>
      </c>
      <c r="H983">
        <v>8</v>
      </c>
      <c r="I983">
        <v>4</v>
      </c>
      <c r="J983">
        <v>5</v>
      </c>
      <c r="K983">
        <v>7</v>
      </c>
      <c r="L983">
        <v>8</v>
      </c>
      <c r="M983">
        <v>5</v>
      </c>
      <c r="N983">
        <v>0</v>
      </c>
      <c r="O983">
        <v>11</v>
      </c>
      <c r="P983">
        <v>6</v>
      </c>
      <c r="Q983">
        <v>10</v>
      </c>
      <c r="R983">
        <v>1</v>
      </c>
      <c r="S983">
        <v>4</v>
      </c>
      <c r="T983">
        <v>2</v>
      </c>
      <c r="U983">
        <v>0</v>
      </c>
      <c r="V983">
        <v>5</v>
      </c>
      <c r="W983">
        <v>1</v>
      </c>
      <c r="X983">
        <v>5</v>
      </c>
      <c r="Y983">
        <v>9</v>
      </c>
      <c r="Z983">
        <v>4</v>
      </c>
      <c r="AA983">
        <v>2</v>
      </c>
      <c r="AB983">
        <v>0</v>
      </c>
      <c r="AC983">
        <v>6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103</v>
      </c>
      <c r="AM983">
        <v>6.333333333333333</v>
      </c>
      <c r="AN983">
        <v>130.25058713010475</v>
      </c>
    </row>
    <row r="984" spans="1:40" x14ac:dyDescent="0.3">
      <c r="A984" t="s">
        <v>242</v>
      </c>
      <c r="B984" t="s">
        <v>164</v>
      </c>
      <c r="C984" t="s">
        <v>16</v>
      </c>
      <c r="D984" t="s">
        <v>11</v>
      </c>
      <c r="E984">
        <v>202602</v>
      </c>
      <c r="F984" t="s">
        <v>18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2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4</v>
      </c>
      <c r="AM984">
        <v>0</v>
      </c>
      <c r="AN984">
        <v>4</v>
      </c>
    </row>
    <row r="985" spans="1:40" x14ac:dyDescent="0.3">
      <c r="A985" t="s">
        <v>242</v>
      </c>
      <c r="B985" t="s">
        <v>164</v>
      </c>
      <c r="C985" t="s">
        <v>16</v>
      </c>
      <c r="D985" t="s">
        <v>11</v>
      </c>
      <c r="E985">
        <v>202602</v>
      </c>
      <c r="F985" t="s">
        <v>138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0</v>
      </c>
      <c r="AN985">
        <v>1</v>
      </c>
    </row>
    <row r="986" spans="1:40" x14ac:dyDescent="0.3">
      <c r="A986" t="s">
        <v>242</v>
      </c>
      <c r="B986" t="s">
        <v>164</v>
      </c>
      <c r="C986" t="s">
        <v>16</v>
      </c>
      <c r="D986" t="s">
        <v>14</v>
      </c>
      <c r="E986">
        <v>202602</v>
      </c>
      <c r="F986" t="s">
        <v>18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1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</v>
      </c>
      <c r="AM986">
        <v>0.33333333333333331</v>
      </c>
      <c r="AN986">
        <v>6.4342414279002504</v>
      </c>
    </row>
    <row r="987" spans="1:40" x14ac:dyDescent="0.3">
      <c r="A987" t="s">
        <v>242</v>
      </c>
      <c r="B987" t="s">
        <v>164</v>
      </c>
      <c r="C987" t="s">
        <v>16</v>
      </c>
      <c r="D987" t="s">
        <v>14</v>
      </c>
      <c r="E987">
        <v>202602</v>
      </c>
      <c r="F987" t="s">
        <v>138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1</v>
      </c>
    </row>
    <row r="988" spans="1:40" x14ac:dyDescent="0.3">
      <c r="A988" t="s">
        <v>242</v>
      </c>
      <c r="B988" t="s">
        <v>168</v>
      </c>
      <c r="C988" t="s">
        <v>10</v>
      </c>
      <c r="D988" t="s">
        <v>11</v>
      </c>
      <c r="E988">
        <v>202602</v>
      </c>
      <c r="F988" t="s">
        <v>169</v>
      </c>
      <c r="G988">
        <v>0</v>
      </c>
      <c r="H988">
        <v>0</v>
      </c>
      <c r="I988">
        <v>0</v>
      </c>
      <c r="J988">
        <v>0</v>
      </c>
      <c r="K988">
        <v>2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4</v>
      </c>
      <c r="AM988">
        <v>0</v>
      </c>
      <c r="AN988">
        <v>4</v>
      </c>
    </row>
    <row r="989" spans="1:40" x14ac:dyDescent="0.3">
      <c r="A989" t="s">
        <v>242</v>
      </c>
      <c r="B989" t="s">
        <v>168</v>
      </c>
      <c r="C989" t="s">
        <v>10</v>
      </c>
      <c r="D989" t="s">
        <v>11</v>
      </c>
      <c r="E989">
        <v>202602</v>
      </c>
      <c r="F989" t="s">
        <v>241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1</v>
      </c>
    </row>
    <row r="990" spans="1:40" x14ac:dyDescent="0.3">
      <c r="A990" t="s">
        <v>242</v>
      </c>
      <c r="B990" t="s">
        <v>168</v>
      </c>
      <c r="C990" t="s">
        <v>10</v>
      </c>
      <c r="D990" t="s">
        <v>14</v>
      </c>
      <c r="E990">
        <v>202602</v>
      </c>
      <c r="F990" t="s">
        <v>169</v>
      </c>
      <c r="G990">
        <v>0</v>
      </c>
      <c r="H990">
        <v>0</v>
      </c>
      <c r="I990">
        <v>2</v>
      </c>
      <c r="J990">
        <v>2</v>
      </c>
      <c r="K990">
        <v>1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6</v>
      </c>
      <c r="AM990">
        <v>0</v>
      </c>
      <c r="AN990">
        <v>6</v>
      </c>
    </row>
    <row r="991" spans="1:40" x14ac:dyDescent="0.3">
      <c r="A991" t="s">
        <v>242</v>
      </c>
      <c r="B991" t="s">
        <v>168</v>
      </c>
      <c r="C991" t="s">
        <v>10</v>
      </c>
      <c r="D991" t="s">
        <v>14</v>
      </c>
      <c r="E991">
        <v>202602</v>
      </c>
      <c r="F991" t="s">
        <v>323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0.33333333333333331</v>
      </c>
      <c r="AN991">
        <v>2.43424142790025</v>
      </c>
    </row>
    <row r="992" spans="1:40" x14ac:dyDescent="0.3">
      <c r="A992" t="s">
        <v>242</v>
      </c>
      <c r="B992" t="s">
        <v>168</v>
      </c>
      <c r="C992" t="s">
        <v>10</v>
      </c>
      <c r="D992" t="s">
        <v>14</v>
      </c>
      <c r="E992">
        <v>202602</v>
      </c>
      <c r="F992" t="s">
        <v>241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</v>
      </c>
      <c r="AM992">
        <v>0.33333333333333331</v>
      </c>
      <c r="AN992">
        <v>3.43424142790025</v>
      </c>
    </row>
    <row r="993" spans="1:40" x14ac:dyDescent="0.3">
      <c r="A993" t="s">
        <v>242</v>
      </c>
      <c r="B993" t="s">
        <v>170</v>
      </c>
      <c r="C993" t="s">
        <v>10</v>
      </c>
      <c r="D993" t="s">
        <v>11</v>
      </c>
      <c r="E993">
        <v>202602</v>
      </c>
      <c r="F993" t="s">
        <v>50</v>
      </c>
      <c r="G993">
        <v>0</v>
      </c>
      <c r="H993">
        <v>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1</v>
      </c>
      <c r="Z993">
        <v>1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7</v>
      </c>
      <c r="AM993">
        <v>1</v>
      </c>
      <c r="AN993">
        <v>12.039005868139181</v>
      </c>
    </row>
    <row r="994" spans="1:40" x14ac:dyDescent="0.3">
      <c r="A994" t="s">
        <v>242</v>
      </c>
      <c r="B994" t="s">
        <v>170</v>
      </c>
      <c r="C994" t="s">
        <v>10</v>
      </c>
      <c r="D994" t="s">
        <v>14</v>
      </c>
      <c r="E994">
        <v>202602</v>
      </c>
      <c r="F994" t="s">
        <v>50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1</v>
      </c>
      <c r="R994">
        <v>2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2</v>
      </c>
      <c r="Z994">
        <v>1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9</v>
      </c>
      <c r="AM994">
        <v>1.3333333333333333</v>
      </c>
      <c r="AN994">
        <v>14.736965711601</v>
      </c>
    </row>
    <row r="995" spans="1:40" x14ac:dyDescent="0.3">
      <c r="A995" t="s">
        <v>242</v>
      </c>
      <c r="B995" t="s">
        <v>644</v>
      </c>
      <c r="C995" t="s">
        <v>10</v>
      </c>
      <c r="D995" t="s">
        <v>11</v>
      </c>
      <c r="E995">
        <v>202602</v>
      </c>
      <c r="F995" t="s">
        <v>101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1</v>
      </c>
    </row>
    <row r="996" spans="1:40" x14ac:dyDescent="0.3">
      <c r="A996" t="s">
        <v>242</v>
      </c>
      <c r="B996" t="s">
        <v>644</v>
      </c>
      <c r="C996" t="s">
        <v>10</v>
      </c>
      <c r="D996" t="s">
        <v>14</v>
      </c>
      <c r="E996">
        <v>202602</v>
      </c>
      <c r="F996" t="s">
        <v>101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1</v>
      </c>
    </row>
    <row r="997" spans="1:40" x14ac:dyDescent="0.3">
      <c r="A997" t="s">
        <v>242</v>
      </c>
      <c r="B997" t="s">
        <v>172</v>
      </c>
      <c r="C997" t="s">
        <v>10</v>
      </c>
      <c r="D997" t="s">
        <v>11</v>
      </c>
      <c r="E997">
        <v>202602</v>
      </c>
      <c r="F997" t="s">
        <v>171</v>
      </c>
      <c r="G997">
        <v>0</v>
      </c>
      <c r="H997">
        <v>1</v>
      </c>
      <c r="I997">
        <v>1</v>
      </c>
      <c r="J997">
        <v>4</v>
      </c>
      <c r="K997">
        <v>2</v>
      </c>
      <c r="L997">
        <v>2</v>
      </c>
      <c r="M997">
        <v>0</v>
      </c>
      <c r="N997">
        <v>0</v>
      </c>
      <c r="O997">
        <v>3</v>
      </c>
      <c r="P997">
        <v>0</v>
      </c>
      <c r="Q997">
        <v>1</v>
      </c>
      <c r="R997">
        <v>1</v>
      </c>
      <c r="S997">
        <v>1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3</v>
      </c>
      <c r="Z997">
        <v>2</v>
      </c>
      <c r="AA997">
        <v>2</v>
      </c>
      <c r="AB997">
        <v>0</v>
      </c>
      <c r="AC997">
        <v>5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29</v>
      </c>
      <c r="AM997">
        <v>3.3333333333333335</v>
      </c>
      <c r="AN997">
        <v>45.796686227130607</v>
      </c>
    </row>
    <row r="998" spans="1:40" x14ac:dyDescent="0.3">
      <c r="A998" t="s">
        <v>242</v>
      </c>
      <c r="B998" t="s">
        <v>172</v>
      </c>
      <c r="C998" t="s">
        <v>10</v>
      </c>
      <c r="D998" t="s">
        <v>14</v>
      </c>
      <c r="E998">
        <v>202602</v>
      </c>
      <c r="F998" t="s">
        <v>171</v>
      </c>
      <c r="G998">
        <v>0</v>
      </c>
      <c r="H998">
        <v>3</v>
      </c>
      <c r="I998">
        <v>6</v>
      </c>
      <c r="J998">
        <v>2</v>
      </c>
      <c r="K998">
        <v>1</v>
      </c>
      <c r="L998">
        <v>5</v>
      </c>
      <c r="M998">
        <v>0</v>
      </c>
      <c r="N998">
        <v>0</v>
      </c>
      <c r="O998">
        <v>2</v>
      </c>
      <c r="P998">
        <v>0</v>
      </c>
      <c r="Q998">
        <v>1</v>
      </c>
      <c r="R998">
        <v>3</v>
      </c>
      <c r="S998">
        <v>4</v>
      </c>
      <c r="T998">
        <v>0</v>
      </c>
      <c r="U998">
        <v>0</v>
      </c>
      <c r="V998">
        <v>0</v>
      </c>
      <c r="W998">
        <v>0</v>
      </c>
      <c r="X998">
        <v>6</v>
      </c>
      <c r="Y998">
        <v>1</v>
      </c>
      <c r="Z998">
        <v>4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39</v>
      </c>
      <c r="AM998">
        <v>1.6666666666666667</v>
      </c>
      <c r="AN998">
        <v>46.171207139501249</v>
      </c>
    </row>
    <row r="999" spans="1:40" x14ac:dyDescent="0.3">
      <c r="A999" t="s">
        <v>286</v>
      </c>
      <c r="B999" t="s">
        <v>9</v>
      </c>
      <c r="C999" t="s">
        <v>10</v>
      </c>
      <c r="D999" t="s">
        <v>11</v>
      </c>
      <c r="E999">
        <v>202602</v>
      </c>
      <c r="F999" t="s">
        <v>169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</v>
      </c>
      <c r="AM999">
        <v>0.33333333333333331</v>
      </c>
      <c r="AN999">
        <v>3.6796686227130611</v>
      </c>
    </row>
    <row r="1000" spans="1:40" x14ac:dyDescent="0.3">
      <c r="A1000" t="s">
        <v>286</v>
      </c>
      <c r="B1000" t="s">
        <v>9</v>
      </c>
      <c r="C1000" t="s">
        <v>10</v>
      </c>
      <c r="D1000" t="s">
        <v>11</v>
      </c>
      <c r="E1000">
        <v>202602</v>
      </c>
      <c r="F1000" t="s">
        <v>175</v>
      </c>
      <c r="G1000">
        <v>0</v>
      </c>
      <c r="H1000">
        <v>5</v>
      </c>
      <c r="I1000">
        <v>6</v>
      </c>
      <c r="J1000">
        <v>3</v>
      </c>
      <c r="K1000">
        <v>9</v>
      </c>
      <c r="L1000">
        <v>4</v>
      </c>
      <c r="M1000">
        <v>3</v>
      </c>
      <c r="N1000">
        <v>0</v>
      </c>
      <c r="O1000">
        <v>13</v>
      </c>
      <c r="P1000">
        <v>6</v>
      </c>
      <c r="Q1000">
        <v>6</v>
      </c>
      <c r="R1000">
        <v>6</v>
      </c>
      <c r="S1000">
        <v>4</v>
      </c>
      <c r="T1000">
        <v>3</v>
      </c>
      <c r="U1000">
        <v>0</v>
      </c>
      <c r="V1000">
        <v>4</v>
      </c>
      <c r="W1000">
        <v>0</v>
      </c>
      <c r="X1000">
        <v>5</v>
      </c>
      <c r="Y1000">
        <v>3</v>
      </c>
      <c r="Z1000">
        <v>2</v>
      </c>
      <c r="AA1000">
        <v>0</v>
      </c>
      <c r="AB1000">
        <v>0</v>
      </c>
      <c r="AC1000">
        <v>3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85</v>
      </c>
      <c r="AM1000">
        <v>2.6666666666666665</v>
      </c>
      <c r="AN1000">
        <v>98.437348981704488</v>
      </c>
    </row>
    <row r="1001" spans="1:40" x14ac:dyDescent="0.3">
      <c r="A1001" t="s">
        <v>286</v>
      </c>
      <c r="B1001" t="s">
        <v>9</v>
      </c>
      <c r="C1001" t="s">
        <v>10</v>
      </c>
      <c r="D1001" t="s">
        <v>11</v>
      </c>
      <c r="E1001">
        <v>202602</v>
      </c>
      <c r="F1001" t="s">
        <v>287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1</v>
      </c>
      <c r="M1001">
        <v>1</v>
      </c>
      <c r="N1001">
        <v>0</v>
      </c>
      <c r="O1001">
        <v>1</v>
      </c>
      <c r="P1001">
        <v>1</v>
      </c>
      <c r="Q1001">
        <v>0</v>
      </c>
      <c r="R1001">
        <v>2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1</v>
      </c>
      <c r="Z1001">
        <v>2</v>
      </c>
      <c r="AA1001">
        <v>0</v>
      </c>
      <c r="AB1001">
        <v>0</v>
      </c>
      <c r="AC1001">
        <v>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13</v>
      </c>
      <c r="AM1001">
        <v>1.6666666666666667</v>
      </c>
      <c r="AN1001">
        <v>21.398343113565303</v>
      </c>
    </row>
    <row r="1002" spans="1:40" x14ac:dyDescent="0.3">
      <c r="A1002" t="s">
        <v>286</v>
      </c>
      <c r="B1002" t="s">
        <v>9</v>
      </c>
      <c r="C1002" t="s">
        <v>10</v>
      </c>
      <c r="D1002" t="s">
        <v>14</v>
      </c>
      <c r="E1002">
        <v>202602</v>
      </c>
      <c r="F1002" t="s">
        <v>169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</v>
      </c>
      <c r="AM1002">
        <v>0.33333333333333331</v>
      </c>
      <c r="AN1002">
        <v>3.43424142790025</v>
      </c>
    </row>
    <row r="1003" spans="1:40" x14ac:dyDescent="0.3">
      <c r="A1003" t="s">
        <v>286</v>
      </c>
      <c r="B1003" t="s">
        <v>9</v>
      </c>
      <c r="C1003" t="s">
        <v>10</v>
      </c>
      <c r="D1003" t="s">
        <v>14</v>
      </c>
      <c r="E1003">
        <v>202602</v>
      </c>
      <c r="F1003" t="s">
        <v>175</v>
      </c>
      <c r="G1003">
        <v>0</v>
      </c>
      <c r="H1003">
        <v>10</v>
      </c>
      <c r="I1003">
        <v>7</v>
      </c>
      <c r="J1003">
        <v>5</v>
      </c>
      <c r="K1003">
        <v>7</v>
      </c>
      <c r="L1003">
        <v>4</v>
      </c>
      <c r="M1003">
        <v>5</v>
      </c>
      <c r="N1003">
        <v>2</v>
      </c>
      <c r="O1003">
        <v>8</v>
      </c>
      <c r="P1003">
        <v>8</v>
      </c>
      <c r="Q1003">
        <v>7</v>
      </c>
      <c r="R1003">
        <v>6</v>
      </c>
      <c r="S1003">
        <v>3</v>
      </c>
      <c r="T1003">
        <v>0</v>
      </c>
      <c r="U1003">
        <v>0</v>
      </c>
      <c r="V1003">
        <v>6</v>
      </c>
      <c r="W1003">
        <v>1</v>
      </c>
      <c r="X1003">
        <v>1</v>
      </c>
      <c r="Y1003">
        <v>4</v>
      </c>
      <c r="Z1003">
        <v>7</v>
      </c>
      <c r="AA1003">
        <v>3</v>
      </c>
      <c r="AB1003">
        <v>0</v>
      </c>
      <c r="AC1003">
        <v>4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98</v>
      </c>
      <c r="AM1003">
        <v>5</v>
      </c>
      <c r="AN1003">
        <v>119.51362141850375</v>
      </c>
    </row>
    <row r="1004" spans="1:40" x14ac:dyDescent="0.3">
      <c r="A1004" t="s">
        <v>286</v>
      </c>
      <c r="B1004" t="s">
        <v>9</v>
      </c>
      <c r="C1004" t="s">
        <v>10</v>
      </c>
      <c r="D1004" t="s">
        <v>14</v>
      </c>
      <c r="E1004">
        <v>202602</v>
      </c>
      <c r="F1004" t="s">
        <v>287</v>
      </c>
      <c r="G1004">
        <v>0</v>
      </c>
      <c r="H1004">
        <v>1</v>
      </c>
      <c r="I1004">
        <v>0</v>
      </c>
      <c r="J1004">
        <v>2</v>
      </c>
      <c r="K1004">
        <v>2</v>
      </c>
      <c r="L1004">
        <v>0</v>
      </c>
      <c r="M1004">
        <v>1</v>
      </c>
      <c r="N1004">
        <v>0</v>
      </c>
      <c r="O1004">
        <v>3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3</v>
      </c>
      <c r="Y1004">
        <v>1</v>
      </c>
      <c r="Z1004">
        <v>2</v>
      </c>
      <c r="AA1004">
        <v>1</v>
      </c>
      <c r="AB1004">
        <v>0</v>
      </c>
      <c r="AC1004">
        <v>2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18</v>
      </c>
      <c r="AM1004">
        <v>1.6666666666666667</v>
      </c>
      <c r="AN1004">
        <v>25.171207139501249</v>
      </c>
    </row>
    <row r="1005" spans="1:40" x14ac:dyDescent="0.3">
      <c r="A1005" t="s">
        <v>286</v>
      </c>
      <c r="B1005" t="s">
        <v>9</v>
      </c>
      <c r="C1005" t="s">
        <v>16</v>
      </c>
      <c r="D1005" t="s">
        <v>11</v>
      </c>
      <c r="E1005">
        <v>202602</v>
      </c>
      <c r="F1005" t="s">
        <v>175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5</v>
      </c>
      <c r="AM1005">
        <v>0</v>
      </c>
      <c r="AN1005">
        <v>5</v>
      </c>
    </row>
    <row r="1006" spans="1:40" x14ac:dyDescent="0.3">
      <c r="A1006" t="s">
        <v>286</v>
      </c>
      <c r="B1006" t="s">
        <v>9</v>
      </c>
      <c r="C1006" t="s">
        <v>16</v>
      </c>
      <c r="D1006" t="s">
        <v>14</v>
      </c>
      <c r="E1006">
        <v>202602</v>
      </c>
      <c r="F1006" t="s">
        <v>175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4</v>
      </c>
      <c r="AM1006">
        <v>0</v>
      </c>
      <c r="AN1006">
        <v>4</v>
      </c>
    </row>
    <row r="1007" spans="1:40" x14ac:dyDescent="0.3">
      <c r="A1007" t="s">
        <v>286</v>
      </c>
      <c r="B1007" t="s">
        <v>17</v>
      </c>
      <c r="C1007" t="s">
        <v>10</v>
      </c>
      <c r="D1007" t="s">
        <v>11</v>
      </c>
      <c r="E1007">
        <v>202602</v>
      </c>
      <c r="F1007" t="s">
        <v>42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1</v>
      </c>
    </row>
    <row r="1008" spans="1:40" x14ac:dyDescent="0.3">
      <c r="A1008" t="s">
        <v>286</v>
      </c>
      <c r="B1008" t="s">
        <v>17</v>
      </c>
      <c r="C1008" t="s">
        <v>10</v>
      </c>
      <c r="D1008" t="s">
        <v>11</v>
      </c>
      <c r="E1008">
        <v>202602</v>
      </c>
      <c r="F1008" t="s">
        <v>18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2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3</v>
      </c>
      <c r="AM1008">
        <v>0.33333333333333331</v>
      </c>
      <c r="AN1008">
        <v>4.6796686227130611</v>
      </c>
    </row>
    <row r="1009" spans="1:40" x14ac:dyDescent="0.3">
      <c r="A1009" t="s">
        <v>286</v>
      </c>
      <c r="B1009" t="s">
        <v>17</v>
      </c>
      <c r="C1009" t="s">
        <v>10</v>
      </c>
      <c r="D1009" t="s">
        <v>11</v>
      </c>
      <c r="E1009">
        <v>202602</v>
      </c>
      <c r="F1009" t="s">
        <v>288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</v>
      </c>
      <c r="AM1009">
        <v>0</v>
      </c>
      <c r="AN1009">
        <v>2</v>
      </c>
    </row>
    <row r="1010" spans="1:40" x14ac:dyDescent="0.3">
      <c r="A1010" t="s">
        <v>286</v>
      </c>
      <c r="B1010" t="s">
        <v>17</v>
      </c>
      <c r="C1010" t="s">
        <v>10</v>
      </c>
      <c r="D1010" t="s">
        <v>11</v>
      </c>
      <c r="E1010">
        <v>202602</v>
      </c>
      <c r="F1010" t="s">
        <v>298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3</v>
      </c>
      <c r="AM1010">
        <v>0.66666666666666663</v>
      </c>
      <c r="AN1010">
        <v>6.3593372454261221</v>
      </c>
    </row>
    <row r="1011" spans="1:40" x14ac:dyDescent="0.3">
      <c r="A1011" t="s">
        <v>286</v>
      </c>
      <c r="B1011" t="s">
        <v>17</v>
      </c>
      <c r="C1011" t="s">
        <v>10</v>
      </c>
      <c r="D1011" t="s">
        <v>11</v>
      </c>
      <c r="E1011">
        <v>202602</v>
      </c>
      <c r="F1011" t="s">
        <v>289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3</v>
      </c>
      <c r="AM1011">
        <v>0.33333333333333331</v>
      </c>
      <c r="AN1011">
        <v>4.6796686227130611</v>
      </c>
    </row>
    <row r="1012" spans="1:40" x14ac:dyDescent="0.3">
      <c r="A1012" t="s">
        <v>286</v>
      </c>
      <c r="B1012" t="s">
        <v>17</v>
      </c>
      <c r="C1012" t="s">
        <v>10</v>
      </c>
      <c r="D1012" t="s">
        <v>11</v>
      </c>
      <c r="E1012">
        <v>202602</v>
      </c>
      <c r="F1012" t="s">
        <v>714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1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4</v>
      </c>
      <c r="AM1012">
        <v>0.66666666666666663</v>
      </c>
      <c r="AN1012">
        <v>7.3593372454261221</v>
      </c>
    </row>
    <row r="1013" spans="1:40" x14ac:dyDescent="0.3">
      <c r="A1013" t="s">
        <v>286</v>
      </c>
      <c r="B1013" t="s">
        <v>17</v>
      </c>
      <c r="C1013" t="s">
        <v>10</v>
      </c>
      <c r="D1013" t="s">
        <v>11</v>
      </c>
      <c r="E1013">
        <v>202602</v>
      </c>
      <c r="F1013" t="s">
        <v>28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0.33333333333333331</v>
      </c>
      <c r="AN1013">
        <v>2.6796686227130611</v>
      </c>
    </row>
    <row r="1014" spans="1:40" x14ac:dyDescent="0.3">
      <c r="A1014" t="s">
        <v>286</v>
      </c>
      <c r="B1014" t="s">
        <v>17</v>
      </c>
      <c r="C1014" t="s">
        <v>10</v>
      </c>
      <c r="D1014" t="s">
        <v>11</v>
      </c>
      <c r="E1014">
        <v>202602</v>
      </c>
      <c r="F1014" t="s">
        <v>290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3</v>
      </c>
      <c r="AM1014">
        <v>0.66666666666666663</v>
      </c>
      <c r="AN1014">
        <v>6.3593372454261221</v>
      </c>
    </row>
    <row r="1015" spans="1:40" x14ac:dyDescent="0.3">
      <c r="A1015" t="s">
        <v>286</v>
      </c>
      <c r="B1015" t="s">
        <v>17</v>
      </c>
      <c r="C1015" t="s">
        <v>10</v>
      </c>
      <c r="D1015" t="s">
        <v>11</v>
      </c>
      <c r="E1015">
        <v>202602</v>
      </c>
      <c r="F1015" t="s">
        <v>291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1</v>
      </c>
      <c r="M1015">
        <v>1</v>
      </c>
      <c r="N1015">
        <v>0</v>
      </c>
      <c r="O1015">
        <v>2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6</v>
      </c>
      <c r="AM1015">
        <v>0</v>
      </c>
      <c r="AN1015">
        <v>6</v>
      </c>
    </row>
    <row r="1016" spans="1:40" x14ac:dyDescent="0.3">
      <c r="A1016" t="s">
        <v>286</v>
      </c>
      <c r="B1016" t="s">
        <v>17</v>
      </c>
      <c r="C1016" t="s">
        <v>10</v>
      </c>
      <c r="D1016" t="s">
        <v>11</v>
      </c>
      <c r="E1016">
        <v>202602</v>
      </c>
      <c r="F1016" t="s">
        <v>292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3</v>
      </c>
      <c r="AM1016">
        <v>0.33333333333333331</v>
      </c>
      <c r="AN1016">
        <v>4.6796686227130611</v>
      </c>
    </row>
    <row r="1017" spans="1:40" x14ac:dyDescent="0.3">
      <c r="A1017" t="s">
        <v>286</v>
      </c>
      <c r="B1017" t="s">
        <v>17</v>
      </c>
      <c r="C1017" t="s">
        <v>10</v>
      </c>
      <c r="D1017" t="s">
        <v>11</v>
      </c>
      <c r="E1017">
        <v>202602</v>
      </c>
      <c r="F1017" t="s">
        <v>293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</v>
      </c>
      <c r="T1017">
        <v>1</v>
      </c>
      <c r="U1017">
        <v>0</v>
      </c>
      <c r="V1017">
        <v>1</v>
      </c>
      <c r="W1017">
        <v>0</v>
      </c>
      <c r="X1017">
        <v>1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7</v>
      </c>
      <c r="AM1017">
        <v>0.33333333333333331</v>
      </c>
      <c r="AN1017">
        <v>8.6796686227130611</v>
      </c>
    </row>
    <row r="1018" spans="1:40" x14ac:dyDescent="0.3">
      <c r="A1018" t="s">
        <v>286</v>
      </c>
      <c r="B1018" t="s">
        <v>17</v>
      </c>
      <c r="C1018" t="s">
        <v>10</v>
      </c>
      <c r="D1018" t="s">
        <v>11</v>
      </c>
      <c r="E1018">
        <v>202602</v>
      </c>
      <c r="F1018" t="s">
        <v>294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1</v>
      </c>
    </row>
    <row r="1019" spans="1:40" x14ac:dyDescent="0.3">
      <c r="A1019" t="s">
        <v>286</v>
      </c>
      <c r="B1019" t="s">
        <v>17</v>
      </c>
      <c r="C1019" t="s">
        <v>10</v>
      </c>
      <c r="D1019" t="s">
        <v>11</v>
      </c>
      <c r="E1019">
        <v>202602</v>
      </c>
      <c r="F1019" t="s">
        <v>300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2</v>
      </c>
      <c r="AM1019">
        <v>0</v>
      </c>
      <c r="AN1019">
        <v>2</v>
      </c>
    </row>
    <row r="1020" spans="1:40" x14ac:dyDescent="0.3">
      <c r="A1020" t="s">
        <v>286</v>
      </c>
      <c r="B1020" t="s">
        <v>17</v>
      </c>
      <c r="C1020" t="s">
        <v>10</v>
      </c>
      <c r="D1020" t="s">
        <v>11</v>
      </c>
      <c r="E1020">
        <v>202602</v>
      </c>
      <c r="F1020" t="s">
        <v>402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1</v>
      </c>
    </row>
    <row r="1021" spans="1:40" x14ac:dyDescent="0.3">
      <c r="A1021" t="s">
        <v>286</v>
      </c>
      <c r="B1021" t="s">
        <v>17</v>
      </c>
      <c r="C1021" t="s">
        <v>10</v>
      </c>
      <c r="D1021" t="s">
        <v>11</v>
      </c>
      <c r="E1021">
        <v>202602</v>
      </c>
      <c r="F1021" t="s">
        <v>295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</v>
      </c>
      <c r="AM1021">
        <v>0.33333333333333331</v>
      </c>
      <c r="AN1021">
        <v>4.6796686227130611</v>
      </c>
    </row>
    <row r="1022" spans="1:40" x14ac:dyDescent="0.3">
      <c r="A1022" t="s">
        <v>286</v>
      </c>
      <c r="B1022" t="s">
        <v>17</v>
      </c>
      <c r="C1022" t="s">
        <v>10</v>
      </c>
      <c r="D1022" t="s">
        <v>11</v>
      </c>
      <c r="E1022">
        <v>202602</v>
      </c>
      <c r="F1022" t="s">
        <v>296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6</v>
      </c>
      <c r="M1022">
        <v>0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1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11</v>
      </c>
      <c r="AM1022">
        <v>0.33333333333333331</v>
      </c>
      <c r="AN1022">
        <v>12.679668622713061</v>
      </c>
    </row>
    <row r="1023" spans="1:40" x14ac:dyDescent="0.3">
      <c r="A1023" t="s">
        <v>286</v>
      </c>
      <c r="B1023" t="s">
        <v>17</v>
      </c>
      <c r="C1023" t="s">
        <v>10</v>
      </c>
      <c r="D1023" t="s">
        <v>11</v>
      </c>
      <c r="E1023">
        <v>202602</v>
      </c>
      <c r="F1023" t="s">
        <v>297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4</v>
      </c>
      <c r="AM1023">
        <v>0.33333333333333331</v>
      </c>
      <c r="AN1023">
        <v>5.6796686227130611</v>
      </c>
    </row>
    <row r="1024" spans="1:40" x14ac:dyDescent="0.3">
      <c r="A1024" t="s">
        <v>286</v>
      </c>
      <c r="B1024" t="s">
        <v>17</v>
      </c>
      <c r="C1024" t="s">
        <v>10</v>
      </c>
      <c r="D1024" t="s">
        <v>14</v>
      </c>
      <c r="E1024">
        <v>202602</v>
      </c>
      <c r="F1024" t="s">
        <v>203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1</v>
      </c>
      <c r="AM1024">
        <v>0.33333333333333331</v>
      </c>
      <c r="AN1024">
        <v>2.43424142790025</v>
      </c>
    </row>
    <row r="1025" spans="1:40" x14ac:dyDescent="0.3">
      <c r="A1025" t="s">
        <v>286</v>
      </c>
      <c r="B1025" t="s">
        <v>17</v>
      </c>
      <c r="C1025" t="s">
        <v>10</v>
      </c>
      <c r="D1025" t="s">
        <v>14</v>
      </c>
      <c r="E1025">
        <v>202602</v>
      </c>
      <c r="F1025" t="s">
        <v>18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6</v>
      </c>
      <c r="AM1025">
        <v>0.33333333333333331</v>
      </c>
      <c r="AN1025">
        <v>7.4342414279002504</v>
      </c>
    </row>
    <row r="1026" spans="1:40" x14ac:dyDescent="0.3">
      <c r="A1026" t="s">
        <v>286</v>
      </c>
      <c r="B1026" t="s">
        <v>17</v>
      </c>
      <c r="C1026" t="s">
        <v>10</v>
      </c>
      <c r="D1026" t="s">
        <v>14</v>
      </c>
      <c r="E1026">
        <v>202602</v>
      </c>
      <c r="F1026" t="s">
        <v>288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</v>
      </c>
      <c r="AM1026">
        <v>0</v>
      </c>
      <c r="AN1026">
        <v>2</v>
      </c>
    </row>
    <row r="1027" spans="1:40" x14ac:dyDescent="0.3">
      <c r="A1027" t="s">
        <v>286</v>
      </c>
      <c r="B1027" t="s">
        <v>17</v>
      </c>
      <c r="C1027" t="s">
        <v>10</v>
      </c>
      <c r="D1027" t="s">
        <v>14</v>
      </c>
      <c r="E1027">
        <v>202602</v>
      </c>
      <c r="F1027" t="s">
        <v>298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1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4</v>
      </c>
      <c r="AM1027">
        <v>0.33333333333333331</v>
      </c>
      <c r="AN1027">
        <v>5.4342414279002504</v>
      </c>
    </row>
    <row r="1028" spans="1:40" x14ac:dyDescent="0.3">
      <c r="A1028" t="s">
        <v>286</v>
      </c>
      <c r="B1028" t="s">
        <v>17</v>
      </c>
      <c r="C1028" t="s">
        <v>10</v>
      </c>
      <c r="D1028" t="s">
        <v>14</v>
      </c>
      <c r="E1028">
        <v>202602</v>
      </c>
      <c r="F1028" t="s">
        <v>289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3</v>
      </c>
      <c r="AM1028">
        <v>0</v>
      </c>
      <c r="AN1028">
        <v>3</v>
      </c>
    </row>
    <row r="1029" spans="1:40" x14ac:dyDescent="0.3">
      <c r="A1029" t="s">
        <v>286</v>
      </c>
      <c r="B1029" t="s">
        <v>17</v>
      </c>
      <c r="C1029" t="s">
        <v>10</v>
      </c>
      <c r="D1029" t="s">
        <v>14</v>
      </c>
      <c r="E1029">
        <v>202602</v>
      </c>
      <c r="F1029" t="s">
        <v>714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1</v>
      </c>
      <c r="T1029">
        <v>0</v>
      </c>
      <c r="U1029">
        <v>1</v>
      </c>
      <c r="V1029">
        <v>0</v>
      </c>
      <c r="W1029">
        <v>0</v>
      </c>
      <c r="X1029">
        <v>2</v>
      </c>
      <c r="Y1029">
        <v>0</v>
      </c>
      <c r="Z1029">
        <v>0</v>
      </c>
      <c r="AA1029">
        <v>0</v>
      </c>
      <c r="AB1029">
        <v>0</v>
      </c>
      <c r="AC1029">
        <v>2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7</v>
      </c>
      <c r="AM1029">
        <v>0.66666666666666663</v>
      </c>
      <c r="AN1029">
        <v>9.8684828558005009</v>
      </c>
    </row>
    <row r="1030" spans="1:40" x14ac:dyDescent="0.3">
      <c r="A1030" t="s">
        <v>286</v>
      </c>
      <c r="B1030" t="s">
        <v>17</v>
      </c>
      <c r="C1030" t="s">
        <v>10</v>
      </c>
      <c r="D1030" t="s">
        <v>14</v>
      </c>
      <c r="E1030">
        <v>202602</v>
      </c>
      <c r="F1030" t="s">
        <v>28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2</v>
      </c>
      <c r="AM1030">
        <v>0</v>
      </c>
      <c r="AN1030">
        <v>2</v>
      </c>
    </row>
    <row r="1031" spans="1:40" x14ac:dyDescent="0.3">
      <c r="A1031" t="s">
        <v>286</v>
      </c>
      <c r="B1031" t="s">
        <v>17</v>
      </c>
      <c r="C1031" t="s">
        <v>10</v>
      </c>
      <c r="D1031" t="s">
        <v>14</v>
      </c>
      <c r="E1031">
        <v>202602</v>
      </c>
      <c r="F1031" t="s">
        <v>290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3</v>
      </c>
      <c r="AM1031">
        <v>0.33333333333333331</v>
      </c>
      <c r="AN1031">
        <v>4.4342414279002504</v>
      </c>
    </row>
    <row r="1032" spans="1:40" x14ac:dyDescent="0.3">
      <c r="A1032" t="s">
        <v>286</v>
      </c>
      <c r="B1032" t="s">
        <v>17</v>
      </c>
      <c r="C1032" t="s">
        <v>10</v>
      </c>
      <c r="D1032" t="s">
        <v>14</v>
      </c>
      <c r="E1032">
        <v>202602</v>
      </c>
      <c r="F1032" t="s">
        <v>291</v>
      </c>
      <c r="G1032">
        <v>0</v>
      </c>
      <c r="H1032">
        <v>0</v>
      </c>
      <c r="I1032">
        <v>1</v>
      </c>
      <c r="J1032">
        <v>0</v>
      </c>
      <c r="K1032">
        <v>2</v>
      </c>
      <c r="L1032">
        <v>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6</v>
      </c>
      <c r="AM1032">
        <v>0</v>
      </c>
      <c r="AN1032">
        <v>6</v>
      </c>
    </row>
    <row r="1033" spans="1:40" x14ac:dyDescent="0.3">
      <c r="A1033" t="s">
        <v>286</v>
      </c>
      <c r="B1033" t="s">
        <v>17</v>
      </c>
      <c r="C1033" t="s">
        <v>10</v>
      </c>
      <c r="D1033" t="s">
        <v>14</v>
      </c>
      <c r="E1033">
        <v>202602</v>
      </c>
      <c r="F1033" t="s">
        <v>292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3</v>
      </c>
      <c r="AM1033">
        <v>0.33333333333333331</v>
      </c>
      <c r="AN1033">
        <v>4.4342414279002504</v>
      </c>
    </row>
    <row r="1034" spans="1:40" x14ac:dyDescent="0.3">
      <c r="A1034" t="s">
        <v>286</v>
      </c>
      <c r="B1034" t="s">
        <v>17</v>
      </c>
      <c r="C1034" t="s">
        <v>10</v>
      </c>
      <c r="D1034" t="s">
        <v>14</v>
      </c>
      <c r="E1034">
        <v>202602</v>
      </c>
      <c r="F1034" t="s">
        <v>293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2</v>
      </c>
      <c r="R1034">
        <v>2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6</v>
      </c>
      <c r="AM1034">
        <v>0</v>
      </c>
      <c r="AN1034">
        <v>6</v>
      </c>
    </row>
    <row r="1035" spans="1:40" x14ac:dyDescent="0.3">
      <c r="A1035" t="s">
        <v>286</v>
      </c>
      <c r="B1035" t="s">
        <v>17</v>
      </c>
      <c r="C1035" t="s">
        <v>10</v>
      </c>
      <c r="D1035" t="s">
        <v>14</v>
      </c>
      <c r="E1035">
        <v>202602</v>
      </c>
      <c r="F1035" t="s">
        <v>299</v>
      </c>
      <c r="G1035">
        <v>0</v>
      </c>
      <c r="H1035">
        <v>0</v>
      </c>
      <c r="I1035">
        <v>0</v>
      </c>
      <c r="J1035">
        <v>0</v>
      </c>
      <c r="K1035">
        <v>2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3</v>
      </c>
      <c r="AM1035">
        <v>0</v>
      </c>
      <c r="AN1035">
        <v>3</v>
      </c>
    </row>
    <row r="1036" spans="1:40" x14ac:dyDescent="0.3">
      <c r="A1036" t="s">
        <v>286</v>
      </c>
      <c r="B1036" t="s">
        <v>17</v>
      </c>
      <c r="C1036" t="s">
        <v>10</v>
      </c>
      <c r="D1036" t="s">
        <v>14</v>
      </c>
      <c r="E1036">
        <v>202602</v>
      </c>
      <c r="F1036" t="s">
        <v>300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3</v>
      </c>
      <c r="AM1036">
        <v>0</v>
      </c>
      <c r="AN1036">
        <v>3</v>
      </c>
    </row>
    <row r="1037" spans="1:40" x14ac:dyDescent="0.3">
      <c r="A1037" t="s">
        <v>286</v>
      </c>
      <c r="B1037" t="s">
        <v>17</v>
      </c>
      <c r="C1037" t="s">
        <v>10</v>
      </c>
      <c r="D1037" t="s">
        <v>14</v>
      </c>
      <c r="E1037">
        <v>202602</v>
      </c>
      <c r="F1037" t="s">
        <v>402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1</v>
      </c>
    </row>
    <row r="1038" spans="1:40" x14ac:dyDescent="0.3">
      <c r="A1038" t="s">
        <v>286</v>
      </c>
      <c r="B1038" t="s">
        <v>17</v>
      </c>
      <c r="C1038" t="s">
        <v>10</v>
      </c>
      <c r="D1038" t="s">
        <v>14</v>
      </c>
      <c r="E1038">
        <v>202602</v>
      </c>
      <c r="F1038" t="s">
        <v>295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</v>
      </c>
      <c r="AM1038">
        <v>0</v>
      </c>
      <c r="AN1038">
        <v>2</v>
      </c>
    </row>
    <row r="1039" spans="1:40" x14ac:dyDescent="0.3">
      <c r="A1039" t="s">
        <v>286</v>
      </c>
      <c r="B1039" t="s">
        <v>17</v>
      </c>
      <c r="C1039" t="s">
        <v>10</v>
      </c>
      <c r="D1039" t="s">
        <v>14</v>
      </c>
      <c r="E1039">
        <v>202602</v>
      </c>
      <c r="F1039" t="s">
        <v>296</v>
      </c>
      <c r="G1039">
        <v>0</v>
      </c>
      <c r="H1039">
        <v>0</v>
      </c>
      <c r="I1039">
        <v>0</v>
      </c>
      <c r="J1039">
        <v>7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11</v>
      </c>
      <c r="AM1039">
        <v>0</v>
      </c>
      <c r="AN1039">
        <v>11</v>
      </c>
    </row>
    <row r="1040" spans="1:40" x14ac:dyDescent="0.3">
      <c r="A1040" t="s">
        <v>286</v>
      </c>
      <c r="B1040" t="s">
        <v>17</v>
      </c>
      <c r="C1040" t="s">
        <v>10</v>
      </c>
      <c r="D1040" t="s">
        <v>14</v>
      </c>
      <c r="E1040">
        <v>202602</v>
      </c>
      <c r="F1040" t="s">
        <v>297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3</v>
      </c>
      <c r="AM1040">
        <v>0.33333333333333331</v>
      </c>
      <c r="AN1040">
        <v>4.4342414279002504</v>
      </c>
    </row>
    <row r="1041" spans="1:40" x14ac:dyDescent="0.3">
      <c r="A1041" t="s">
        <v>286</v>
      </c>
      <c r="B1041" t="s">
        <v>17</v>
      </c>
      <c r="C1041" t="s">
        <v>10</v>
      </c>
      <c r="D1041" t="s">
        <v>14</v>
      </c>
      <c r="E1041">
        <v>202602</v>
      </c>
      <c r="F1041" t="s">
        <v>301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2</v>
      </c>
      <c r="AM1041">
        <v>0.33333333333333331</v>
      </c>
      <c r="AN1041">
        <v>3.43424142790025</v>
      </c>
    </row>
    <row r="1042" spans="1:40" x14ac:dyDescent="0.3">
      <c r="A1042" t="s">
        <v>286</v>
      </c>
      <c r="B1042" t="s">
        <v>17</v>
      </c>
      <c r="C1042" t="s">
        <v>16</v>
      </c>
      <c r="D1042" t="s">
        <v>11</v>
      </c>
      <c r="E1042">
        <v>202602</v>
      </c>
      <c r="F1042" t="s">
        <v>18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0.33333333333333331</v>
      </c>
      <c r="AN1042">
        <v>2.6796686227130611</v>
      </c>
    </row>
    <row r="1043" spans="1:40" x14ac:dyDescent="0.3">
      <c r="A1043" t="s">
        <v>286</v>
      </c>
      <c r="B1043" t="s">
        <v>17</v>
      </c>
      <c r="C1043" t="s">
        <v>16</v>
      </c>
      <c r="D1043" t="s">
        <v>14</v>
      </c>
      <c r="E1043">
        <v>202602</v>
      </c>
      <c r="F1043" t="s">
        <v>18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0.33333333333333331</v>
      </c>
      <c r="AN1043">
        <v>2.43424142790025</v>
      </c>
    </row>
    <row r="1044" spans="1:40" x14ac:dyDescent="0.3">
      <c r="A1044" t="s">
        <v>286</v>
      </c>
      <c r="B1044" t="s">
        <v>17</v>
      </c>
      <c r="C1044" t="s">
        <v>16</v>
      </c>
      <c r="D1044" t="s">
        <v>14</v>
      </c>
      <c r="E1044">
        <v>202602</v>
      </c>
      <c r="F1044" t="s">
        <v>299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1</v>
      </c>
    </row>
    <row r="1045" spans="1:40" x14ac:dyDescent="0.3">
      <c r="A1045" t="s">
        <v>286</v>
      </c>
      <c r="B1045" t="s">
        <v>49</v>
      </c>
      <c r="C1045" t="s">
        <v>10</v>
      </c>
      <c r="D1045" t="s">
        <v>11</v>
      </c>
      <c r="E1045">
        <v>202602</v>
      </c>
      <c r="F1045" t="s">
        <v>50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</v>
      </c>
      <c r="AM1045">
        <v>0</v>
      </c>
      <c r="AN1045">
        <v>2</v>
      </c>
    </row>
    <row r="1046" spans="1:40" x14ac:dyDescent="0.3">
      <c r="A1046" t="s">
        <v>286</v>
      </c>
      <c r="B1046" t="s">
        <v>49</v>
      </c>
      <c r="C1046" t="s">
        <v>10</v>
      </c>
      <c r="D1046" t="s">
        <v>11</v>
      </c>
      <c r="E1046">
        <v>202602</v>
      </c>
      <c r="F1046" t="s">
        <v>203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1</v>
      </c>
    </row>
    <row r="1047" spans="1:40" x14ac:dyDescent="0.3">
      <c r="A1047" t="s">
        <v>286</v>
      </c>
      <c r="B1047" t="s">
        <v>49</v>
      </c>
      <c r="C1047" t="s">
        <v>10</v>
      </c>
      <c r="D1047" t="s">
        <v>11</v>
      </c>
      <c r="E1047">
        <v>202602</v>
      </c>
      <c r="F1047" t="s">
        <v>51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1</v>
      </c>
    </row>
    <row r="1048" spans="1:40" x14ac:dyDescent="0.3">
      <c r="A1048" t="s">
        <v>286</v>
      </c>
      <c r="B1048" t="s">
        <v>49</v>
      </c>
      <c r="C1048" t="s">
        <v>10</v>
      </c>
      <c r="D1048" t="s">
        <v>14</v>
      </c>
      <c r="E1048">
        <v>202602</v>
      </c>
      <c r="F1048" t="s">
        <v>50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2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6</v>
      </c>
      <c r="AM1048">
        <v>0.33333333333333331</v>
      </c>
      <c r="AN1048">
        <v>7.4342414279002504</v>
      </c>
    </row>
    <row r="1049" spans="1:40" x14ac:dyDescent="0.3">
      <c r="A1049" t="s">
        <v>286</v>
      </c>
      <c r="B1049" t="s">
        <v>49</v>
      </c>
      <c r="C1049" t="s">
        <v>10</v>
      </c>
      <c r="D1049" t="s">
        <v>14</v>
      </c>
      <c r="E1049">
        <v>202602</v>
      </c>
      <c r="F1049" t="s">
        <v>203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</v>
      </c>
      <c r="AM1049">
        <v>0.33333333333333331</v>
      </c>
      <c r="AN1049">
        <v>3.43424142790025</v>
      </c>
    </row>
    <row r="1050" spans="1:40" x14ac:dyDescent="0.3">
      <c r="A1050" t="s">
        <v>286</v>
      </c>
      <c r="B1050" t="s">
        <v>49</v>
      </c>
      <c r="C1050" t="s">
        <v>10</v>
      </c>
      <c r="D1050" t="s">
        <v>14</v>
      </c>
      <c r="E1050">
        <v>202602</v>
      </c>
      <c r="F1050" t="s">
        <v>51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>
        <v>1</v>
      </c>
    </row>
    <row r="1051" spans="1:40" x14ac:dyDescent="0.3">
      <c r="A1051" t="s">
        <v>286</v>
      </c>
      <c r="B1051" t="s">
        <v>49</v>
      </c>
      <c r="C1051" t="s">
        <v>16</v>
      </c>
      <c r="D1051" t="s">
        <v>11</v>
      </c>
      <c r="E1051">
        <v>202602</v>
      </c>
      <c r="F1051" t="s">
        <v>50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</v>
      </c>
      <c r="AM1051">
        <v>0</v>
      </c>
      <c r="AN1051">
        <v>2</v>
      </c>
    </row>
    <row r="1052" spans="1:40" x14ac:dyDescent="0.3">
      <c r="A1052" t="s">
        <v>286</v>
      </c>
      <c r="B1052" t="s">
        <v>49</v>
      </c>
      <c r="C1052" t="s">
        <v>16</v>
      </c>
      <c r="D1052" t="s">
        <v>14</v>
      </c>
      <c r="E1052">
        <v>202602</v>
      </c>
      <c r="F1052" t="s">
        <v>50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3</v>
      </c>
      <c r="AM1052">
        <v>0</v>
      </c>
      <c r="AN1052">
        <v>3</v>
      </c>
    </row>
    <row r="1053" spans="1:40" x14ac:dyDescent="0.3">
      <c r="A1053" t="s">
        <v>286</v>
      </c>
      <c r="B1053" t="s">
        <v>49</v>
      </c>
      <c r="C1053" t="s">
        <v>16</v>
      </c>
      <c r="D1053" t="s">
        <v>14</v>
      </c>
      <c r="E1053">
        <v>202602</v>
      </c>
      <c r="F1053" t="s">
        <v>51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0</v>
      </c>
      <c r="AN1053">
        <v>1</v>
      </c>
    </row>
    <row r="1054" spans="1:40" x14ac:dyDescent="0.3">
      <c r="A1054" t="s">
        <v>286</v>
      </c>
      <c r="B1054" t="s">
        <v>54</v>
      </c>
      <c r="C1054" t="s">
        <v>10</v>
      </c>
      <c r="D1054" t="s">
        <v>11</v>
      </c>
      <c r="E1054">
        <v>202602</v>
      </c>
      <c r="F1054" t="s">
        <v>55</v>
      </c>
      <c r="G1054">
        <v>0</v>
      </c>
      <c r="H1054">
        <v>0</v>
      </c>
      <c r="I1054">
        <v>2</v>
      </c>
      <c r="J1054">
        <v>2</v>
      </c>
      <c r="K1054">
        <v>1</v>
      </c>
      <c r="L1054">
        <v>3</v>
      </c>
      <c r="M1054">
        <v>2</v>
      </c>
      <c r="N1054">
        <v>0</v>
      </c>
      <c r="O1054">
        <v>1</v>
      </c>
      <c r="P1054">
        <v>1</v>
      </c>
      <c r="Q1054">
        <v>1</v>
      </c>
      <c r="R1054">
        <v>3</v>
      </c>
      <c r="S1054">
        <v>2</v>
      </c>
      <c r="T1054">
        <v>1</v>
      </c>
      <c r="U1054">
        <v>0</v>
      </c>
      <c r="V1054">
        <v>2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24</v>
      </c>
      <c r="AM1054">
        <v>0.66666666666666663</v>
      </c>
      <c r="AN1054">
        <v>27.359337245426122</v>
      </c>
    </row>
    <row r="1055" spans="1:40" x14ac:dyDescent="0.3">
      <c r="A1055" t="s">
        <v>286</v>
      </c>
      <c r="B1055" t="s">
        <v>54</v>
      </c>
      <c r="C1055" t="s">
        <v>10</v>
      </c>
      <c r="D1055" t="s">
        <v>11</v>
      </c>
      <c r="E1055">
        <v>202602</v>
      </c>
      <c r="F1055" t="s">
        <v>56</v>
      </c>
      <c r="G1055">
        <v>0</v>
      </c>
      <c r="H1055">
        <v>5</v>
      </c>
      <c r="I1055">
        <v>9</v>
      </c>
      <c r="J1055">
        <v>7</v>
      </c>
      <c r="K1055">
        <v>6</v>
      </c>
      <c r="L1055">
        <v>6</v>
      </c>
      <c r="M1055">
        <v>4</v>
      </c>
      <c r="N1055">
        <v>0</v>
      </c>
      <c r="O1055">
        <v>4</v>
      </c>
      <c r="P1055">
        <v>2</v>
      </c>
      <c r="Q1055">
        <v>5</v>
      </c>
      <c r="R1055">
        <v>5</v>
      </c>
      <c r="S1055">
        <v>6</v>
      </c>
      <c r="T1055">
        <v>1</v>
      </c>
      <c r="U1055">
        <v>0</v>
      </c>
      <c r="V1055">
        <v>8</v>
      </c>
      <c r="W1055">
        <v>1</v>
      </c>
      <c r="X1055">
        <v>9</v>
      </c>
      <c r="Y1055">
        <v>5</v>
      </c>
      <c r="Z1055">
        <v>7</v>
      </c>
      <c r="AA1055">
        <v>1</v>
      </c>
      <c r="AB1055">
        <v>0</v>
      </c>
      <c r="AC1055">
        <v>15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106</v>
      </c>
      <c r="AM1055">
        <v>9</v>
      </c>
      <c r="AN1055">
        <v>151.35105281325264</v>
      </c>
    </row>
    <row r="1056" spans="1:40" x14ac:dyDescent="0.3">
      <c r="A1056" t="s">
        <v>286</v>
      </c>
      <c r="B1056" t="s">
        <v>54</v>
      </c>
      <c r="C1056" t="s">
        <v>10</v>
      </c>
      <c r="D1056" t="s">
        <v>11</v>
      </c>
      <c r="E1056">
        <v>202602</v>
      </c>
      <c r="F1056" t="s">
        <v>57</v>
      </c>
      <c r="G1056">
        <v>0</v>
      </c>
      <c r="H1056">
        <v>0</v>
      </c>
      <c r="I1056">
        <v>1</v>
      </c>
      <c r="J1056">
        <v>1</v>
      </c>
      <c r="K1056">
        <v>1</v>
      </c>
      <c r="L1056">
        <v>2</v>
      </c>
      <c r="M1056">
        <v>0</v>
      </c>
      <c r="N1056">
        <v>0</v>
      </c>
      <c r="O1056">
        <v>1</v>
      </c>
      <c r="P1056">
        <v>1</v>
      </c>
      <c r="Q1056">
        <v>2</v>
      </c>
      <c r="R1056">
        <v>2</v>
      </c>
      <c r="S1056">
        <v>2</v>
      </c>
      <c r="T1056">
        <v>1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17</v>
      </c>
      <c r="AM1056">
        <v>0.66666666666666663</v>
      </c>
      <c r="AN1056">
        <v>20.359337245426122</v>
      </c>
    </row>
    <row r="1057" spans="1:40" x14ac:dyDescent="0.3">
      <c r="A1057" t="s">
        <v>286</v>
      </c>
      <c r="B1057" t="s">
        <v>54</v>
      </c>
      <c r="C1057" t="s">
        <v>10</v>
      </c>
      <c r="D1057" t="s">
        <v>11</v>
      </c>
      <c r="E1057">
        <v>202602</v>
      </c>
      <c r="F1057" t="s">
        <v>58</v>
      </c>
      <c r="G1057">
        <v>0</v>
      </c>
      <c r="H1057">
        <v>0</v>
      </c>
      <c r="I1057">
        <v>2</v>
      </c>
      <c r="J1057">
        <v>2</v>
      </c>
      <c r="K1057">
        <v>0</v>
      </c>
      <c r="L1057">
        <v>0</v>
      </c>
      <c r="M1057">
        <v>2</v>
      </c>
      <c r="N1057">
        <v>0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11</v>
      </c>
      <c r="AM1057">
        <v>0</v>
      </c>
      <c r="AN1057">
        <v>11</v>
      </c>
    </row>
    <row r="1058" spans="1:40" x14ac:dyDescent="0.3">
      <c r="A1058" t="s">
        <v>286</v>
      </c>
      <c r="B1058" t="s">
        <v>54</v>
      </c>
      <c r="C1058" t="s">
        <v>10</v>
      </c>
      <c r="D1058" t="s">
        <v>14</v>
      </c>
      <c r="E1058">
        <v>202602</v>
      </c>
      <c r="F1058" t="s">
        <v>55</v>
      </c>
      <c r="G1058">
        <v>0</v>
      </c>
      <c r="H1058">
        <v>4</v>
      </c>
      <c r="I1058">
        <v>2</v>
      </c>
      <c r="J1058">
        <v>3</v>
      </c>
      <c r="K1058">
        <v>2</v>
      </c>
      <c r="L1058">
        <v>1</v>
      </c>
      <c r="M1058">
        <v>0</v>
      </c>
      <c r="N1058">
        <v>0</v>
      </c>
      <c r="O1058">
        <v>5</v>
      </c>
      <c r="P1058">
        <v>5</v>
      </c>
      <c r="Q1058">
        <v>1</v>
      </c>
      <c r="R1058">
        <v>2</v>
      </c>
      <c r="S1058">
        <v>1</v>
      </c>
      <c r="T1058">
        <v>0</v>
      </c>
      <c r="U1058">
        <v>0</v>
      </c>
      <c r="V1058">
        <v>0</v>
      </c>
      <c r="W1058">
        <v>1</v>
      </c>
      <c r="X1058">
        <v>1</v>
      </c>
      <c r="Y1058">
        <v>2</v>
      </c>
      <c r="Z1058">
        <v>0</v>
      </c>
      <c r="AA1058">
        <v>1</v>
      </c>
      <c r="AB1058">
        <v>0</v>
      </c>
      <c r="AC1058">
        <v>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33</v>
      </c>
      <c r="AM1058">
        <v>1.3333333333333333</v>
      </c>
      <c r="AN1058">
        <v>38.736965711601002</v>
      </c>
    </row>
    <row r="1059" spans="1:40" x14ac:dyDescent="0.3">
      <c r="A1059" t="s">
        <v>286</v>
      </c>
      <c r="B1059" t="s">
        <v>54</v>
      </c>
      <c r="C1059" t="s">
        <v>10</v>
      </c>
      <c r="D1059" t="s">
        <v>14</v>
      </c>
      <c r="E1059">
        <v>202602</v>
      </c>
      <c r="F1059" t="s">
        <v>56</v>
      </c>
      <c r="G1059">
        <v>0</v>
      </c>
      <c r="H1059">
        <v>10</v>
      </c>
      <c r="I1059">
        <v>13</v>
      </c>
      <c r="J1059">
        <v>10</v>
      </c>
      <c r="K1059">
        <v>11</v>
      </c>
      <c r="L1059">
        <v>4</v>
      </c>
      <c r="M1059">
        <v>2</v>
      </c>
      <c r="N1059">
        <v>0</v>
      </c>
      <c r="O1059">
        <v>6</v>
      </c>
      <c r="P1059">
        <v>7</v>
      </c>
      <c r="Q1059">
        <v>13</v>
      </c>
      <c r="R1059">
        <v>11</v>
      </c>
      <c r="S1059">
        <v>13</v>
      </c>
      <c r="T1059">
        <v>3</v>
      </c>
      <c r="U1059">
        <v>1</v>
      </c>
      <c r="V1059">
        <v>4</v>
      </c>
      <c r="W1059">
        <v>1</v>
      </c>
      <c r="X1059">
        <v>10</v>
      </c>
      <c r="Y1059">
        <v>12</v>
      </c>
      <c r="Z1059">
        <v>8</v>
      </c>
      <c r="AA1059">
        <v>3</v>
      </c>
      <c r="AB1059">
        <v>3</v>
      </c>
      <c r="AC1059">
        <v>4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149</v>
      </c>
      <c r="AM1059">
        <v>8</v>
      </c>
      <c r="AN1059">
        <v>183.42179426960601</v>
      </c>
    </row>
    <row r="1060" spans="1:40" x14ac:dyDescent="0.3">
      <c r="A1060" t="s">
        <v>286</v>
      </c>
      <c r="B1060" t="s">
        <v>54</v>
      </c>
      <c r="C1060" t="s">
        <v>10</v>
      </c>
      <c r="D1060" t="s">
        <v>14</v>
      </c>
      <c r="E1060">
        <v>202602</v>
      </c>
      <c r="F1060" t="s">
        <v>57</v>
      </c>
      <c r="G1060">
        <v>0</v>
      </c>
      <c r="H1060">
        <v>3</v>
      </c>
      <c r="I1060">
        <v>0</v>
      </c>
      <c r="J1060">
        <v>4</v>
      </c>
      <c r="K1060">
        <v>0</v>
      </c>
      <c r="L1060">
        <v>2</v>
      </c>
      <c r="M1060">
        <v>0</v>
      </c>
      <c r="N1060">
        <v>0</v>
      </c>
      <c r="O1060">
        <v>3</v>
      </c>
      <c r="P1060">
        <v>1</v>
      </c>
      <c r="Q1060">
        <v>4</v>
      </c>
      <c r="R1060">
        <v>3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2</v>
      </c>
      <c r="Y1060">
        <v>1</v>
      </c>
      <c r="Z1060">
        <v>2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26</v>
      </c>
      <c r="AM1060">
        <v>1</v>
      </c>
      <c r="AN1060">
        <v>30.302724283700751</v>
      </c>
    </row>
    <row r="1061" spans="1:40" x14ac:dyDescent="0.3">
      <c r="A1061" t="s">
        <v>286</v>
      </c>
      <c r="B1061" t="s">
        <v>54</v>
      </c>
      <c r="C1061" t="s">
        <v>10</v>
      </c>
      <c r="D1061" t="s">
        <v>14</v>
      </c>
      <c r="E1061">
        <v>202602</v>
      </c>
      <c r="F1061" t="s">
        <v>58</v>
      </c>
      <c r="G1061">
        <v>0</v>
      </c>
      <c r="H1061">
        <v>4</v>
      </c>
      <c r="I1061">
        <v>0</v>
      </c>
      <c r="J1061">
        <v>0</v>
      </c>
      <c r="K1061">
        <v>0</v>
      </c>
      <c r="L1061">
        <v>3</v>
      </c>
      <c r="M1061">
        <v>1</v>
      </c>
      <c r="N1061">
        <v>0</v>
      </c>
      <c r="O1061">
        <v>0</v>
      </c>
      <c r="P1061">
        <v>1</v>
      </c>
      <c r="Q1061">
        <v>0</v>
      </c>
      <c r="R1061">
        <v>1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13</v>
      </c>
      <c r="AM1061">
        <v>0.33333333333333331</v>
      </c>
      <c r="AN1061">
        <v>14.43424142790025</v>
      </c>
    </row>
    <row r="1062" spans="1:40" x14ac:dyDescent="0.3">
      <c r="A1062" t="s">
        <v>286</v>
      </c>
      <c r="B1062" t="s">
        <v>54</v>
      </c>
      <c r="C1062" t="s">
        <v>16</v>
      </c>
      <c r="D1062" t="s">
        <v>11</v>
      </c>
      <c r="E1062">
        <v>202602</v>
      </c>
      <c r="F1062" t="s">
        <v>52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1</v>
      </c>
    </row>
    <row r="1063" spans="1:40" x14ac:dyDescent="0.3">
      <c r="A1063" t="s">
        <v>286</v>
      </c>
      <c r="B1063" t="s">
        <v>54</v>
      </c>
      <c r="C1063" t="s">
        <v>16</v>
      </c>
      <c r="D1063" t="s">
        <v>14</v>
      </c>
      <c r="E1063">
        <v>202602</v>
      </c>
      <c r="F1063" t="s">
        <v>56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</v>
      </c>
      <c r="AM1063">
        <v>0</v>
      </c>
      <c r="AN1063">
        <v>2</v>
      </c>
    </row>
    <row r="1064" spans="1:40" x14ac:dyDescent="0.3">
      <c r="A1064" t="s">
        <v>286</v>
      </c>
      <c r="B1064" t="s">
        <v>59</v>
      </c>
      <c r="C1064" t="s">
        <v>10</v>
      </c>
      <c r="D1064" t="s">
        <v>11</v>
      </c>
      <c r="E1064">
        <v>202602</v>
      </c>
      <c r="F1064" t="s">
        <v>60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</v>
      </c>
      <c r="AM1064">
        <v>0.33333333333333331</v>
      </c>
      <c r="AN1064">
        <v>3.6796686227130611</v>
      </c>
    </row>
    <row r="1065" spans="1:40" x14ac:dyDescent="0.3">
      <c r="A1065" t="s">
        <v>286</v>
      </c>
      <c r="B1065" t="s">
        <v>59</v>
      </c>
      <c r="C1065" t="s">
        <v>10</v>
      </c>
      <c r="D1065" t="s">
        <v>11</v>
      </c>
      <c r="E1065">
        <v>202602</v>
      </c>
      <c r="F1065" t="s">
        <v>204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2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5</v>
      </c>
      <c r="AM1065">
        <v>1.3333333333333333</v>
      </c>
      <c r="AN1065">
        <v>11.718674490852244</v>
      </c>
    </row>
    <row r="1066" spans="1:40" x14ac:dyDescent="0.3">
      <c r="A1066" t="s">
        <v>286</v>
      </c>
      <c r="B1066" t="s">
        <v>59</v>
      </c>
      <c r="C1066" t="s">
        <v>10</v>
      </c>
      <c r="D1066" t="s">
        <v>11</v>
      </c>
      <c r="E1066">
        <v>202602</v>
      </c>
      <c r="F1066" t="s">
        <v>302</v>
      </c>
      <c r="G1066">
        <v>0</v>
      </c>
      <c r="H1066">
        <v>1</v>
      </c>
      <c r="I1066">
        <v>2</v>
      </c>
      <c r="J1066">
        <v>0</v>
      </c>
      <c r="K1066">
        <v>2</v>
      </c>
      <c r="L1066">
        <v>0</v>
      </c>
      <c r="M1066">
        <v>0</v>
      </c>
      <c r="N1066">
        <v>0</v>
      </c>
      <c r="O1066">
        <v>2</v>
      </c>
      <c r="P1066">
        <v>3</v>
      </c>
      <c r="Q1066">
        <v>2</v>
      </c>
      <c r="R1066">
        <v>1</v>
      </c>
      <c r="S1066">
        <v>4</v>
      </c>
      <c r="T1066">
        <v>0</v>
      </c>
      <c r="U1066">
        <v>0</v>
      </c>
      <c r="V1066">
        <v>1</v>
      </c>
      <c r="W1066">
        <v>2</v>
      </c>
      <c r="X1066">
        <v>1</v>
      </c>
      <c r="Y1066">
        <v>0</v>
      </c>
      <c r="Z1066">
        <v>3</v>
      </c>
      <c r="AA1066">
        <v>0</v>
      </c>
      <c r="AB1066">
        <v>0</v>
      </c>
      <c r="AC1066">
        <v>2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26</v>
      </c>
      <c r="AM1066">
        <v>1.6666666666666667</v>
      </c>
      <c r="AN1066">
        <v>34.398343113565303</v>
      </c>
    </row>
    <row r="1067" spans="1:40" x14ac:dyDescent="0.3">
      <c r="A1067" t="s">
        <v>286</v>
      </c>
      <c r="B1067" t="s">
        <v>59</v>
      </c>
      <c r="C1067" t="s">
        <v>10</v>
      </c>
      <c r="D1067" t="s">
        <v>11</v>
      </c>
      <c r="E1067">
        <v>202602</v>
      </c>
      <c r="F1067" t="s">
        <v>61</v>
      </c>
      <c r="G1067">
        <v>0</v>
      </c>
      <c r="H1067">
        <v>0</v>
      </c>
      <c r="I1067">
        <v>0</v>
      </c>
      <c r="J1067">
        <v>0</v>
      </c>
      <c r="K1067">
        <v>3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2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9</v>
      </c>
      <c r="AM1067">
        <v>0.66666666666666663</v>
      </c>
      <c r="AN1067">
        <v>12.359337245426122</v>
      </c>
    </row>
    <row r="1068" spans="1:40" x14ac:dyDescent="0.3">
      <c r="A1068" t="s">
        <v>286</v>
      </c>
      <c r="B1068" t="s">
        <v>59</v>
      </c>
      <c r="C1068" t="s">
        <v>10</v>
      </c>
      <c r="D1068" t="s">
        <v>11</v>
      </c>
      <c r="E1068">
        <v>202602</v>
      </c>
      <c r="F1068" t="s">
        <v>63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</v>
      </c>
      <c r="AM1068">
        <v>0</v>
      </c>
      <c r="AN1068">
        <v>1</v>
      </c>
    </row>
    <row r="1069" spans="1:40" x14ac:dyDescent="0.3">
      <c r="A1069" t="s">
        <v>286</v>
      </c>
      <c r="B1069" t="s">
        <v>59</v>
      </c>
      <c r="C1069" t="s">
        <v>10</v>
      </c>
      <c r="D1069" t="s">
        <v>11</v>
      </c>
      <c r="E1069">
        <v>202602</v>
      </c>
      <c r="F1069" t="s">
        <v>205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1</v>
      </c>
    </row>
    <row r="1070" spans="1:40" x14ac:dyDescent="0.3">
      <c r="A1070" t="s">
        <v>286</v>
      </c>
      <c r="B1070" t="s">
        <v>59</v>
      </c>
      <c r="C1070" t="s">
        <v>10</v>
      </c>
      <c r="D1070" t="s">
        <v>11</v>
      </c>
      <c r="E1070">
        <v>202602</v>
      </c>
      <c r="F1070" t="s">
        <v>75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0</v>
      </c>
      <c r="AN1070">
        <v>1</v>
      </c>
    </row>
    <row r="1071" spans="1:40" x14ac:dyDescent="0.3">
      <c r="A1071" t="s">
        <v>286</v>
      </c>
      <c r="B1071" t="s">
        <v>59</v>
      </c>
      <c r="C1071" t="s">
        <v>10</v>
      </c>
      <c r="D1071" t="s">
        <v>11</v>
      </c>
      <c r="E1071">
        <v>202602</v>
      </c>
      <c r="F1071" t="s">
        <v>206</v>
      </c>
      <c r="G1071">
        <v>0</v>
      </c>
      <c r="H1071">
        <v>1</v>
      </c>
      <c r="I1071">
        <v>0</v>
      </c>
      <c r="J1071">
        <v>2</v>
      </c>
      <c r="K1071">
        <v>1</v>
      </c>
      <c r="L1071">
        <v>1</v>
      </c>
      <c r="M1071">
        <v>1</v>
      </c>
      <c r="N1071">
        <v>0</v>
      </c>
      <c r="O1071">
        <v>2</v>
      </c>
      <c r="P1071">
        <v>1</v>
      </c>
      <c r="Q1071">
        <v>4</v>
      </c>
      <c r="R1071">
        <v>1</v>
      </c>
      <c r="S1071">
        <v>1</v>
      </c>
      <c r="T1071">
        <v>1</v>
      </c>
      <c r="U1071">
        <v>0</v>
      </c>
      <c r="V1071">
        <v>4</v>
      </c>
      <c r="W1071">
        <v>0</v>
      </c>
      <c r="X1071">
        <v>2</v>
      </c>
      <c r="Y1071">
        <v>1</v>
      </c>
      <c r="Z1071">
        <v>1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25</v>
      </c>
      <c r="AM1071">
        <v>0.66666666666666663</v>
      </c>
      <c r="AN1071">
        <v>28.359337245426122</v>
      </c>
    </row>
    <row r="1072" spans="1:40" x14ac:dyDescent="0.3">
      <c r="A1072" t="s">
        <v>286</v>
      </c>
      <c r="B1072" t="s">
        <v>59</v>
      </c>
      <c r="C1072" t="s">
        <v>10</v>
      </c>
      <c r="D1072" t="s">
        <v>11</v>
      </c>
      <c r="E1072">
        <v>202602</v>
      </c>
      <c r="F1072" t="s">
        <v>76</v>
      </c>
      <c r="G1072">
        <v>0</v>
      </c>
      <c r="H1072">
        <v>6</v>
      </c>
      <c r="I1072">
        <v>1</v>
      </c>
      <c r="J1072">
        <v>1</v>
      </c>
      <c r="K1072">
        <v>6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2</v>
      </c>
      <c r="U1072">
        <v>0</v>
      </c>
      <c r="V1072">
        <v>2</v>
      </c>
      <c r="W1072">
        <v>1</v>
      </c>
      <c r="X1072">
        <v>1</v>
      </c>
      <c r="Y1072">
        <v>1</v>
      </c>
      <c r="Z1072">
        <v>5</v>
      </c>
      <c r="AA1072">
        <v>0</v>
      </c>
      <c r="AB1072">
        <v>0</v>
      </c>
      <c r="AC1072">
        <v>3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30</v>
      </c>
      <c r="AM1072">
        <v>3</v>
      </c>
      <c r="AN1072">
        <v>45.117017604417548</v>
      </c>
    </row>
    <row r="1073" spans="1:40" x14ac:dyDescent="0.3">
      <c r="A1073" t="s">
        <v>286</v>
      </c>
      <c r="B1073" t="s">
        <v>59</v>
      </c>
      <c r="C1073" t="s">
        <v>10</v>
      </c>
      <c r="D1073" t="s">
        <v>11</v>
      </c>
      <c r="E1073">
        <v>202602</v>
      </c>
      <c r="F1073" t="s">
        <v>64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1</v>
      </c>
    </row>
    <row r="1074" spans="1:40" x14ac:dyDescent="0.3">
      <c r="A1074" t="s">
        <v>286</v>
      </c>
      <c r="B1074" t="s">
        <v>59</v>
      </c>
      <c r="C1074" t="s">
        <v>10</v>
      </c>
      <c r="D1074" t="s">
        <v>11</v>
      </c>
      <c r="E1074">
        <v>202602</v>
      </c>
      <c r="F1074" t="s">
        <v>65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</v>
      </c>
      <c r="AM1074">
        <v>0</v>
      </c>
      <c r="AN1074">
        <v>2</v>
      </c>
    </row>
    <row r="1075" spans="1:40" x14ac:dyDescent="0.3">
      <c r="A1075" t="s">
        <v>286</v>
      </c>
      <c r="B1075" t="s">
        <v>59</v>
      </c>
      <c r="C1075" t="s">
        <v>10</v>
      </c>
      <c r="D1075" t="s">
        <v>11</v>
      </c>
      <c r="E1075">
        <v>202602</v>
      </c>
      <c r="F1075" t="s">
        <v>66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3</v>
      </c>
      <c r="AM1075">
        <v>0</v>
      </c>
      <c r="AN1075">
        <v>3</v>
      </c>
    </row>
    <row r="1076" spans="1:40" x14ac:dyDescent="0.3">
      <c r="A1076" t="s">
        <v>286</v>
      </c>
      <c r="B1076" t="s">
        <v>59</v>
      </c>
      <c r="C1076" t="s">
        <v>10</v>
      </c>
      <c r="D1076" t="s">
        <v>11</v>
      </c>
      <c r="E1076">
        <v>202602</v>
      </c>
      <c r="F1076" t="s">
        <v>68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</v>
      </c>
      <c r="AM1076">
        <v>0</v>
      </c>
      <c r="AN1076">
        <v>2</v>
      </c>
    </row>
    <row r="1077" spans="1:40" x14ac:dyDescent="0.3">
      <c r="A1077" t="s">
        <v>286</v>
      </c>
      <c r="B1077" t="s">
        <v>59</v>
      </c>
      <c r="C1077" t="s">
        <v>10</v>
      </c>
      <c r="D1077" t="s">
        <v>11</v>
      </c>
      <c r="E1077">
        <v>202602</v>
      </c>
      <c r="F1077" t="s">
        <v>303</v>
      </c>
      <c r="G1077">
        <v>0</v>
      </c>
      <c r="H1077">
        <v>1</v>
      </c>
      <c r="I1077">
        <v>1</v>
      </c>
      <c r="J1077">
        <v>2</v>
      </c>
      <c r="K1077">
        <v>1</v>
      </c>
      <c r="L1077">
        <v>0</v>
      </c>
      <c r="M1077">
        <v>0</v>
      </c>
      <c r="N1077">
        <v>0</v>
      </c>
      <c r="O1077">
        <v>3</v>
      </c>
      <c r="P1077">
        <v>0</v>
      </c>
      <c r="Q1077">
        <v>0</v>
      </c>
      <c r="R1077">
        <v>2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2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15</v>
      </c>
      <c r="AM1077">
        <v>1.3333333333333333</v>
      </c>
      <c r="AN1077">
        <v>21.718674490852244</v>
      </c>
    </row>
    <row r="1078" spans="1:40" x14ac:dyDescent="0.3">
      <c r="A1078" t="s">
        <v>286</v>
      </c>
      <c r="B1078" t="s">
        <v>59</v>
      </c>
      <c r="C1078" t="s">
        <v>10</v>
      </c>
      <c r="D1078" t="s">
        <v>11</v>
      </c>
      <c r="E1078">
        <v>202602</v>
      </c>
      <c r="F1078" t="s">
        <v>304</v>
      </c>
      <c r="G1078">
        <v>0</v>
      </c>
      <c r="H1078">
        <v>4</v>
      </c>
      <c r="I1078">
        <v>1</v>
      </c>
      <c r="J1078">
        <v>2</v>
      </c>
      <c r="K1078">
        <v>5</v>
      </c>
      <c r="L1078">
        <v>2</v>
      </c>
      <c r="M1078">
        <v>2</v>
      </c>
      <c r="N1078">
        <v>0</v>
      </c>
      <c r="O1078">
        <v>2</v>
      </c>
      <c r="P1078">
        <v>7</v>
      </c>
      <c r="Q1078">
        <v>3</v>
      </c>
      <c r="R1078">
        <v>4</v>
      </c>
      <c r="S1078">
        <v>4</v>
      </c>
      <c r="T1078">
        <v>3</v>
      </c>
      <c r="U1078">
        <v>0</v>
      </c>
      <c r="V1078">
        <v>4</v>
      </c>
      <c r="W1078">
        <v>0</v>
      </c>
      <c r="X1078">
        <v>2</v>
      </c>
      <c r="Y1078">
        <v>1</v>
      </c>
      <c r="Z1078">
        <v>1</v>
      </c>
      <c r="AA1078">
        <v>1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49</v>
      </c>
      <c r="AM1078">
        <v>1</v>
      </c>
      <c r="AN1078">
        <v>54.039005868139185</v>
      </c>
    </row>
    <row r="1079" spans="1:40" x14ac:dyDescent="0.3">
      <c r="A1079" t="s">
        <v>286</v>
      </c>
      <c r="B1079" t="s">
        <v>59</v>
      </c>
      <c r="C1079" t="s">
        <v>10</v>
      </c>
      <c r="D1079" t="s">
        <v>11</v>
      </c>
      <c r="E1079">
        <v>202602</v>
      </c>
      <c r="F1079" t="s">
        <v>260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1</v>
      </c>
    </row>
    <row r="1080" spans="1:40" x14ac:dyDescent="0.3">
      <c r="A1080" t="s">
        <v>286</v>
      </c>
      <c r="B1080" t="s">
        <v>59</v>
      </c>
      <c r="C1080" t="s">
        <v>10</v>
      </c>
      <c r="D1080" t="s">
        <v>11</v>
      </c>
      <c r="E1080">
        <v>202602</v>
      </c>
      <c r="F1080" t="s">
        <v>69</v>
      </c>
      <c r="G1080">
        <v>0</v>
      </c>
      <c r="H1080">
        <v>3</v>
      </c>
      <c r="I1080">
        <v>4</v>
      </c>
      <c r="J1080">
        <v>10</v>
      </c>
      <c r="K1080">
        <v>13</v>
      </c>
      <c r="L1080">
        <v>12</v>
      </c>
      <c r="M1080">
        <v>3</v>
      </c>
      <c r="N1080">
        <v>0</v>
      </c>
      <c r="O1080">
        <v>14</v>
      </c>
      <c r="P1080">
        <v>7</v>
      </c>
      <c r="Q1080">
        <v>4</v>
      </c>
      <c r="R1080">
        <v>10</v>
      </c>
      <c r="S1080">
        <v>6</v>
      </c>
      <c r="T1080">
        <v>4</v>
      </c>
      <c r="U1080">
        <v>1</v>
      </c>
      <c r="V1080">
        <v>14</v>
      </c>
      <c r="W1080">
        <v>0</v>
      </c>
      <c r="X1080">
        <v>10</v>
      </c>
      <c r="Y1080">
        <v>4</v>
      </c>
      <c r="Z1080">
        <v>8</v>
      </c>
      <c r="AA1080">
        <v>6</v>
      </c>
      <c r="AB1080">
        <v>0</v>
      </c>
      <c r="AC1080">
        <v>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142</v>
      </c>
      <c r="AM1080">
        <v>7</v>
      </c>
      <c r="AN1080">
        <v>177.27304107697427</v>
      </c>
    </row>
    <row r="1081" spans="1:40" x14ac:dyDescent="0.3">
      <c r="A1081" t="s">
        <v>286</v>
      </c>
      <c r="B1081" t="s">
        <v>59</v>
      </c>
      <c r="C1081" t="s">
        <v>10</v>
      </c>
      <c r="D1081" t="s">
        <v>11</v>
      </c>
      <c r="E1081">
        <v>202602</v>
      </c>
      <c r="F1081" t="s">
        <v>305</v>
      </c>
      <c r="G1081">
        <v>0</v>
      </c>
      <c r="H1081">
        <v>0</v>
      </c>
      <c r="I1081">
        <v>1</v>
      </c>
      <c r="J1081">
        <v>0</v>
      </c>
      <c r="K1081">
        <v>5</v>
      </c>
      <c r="L1081">
        <v>1</v>
      </c>
      <c r="M1081">
        <v>0</v>
      </c>
      <c r="N1081">
        <v>0</v>
      </c>
      <c r="O1081">
        <v>4</v>
      </c>
      <c r="P1081">
        <v>3</v>
      </c>
      <c r="Q1081">
        <v>4</v>
      </c>
      <c r="R1081">
        <v>5</v>
      </c>
      <c r="S1081">
        <v>1</v>
      </c>
      <c r="T1081">
        <v>2</v>
      </c>
      <c r="U1081">
        <v>0</v>
      </c>
      <c r="V1081">
        <v>4</v>
      </c>
      <c r="W1081">
        <v>1</v>
      </c>
      <c r="X1081">
        <v>4</v>
      </c>
      <c r="Y1081">
        <v>2</v>
      </c>
      <c r="Z1081">
        <v>1</v>
      </c>
      <c r="AA1081">
        <v>0</v>
      </c>
      <c r="AB1081">
        <v>0</v>
      </c>
      <c r="AC1081">
        <v>6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44</v>
      </c>
      <c r="AM1081">
        <v>3</v>
      </c>
      <c r="AN1081">
        <v>59.117017604417548</v>
      </c>
    </row>
    <row r="1082" spans="1:40" x14ac:dyDescent="0.3">
      <c r="A1082" t="s">
        <v>286</v>
      </c>
      <c r="B1082" t="s">
        <v>59</v>
      </c>
      <c r="C1082" t="s">
        <v>10</v>
      </c>
      <c r="D1082" t="s">
        <v>11</v>
      </c>
      <c r="E1082">
        <v>202602</v>
      </c>
      <c r="F1082" t="s">
        <v>72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1</v>
      </c>
    </row>
    <row r="1083" spans="1:40" x14ac:dyDescent="0.3">
      <c r="A1083" t="s">
        <v>286</v>
      </c>
      <c r="B1083" t="s">
        <v>59</v>
      </c>
      <c r="C1083" t="s">
        <v>10</v>
      </c>
      <c r="D1083" t="s">
        <v>11</v>
      </c>
      <c r="E1083">
        <v>202602</v>
      </c>
      <c r="F1083" t="s">
        <v>306</v>
      </c>
      <c r="G1083">
        <v>0</v>
      </c>
      <c r="H1083">
        <v>1</v>
      </c>
      <c r="I1083">
        <v>0</v>
      </c>
      <c r="J1083">
        <v>2</v>
      </c>
      <c r="K1083">
        <v>2</v>
      </c>
      <c r="L1083">
        <v>1</v>
      </c>
      <c r="M1083">
        <v>0</v>
      </c>
      <c r="N1083">
        <v>0</v>
      </c>
      <c r="O1083">
        <v>1</v>
      </c>
      <c r="P1083">
        <v>1</v>
      </c>
      <c r="Q1083">
        <v>4</v>
      </c>
      <c r="R1083">
        <v>1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16</v>
      </c>
      <c r="AM1083">
        <v>0.66666666666666663</v>
      </c>
      <c r="AN1083">
        <v>19.359337245426122</v>
      </c>
    </row>
    <row r="1084" spans="1:40" x14ac:dyDescent="0.3">
      <c r="A1084" t="s">
        <v>286</v>
      </c>
      <c r="B1084" t="s">
        <v>59</v>
      </c>
      <c r="C1084" t="s">
        <v>10</v>
      </c>
      <c r="D1084" t="s">
        <v>11</v>
      </c>
      <c r="E1084">
        <v>202602</v>
      </c>
      <c r="F1084" t="s">
        <v>77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</v>
      </c>
      <c r="AM1084">
        <v>0.33333333333333331</v>
      </c>
      <c r="AN1084">
        <v>3.6796686227130611</v>
      </c>
    </row>
    <row r="1085" spans="1:40" x14ac:dyDescent="0.3">
      <c r="A1085" t="s">
        <v>286</v>
      </c>
      <c r="B1085" t="s">
        <v>59</v>
      </c>
      <c r="C1085" t="s">
        <v>10</v>
      </c>
      <c r="D1085" t="s">
        <v>11</v>
      </c>
      <c r="E1085">
        <v>202602</v>
      </c>
      <c r="F1085" t="s">
        <v>741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>
        <v>0.33333333333333331</v>
      </c>
      <c r="AN1085">
        <v>2.6796686227130611</v>
      </c>
    </row>
    <row r="1086" spans="1:40" x14ac:dyDescent="0.3">
      <c r="A1086" t="s">
        <v>286</v>
      </c>
      <c r="B1086" t="s">
        <v>59</v>
      </c>
      <c r="C1086" t="s">
        <v>10</v>
      </c>
      <c r="D1086" t="s">
        <v>11</v>
      </c>
      <c r="E1086">
        <v>202602</v>
      </c>
      <c r="F1086" t="s">
        <v>78</v>
      </c>
      <c r="G1086">
        <v>0</v>
      </c>
      <c r="H1086">
        <v>1</v>
      </c>
      <c r="I1086">
        <v>1</v>
      </c>
      <c r="J1086">
        <v>2</v>
      </c>
      <c r="K1086">
        <v>3</v>
      </c>
      <c r="L1086">
        <v>4</v>
      </c>
      <c r="M1086">
        <v>1</v>
      </c>
      <c r="N1086">
        <v>0</v>
      </c>
      <c r="O1086">
        <v>1</v>
      </c>
      <c r="P1086">
        <v>2</v>
      </c>
      <c r="Q1086">
        <v>1</v>
      </c>
      <c r="R1086">
        <v>4</v>
      </c>
      <c r="S1086">
        <v>6</v>
      </c>
      <c r="T1086">
        <v>4</v>
      </c>
      <c r="U1086">
        <v>0</v>
      </c>
      <c r="V1086">
        <v>5</v>
      </c>
      <c r="W1086">
        <v>1</v>
      </c>
      <c r="X1086">
        <v>1</v>
      </c>
      <c r="Y1086">
        <v>2</v>
      </c>
      <c r="Z1086">
        <v>2</v>
      </c>
      <c r="AA1086">
        <v>1</v>
      </c>
      <c r="AB1086">
        <v>0</v>
      </c>
      <c r="AC1086">
        <v>5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47</v>
      </c>
      <c r="AM1086">
        <v>3</v>
      </c>
      <c r="AN1086">
        <v>62.117017604417548</v>
      </c>
    </row>
    <row r="1087" spans="1:40" x14ac:dyDescent="0.3">
      <c r="A1087" t="s">
        <v>286</v>
      </c>
      <c r="B1087" t="s">
        <v>59</v>
      </c>
      <c r="C1087" t="s">
        <v>10</v>
      </c>
      <c r="D1087" t="s">
        <v>11</v>
      </c>
      <c r="E1087">
        <v>202602</v>
      </c>
      <c r="F1087" t="s">
        <v>79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</v>
      </c>
      <c r="AM1087">
        <v>0</v>
      </c>
      <c r="AN1087">
        <v>3</v>
      </c>
    </row>
    <row r="1088" spans="1:40" x14ac:dyDescent="0.3">
      <c r="A1088" t="s">
        <v>286</v>
      </c>
      <c r="B1088" t="s">
        <v>59</v>
      </c>
      <c r="C1088" t="s">
        <v>10</v>
      </c>
      <c r="D1088" t="s">
        <v>14</v>
      </c>
      <c r="E1088">
        <v>202602</v>
      </c>
      <c r="F1088" t="s">
        <v>60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</v>
      </c>
      <c r="AM1088">
        <v>0.33333333333333331</v>
      </c>
      <c r="AN1088">
        <v>4.4342414279002504</v>
      </c>
    </row>
    <row r="1089" spans="1:40" x14ac:dyDescent="0.3">
      <c r="A1089" t="s">
        <v>286</v>
      </c>
      <c r="B1089" t="s">
        <v>59</v>
      </c>
      <c r="C1089" t="s">
        <v>10</v>
      </c>
      <c r="D1089" t="s">
        <v>14</v>
      </c>
      <c r="E1089">
        <v>202602</v>
      </c>
      <c r="F1089" t="s">
        <v>204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0</v>
      </c>
      <c r="R1089">
        <v>1</v>
      </c>
      <c r="S1089">
        <v>3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6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14</v>
      </c>
      <c r="AM1089">
        <v>2.6666666666666665</v>
      </c>
      <c r="AN1089">
        <v>25.473931423202</v>
      </c>
    </row>
    <row r="1090" spans="1:40" x14ac:dyDescent="0.3">
      <c r="A1090" t="s">
        <v>286</v>
      </c>
      <c r="B1090" t="s">
        <v>59</v>
      </c>
      <c r="C1090" t="s">
        <v>10</v>
      </c>
      <c r="D1090" t="s">
        <v>14</v>
      </c>
      <c r="E1090">
        <v>202602</v>
      </c>
      <c r="F1090" t="s">
        <v>302</v>
      </c>
      <c r="G1090">
        <v>0</v>
      </c>
      <c r="H1090">
        <v>4</v>
      </c>
      <c r="I1090">
        <v>2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3</v>
      </c>
      <c r="P1090">
        <v>2</v>
      </c>
      <c r="Q1090">
        <v>3</v>
      </c>
      <c r="R1090">
        <v>6</v>
      </c>
      <c r="S1090">
        <v>3</v>
      </c>
      <c r="T1090">
        <v>0</v>
      </c>
      <c r="U1090">
        <v>0</v>
      </c>
      <c r="V1090">
        <v>0</v>
      </c>
      <c r="W1090">
        <v>0</v>
      </c>
      <c r="X1090">
        <v>3</v>
      </c>
      <c r="Y1090">
        <v>2</v>
      </c>
      <c r="Z1090">
        <v>1</v>
      </c>
      <c r="AA1090">
        <v>0</v>
      </c>
      <c r="AB1090">
        <v>0</v>
      </c>
      <c r="AC1090">
        <v>3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36</v>
      </c>
      <c r="AM1090">
        <v>2</v>
      </c>
      <c r="AN1090">
        <v>44.605448567401503</v>
      </c>
    </row>
    <row r="1091" spans="1:40" x14ac:dyDescent="0.3">
      <c r="A1091" t="s">
        <v>286</v>
      </c>
      <c r="B1091" t="s">
        <v>59</v>
      </c>
      <c r="C1091" t="s">
        <v>10</v>
      </c>
      <c r="D1091" t="s">
        <v>14</v>
      </c>
      <c r="E1091">
        <v>202602</v>
      </c>
      <c r="F1091" t="s">
        <v>61</v>
      </c>
      <c r="G1091">
        <v>0</v>
      </c>
      <c r="H1091">
        <v>1</v>
      </c>
      <c r="I1091">
        <v>2</v>
      </c>
      <c r="J1091">
        <v>3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2</v>
      </c>
      <c r="Q1091">
        <v>3</v>
      </c>
      <c r="R1091">
        <v>1</v>
      </c>
      <c r="S1091">
        <v>2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17</v>
      </c>
      <c r="AM1091">
        <v>0.33333333333333331</v>
      </c>
      <c r="AN1091">
        <v>18.43424142790025</v>
      </c>
    </row>
    <row r="1092" spans="1:40" x14ac:dyDescent="0.3">
      <c r="A1092" t="s">
        <v>286</v>
      </c>
      <c r="B1092" t="s">
        <v>59</v>
      </c>
      <c r="C1092" t="s">
        <v>10</v>
      </c>
      <c r="D1092" t="s">
        <v>14</v>
      </c>
      <c r="E1092">
        <v>202602</v>
      </c>
      <c r="F1092" t="s">
        <v>63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1</v>
      </c>
    </row>
    <row r="1093" spans="1:40" x14ac:dyDescent="0.3">
      <c r="A1093" t="s">
        <v>286</v>
      </c>
      <c r="B1093" t="s">
        <v>59</v>
      </c>
      <c r="C1093" t="s">
        <v>10</v>
      </c>
      <c r="D1093" t="s">
        <v>14</v>
      </c>
      <c r="E1093">
        <v>202602</v>
      </c>
      <c r="F1093" t="s">
        <v>205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</v>
      </c>
      <c r="AM1093">
        <v>0.33333333333333331</v>
      </c>
      <c r="AN1093">
        <v>3.43424142790025</v>
      </c>
    </row>
    <row r="1094" spans="1:40" x14ac:dyDescent="0.3">
      <c r="A1094" t="s">
        <v>286</v>
      </c>
      <c r="B1094" t="s">
        <v>59</v>
      </c>
      <c r="C1094" t="s">
        <v>10</v>
      </c>
      <c r="D1094" t="s">
        <v>14</v>
      </c>
      <c r="E1094">
        <v>202602</v>
      </c>
      <c r="F1094" t="s">
        <v>75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0</v>
      </c>
      <c r="AN1094">
        <v>1</v>
      </c>
    </row>
    <row r="1095" spans="1:40" x14ac:dyDescent="0.3">
      <c r="A1095" t="s">
        <v>286</v>
      </c>
      <c r="B1095" t="s">
        <v>59</v>
      </c>
      <c r="C1095" t="s">
        <v>10</v>
      </c>
      <c r="D1095" t="s">
        <v>14</v>
      </c>
      <c r="E1095">
        <v>202602</v>
      </c>
      <c r="F1095" t="s">
        <v>206</v>
      </c>
      <c r="G1095">
        <v>0</v>
      </c>
      <c r="H1095">
        <v>0</v>
      </c>
      <c r="I1095">
        <v>1</v>
      </c>
      <c r="J1095">
        <v>3</v>
      </c>
      <c r="K1095">
        <v>4</v>
      </c>
      <c r="L1095">
        <v>1</v>
      </c>
      <c r="M1095">
        <v>0</v>
      </c>
      <c r="N1095">
        <v>0</v>
      </c>
      <c r="O1095">
        <v>5</v>
      </c>
      <c r="P1095">
        <v>3</v>
      </c>
      <c r="Q1095">
        <v>4</v>
      </c>
      <c r="R1095">
        <v>2</v>
      </c>
      <c r="S1095">
        <v>6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1</v>
      </c>
      <c r="Z1095">
        <v>0</v>
      </c>
      <c r="AA1095">
        <v>0</v>
      </c>
      <c r="AB1095">
        <v>0</v>
      </c>
      <c r="AC1095">
        <v>4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35</v>
      </c>
      <c r="AM1095">
        <v>1.6666666666666667</v>
      </c>
      <c r="AN1095">
        <v>42.171207139501249</v>
      </c>
    </row>
    <row r="1096" spans="1:40" x14ac:dyDescent="0.3">
      <c r="A1096" t="s">
        <v>286</v>
      </c>
      <c r="B1096" t="s">
        <v>59</v>
      </c>
      <c r="C1096" t="s">
        <v>10</v>
      </c>
      <c r="D1096" t="s">
        <v>14</v>
      </c>
      <c r="E1096">
        <v>202602</v>
      </c>
      <c r="F1096" t="s">
        <v>76</v>
      </c>
      <c r="G1096">
        <v>0</v>
      </c>
      <c r="H1096">
        <v>0</v>
      </c>
      <c r="I1096">
        <v>2</v>
      </c>
      <c r="J1096">
        <v>3</v>
      </c>
      <c r="K1096">
        <v>1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4</v>
      </c>
      <c r="R1096">
        <v>1</v>
      </c>
      <c r="S1096">
        <v>0</v>
      </c>
      <c r="T1096">
        <v>0</v>
      </c>
      <c r="U1096">
        <v>0</v>
      </c>
      <c r="V1096">
        <v>5</v>
      </c>
      <c r="W1096">
        <v>0</v>
      </c>
      <c r="X1096">
        <v>2</v>
      </c>
      <c r="Y1096">
        <v>7</v>
      </c>
      <c r="Z1096">
        <v>0</v>
      </c>
      <c r="AA1096">
        <v>0</v>
      </c>
      <c r="AB1096">
        <v>0</v>
      </c>
      <c r="AC1096">
        <v>4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30</v>
      </c>
      <c r="AM1096">
        <v>3.6666666666666665</v>
      </c>
      <c r="AN1096">
        <v>45.776655706902751</v>
      </c>
    </row>
    <row r="1097" spans="1:40" x14ac:dyDescent="0.3">
      <c r="A1097" t="s">
        <v>286</v>
      </c>
      <c r="B1097" t="s">
        <v>59</v>
      </c>
      <c r="C1097" t="s">
        <v>10</v>
      </c>
      <c r="D1097" t="s">
        <v>14</v>
      </c>
      <c r="E1097">
        <v>202602</v>
      </c>
      <c r="F1097" t="s">
        <v>64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1</v>
      </c>
    </row>
    <row r="1098" spans="1:40" x14ac:dyDescent="0.3">
      <c r="A1098" t="s">
        <v>286</v>
      </c>
      <c r="B1098" t="s">
        <v>59</v>
      </c>
      <c r="C1098" t="s">
        <v>10</v>
      </c>
      <c r="D1098" t="s">
        <v>14</v>
      </c>
      <c r="E1098">
        <v>202602</v>
      </c>
      <c r="F1098" t="s">
        <v>65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5</v>
      </c>
      <c r="AM1098">
        <v>0.33333333333333331</v>
      </c>
      <c r="AN1098">
        <v>6.4342414279002504</v>
      </c>
    </row>
    <row r="1099" spans="1:40" x14ac:dyDescent="0.3">
      <c r="A1099" t="s">
        <v>286</v>
      </c>
      <c r="B1099" t="s">
        <v>59</v>
      </c>
      <c r="C1099" t="s">
        <v>10</v>
      </c>
      <c r="D1099" t="s">
        <v>14</v>
      </c>
      <c r="E1099">
        <v>202602</v>
      </c>
      <c r="F1099" t="s">
        <v>66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3</v>
      </c>
      <c r="AM1099">
        <v>0</v>
      </c>
      <c r="AN1099">
        <v>3</v>
      </c>
    </row>
    <row r="1100" spans="1:40" x14ac:dyDescent="0.3">
      <c r="A1100" t="s">
        <v>286</v>
      </c>
      <c r="B1100" t="s">
        <v>59</v>
      </c>
      <c r="C1100" t="s">
        <v>10</v>
      </c>
      <c r="D1100" t="s">
        <v>14</v>
      </c>
      <c r="E1100">
        <v>202602</v>
      </c>
      <c r="F1100" t="s">
        <v>68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0</v>
      </c>
      <c r="AN1100">
        <v>1</v>
      </c>
    </row>
    <row r="1101" spans="1:40" x14ac:dyDescent="0.3">
      <c r="A1101" t="s">
        <v>286</v>
      </c>
      <c r="B1101" t="s">
        <v>59</v>
      </c>
      <c r="C1101" t="s">
        <v>10</v>
      </c>
      <c r="D1101" t="s">
        <v>14</v>
      </c>
      <c r="E1101">
        <v>202602</v>
      </c>
      <c r="F1101" t="s">
        <v>303</v>
      </c>
      <c r="G1101">
        <v>0</v>
      </c>
      <c r="H1101">
        <v>2</v>
      </c>
      <c r="I1101">
        <v>2</v>
      </c>
      <c r="J1101">
        <v>0</v>
      </c>
      <c r="K1101">
        <v>3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3</v>
      </c>
      <c r="R1101">
        <v>1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2</v>
      </c>
      <c r="Y1101">
        <v>0</v>
      </c>
      <c r="Z1101">
        <v>2</v>
      </c>
      <c r="AA1101">
        <v>2</v>
      </c>
      <c r="AB1101">
        <v>0</v>
      </c>
      <c r="AC1101">
        <v>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22</v>
      </c>
      <c r="AM1101">
        <v>1.3333333333333333</v>
      </c>
      <c r="AN1101">
        <v>27.736965711601002</v>
      </c>
    </row>
    <row r="1102" spans="1:40" x14ac:dyDescent="0.3">
      <c r="A1102" t="s">
        <v>286</v>
      </c>
      <c r="B1102" t="s">
        <v>59</v>
      </c>
      <c r="C1102" t="s">
        <v>10</v>
      </c>
      <c r="D1102" t="s">
        <v>14</v>
      </c>
      <c r="E1102">
        <v>202602</v>
      </c>
      <c r="F1102" t="s">
        <v>304</v>
      </c>
      <c r="G1102">
        <v>1</v>
      </c>
      <c r="H1102">
        <v>2</v>
      </c>
      <c r="I1102">
        <v>5</v>
      </c>
      <c r="J1102">
        <v>10</v>
      </c>
      <c r="K1102">
        <v>3</v>
      </c>
      <c r="L1102">
        <v>7</v>
      </c>
      <c r="M1102">
        <v>0</v>
      </c>
      <c r="N1102">
        <v>0</v>
      </c>
      <c r="O1102">
        <v>3</v>
      </c>
      <c r="P1102">
        <v>6</v>
      </c>
      <c r="Q1102">
        <v>8</v>
      </c>
      <c r="R1102">
        <v>8</v>
      </c>
      <c r="S1102">
        <v>2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5</v>
      </c>
      <c r="Z1102">
        <v>5</v>
      </c>
      <c r="AA1102">
        <v>0</v>
      </c>
      <c r="AB1102">
        <v>0</v>
      </c>
      <c r="AC1102">
        <v>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73</v>
      </c>
      <c r="AM1102">
        <v>6</v>
      </c>
      <c r="AN1102">
        <v>98.816345702204501</v>
      </c>
    </row>
    <row r="1103" spans="1:40" x14ac:dyDescent="0.3">
      <c r="A1103" t="s">
        <v>286</v>
      </c>
      <c r="B1103" t="s">
        <v>59</v>
      </c>
      <c r="C1103" t="s">
        <v>10</v>
      </c>
      <c r="D1103" t="s">
        <v>14</v>
      </c>
      <c r="E1103">
        <v>202602</v>
      </c>
      <c r="F1103" t="s">
        <v>260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1</v>
      </c>
    </row>
    <row r="1104" spans="1:40" x14ac:dyDescent="0.3">
      <c r="A1104" t="s">
        <v>286</v>
      </c>
      <c r="B1104" t="s">
        <v>59</v>
      </c>
      <c r="C1104" t="s">
        <v>10</v>
      </c>
      <c r="D1104" t="s">
        <v>14</v>
      </c>
      <c r="E1104">
        <v>202602</v>
      </c>
      <c r="F1104" t="s">
        <v>69</v>
      </c>
      <c r="G1104">
        <v>0</v>
      </c>
      <c r="H1104">
        <v>8</v>
      </c>
      <c r="I1104">
        <v>15</v>
      </c>
      <c r="J1104">
        <v>15</v>
      </c>
      <c r="K1104">
        <v>20</v>
      </c>
      <c r="L1104">
        <v>9</v>
      </c>
      <c r="M1104">
        <v>0</v>
      </c>
      <c r="N1104">
        <v>0</v>
      </c>
      <c r="O1104">
        <v>13</v>
      </c>
      <c r="P1104">
        <v>10</v>
      </c>
      <c r="Q1104">
        <v>11</v>
      </c>
      <c r="R1104">
        <v>16</v>
      </c>
      <c r="S1104">
        <v>12</v>
      </c>
      <c r="T1104">
        <v>0</v>
      </c>
      <c r="U1104">
        <v>0</v>
      </c>
      <c r="V1104">
        <v>7</v>
      </c>
      <c r="W1104">
        <v>8</v>
      </c>
      <c r="X1104">
        <v>8</v>
      </c>
      <c r="Y1104">
        <v>17</v>
      </c>
      <c r="Z1104">
        <v>13</v>
      </c>
      <c r="AA1104">
        <v>6</v>
      </c>
      <c r="AB1104">
        <v>0</v>
      </c>
      <c r="AC1104">
        <v>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196</v>
      </c>
      <c r="AM1104">
        <v>12.666666666666666</v>
      </c>
      <c r="AN1104">
        <v>250.5011742602095</v>
      </c>
    </row>
    <row r="1105" spans="1:40" x14ac:dyDescent="0.3">
      <c r="A1105" t="s">
        <v>286</v>
      </c>
      <c r="B1105" t="s">
        <v>59</v>
      </c>
      <c r="C1105" t="s">
        <v>10</v>
      </c>
      <c r="D1105" t="s">
        <v>14</v>
      </c>
      <c r="E1105">
        <v>202602</v>
      </c>
      <c r="F1105" t="s">
        <v>305</v>
      </c>
      <c r="G1105">
        <v>0</v>
      </c>
      <c r="H1105">
        <v>2</v>
      </c>
      <c r="I1105">
        <v>6</v>
      </c>
      <c r="J1105">
        <v>4</v>
      </c>
      <c r="K1105">
        <v>3</v>
      </c>
      <c r="L1105">
        <v>5</v>
      </c>
      <c r="M1105">
        <v>0</v>
      </c>
      <c r="N1105">
        <v>0</v>
      </c>
      <c r="O1105">
        <v>4</v>
      </c>
      <c r="P1105">
        <v>8</v>
      </c>
      <c r="Q1105">
        <v>9</v>
      </c>
      <c r="R1105">
        <v>9</v>
      </c>
      <c r="S1105">
        <v>4</v>
      </c>
      <c r="T1105">
        <v>0</v>
      </c>
      <c r="U1105">
        <v>0</v>
      </c>
      <c r="V1105">
        <v>0</v>
      </c>
      <c r="W1105">
        <v>0</v>
      </c>
      <c r="X1105">
        <v>3</v>
      </c>
      <c r="Y1105">
        <v>5</v>
      </c>
      <c r="Z1105">
        <v>6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69</v>
      </c>
      <c r="AM1105">
        <v>4</v>
      </c>
      <c r="AN1105">
        <v>86.210897134803005</v>
      </c>
    </row>
    <row r="1106" spans="1:40" x14ac:dyDescent="0.3">
      <c r="A1106" t="s">
        <v>286</v>
      </c>
      <c r="B1106" t="s">
        <v>59</v>
      </c>
      <c r="C1106" t="s">
        <v>10</v>
      </c>
      <c r="D1106" t="s">
        <v>14</v>
      </c>
      <c r="E1106">
        <v>202602</v>
      </c>
      <c r="F1106" t="s">
        <v>72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0.33333333333333331</v>
      </c>
      <c r="AN1106">
        <v>2.43424142790025</v>
      </c>
    </row>
    <row r="1107" spans="1:40" x14ac:dyDescent="0.3">
      <c r="A1107" t="s">
        <v>286</v>
      </c>
      <c r="B1107" t="s">
        <v>59</v>
      </c>
      <c r="C1107" t="s">
        <v>10</v>
      </c>
      <c r="D1107" t="s">
        <v>14</v>
      </c>
      <c r="E1107">
        <v>202602</v>
      </c>
      <c r="F1107" t="s">
        <v>306</v>
      </c>
      <c r="G1107">
        <v>0</v>
      </c>
      <c r="H1107">
        <v>2</v>
      </c>
      <c r="I1107">
        <v>1</v>
      </c>
      <c r="J1107">
        <v>1</v>
      </c>
      <c r="K1107">
        <v>3</v>
      </c>
      <c r="L1107">
        <v>0</v>
      </c>
      <c r="M1107">
        <v>0</v>
      </c>
      <c r="N1107">
        <v>0</v>
      </c>
      <c r="O1107">
        <v>2</v>
      </c>
      <c r="P1107">
        <v>3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5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20</v>
      </c>
      <c r="AM1107">
        <v>1.6666666666666667</v>
      </c>
      <c r="AN1107">
        <v>27.171207139501249</v>
      </c>
    </row>
    <row r="1108" spans="1:40" x14ac:dyDescent="0.3">
      <c r="A1108" t="s">
        <v>286</v>
      </c>
      <c r="B1108" t="s">
        <v>59</v>
      </c>
      <c r="C1108" t="s">
        <v>10</v>
      </c>
      <c r="D1108" t="s">
        <v>14</v>
      </c>
      <c r="E1108">
        <v>202602</v>
      </c>
      <c r="F1108" t="s">
        <v>77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</v>
      </c>
      <c r="AM1108">
        <v>0.33333333333333331</v>
      </c>
      <c r="AN1108">
        <v>3.43424142790025</v>
      </c>
    </row>
    <row r="1109" spans="1:40" x14ac:dyDescent="0.3">
      <c r="A1109" t="s">
        <v>286</v>
      </c>
      <c r="B1109" t="s">
        <v>59</v>
      </c>
      <c r="C1109" t="s">
        <v>10</v>
      </c>
      <c r="D1109" t="s">
        <v>14</v>
      </c>
      <c r="E1109">
        <v>202602</v>
      </c>
      <c r="F1109" t="s">
        <v>741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0.33333333333333331</v>
      </c>
      <c r="AN1109">
        <v>2.43424142790025</v>
      </c>
    </row>
    <row r="1110" spans="1:40" x14ac:dyDescent="0.3">
      <c r="A1110" t="s">
        <v>286</v>
      </c>
      <c r="B1110" t="s">
        <v>59</v>
      </c>
      <c r="C1110" t="s">
        <v>10</v>
      </c>
      <c r="D1110" t="s">
        <v>14</v>
      </c>
      <c r="E1110">
        <v>202602</v>
      </c>
      <c r="F1110" t="s">
        <v>78</v>
      </c>
      <c r="G1110">
        <v>0</v>
      </c>
      <c r="H1110">
        <v>3</v>
      </c>
      <c r="I1110">
        <v>4</v>
      </c>
      <c r="J1110">
        <v>3</v>
      </c>
      <c r="K1110">
        <v>5</v>
      </c>
      <c r="L1110">
        <v>4</v>
      </c>
      <c r="M1110">
        <v>0</v>
      </c>
      <c r="N1110">
        <v>0</v>
      </c>
      <c r="O1110">
        <v>7</v>
      </c>
      <c r="P1110">
        <v>8</v>
      </c>
      <c r="Q1110">
        <v>4</v>
      </c>
      <c r="R1110">
        <v>7</v>
      </c>
      <c r="S1110">
        <v>4</v>
      </c>
      <c r="T1110">
        <v>0</v>
      </c>
      <c r="U1110">
        <v>0</v>
      </c>
      <c r="V1110">
        <v>0</v>
      </c>
      <c r="W1110">
        <v>0</v>
      </c>
      <c r="X1110">
        <v>5</v>
      </c>
      <c r="Y1110">
        <v>8</v>
      </c>
      <c r="Z1110">
        <v>3</v>
      </c>
      <c r="AA1110">
        <v>0</v>
      </c>
      <c r="AB1110">
        <v>0</v>
      </c>
      <c r="AC1110">
        <v>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73</v>
      </c>
      <c r="AM1110">
        <v>6.333333333333333</v>
      </c>
      <c r="AN1110">
        <v>100.25058713010475</v>
      </c>
    </row>
    <row r="1111" spans="1:40" x14ac:dyDescent="0.3">
      <c r="A1111" t="s">
        <v>286</v>
      </c>
      <c r="B1111" t="s">
        <v>59</v>
      </c>
      <c r="C1111" t="s">
        <v>10</v>
      </c>
      <c r="D1111" t="s">
        <v>14</v>
      </c>
      <c r="E1111">
        <v>202602</v>
      </c>
      <c r="F1111" t="s">
        <v>79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2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6</v>
      </c>
      <c r="AM1111">
        <v>0.66666666666666663</v>
      </c>
      <c r="AN1111">
        <v>8.8684828558005009</v>
      </c>
    </row>
    <row r="1112" spans="1:40" x14ac:dyDescent="0.3">
      <c r="A1112" t="s">
        <v>286</v>
      </c>
      <c r="B1112" t="s">
        <v>81</v>
      </c>
      <c r="C1112" t="s">
        <v>10</v>
      </c>
      <c r="D1112" t="s">
        <v>11</v>
      </c>
      <c r="E1112">
        <v>202602</v>
      </c>
      <c r="F1112" t="s">
        <v>206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</v>
      </c>
      <c r="AM1112">
        <v>0</v>
      </c>
      <c r="AN1112">
        <v>2</v>
      </c>
    </row>
    <row r="1113" spans="1:40" x14ac:dyDescent="0.3">
      <c r="A1113" t="s">
        <v>286</v>
      </c>
      <c r="B1113" t="s">
        <v>81</v>
      </c>
      <c r="C1113" t="s">
        <v>10</v>
      </c>
      <c r="D1113" t="s">
        <v>11</v>
      </c>
      <c r="E1113">
        <v>202602</v>
      </c>
      <c r="F1113" t="s">
        <v>307</v>
      </c>
      <c r="G1113">
        <v>0</v>
      </c>
      <c r="H1113">
        <v>3</v>
      </c>
      <c r="I1113">
        <v>7</v>
      </c>
      <c r="J1113">
        <v>5</v>
      </c>
      <c r="K1113">
        <v>3</v>
      </c>
      <c r="L1113">
        <v>2</v>
      </c>
      <c r="M1113">
        <v>1</v>
      </c>
      <c r="N1113">
        <v>0</v>
      </c>
      <c r="O1113">
        <v>2</v>
      </c>
      <c r="P1113">
        <v>3</v>
      </c>
      <c r="Q1113">
        <v>8</v>
      </c>
      <c r="R1113">
        <v>0</v>
      </c>
      <c r="S1113">
        <v>2</v>
      </c>
      <c r="T1113">
        <v>2</v>
      </c>
      <c r="U1113">
        <v>0</v>
      </c>
      <c r="V1113">
        <v>1</v>
      </c>
      <c r="W1113">
        <v>0</v>
      </c>
      <c r="X1113">
        <v>3</v>
      </c>
      <c r="Y1113">
        <v>8</v>
      </c>
      <c r="Z1113">
        <v>5</v>
      </c>
      <c r="AA1113">
        <v>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57</v>
      </c>
      <c r="AM1113">
        <v>4.333333333333333</v>
      </c>
      <c r="AN1113">
        <v>78.835692095269792</v>
      </c>
    </row>
    <row r="1114" spans="1:40" x14ac:dyDescent="0.3">
      <c r="A1114" t="s">
        <v>286</v>
      </c>
      <c r="B1114" t="s">
        <v>81</v>
      </c>
      <c r="C1114" t="s">
        <v>10</v>
      </c>
      <c r="D1114" t="s">
        <v>11</v>
      </c>
      <c r="E1114">
        <v>202602</v>
      </c>
      <c r="F1114" t="s">
        <v>308</v>
      </c>
      <c r="G1114">
        <v>0</v>
      </c>
      <c r="H1114">
        <v>1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1</v>
      </c>
      <c r="Q1114">
        <v>0</v>
      </c>
      <c r="R1114">
        <v>2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6</v>
      </c>
      <c r="AM1114">
        <v>0</v>
      </c>
      <c r="AN1114">
        <v>6</v>
      </c>
    </row>
    <row r="1115" spans="1:40" x14ac:dyDescent="0.3">
      <c r="A1115" t="s">
        <v>286</v>
      </c>
      <c r="B1115" t="s">
        <v>81</v>
      </c>
      <c r="C1115" t="s">
        <v>10</v>
      </c>
      <c r="D1115" t="s">
        <v>11</v>
      </c>
      <c r="E1115">
        <v>202602</v>
      </c>
      <c r="F1115" t="s">
        <v>83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</v>
      </c>
      <c r="AM1115">
        <v>0</v>
      </c>
      <c r="AN1115">
        <v>2</v>
      </c>
    </row>
    <row r="1116" spans="1:40" x14ac:dyDescent="0.3">
      <c r="A1116" t="s">
        <v>286</v>
      </c>
      <c r="B1116" t="s">
        <v>81</v>
      </c>
      <c r="C1116" t="s">
        <v>10</v>
      </c>
      <c r="D1116" t="s">
        <v>11</v>
      </c>
      <c r="E1116">
        <v>202602</v>
      </c>
      <c r="F1116" t="s">
        <v>357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2</v>
      </c>
      <c r="AM1116">
        <v>0.33333333333333331</v>
      </c>
      <c r="AN1116">
        <v>3.6796686227130611</v>
      </c>
    </row>
    <row r="1117" spans="1:40" x14ac:dyDescent="0.3">
      <c r="A1117" t="s">
        <v>286</v>
      </c>
      <c r="B1117" t="s">
        <v>81</v>
      </c>
      <c r="C1117" t="s">
        <v>10</v>
      </c>
      <c r="D1117" t="s">
        <v>11</v>
      </c>
      <c r="E1117">
        <v>202602</v>
      </c>
      <c r="F1117" t="s">
        <v>688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1</v>
      </c>
    </row>
    <row r="1118" spans="1:40" x14ac:dyDescent="0.3">
      <c r="A1118" t="s">
        <v>286</v>
      </c>
      <c r="B1118" t="s">
        <v>81</v>
      </c>
      <c r="C1118" t="s">
        <v>10</v>
      </c>
      <c r="D1118" t="s">
        <v>11</v>
      </c>
      <c r="E1118">
        <v>202602</v>
      </c>
      <c r="F1118" t="s">
        <v>309</v>
      </c>
      <c r="G1118">
        <v>0</v>
      </c>
      <c r="H1118">
        <v>0</v>
      </c>
      <c r="I1118">
        <v>1</v>
      </c>
      <c r="J1118">
        <v>1</v>
      </c>
      <c r="K1118">
        <v>4</v>
      </c>
      <c r="L1118">
        <v>1</v>
      </c>
      <c r="M1118">
        <v>0</v>
      </c>
      <c r="N1118">
        <v>0</v>
      </c>
      <c r="O1118">
        <v>1</v>
      </c>
      <c r="P1118">
        <v>0</v>
      </c>
      <c r="Q1118">
        <v>1</v>
      </c>
      <c r="R1118">
        <v>1</v>
      </c>
      <c r="S1118">
        <v>1</v>
      </c>
      <c r="T1118">
        <v>1</v>
      </c>
      <c r="U1118">
        <v>0</v>
      </c>
      <c r="V1118">
        <v>4</v>
      </c>
      <c r="W1118">
        <v>0</v>
      </c>
      <c r="X1118">
        <v>1</v>
      </c>
      <c r="Y1118">
        <v>0</v>
      </c>
      <c r="Z1118">
        <v>6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24</v>
      </c>
      <c r="AM1118">
        <v>2.3333333333333335</v>
      </c>
      <c r="AN1118">
        <v>35.757680358991422</v>
      </c>
    </row>
    <row r="1119" spans="1:40" x14ac:dyDescent="0.3">
      <c r="A1119" t="s">
        <v>286</v>
      </c>
      <c r="B1119" t="s">
        <v>81</v>
      </c>
      <c r="C1119" t="s">
        <v>10</v>
      </c>
      <c r="D1119" t="s">
        <v>11</v>
      </c>
      <c r="E1119">
        <v>202602</v>
      </c>
      <c r="F1119" t="s">
        <v>310</v>
      </c>
      <c r="G1119">
        <v>0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3</v>
      </c>
      <c r="T1119">
        <v>1</v>
      </c>
      <c r="U1119">
        <v>0</v>
      </c>
      <c r="V1119">
        <v>3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12</v>
      </c>
      <c r="AM1119">
        <v>0.33333333333333331</v>
      </c>
      <c r="AN1119">
        <v>13.679668622713061</v>
      </c>
    </row>
    <row r="1120" spans="1:40" x14ac:dyDescent="0.3">
      <c r="A1120" t="s">
        <v>286</v>
      </c>
      <c r="B1120" t="s">
        <v>81</v>
      </c>
      <c r="C1120" t="s">
        <v>10</v>
      </c>
      <c r="D1120" t="s">
        <v>11</v>
      </c>
      <c r="E1120">
        <v>202602</v>
      </c>
      <c r="F1120" t="s">
        <v>311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2</v>
      </c>
      <c r="AM1120">
        <v>0</v>
      </c>
      <c r="AN1120">
        <v>2</v>
      </c>
    </row>
    <row r="1121" spans="1:40" x14ac:dyDescent="0.3">
      <c r="A1121" t="s">
        <v>286</v>
      </c>
      <c r="B1121" t="s">
        <v>81</v>
      </c>
      <c r="C1121" t="s">
        <v>10</v>
      </c>
      <c r="D1121" t="s">
        <v>11</v>
      </c>
      <c r="E1121">
        <v>202602</v>
      </c>
      <c r="F1121" t="s">
        <v>312</v>
      </c>
      <c r="G1121">
        <v>0</v>
      </c>
      <c r="H1121">
        <v>0</v>
      </c>
      <c r="I1121">
        <v>0</v>
      </c>
      <c r="J1121">
        <v>1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</v>
      </c>
      <c r="AM1121">
        <v>0</v>
      </c>
      <c r="AN1121">
        <v>2</v>
      </c>
    </row>
    <row r="1122" spans="1:40" x14ac:dyDescent="0.3">
      <c r="A1122" t="s">
        <v>286</v>
      </c>
      <c r="B1122" t="s">
        <v>81</v>
      </c>
      <c r="C1122" t="s">
        <v>10</v>
      </c>
      <c r="D1122" t="s">
        <v>11</v>
      </c>
      <c r="E1122">
        <v>202602</v>
      </c>
      <c r="F1122" t="s">
        <v>313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3</v>
      </c>
      <c r="S1122">
        <v>1</v>
      </c>
      <c r="T1122">
        <v>1</v>
      </c>
      <c r="U1122">
        <v>0</v>
      </c>
      <c r="V1122">
        <v>0</v>
      </c>
      <c r="W1122">
        <v>0</v>
      </c>
      <c r="X1122">
        <v>2</v>
      </c>
      <c r="Y1122">
        <v>0</v>
      </c>
      <c r="Z1122">
        <v>2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12</v>
      </c>
      <c r="AM1122">
        <v>0.66666666666666663</v>
      </c>
      <c r="AN1122">
        <v>15.359337245426122</v>
      </c>
    </row>
    <row r="1123" spans="1:40" x14ac:dyDescent="0.3">
      <c r="A1123" t="s">
        <v>286</v>
      </c>
      <c r="B1123" t="s">
        <v>81</v>
      </c>
      <c r="C1123" t="s">
        <v>10</v>
      </c>
      <c r="D1123" t="s">
        <v>11</v>
      </c>
      <c r="E1123">
        <v>202602</v>
      </c>
      <c r="F1123" t="s">
        <v>316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2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2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7</v>
      </c>
      <c r="AM1123">
        <v>1</v>
      </c>
      <c r="AN1123">
        <v>12.039005868139181</v>
      </c>
    </row>
    <row r="1124" spans="1:40" x14ac:dyDescent="0.3">
      <c r="A1124" t="s">
        <v>286</v>
      </c>
      <c r="B1124" t="s">
        <v>81</v>
      </c>
      <c r="C1124" t="s">
        <v>10</v>
      </c>
      <c r="D1124" t="s">
        <v>11</v>
      </c>
      <c r="E1124">
        <v>202602</v>
      </c>
      <c r="F1124" t="s">
        <v>314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1</v>
      </c>
      <c r="AA1124">
        <v>1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</v>
      </c>
      <c r="AM1124">
        <v>0.66666666666666663</v>
      </c>
      <c r="AN1124">
        <v>12.359337245426122</v>
      </c>
    </row>
    <row r="1125" spans="1:40" x14ac:dyDescent="0.3">
      <c r="A1125" t="s">
        <v>286</v>
      </c>
      <c r="B1125" t="s">
        <v>81</v>
      </c>
      <c r="C1125" t="s">
        <v>10</v>
      </c>
      <c r="D1125" t="s">
        <v>11</v>
      </c>
      <c r="E1125">
        <v>202602</v>
      </c>
      <c r="F1125" t="s">
        <v>715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1</v>
      </c>
    </row>
    <row r="1126" spans="1:40" x14ac:dyDescent="0.3">
      <c r="A1126" t="s">
        <v>286</v>
      </c>
      <c r="B1126" t="s">
        <v>81</v>
      </c>
      <c r="C1126" t="s">
        <v>10</v>
      </c>
      <c r="D1126" t="s">
        <v>11</v>
      </c>
      <c r="E1126">
        <v>202602</v>
      </c>
      <c r="F1126" t="s">
        <v>315</v>
      </c>
      <c r="G1126">
        <v>0</v>
      </c>
      <c r="H1126">
        <v>2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3</v>
      </c>
      <c r="AM1126">
        <v>0</v>
      </c>
      <c r="AN1126">
        <v>3</v>
      </c>
    </row>
    <row r="1127" spans="1:40" x14ac:dyDescent="0.3">
      <c r="A1127" t="s">
        <v>286</v>
      </c>
      <c r="B1127" t="s">
        <v>81</v>
      </c>
      <c r="C1127" t="s">
        <v>10</v>
      </c>
      <c r="D1127" t="s">
        <v>14</v>
      </c>
      <c r="E1127">
        <v>202602</v>
      </c>
      <c r="F1127" t="s">
        <v>477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1</v>
      </c>
    </row>
    <row r="1128" spans="1:40" x14ac:dyDescent="0.3">
      <c r="A1128" t="s">
        <v>286</v>
      </c>
      <c r="B1128" t="s">
        <v>81</v>
      </c>
      <c r="C1128" t="s">
        <v>10</v>
      </c>
      <c r="D1128" t="s">
        <v>14</v>
      </c>
      <c r="E1128">
        <v>202602</v>
      </c>
      <c r="F1128" t="s">
        <v>206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4</v>
      </c>
      <c r="AM1128">
        <v>0.33333333333333331</v>
      </c>
      <c r="AN1128">
        <v>5.4342414279002504</v>
      </c>
    </row>
    <row r="1129" spans="1:40" x14ac:dyDescent="0.3">
      <c r="A1129" t="s">
        <v>286</v>
      </c>
      <c r="B1129" t="s">
        <v>81</v>
      </c>
      <c r="C1129" t="s">
        <v>10</v>
      </c>
      <c r="D1129" t="s">
        <v>14</v>
      </c>
      <c r="E1129">
        <v>202602</v>
      </c>
      <c r="F1129" t="s">
        <v>307</v>
      </c>
      <c r="G1129">
        <v>0</v>
      </c>
      <c r="H1129">
        <v>12</v>
      </c>
      <c r="I1129">
        <v>6</v>
      </c>
      <c r="J1129">
        <v>4</v>
      </c>
      <c r="K1129">
        <v>3</v>
      </c>
      <c r="L1129">
        <v>3</v>
      </c>
      <c r="M1129">
        <v>0</v>
      </c>
      <c r="N1129">
        <v>0</v>
      </c>
      <c r="O1129">
        <v>9</v>
      </c>
      <c r="P1129">
        <v>2</v>
      </c>
      <c r="Q1129">
        <v>3</v>
      </c>
      <c r="R1129">
        <v>7</v>
      </c>
      <c r="S1129">
        <v>3</v>
      </c>
      <c r="T1129">
        <v>1</v>
      </c>
      <c r="U1129">
        <v>0</v>
      </c>
      <c r="V1129">
        <v>2</v>
      </c>
      <c r="W1129">
        <v>2</v>
      </c>
      <c r="X1129">
        <v>9</v>
      </c>
      <c r="Y1129">
        <v>3</v>
      </c>
      <c r="Z1129">
        <v>3</v>
      </c>
      <c r="AA1129">
        <v>1</v>
      </c>
      <c r="AB1129">
        <v>0</v>
      </c>
      <c r="AC1129">
        <v>8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81</v>
      </c>
      <c r="AM1129">
        <v>4.666666666666667</v>
      </c>
      <c r="AN1129">
        <v>101.0793799906035</v>
      </c>
    </row>
    <row r="1130" spans="1:40" x14ac:dyDescent="0.3">
      <c r="A1130" t="s">
        <v>286</v>
      </c>
      <c r="B1130" t="s">
        <v>81</v>
      </c>
      <c r="C1130" t="s">
        <v>10</v>
      </c>
      <c r="D1130" t="s">
        <v>14</v>
      </c>
      <c r="E1130">
        <v>202602</v>
      </c>
      <c r="F1130" t="s">
        <v>308</v>
      </c>
      <c r="G1130">
        <v>0</v>
      </c>
      <c r="H1130">
        <v>0</v>
      </c>
      <c r="I1130">
        <v>2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</v>
      </c>
      <c r="AM1130">
        <v>0</v>
      </c>
      <c r="AN1130">
        <v>5</v>
      </c>
    </row>
    <row r="1131" spans="1:40" x14ac:dyDescent="0.3">
      <c r="A1131" t="s">
        <v>286</v>
      </c>
      <c r="B1131" t="s">
        <v>81</v>
      </c>
      <c r="C1131" t="s">
        <v>10</v>
      </c>
      <c r="D1131" t="s">
        <v>14</v>
      </c>
      <c r="E1131">
        <v>202602</v>
      </c>
      <c r="F1131" t="s">
        <v>83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</v>
      </c>
      <c r="AM1131">
        <v>0</v>
      </c>
      <c r="AN1131">
        <v>2</v>
      </c>
    </row>
    <row r="1132" spans="1:40" x14ac:dyDescent="0.3">
      <c r="A1132" t="s">
        <v>286</v>
      </c>
      <c r="B1132" t="s">
        <v>81</v>
      </c>
      <c r="C1132" t="s">
        <v>10</v>
      </c>
      <c r="D1132" t="s">
        <v>14</v>
      </c>
      <c r="E1132">
        <v>202602</v>
      </c>
      <c r="F1132" t="s">
        <v>84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1</v>
      </c>
    </row>
    <row r="1133" spans="1:40" x14ac:dyDescent="0.3">
      <c r="A1133" t="s">
        <v>286</v>
      </c>
      <c r="B1133" t="s">
        <v>81</v>
      </c>
      <c r="C1133" t="s">
        <v>10</v>
      </c>
      <c r="D1133" t="s">
        <v>14</v>
      </c>
      <c r="E1133">
        <v>202602</v>
      </c>
      <c r="F1133" t="s">
        <v>268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0.33333333333333331</v>
      </c>
      <c r="AN1133">
        <v>2.43424142790025</v>
      </c>
    </row>
    <row r="1134" spans="1:40" x14ac:dyDescent="0.3">
      <c r="A1134" t="s">
        <v>286</v>
      </c>
      <c r="B1134" t="s">
        <v>81</v>
      </c>
      <c r="C1134" t="s">
        <v>10</v>
      </c>
      <c r="D1134" t="s">
        <v>14</v>
      </c>
      <c r="E1134">
        <v>202602</v>
      </c>
      <c r="F1134" t="s">
        <v>357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2</v>
      </c>
      <c r="AM1134">
        <v>0.33333333333333331</v>
      </c>
      <c r="AN1134">
        <v>3.43424142790025</v>
      </c>
    </row>
    <row r="1135" spans="1:40" x14ac:dyDescent="0.3">
      <c r="A1135" t="s">
        <v>286</v>
      </c>
      <c r="B1135" t="s">
        <v>81</v>
      </c>
      <c r="C1135" t="s">
        <v>10</v>
      </c>
      <c r="D1135" t="s">
        <v>14</v>
      </c>
      <c r="E1135">
        <v>202602</v>
      </c>
      <c r="F1135" t="s">
        <v>688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2</v>
      </c>
      <c r="AM1135">
        <v>0</v>
      </c>
      <c r="AN1135">
        <v>2</v>
      </c>
    </row>
    <row r="1136" spans="1:40" x14ac:dyDescent="0.3">
      <c r="A1136" t="s">
        <v>286</v>
      </c>
      <c r="B1136" t="s">
        <v>81</v>
      </c>
      <c r="C1136" t="s">
        <v>10</v>
      </c>
      <c r="D1136" t="s">
        <v>14</v>
      </c>
      <c r="E1136">
        <v>202602</v>
      </c>
      <c r="F1136" t="s">
        <v>309</v>
      </c>
      <c r="G1136">
        <v>0</v>
      </c>
      <c r="H1136">
        <v>2</v>
      </c>
      <c r="I1136">
        <v>3</v>
      </c>
      <c r="J1136">
        <v>4</v>
      </c>
      <c r="K1136">
        <v>1</v>
      </c>
      <c r="L1136">
        <v>0</v>
      </c>
      <c r="M1136">
        <v>2</v>
      </c>
      <c r="N1136">
        <v>0</v>
      </c>
      <c r="O1136">
        <v>1</v>
      </c>
      <c r="P1136">
        <v>1</v>
      </c>
      <c r="Q1136">
        <v>1</v>
      </c>
      <c r="R1136">
        <v>3</v>
      </c>
      <c r="S1136">
        <v>2</v>
      </c>
      <c r="T1136">
        <v>1</v>
      </c>
      <c r="U1136">
        <v>0</v>
      </c>
      <c r="V1136">
        <v>1</v>
      </c>
      <c r="W1136">
        <v>0</v>
      </c>
      <c r="X1136">
        <v>6</v>
      </c>
      <c r="Y1136">
        <v>2</v>
      </c>
      <c r="Z1136">
        <v>1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32</v>
      </c>
      <c r="AM1136">
        <v>1</v>
      </c>
      <c r="AN1136">
        <v>36.302724283700748</v>
      </c>
    </row>
    <row r="1137" spans="1:40" x14ac:dyDescent="0.3">
      <c r="A1137" t="s">
        <v>286</v>
      </c>
      <c r="B1137" t="s">
        <v>81</v>
      </c>
      <c r="C1137" t="s">
        <v>10</v>
      </c>
      <c r="D1137" t="s">
        <v>14</v>
      </c>
      <c r="E1137">
        <v>202602</v>
      </c>
      <c r="F1137" t="s">
        <v>310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0</v>
      </c>
      <c r="Q1137">
        <v>4</v>
      </c>
      <c r="R1137">
        <v>1</v>
      </c>
      <c r="S1137">
        <v>6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1</v>
      </c>
      <c r="Z1137">
        <v>0</v>
      </c>
      <c r="AA1137">
        <v>4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20</v>
      </c>
      <c r="AM1137">
        <v>0.33333333333333331</v>
      </c>
      <c r="AN1137">
        <v>21.43424142790025</v>
      </c>
    </row>
    <row r="1138" spans="1:40" x14ac:dyDescent="0.3">
      <c r="A1138" t="s">
        <v>286</v>
      </c>
      <c r="B1138" t="s">
        <v>81</v>
      </c>
      <c r="C1138" t="s">
        <v>10</v>
      </c>
      <c r="D1138" t="s">
        <v>14</v>
      </c>
      <c r="E1138">
        <v>202602</v>
      </c>
      <c r="F1138" t="s">
        <v>311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4</v>
      </c>
      <c r="AM1138">
        <v>0.66666666666666663</v>
      </c>
      <c r="AN1138">
        <v>6.8684828558005</v>
      </c>
    </row>
    <row r="1139" spans="1:40" x14ac:dyDescent="0.3">
      <c r="A1139" t="s">
        <v>286</v>
      </c>
      <c r="B1139" t="s">
        <v>81</v>
      </c>
      <c r="C1139" t="s">
        <v>10</v>
      </c>
      <c r="D1139" t="s">
        <v>14</v>
      </c>
      <c r="E1139">
        <v>202602</v>
      </c>
      <c r="F1139" t="s">
        <v>312</v>
      </c>
      <c r="G1139">
        <v>0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</v>
      </c>
      <c r="AM1139">
        <v>0</v>
      </c>
      <c r="AN1139">
        <v>2</v>
      </c>
    </row>
    <row r="1140" spans="1:40" x14ac:dyDescent="0.3">
      <c r="A1140" t="s">
        <v>286</v>
      </c>
      <c r="B1140" t="s">
        <v>81</v>
      </c>
      <c r="C1140" t="s">
        <v>10</v>
      </c>
      <c r="D1140" t="s">
        <v>14</v>
      </c>
      <c r="E1140">
        <v>202602</v>
      </c>
      <c r="F1140" t="s">
        <v>313</v>
      </c>
      <c r="G1140">
        <v>0</v>
      </c>
      <c r="H1140">
        <v>0</v>
      </c>
      <c r="I1140">
        <v>0</v>
      </c>
      <c r="J1140">
        <v>0</v>
      </c>
      <c r="K1140">
        <v>2</v>
      </c>
      <c r="L1140">
        <v>0</v>
      </c>
      <c r="M1140">
        <v>0</v>
      </c>
      <c r="N1140">
        <v>0</v>
      </c>
      <c r="O1140">
        <v>1</v>
      </c>
      <c r="P1140">
        <v>3</v>
      </c>
      <c r="Q1140">
        <v>2</v>
      </c>
      <c r="R1140">
        <v>1</v>
      </c>
      <c r="S1140">
        <v>3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2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16</v>
      </c>
      <c r="AM1140">
        <v>1</v>
      </c>
      <c r="AN1140">
        <v>20.302724283700751</v>
      </c>
    </row>
    <row r="1141" spans="1:40" x14ac:dyDescent="0.3">
      <c r="A1141" t="s">
        <v>286</v>
      </c>
      <c r="B1141" t="s">
        <v>81</v>
      </c>
      <c r="C1141" t="s">
        <v>10</v>
      </c>
      <c r="D1141" t="s">
        <v>14</v>
      </c>
      <c r="E1141">
        <v>202602</v>
      </c>
      <c r="F1141" t="s">
        <v>316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</v>
      </c>
      <c r="Q1141">
        <v>2</v>
      </c>
      <c r="R1141">
        <v>0</v>
      </c>
      <c r="S1141">
        <v>1</v>
      </c>
      <c r="T1141">
        <v>1</v>
      </c>
      <c r="U1141">
        <v>0</v>
      </c>
      <c r="V1141">
        <v>1</v>
      </c>
      <c r="W1141">
        <v>0</v>
      </c>
      <c r="X1141">
        <v>0</v>
      </c>
      <c r="Y1141">
        <v>2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10</v>
      </c>
      <c r="AM1141">
        <v>0.66666666666666663</v>
      </c>
      <c r="AN1141">
        <v>12.868482855800501</v>
      </c>
    </row>
    <row r="1142" spans="1:40" x14ac:dyDescent="0.3">
      <c r="A1142" t="s">
        <v>286</v>
      </c>
      <c r="B1142" t="s">
        <v>81</v>
      </c>
      <c r="C1142" t="s">
        <v>10</v>
      </c>
      <c r="D1142" t="s">
        <v>14</v>
      </c>
      <c r="E1142">
        <v>202602</v>
      </c>
      <c r="F1142" t="s">
        <v>314</v>
      </c>
      <c r="G1142">
        <v>0</v>
      </c>
      <c r="H1142">
        <v>0</v>
      </c>
      <c r="I1142">
        <v>0</v>
      </c>
      <c r="J1142">
        <v>2</v>
      </c>
      <c r="K1142">
        <v>2</v>
      </c>
      <c r="L1142">
        <v>1</v>
      </c>
      <c r="M1142">
        <v>0</v>
      </c>
      <c r="N1142">
        <v>0</v>
      </c>
      <c r="O1142">
        <v>2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</v>
      </c>
      <c r="Z1142">
        <v>1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14</v>
      </c>
      <c r="AM1142">
        <v>1.6666666666666667</v>
      </c>
      <c r="AN1142">
        <v>21.171207139501249</v>
      </c>
    </row>
    <row r="1143" spans="1:40" x14ac:dyDescent="0.3">
      <c r="A1143" t="s">
        <v>286</v>
      </c>
      <c r="B1143" t="s">
        <v>81</v>
      </c>
      <c r="C1143" t="s">
        <v>10</v>
      </c>
      <c r="D1143" t="s">
        <v>14</v>
      </c>
      <c r="E1143">
        <v>202602</v>
      </c>
      <c r="F1143" t="s">
        <v>715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</v>
      </c>
      <c r="AM1143">
        <v>0</v>
      </c>
      <c r="AN1143">
        <v>1</v>
      </c>
    </row>
    <row r="1144" spans="1:40" x14ac:dyDescent="0.3">
      <c r="A1144" t="s">
        <v>286</v>
      </c>
      <c r="B1144" t="s">
        <v>81</v>
      </c>
      <c r="C1144" t="s">
        <v>10</v>
      </c>
      <c r="D1144" t="s">
        <v>14</v>
      </c>
      <c r="E1144">
        <v>202602</v>
      </c>
      <c r="F1144" t="s">
        <v>315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</v>
      </c>
      <c r="AM1144">
        <v>0</v>
      </c>
      <c r="AN1144">
        <v>2</v>
      </c>
    </row>
    <row r="1145" spans="1:40" x14ac:dyDescent="0.3">
      <c r="A1145" t="s">
        <v>286</v>
      </c>
      <c r="B1145" t="s">
        <v>81</v>
      </c>
      <c r="C1145" t="s">
        <v>16</v>
      </c>
      <c r="D1145" t="s">
        <v>11</v>
      </c>
      <c r="E1145">
        <v>202602</v>
      </c>
      <c r="F1145" t="s">
        <v>307</v>
      </c>
      <c r="G1145">
        <v>0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</v>
      </c>
      <c r="AM1145">
        <v>0</v>
      </c>
      <c r="AN1145">
        <v>2</v>
      </c>
    </row>
    <row r="1146" spans="1:40" x14ac:dyDescent="0.3">
      <c r="A1146" t="s">
        <v>286</v>
      </c>
      <c r="B1146" t="s">
        <v>81</v>
      </c>
      <c r="C1146" t="s">
        <v>16</v>
      </c>
      <c r="D1146" t="s">
        <v>11</v>
      </c>
      <c r="E1146">
        <v>202602</v>
      </c>
      <c r="F1146" t="s">
        <v>310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0.33333333333333331</v>
      </c>
      <c r="AN1146">
        <v>2.6796686227130611</v>
      </c>
    </row>
    <row r="1147" spans="1:40" x14ac:dyDescent="0.3">
      <c r="A1147" t="s">
        <v>286</v>
      </c>
      <c r="B1147" t="s">
        <v>81</v>
      </c>
      <c r="C1147" t="s">
        <v>16</v>
      </c>
      <c r="D1147" t="s">
        <v>11</v>
      </c>
      <c r="E1147">
        <v>202602</v>
      </c>
      <c r="F1147" t="s">
        <v>313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1</v>
      </c>
    </row>
    <row r="1148" spans="1:40" x14ac:dyDescent="0.3">
      <c r="A1148" t="s">
        <v>286</v>
      </c>
      <c r="B1148" t="s">
        <v>81</v>
      </c>
      <c r="C1148" t="s">
        <v>16</v>
      </c>
      <c r="D1148" t="s">
        <v>14</v>
      </c>
      <c r="E1148">
        <v>202602</v>
      </c>
      <c r="F1148" t="s">
        <v>307</v>
      </c>
      <c r="G1148">
        <v>0</v>
      </c>
      <c r="H1148">
        <v>1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</v>
      </c>
      <c r="AM1148">
        <v>0</v>
      </c>
      <c r="AN1148">
        <v>2</v>
      </c>
    </row>
    <row r="1149" spans="1:40" x14ac:dyDescent="0.3">
      <c r="A1149" t="s">
        <v>286</v>
      </c>
      <c r="B1149" t="s">
        <v>81</v>
      </c>
      <c r="C1149" t="s">
        <v>16</v>
      </c>
      <c r="D1149" t="s">
        <v>14</v>
      </c>
      <c r="E1149">
        <v>202602</v>
      </c>
      <c r="F1149" t="s">
        <v>310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0.33333333333333331</v>
      </c>
      <c r="AN1149">
        <v>2.43424142790025</v>
      </c>
    </row>
    <row r="1150" spans="1:40" x14ac:dyDescent="0.3">
      <c r="A1150" t="s">
        <v>286</v>
      </c>
      <c r="B1150" t="s">
        <v>81</v>
      </c>
      <c r="C1150" t="s">
        <v>16</v>
      </c>
      <c r="D1150" t="s">
        <v>14</v>
      </c>
      <c r="E1150">
        <v>202602</v>
      </c>
      <c r="F1150" t="s">
        <v>313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1</v>
      </c>
    </row>
    <row r="1151" spans="1:40" x14ac:dyDescent="0.3">
      <c r="A1151" t="s">
        <v>286</v>
      </c>
      <c r="B1151" t="s">
        <v>100</v>
      </c>
      <c r="C1151" t="s">
        <v>10</v>
      </c>
      <c r="D1151" t="s">
        <v>14</v>
      </c>
      <c r="E1151">
        <v>202602</v>
      </c>
      <c r="F1151" t="s">
        <v>102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1</v>
      </c>
    </row>
    <row r="1152" spans="1:40" x14ac:dyDescent="0.3">
      <c r="A1152" t="s">
        <v>286</v>
      </c>
      <c r="B1152" t="s">
        <v>643</v>
      </c>
      <c r="C1152" t="s">
        <v>10</v>
      </c>
      <c r="D1152" t="s">
        <v>11</v>
      </c>
      <c r="E1152">
        <v>202602</v>
      </c>
      <c r="F1152" t="s">
        <v>56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3</v>
      </c>
      <c r="AM1152">
        <v>0.66666666666666663</v>
      </c>
      <c r="AN1152">
        <v>6.3593372454261221</v>
      </c>
    </row>
    <row r="1153" spans="1:40" x14ac:dyDescent="0.3">
      <c r="A1153" t="s">
        <v>286</v>
      </c>
      <c r="B1153" t="s">
        <v>643</v>
      </c>
      <c r="C1153" t="s">
        <v>10</v>
      </c>
      <c r="D1153" t="s">
        <v>11</v>
      </c>
      <c r="E1153">
        <v>202602</v>
      </c>
      <c r="F1153" t="s">
        <v>110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0.33333333333333331</v>
      </c>
      <c r="AN1153">
        <v>2.6796686227130611</v>
      </c>
    </row>
    <row r="1154" spans="1:40" x14ac:dyDescent="0.3">
      <c r="A1154" t="s">
        <v>286</v>
      </c>
      <c r="B1154" t="s">
        <v>643</v>
      </c>
      <c r="C1154" t="s">
        <v>10</v>
      </c>
      <c r="D1154" t="s">
        <v>11</v>
      </c>
      <c r="E1154">
        <v>202602</v>
      </c>
      <c r="F1154" t="s">
        <v>111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2</v>
      </c>
      <c r="AM1154">
        <v>0.33333333333333331</v>
      </c>
      <c r="AN1154">
        <v>3.6796686227130611</v>
      </c>
    </row>
    <row r="1155" spans="1:40" x14ac:dyDescent="0.3">
      <c r="A1155" t="s">
        <v>286</v>
      </c>
      <c r="B1155" t="s">
        <v>643</v>
      </c>
      <c r="C1155" t="s">
        <v>10</v>
      </c>
      <c r="D1155" t="s">
        <v>11</v>
      </c>
      <c r="E1155">
        <v>202602</v>
      </c>
      <c r="F1155" t="s">
        <v>61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1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5</v>
      </c>
      <c r="AM1155">
        <v>0.66666666666666663</v>
      </c>
      <c r="AN1155">
        <v>8.3593372454261221</v>
      </c>
    </row>
    <row r="1156" spans="1:40" x14ac:dyDescent="0.3">
      <c r="A1156" t="s">
        <v>286</v>
      </c>
      <c r="B1156" t="s">
        <v>643</v>
      </c>
      <c r="C1156" t="s">
        <v>10</v>
      </c>
      <c r="D1156" t="s">
        <v>11</v>
      </c>
      <c r="E1156">
        <v>202602</v>
      </c>
      <c r="F1156" t="s">
        <v>112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4</v>
      </c>
      <c r="AM1156">
        <v>0.33333333333333331</v>
      </c>
      <c r="AN1156">
        <v>5.6796686227130611</v>
      </c>
    </row>
    <row r="1157" spans="1:40" x14ac:dyDescent="0.3">
      <c r="A1157" t="s">
        <v>286</v>
      </c>
      <c r="B1157" t="s">
        <v>643</v>
      </c>
      <c r="C1157" t="s">
        <v>10</v>
      </c>
      <c r="D1157" t="s">
        <v>11</v>
      </c>
      <c r="E1157">
        <v>202602</v>
      </c>
      <c r="F1157" t="s">
        <v>114</v>
      </c>
      <c r="G1157">
        <v>0</v>
      </c>
      <c r="H1157">
        <v>4</v>
      </c>
      <c r="I1157">
        <v>2</v>
      </c>
      <c r="J1157">
        <v>0</v>
      </c>
      <c r="K1157">
        <v>3</v>
      </c>
      <c r="L1157">
        <v>2</v>
      </c>
      <c r="M1157">
        <v>7</v>
      </c>
      <c r="N1157">
        <v>0</v>
      </c>
      <c r="O1157">
        <v>1</v>
      </c>
      <c r="P1157">
        <v>2</v>
      </c>
      <c r="Q1157">
        <v>2</v>
      </c>
      <c r="R1157">
        <v>3</v>
      </c>
      <c r="S1157">
        <v>1</v>
      </c>
      <c r="T1157">
        <v>2</v>
      </c>
      <c r="U1157">
        <v>0</v>
      </c>
      <c r="V1157">
        <v>1</v>
      </c>
      <c r="W1157">
        <v>0</v>
      </c>
      <c r="X1157">
        <v>1</v>
      </c>
      <c r="Y1157">
        <v>1</v>
      </c>
      <c r="Z1157">
        <v>4</v>
      </c>
      <c r="AA1157">
        <v>0</v>
      </c>
      <c r="AB1157">
        <v>0</v>
      </c>
      <c r="AC1157">
        <v>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38</v>
      </c>
      <c r="AM1157">
        <v>2.3333333333333335</v>
      </c>
      <c r="AN1157">
        <v>49.757680358991422</v>
      </c>
    </row>
    <row r="1158" spans="1:40" x14ac:dyDescent="0.3">
      <c r="A1158" t="s">
        <v>286</v>
      </c>
      <c r="B1158" t="s">
        <v>643</v>
      </c>
      <c r="C1158" t="s">
        <v>10</v>
      </c>
      <c r="D1158" t="s">
        <v>11</v>
      </c>
      <c r="E1158">
        <v>202602</v>
      </c>
      <c r="F1158" t="s">
        <v>129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1</v>
      </c>
    </row>
    <row r="1159" spans="1:40" x14ac:dyDescent="0.3">
      <c r="A1159" t="s">
        <v>286</v>
      </c>
      <c r="B1159" t="s">
        <v>643</v>
      </c>
      <c r="C1159" t="s">
        <v>10</v>
      </c>
      <c r="D1159" t="s">
        <v>11</v>
      </c>
      <c r="E1159">
        <v>202602</v>
      </c>
      <c r="F1159" t="s">
        <v>115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1</v>
      </c>
    </row>
    <row r="1160" spans="1:40" x14ac:dyDescent="0.3">
      <c r="A1160" t="s">
        <v>286</v>
      </c>
      <c r="B1160" t="s">
        <v>643</v>
      </c>
      <c r="C1160" t="s">
        <v>10</v>
      </c>
      <c r="D1160" t="s">
        <v>11</v>
      </c>
      <c r="E1160">
        <v>202602</v>
      </c>
      <c r="F1160" t="s">
        <v>116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5</v>
      </c>
      <c r="AM1160">
        <v>0</v>
      </c>
      <c r="AN1160">
        <v>5</v>
      </c>
    </row>
    <row r="1161" spans="1:40" x14ac:dyDescent="0.3">
      <c r="A1161" t="s">
        <v>286</v>
      </c>
      <c r="B1161" t="s">
        <v>643</v>
      </c>
      <c r="C1161" t="s">
        <v>10</v>
      </c>
      <c r="D1161" t="s">
        <v>11</v>
      </c>
      <c r="E1161">
        <v>202602</v>
      </c>
      <c r="F1161" t="s">
        <v>130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2</v>
      </c>
      <c r="AM1161">
        <v>0</v>
      </c>
      <c r="AN1161">
        <v>2</v>
      </c>
    </row>
    <row r="1162" spans="1:40" x14ac:dyDescent="0.3">
      <c r="A1162" t="s">
        <v>286</v>
      </c>
      <c r="B1162" t="s">
        <v>643</v>
      </c>
      <c r="C1162" t="s">
        <v>10</v>
      </c>
      <c r="D1162" t="s">
        <v>11</v>
      </c>
      <c r="E1162">
        <v>202602</v>
      </c>
      <c r="F1162" t="s">
        <v>317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4</v>
      </c>
      <c r="AM1162">
        <v>0.33333333333333331</v>
      </c>
      <c r="AN1162">
        <v>5.6796686227130611</v>
      </c>
    </row>
    <row r="1163" spans="1:40" x14ac:dyDescent="0.3">
      <c r="A1163" t="s">
        <v>286</v>
      </c>
      <c r="B1163" t="s">
        <v>643</v>
      </c>
      <c r="C1163" t="s">
        <v>10</v>
      </c>
      <c r="D1163" t="s">
        <v>11</v>
      </c>
      <c r="E1163">
        <v>202602</v>
      </c>
      <c r="F1163" t="s">
        <v>118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4</v>
      </c>
      <c r="AM1163">
        <v>0.33333333333333331</v>
      </c>
      <c r="AN1163">
        <v>5.6796686227130611</v>
      </c>
    </row>
    <row r="1164" spans="1:40" x14ac:dyDescent="0.3">
      <c r="A1164" t="s">
        <v>286</v>
      </c>
      <c r="B1164" t="s">
        <v>643</v>
      </c>
      <c r="C1164" t="s">
        <v>10</v>
      </c>
      <c r="D1164" t="s">
        <v>11</v>
      </c>
      <c r="E1164">
        <v>202602</v>
      </c>
      <c r="F1164" t="s">
        <v>716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</v>
      </c>
      <c r="AM1164">
        <v>0</v>
      </c>
      <c r="AN1164">
        <v>2</v>
      </c>
    </row>
    <row r="1165" spans="1:40" x14ac:dyDescent="0.3">
      <c r="A1165" t="s">
        <v>286</v>
      </c>
      <c r="B1165" t="s">
        <v>643</v>
      </c>
      <c r="C1165" t="s">
        <v>10</v>
      </c>
      <c r="D1165" t="s">
        <v>11</v>
      </c>
      <c r="E1165">
        <v>202602</v>
      </c>
      <c r="F1165" t="s">
        <v>132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3</v>
      </c>
      <c r="AM1165">
        <v>0</v>
      </c>
      <c r="AN1165">
        <v>3</v>
      </c>
    </row>
    <row r="1166" spans="1:40" x14ac:dyDescent="0.3">
      <c r="A1166" t="s">
        <v>286</v>
      </c>
      <c r="B1166" t="s">
        <v>643</v>
      </c>
      <c r="C1166" t="s">
        <v>10</v>
      </c>
      <c r="D1166" t="s">
        <v>11</v>
      </c>
      <c r="E1166">
        <v>202602</v>
      </c>
      <c r="F1166" t="s">
        <v>119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2</v>
      </c>
      <c r="AM1166">
        <v>0</v>
      </c>
      <c r="AN1166">
        <v>2</v>
      </c>
    </row>
    <row r="1167" spans="1:40" x14ac:dyDescent="0.3">
      <c r="A1167" t="s">
        <v>286</v>
      </c>
      <c r="B1167" t="s">
        <v>643</v>
      </c>
      <c r="C1167" t="s">
        <v>10</v>
      </c>
      <c r="D1167" t="s">
        <v>11</v>
      </c>
      <c r="E1167">
        <v>202602</v>
      </c>
      <c r="F1167" t="s">
        <v>121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</v>
      </c>
      <c r="S1167">
        <v>0</v>
      </c>
      <c r="T1167">
        <v>1</v>
      </c>
      <c r="U1167">
        <v>0</v>
      </c>
      <c r="V1167">
        <v>2</v>
      </c>
      <c r="W1167">
        <v>0</v>
      </c>
      <c r="X1167">
        <v>1</v>
      </c>
      <c r="Y1167">
        <v>2</v>
      </c>
      <c r="Z1167">
        <v>1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9</v>
      </c>
      <c r="AM1167">
        <v>1</v>
      </c>
      <c r="AN1167">
        <v>14.039005868139181</v>
      </c>
    </row>
    <row r="1168" spans="1:40" x14ac:dyDescent="0.3">
      <c r="A1168" t="s">
        <v>286</v>
      </c>
      <c r="B1168" t="s">
        <v>643</v>
      </c>
      <c r="C1168" t="s">
        <v>10</v>
      </c>
      <c r="D1168" t="s">
        <v>11</v>
      </c>
      <c r="E1168">
        <v>202602</v>
      </c>
      <c r="F1168" t="s">
        <v>134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1</v>
      </c>
    </row>
    <row r="1169" spans="1:40" x14ac:dyDescent="0.3">
      <c r="A1169" t="s">
        <v>286</v>
      </c>
      <c r="B1169" t="s">
        <v>643</v>
      </c>
      <c r="C1169" t="s">
        <v>10</v>
      </c>
      <c r="D1169" t="s">
        <v>11</v>
      </c>
      <c r="E1169">
        <v>202602</v>
      </c>
      <c r="F1169" t="s">
        <v>122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</v>
      </c>
      <c r="AM1169">
        <v>0</v>
      </c>
      <c r="AN1169">
        <v>1</v>
      </c>
    </row>
    <row r="1170" spans="1:40" x14ac:dyDescent="0.3">
      <c r="A1170" t="s">
        <v>286</v>
      </c>
      <c r="B1170" t="s">
        <v>643</v>
      </c>
      <c r="C1170" t="s">
        <v>10</v>
      </c>
      <c r="D1170" t="s">
        <v>11</v>
      </c>
      <c r="E1170">
        <v>202602</v>
      </c>
      <c r="F1170" t="s">
        <v>124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1</v>
      </c>
    </row>
    <row r="1171" spans="1:40" x14ac:dyDescent="0.3">
      <c r="A1171" t="s">
        <v>286</v>
      </c>
      <c r="B1171" t="s">
        <v>643</v>
      </c>
      <c r="C1171" t="s">
        <v>10</v>
      </c>
      <c r="D1171" t="s">
        <v>11</v>
      </c>
      <c r="E1171">
        <v>202602</v>
      </c>
      <c r="F1171" t="s">
        <v>318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1</v>
      </c>
    </row>
    <row r="1172" spans="1:40" x14ac:dyDescent="0.3">
      <c r="A1172" t="s">
        <v>286</v>
      </c>
      <c r="B1172" t="s">
        <v>643</v>
      </c>
      <c r="C1172" t="s">
        <v>10</v>
      </c>
      <c r="D1172" t="s">
        <v>11</v>
      </c>
      <c r="E1172">
        <v>202602</v>
      </c>
      <c r="F1172" t="s">
        <v>125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1</v>
      </c>
    </row>
    <row r="1173" spans="1:40" x14ac:dyDescent="0.3">
      <c r="A1173" t="s">
        <v>286</v>
      </c>
      <c r="B1173" t="s">
        <v>643</v>
      </c>
      <c r="C1173" t="s">
        <v>10</v>
      </c>
      <c r="D1173" t="s">
        <v>11</v>
      </c>
      <c r="E1173">
        <v>202602</v>
      </c>
      <c r="F1173" t="s">
        <v>127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1</v>
      </c>
    </row>
    <row r="1174" spans="1:40" x14ac:dyDescent="0.3">
      <c r="A1174" t="s">
        <v>286</v>
      </c>
      <c r="B1174" t="s">
        <v>643</v>
      </c>
      <c r="C1174" t="s">
        <v>10</v>
      </c>
      <c r="D1174" t="s">
        <v>11</v>
      </c>
      <c r="E1174">
        <v>202602</v>
      </c>
      <c r="F1174" t="s">
        <v>319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1</v>
      </c>
    </row>
    <row r="1175" spans="1:40" x14ac:dyDescent="0.3">
      <c r="A1175" t="s">
        <v>286</v>
      </c>
      <c r="B1175" t="s">
        <v>643</v>
      </c>
      <c r="C1175" t="s">
        <v>10</v>
      </c>
      <c r="D1175" t="s">
        <v>11</v>
      </c>
      <c r="E1175">
        <v>202602</v>
      </c>
      <c r="F1175" t="s">
        <v>226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</v>
      </c>
      <c r="AM1175">
        <v>0.33333333333333331</v>
      </c>
      <c r="AN1175">
        <v>3.6796686227130611</v>
      </c>
    </row>
    <row r="1176" spans="1:40" x14ac:dyDescent="0.3">
      <c r="A1176" t="s">
        <v>286</v>
      </c>
      <c r="B1176" t="s">
        <v>643</v>
      </c>
      <c r="C1176" t="s">
        <v>10</v>
      </c>
      <c r="D1176" t="s">
        <v>11</v>
      </c>
      <c r="E1176">
        <v>202602</v>
      </c>
      <c r="F1176" t="s">
        <v>436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0.33333333333333331</v>
      </c>
      <c r="AN1176">
        <v>2.6796686227130611</v>
      </c>
    </row>
    <row r="1177" spans="1:40" x14ac:dyDescent="0.3">
      <c r="A1177" t="s">
        <v>286</v>
      </c>
      <c r="B1177" t="s">
        <v>643</v>
      </c>
      <c r="C1177" t="s">
        <v>10</v>
      </c>
      <c r="D1177" t="s">
        <v>14</v>
      </c>
      <c r="E1177">
        <v>202602</v>
      </c>
      <c r="F1177" t="s">
        <v>56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2</v>
      </c>
      <c r="Z1177">
        <v>2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5</v>
      </c>
      <c r="AM1177">
        <v>1.3333333333333333</v>
      </c>
      <c r="AN1177">
        <v>10.736965711601</v>
      </c>
    </row>
    <row r="1178" spans="1:40" x14ac:dyDescent="0.3">
      <c r="A1178" t="s">
        <v>286</v>
      </c>
      <c r="B1178" t="s">
        <v>643</v>
      </c>
      <c r="C1178" t="s">
        <v>10</v>
      </c>
      <c r="D1178" t="s">
        <v>14</v>
      </c>
      <c r="E1178">
        <v>202602</v>
      </c>
      <c r="F1178" t="s">
        <v>110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</v>
      </c>
      <c r="AM1178">
        <v>0</v>
      </c>
      <c r="AN1178">
        <v>2</v>
      </c>
    </row>
    <row r="1179" spans="1:40" x14ac:dyDescent="0.3">
      <c r="A1179" t="s">
        <v>286</v>
      </c>
      <c r="B1179" t="s">
        <v>643</v>
      </c>
      <c r="C1179" t="s">
        <v>10</v>
      </c>
      <c r="D1179" t="s">
        <v>14</v>
      </c>
      <c r="E1179">
        <v>202602</v>
      </c>
      <c r="F1179" t="s">
        <v>111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</v>
      </c>
      <c r="AM1179">
        <v>0.33333333333333331</v>
      </c>
      <c r="AN1179">
        <v>5.4342414279002504</v>
      </c>
    </row>
    <row r="1180" spans="1:40" x14ac:dyDescent="0.3">
      <c r="A1180" t="s">
        <v>286</v>
      </c>
      <c r="B1180" t="s">
        <v>643</v>
      </c>
      <c r="C1180" t="s">
        <v>10</v>
      </c>
      <c r="D1180" t="s">
        <v>14</v>
      </c>
      <c r="E1180">
        <v>202602</v>
      </c>
      <c r="F1180" t="s">
        <v>61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1</v>
      </c>
      <c r="T1180">
        <v>0</v>
      </c>
      <c r="U1180">
        <v>0</v>
      </c>
      <c r="V1180">
        <v>2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7</v>
      </c>
      <c r="AM1180">
        <v>0.33333333333333331</v>
      </c>
      <c r="AN1180">
        <v>8.4342414279002504</v>
      </c>
    </row>
    <row r="1181" spans="1:40" x14ac:dyDescent="0.3">
      <c r="A1181" t="s">
        <v>286</v>
      </c>
      <c r="B1181" t="s">
        <v>643</v>
      </c>
      <c r="C1181" t="s">
        <v>10</v>
      </c>
      <c r="D1181" t="s">
        <v>14</v>
      </c>
      <c r="E1181">
        <v>202602</v>
      </c>
      <c r="F1181" t="s">
        <v>112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3</v>
      </c>
      <c r="AM1181">
        <v>0.33333333333333331</v>
      </c>
      <c r="AN1181">
        <v>4.4342414279002504</v>
      </c>
    </row>
    <row r="1182" spans="1:40" x14ac:dyDescent="0.3">
      <c r="A1182" t="s">
        <v>286</v>
      </c>
      <c r="B1182" t="s">
        <v>643</v>
      </c>
      <c r="C1182" t="s">
        <v>10</v>
      </c>
      <c r="D1182" t="s">
        <v>14</v>
      </c>
      <c r="E1182">
        <v>202602</v>
      </c>
      <c r="F1182" t="s">
        <v>278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>
        <v>0</v>
      </c>
      <c r="AN1182">
        <v>1</v>
      </c>
    </row>
    <row r="1183" spans="1:40" x14ac:dyDescent="0.3">
      <c r="A1183" t="s">
        <v>286</v>
      </c>
      <c r="B1183" t="s">
        <v>643</v>
      </c>
      <c r="C1183" t="s">
        <v>10</v>
      </c>
      <c r="D1183" t="s">
        <v>14</v>
      </c>
      <c r="E1183">
        <v>202602</v>
      </c>
      <c r="F1183" t="s">
        <v>114</v>
      </c>
      <c r="G1183">
        <v>0</v>
      </c>
      <c r="H1183">
        <v>2</v>
      </c>
      <c r="I1183">
        <v>3</v>
      </c>
      <c r="J1183">
        <v>11</v>
      </c>
      <c r="K1183">
        <v>4</v>
      </c>
      <c r="L1183">
        <v>2</v>
      </c>
      <c r="M1183">
        <v>0</v>
      </c>
      <c r="N1183">
        <v>0</v>
      </c>
      <c r="O1183">
        <v>4</v>
      </c>
      <c r="P1183">
        <v>2</v>
      </c>
      <c r="Q1183">
        <v>2</v>
      </c>
      <c r="R1183">
        <v>1</v>
      </c>
      <c r="S1183">
        <v>3</v>
      </c>
      <c r="T1183">
        <v>0</v>
      </c>
      <c r="U1183">
        <v>0</v>
      </c>
      <c r="V1183">
        <v>0</v>
      </c>
      <c r="W1183">
        <v>1</v>
      </c>
      <c r="X1183">
        <v>7</v>
      </c>
      <c r="Y1183">
        <v>6</v>
      </c>
      <c r="Z1183">
        <v>4</v>
      </c>
      <c r="AA1183">
        <v>0</v>
      </c>
      <c r="AB1183">
        <v>0</v>
      </c>
      <c r="AC1183">
        <v>3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55</v>
      </c>
      <c r="AM1183">
        <v>4.333333333333333</v>
      </c>
      <c r="AN1183">
        <v>73.645138562703252</v>
      </c>
    </row>
    <row r="1184" spans="1:40" x14ac:dyDescent="0.3">
      <c r="A1184" t="s">
        <v>286</v>
      </c>
      <c r="B1184" t="s">
        <v>643</v>
      </c>
      <c r="C1184" t="s">
        <v>10</v>
      </c>
      <c r="D1184" t="s">
        <v>14</v>
      </c>
      <c r="E1184">
        <v>202602</v>
      </c>
      <c r="F1184" t="s">
        <v>129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1</v>
      </c>
    </row>
    <row r="1185" spans="1:40" x14ac:dyDescent="0.3">
      <c r="A1185" t="s">
        <v>286</v>
      </c>
      <c r="B1185" t="s">
        <v>643</v>
      </c>
      <c r="C1185" t="s">
        <v>10</v>
      </c>
      <c r="D1185" t="s">
        <v>14</v>
      </c>
      <c r="E1185">
        <v>202602</v>
      </c>
      <c r="F1185" t="s">
        <v>115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2</v>
      </c>
      <c r="AM1185">
        <v>0</v>
      </c>
      <c r="AN1185">
        <v>2</v>
      </c>
    </row>
    <row r="1186" spans="1:40" x14ac:dyDescent="0.3">
      <c r="A1186" t="s">
        <v>286</v>
      </c>
      <c r="B1186" t="s">
        <v>643</v>
      </c>
      <c r="C1186" t="s">
        <v>10</v>
      </c>
      <c r="D1186" t="s">
        <v>14</v>
      </c>
      <c r="E1186">
        <v>202602</v>
      </c>
      <c r="F1186" t="s">
        <v>116</v>
      </c>
      <c r="G1186">
        <v>0</v>
      </c>
      <c r="H1186">
        <v>1</v>
      </c>
      <c r="I1186">
        <v>0</v>
      </c>
      <c r="J1186">
        <v>1</v>
      </c>
      <c r="K1186">
        <v>1</v>
      </c>
      <c r="L1186">
        <v>0</v>
      </c>
      <c r="M1186">
        <v>0</v>
      </c>
      <c r="N1186">
        <v>0</v>
      </c>
      <c r="O1186">
        <v>2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7</v>
      </c>
      <c r="AM1186">
        <v>0.33333333333333331</v>
      </c>
      <c r="AN1186">
        <v>8.4342414279002504</v>
      </c>
    </row>
    <row r="1187" spans="1:40" x14ac:dyDescent="0.3">
      <c r="A1187" t="s">
        <v>286</v>
      </c>
      <c r="B1187" t="s">
        <v>643</v>
      </c>
      <c r="C1187" t="s">
        <v>10</v>
      </c>
      <c r="D1187" t="s">
        <v>14</v>
      </c>
      <c r="E1187">
        <v>202602</v>
      </c>
      <c r="F1187" t="s">
        <v>130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</v>
      </c>
      <c r="AM1187">
        <v>0</v>
      </c>
      <c r="AN1187">
        <v>2</v>
      </c>
    </row>
    <row r="1188" spans="1:40" x14ac:dyDescent="0.3">
      <c r="A1188" t="s">
        <v>286</v>
      </c>
      <c r="B1188" t="s">
        <v>643</v>
      </c>
      <c r="C1188" t="s">
        <v>10</v>
      </c>
      <c r="D1188" t="s">
        <v>14</v>
      </c>
      <c r="E1188">
        <v>202602</v>
      </c>
      <c r="F1188" t="s">
        <v>317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4</v>
      </c>
      <c r="AM1188">
        <v>0</v>
      </c>
      <c r="AN1188">
        <v>4</v>
      </c>
    </row>
    <row r="1189" spans="1:40" x14ac:dyDescent="0.3">
      <c r="A1189" t="s">
        <v>286</v>
      </c>
      <c r="B1189" t="s">
        <v>643</v>
      </c>
      <c r="C1189" t="s">
        <v>10</v>
      </c>
      <c r="D1189" t="s">
        <v>14</v>
      </c>
      <c r="E1189">
        <v>202602</v>
      </c>
      <c r="F1189" t="s">
        <v>118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5</v>
      </c>
      <c r="AM1189">
        <v>0.33333333333333331</v>
      </c>
      <c r="AN1189">
        <v>6.4342414279002504</v>
      </c>
    </row>
    <row r="1190" spans="1:40" x14ac:dyDescent="0.3">
      <c r="A1190" t="s">
        <v>286</v>
      </c>
      <c r="B1190" t="s">
        <v>643</v>
      </c>
      <c r="C1190" t="s">
        <v>10</v>
      </c>
      <c r="D1190" t="s">
        <v>14</v>
      </c>
      <c r="E1190">
        <v>202602</v>
      </c>
      <c r="F1190" t="s">
        <v>716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3</v>
      </c>
      <c r="AM1190">
        <v>0.33333333333333331</v>
      </c>
      <c r="AN1190">
        <v>4.4342414279002504</v>
      </c>
    </row>
    <row r="1191" spans="1:40" x14ac:dyDescent="0.3">
      <c r="A1191" t="s">
        <v>286</v>
      </c>
      <c r="B1191" t="s">
        <v>643</v>
      </c>
      <c r="C1191" t="s">
        <v>10</v>
      </c>
      <c r="D1191" t="s">
        <v>14</v>
      </c>
      <c r="E1191">
        <v>202602</v>
      </c>
      <c r="F1191" t="s">
        <v>320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>
        <v>1</v>
      </c>
    </row>
    <row r="1192" spans="1:40" x14ac:dyDescent="0.3">
      <c r="A1192" t="s">
        <v>286</v>
      </c>
      <c r="B1192" t="s">
        <v>643</v>
      </c>
      <c r="C1192" t="s">
        <v>10</v>
      </c>
      <c r="D1192" t="s">
        <v>14</v>
      </c>
      <c r="E1192">
        <v>202602</v>
      </c>
      <c r="F1192" t="s">
        <v>132</v>
      </c>
      <c r="G1192">
        <v>0</v>
      </c>
      <c r="H1192">
        <v>0</v>
      </c>
      <c r="I1192">
        <v>1</v>
      </c>
      <c r="J1192">
        <v>0</v>
      </c>
      <c r="K1192">
        <v>2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5</v>
      </c>
      <c r="AM1192">
        <v>0.33333333333333331</v>
      </c>
      <c r="AN1192">
        <v>6.4342414279002504</v>
      </c>
    </row>
    <row r="1193" spans="1:40" x14ac:dyDescent="0.3">
      <c r="A1193" t="s">
        <v>286</v>
      </c>
      <c r="B1193" t="s">
        <v>643</v>
      </c>
      <c r="C1193" t="s">
        <v>10</v>
      </c>
      <c r="D1193" t="s">
        <v>14</v>
      </c>
      <c r="E1193">
        <v>202602</v>
      </c>
      <c r="F1193" t="s">
        <v>223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4</v>
      </c>
      <c r="AM1193">
        <v>0.33333333333333331</v>
      </c>
      <c r="AN1193">
        <v>5.4342414279002504</v>
      </c>
    </row>
    <row r="1194" spans="1:40" x14ac:dyDescent="0.3">
      <c r="A1194" t="s">
        <v>286</v>
      </c>
      <c r="B1194" t="s">
        <v>643</v>
      </c>
      <c r="C1194" t="s">
        <v>10</v>
      </c>
      <c r="D1194" t="s">
        <v>14</v>
      </c>
      <c r="E1194">
        <v>202602</v>
      </c>
      <c r="F1194" t="s">
        <v>119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2</v>
      </c>
      <c r="AM1194">
        <v>0</v>
      </c>
      <c r="AN1194">
        <v>2</v>
      </c>
    </row>
    <row r="1195" spans="1:40" x14ac:dyDescent="0.3">
      <c r="A1195" t="s">
        <v>286</v>
      </c>
      <c r="B1195" t="s">
        <v>643</v>
      </c>
      <c r="C1195" t="s">
        <v>10</v>
      </c>
      <c r="D1195" t="s">
        <v>14</v>
      </c>
      <c r="E1195">
        <v>202602</v>
      </c>
      <c r="F1195" t="s">
        <v>121</v>
      </c>
      <c r="G1195">
        <v>0</v>
      </c>
      <c r="H1195">
        <v>0</v>
      </c>
      <c r="I1195">
        <v>3</v>
      </c>
      <c r="J1195">
        <v>1</v>
      </c>
      <c r="K1195">
        <v>1</v>
      </c>
      <c r="L1195">
        <v>2</v>
      </c>
      <c r="M1195">
        <v>1</v>
      </c>
      <c r="N1195">
        <v>0</v>
      </c>
      <c r="O1195">
        <v>0</v>
      </c>
      <c r="P1195">
        <v>5</v>
      </c>
      <c r="Q1195">
        <v>0</v>
      </c>
      <c r="R1195">
        <v>3</v>
      </c>
      <c r="S1195">
        <v>5</v>
      </c>
      <c r="T1195">
        <v>0</v>
      </c>
      <c r="U1195">
        <v>0</v>
      </c>
      <c r="V1195">
        <v>0</v>
      </c>
      <c r="W1195">
        <v>0</v>
      </c>
      <c r="X1195">
        <v>3</v>
      </c>
      <c r="Y1195">
        <v>2</v>
      </c>
      <c r="Z1195">
        <v>2</v>
      </c>
      <c r="AA1195">
        <v>2</v>
      </c>
      <c r="AB1195">
        <v>0</v>
      </c>
      <c r="AC1195">
        <v>3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33</v>
      </c>
      <c r="AM1195">
        <v>2.3333333333333335</v>
      </c>
      <c r="AN1195">
        <v>43.03968999530175</v>
      </c>
    </row>
    <row r="1196" spans="1:40" x14ac:dyDescent="0.3">
      <c r="A1196" t="s">
        <v>286</v>
      </c>
      <c r="B1196" t="s">
        <v>643</v>
      </c>
      <c r="C1196" t="s">
        <v>10</v>
      </c>
      <c r="D1196" t="s">
        <v>14</v>
      </c>
      <c r="E1196">
        <v>202602</v>
      </c>
      <c r="F1196" t="s">
        <v>134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2</v>
      </c>
      <c r="AM1196">
        <v>0</v>
      </c>
      <c r="AN1196">
        <v>2</v>
      </c>
    </row>
    <row r="1197" spans="1:40" x14ac:dyDescent="0.3">
      <c r="A1197" t="s">
        <v>286</v>
      </c>
      <c r="B1197" t="s">
        <v>643</v>
      </c>
      <c r="C1197" t="s">
        <v>10</v>
      </c>
      <c r="D1197" t="s">
        <v>14</v>
      </c>
      <c r="E1197">
        <v>202602</v>
      </c>
      <c r="F1197" t="s">
        <v>224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0.33333333333333331</v>
      </c>
      <c r="AN1197">
        <v>2.43424142790025</v>
      </c>
    </row>
    <row r="1198" spans="1:40" x14ac:dyDescent="0.3">
      <c r="A1198" t="s">
        <v>286</v>
      </c>
      <c r="B1198" t="s">
        <v>643</v>
      </c>
      <c r="C1198" t="s">
        <v>10</v>
      </c>
      <c r="D1198" t="s">
        <v>14</v>
      </c>
      <c r="E1198">
        <v>202602</v>
      </c>
      <c r="F1198" t="s">
        <v>321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1</v>
      </c>
    </row>
    <row r="1199" spans="1:40" x14ac:dyDescent="0.3">
      <c r="A1199" t="s">
        <v>286</v>
      </c>
      <c r="B1199" t="s">
        <v>643</v>
      </c>
      <c r="C1199" t="s">
        <v>10</v>
      </c>
      <c r="D1199" t="s">
        <v>14</v>
      </c>
      <c r="E1199">
        <v>202602</v>
      </c>
      <c r="F1199" t="s">
        <v>122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1</v>
      </c>
    </row>
    <row r="1200" spans="1:40" x14ac:dyDescent="0.3">
      <c r="A1200" t="s">
        <v>286</v>
      </c>
      <c r="B1200" t="s">
        <v>643</v>
      </c>
      <c r="C1200" t="s">
        <v>10</v>
      </c>
      <c r="D1200" t="s">
        <v>14</v>
      </c>
      <c r="E1200">
        <v>202602</v>
      </c>
      <c r="F1200" t="s">
        <v>124</v>
      </c>
      <c r="G1200">
        <v>0</v>
      </c>
      <c r="H1200">
        <v>0</v>
      </c>
      <c r="I1200">
        <v>0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3</v>
      </c>
      <c r="AM1200">
        <v>0</v>
      </c>
      <c r="AN1200">
        <v>3</v>
      </c>
    </row>
    <row r="1201" spans="1:40" x14ac:dyDescent="0.3">
      <c r="A1201" t="s">
        <v>286</v>
      </c>
      <c r="B1201" t="s">
        <v>643</v>
      </c>
      <c r="C1201" t="s">
        <v>10</v>
      </c>
      <c r="D1201" t="s">
        <v>14</v>
      </c>
      <c r="E1201">
        <v>202602</v>
      </c>
      <c r="F1201" t="s">
        <v>318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</v>
      </c>
      <c r="AM1201">
        <v>0</v>
      </c>
      <c r="AN1201">
        <v>1</v>
      </c>
    </row>
    <row r="1202" spans="1:40" x14ac:dyDescent="0.3">
      <c r="A1202" t="s">
        <v>286</v>
      </c>
      <c r="B1202" t="s">
        <v>643</v>
      </c>
      <c r="C1202" t="s">
        <v>10</v>
      </c>
      <c r="D1202" t="s">
        <v>14</v>
      </c>
      <c r="E1202">
        <v>202602</v>
      </c>
      <c r="F1202" t="s">
        <v>125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1</v>
      </c>
    </row>
    <row r="1203" spans="1:40" x14ac:dyDescent="0.3">
      <c r="A1203" t="s">
        <v>286</v>
      </c>
      <c r="B1203" t="s">
        <v>643</v>
      </c>
      <c r="C1203" t="s">
        <v>10</v>
      </c>
      <c r="D1203" t="s">
        <v>14</v>
      </c>
      <c r="E1203">
        <v>202602</v>
      </c>
      <c r="F1203" t="s">
        <v>319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4</v>
      </c>
      <c r="AM1203">
        <v>1</v>
      </c>
      <c r="AN1203">
        <v>8.3027242837007513</v>
      </c>
    </row>
    <row r="1204" spans="1:40" x14ac:dyDescent="0.3">
      <c r="A1204" t="s">
        <v>286</v>
      </c>
      <c r="B1204" t="s">
        <v>643</v>
      </c>
      <c r="C1204" t="s">
        <v>10</v>
      </c>
      <c r="D1204" t="s">
        <v>14</v>
      </c>
      <c r="E1204">
        <v>202602</v>
      </c>
      <c r="F1204" t="s">
        <v>226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1</v>
      </c>
      <c r="N1204">
        <v>0</v>
      </c>
      <c r="O1204">
        <v>0</v>
      </c>
      <c r="P1204">
        <v>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2</v>
      </c>
      <c r="Y1204">
        <v>0</v>
      </c>
      <c r="Z1204">
        <v>0</v>
      </c>
      <c r="AA1204">
        <v>2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9</v>
      </c>
      <c r="AM1204">
        <v>0.33333333333333331</v>
      </c>
      <c r="AN1204">
        <v>10.43424142790025</v>
      </c>
    </row>
    <row r="1205" spans="1:40" x14ac:dyDescent="0.3">
      <c r="A1205" t="s">
        <v>286</v>
      </c>
      <c r="B1205" t="s">
        <v>643</v>
      </c>
      <c r="C1205" t="s">
        <v>10</v>
      </c>
      <c r="D1205" t="s">
        <v>14</v>
      </c>
      <c r="E1205">
        <v>202602</v>
      </c>
      <c r="F1205" t="s">
        <v>436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0.33333333333333331</v>
      </c>
      <c r="AN1205">
        <v>2.43424142790025</v>
      </c>
    </row>
    <row r="1206" spans="1:40" x14ac:dyDescent="0.3">
      <c r="A1206" t="s">
        <v>286</v>
      </c>
      <c r="B1206" t="s">
        <v>643</v>
      </c>
      <c r="C1206" t="s">
        <v>16</v>
      </c>
      <c r="D1206" t="s">
        <v>11</v>
      </c>
      <c r="E1206">
        <v>202602</v>
      </c>
      <c r="F1206" t="s">
        <v>112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</v>
      </c>
      <c r="AM1206">
        <v>0</v>
      </c>
      <c r="AN1206">
        <v>2</v>
      </c>
    </row>
    <row r="1207" spans="1:40" x14ac:dyDescent="0.3">
      <c r="A1207" t="s">
        <v>286</v>
      </c>
      <c r="B1207" t="s">
        <v>643</v>
      </c>
      <c r="C1207" t="s">
        <v>16</v>
      </c>
      <c r="D1207" t="s">
        <v>11</v>
      </c>
      <c r="E1207">
        <v>202602</v>
      </c>
      <c r="F1207" t="s">
        <v>317</v>
      </c>
      <c r="G1207">
        <v>0</v>
      </c>
      <c r="H1207">
        <v>0</v>
      </c>
      <c r="I1207">
        <v>0</v>
      </c>
      <c r="J1207">
        <v>0</v>
      </c>
      <c r="K1207">
        <v>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</v>
      </c>
      <c r="AM1207">
        <v>0</v>
      </c>
      <c r="AN1207">
        <v>2</v>
      </c>
    </row>
    <row r="1208" spans="1:40" x14ac:dyDescent="0.3">
      <c r="A1208" t="s">
        <v>286</v>
      </c>
      <c r="B1208" t="s">
        <v>643</v>
      </c>
      <c r="C1208" t="s">
        <v>16</v>
      </c>
      <c r="D1208" t="s">
        <v>14</v>
      </c>
      <c r="E1208">
        <v>202602</v>
      </c>
      <c r="F1208" t="s">
        <v>112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</v>
      </c>
      <c r="AM1208">
        <v>0</v>
      </c>
      <c r="AN1208">
        <v>1</v>
      </c>
    </row>
    <row r="1209" spans="1:40" x14ac:dyDescent="0.3">
      <c r="A1209" t="s">
        <v>286</v>
      </c>
      <c r="B1209" t="s">
        <v>643</v>
      </c>
      <c r="C1209" t="s">
        <v>16</v>
      </c>
      <c r="D1209" t="s">
        <v>14</v>
      </c>
      <c r="E1209">
        <v>202602</v>
      </c>
      <c r="F1209" t="s">
        <v>317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1</v>
      </c>
    </row>
    <row r="1210" spans="1:40" x14ac:dyDescent="0.3">
      <c r="A1210" t="s">
        <v>286</v>
      </c>
      <c r="B1210" t="s">
        <v>643</v>
      </c>
      <c r="C1210" t="s">
        <v>16</v>
      </c>
      <c r="D1210" t="s">
        <v>14</v>
      </c>
      <c r="E1210">
        <v>202602</v>
      </c>
      <c r="F1210" t="s">
        <v>121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0</v>
      </c>
      <c r="AN1210">
        <v>1</v>
      </c>
    </row>
    <row r="1211" spans="1:40" x14ac:dyDescent="0.3">
      <c r="A1211" t="s">
        <v>286</v>
      </c>
      <c r="B1211" t="s">
        <v>643</v>
      </c>
      <c r="C1211" t="s">
        <v>16</v>
      </c>
      <c r="D1211" t="s">
        <v>14</v>
      </c>
      <c r="E1211">
        <v>202602</v>
      </c>
      <c r="F1211" t="s">
        <v>322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1</v>
      </c>
    </row>
    <row r="1212" spans="1:40" x14ac:dyDescent="0.3">
      <c r="A1212" t="s">
        <v>286</v>
      </c>
      <c r="B1212" t="s">
        <v>136</v>
      </c>
      <c r="C1212" t="s">
        <v>10</v>
      </c>
      <c r="D1212" t="s">
        <v>11</v>
      </c>
      <c r="E1212">
        <v>202602</v>
      </c>
      <c r="F1212" t="s">
        <v>323</v>
      </c>
      <c r="G1212">
        <v>0</v>
      </c>
      <c r="H1212">
        <v>3</v>
      </c>
      <c r="I1212">
        <v>2</v>
      </c>
      <c r="J1212">
        <v>2</v>
      </c>
      <c r="K1212">
        <v>6</v>
      </c>
      <c r="L1212">
        <v>4</v>
      </c>
      <c r="M1212">
        <v>0</v>
      </c>
      <c r="N1212">
        <v>0</v>
      </c>
      <c r="O1212">
        <v>4</v>
      </c>
      <c r="P1212">
        <v>3</v>
      </c>
      <c r="Q1212">
        <v>4</v>
      </c>
      <c r="R1212">
        <v>2</v>
      </c>
      <c r="S1212">
        <v>3</v>
      </c>
      <c r="T1212">
        <v>1</v>
      </c>
      <c r="U1212">
        <v>0</v>
      </c>
      <c r="V1212">
        <v>2</v>
      </c>
      <c r="W1212">
        <v>0</v>
      </c>
      <c r="X1212">
        <v>6</v>
      </c>
      <c r="Y1212">
        <v>1</v>
      </c>
      <c r="Z1212">
        <v>0</v>
      </c>
      <c r="AA1212">
        <v>1</v>
      </c>
      <c r="AB1212">
        <v>0</v>
      </c>
      <c r="AC1212">
        <v>3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47</v>
      </c>
      <c r="AM1212">
        <v>1.3333333333333333</v>
      </c>
      <c r="AN1212">
        <v>53.718674490852244</v>
      </c>
    </row>
    <row r="1213" spans="1:40" x14ac:dyDescent="0.3">
      <c r="A1213" t="s">
        <v>286</v>
      </c>
      <c r="B1213" t="s">
        <v>136</v>
      </c>
      <c r="C1213" t="s">
        <v>10</v>
      </c>
      <c r="D1213" t="s">
        <v>14</v>
      </c>
      <c r="E1213">
        <v>202602</v>
      </c>
      <c r="F1213" t="s">
        <v>42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1</v>
      </c>
    </row>
    <row r="1214" spans="1:40" x14ac:dyDescent="0.3">
      <c r="A1214" t="s">
        <v>286</v>
      </c>
      <c r="B1214" t="s">
        <v>136</v>
      </c>
      <c r="C1214" t="s">
        <v>10</v>
      </c>
      <c r="D1214" t="s">
        <v>14</v>
      </c>
      <c r="E1214">
        <v>202602</v>
      </c>
      <c r="F1214" t="s">
        <v>323</v>
      </c>
      <c r="G1214">
        <v>0</v>
      </c>
      <c r="H1214">
        <v>3</v>
      </c>
      <c r="I1214">
        <v>6</v>
      </c>
      <c r="J1214">
        <v>7</v>
      </c>
      <c r="K1214">
        <v>5</v>
      </c>
      <c r="L1214">
        <v>0</v>
      </c>
      <c r="M1214">
        <v>0</v>
      </c>
      <c r="N1214">
        <v>0</v>
      </c>
      <c r="O1214">
        <v>6</v>
      </c>
      <c r="P1214">
        <v>5</v>
      </c>
      <c r="Q1214">
        <v>4</v>
      </c>
      <c r="R1214">
        <v>3</v>
      </c>
      <c r="S1214">
        <v>5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3</v>
      </c>
      <c r="Z1214">
        <v>2</v>
      </c>
      <c r="AA1214">
        <v>0</v>
      </c>
      <c r="AB1214">
        <v>0</v>
      </c>
      <c r="AC1214">
        <v>2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52</v>
      </c>
      <c r="AM1214">
        <v>2.3333333333333335</v>
      </c>
      <c r="AN1214">
        <v>62.03968999530175</v>
      </c>
    </row>
    <row r="1215" spans="1:40" x14ac:dyDescent="0.3">
      <c r="A1215" t="s">
        <v>286</v>
      </c>
      <c r="B1215" t="s">
        <v>644</v>
      </c>
      <c r="C1215" t="s">
        <v>10</v>
      </c>
      <c r="D1215" t="s">
        <v>11</v>
      </c>
      <c r="E1215">
        <v>202602</v>
      </c>
      <c r="F1215" t="s">
        <v>101</v>
      </c>
      <c r="G1215">
        <v>0</v>
      </c>
      <c r="H1215">
        <v>2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5</v>
      </c>
      <c r="AM1215">
        <v>0</v>
      </c>
      <c r="AN1215">
        <v>5</v>
      </c>
    </row>
    <row r="1216" spans="1:40" x14ac:dyDescent="0.3">
      <c r="A1216" t="s">
        <v>286</v>
      </c>
      <c r="B1216" t="s">
        <v>644</v>
      </c>
      <c r="C1216" t="s">
        <v>10</v>
      </c>
      <c r="D1216" t="s">
        <v>11</v>
      </c>
      <c r="E1216">
        <v>202602</v>
      </c>
      <c r="F1216" t="s">
        <v>138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3</v>
      </c>
      <c r="AM1216">
        <v>0.33333333333333331</v>
      </c>
      <c r="AN1216">
        <v>4.6796686227130611</v>
      </c>
    </row>
    <row r="1217" spans="1:40" x14ac:dyDescent="0.3">
      <c r="A1217" t="s">
        <v>286</v>
      </c>
      <c r="B1217" t="s">
        <v>644</v>
      </c>
      <c r="C1217" t="s">
        <v>10</v>
      </c>
      <c r="D1217" t="s">
        <v>14</v>
      </c>
      <c r="E1217">
        <v>202602</v>
      </c>
      <c r="F1217" t="s">
        <v>101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4</v>
      </c>
      <c r="AM1217">
        <v>0.33333333333333331</v>
      </c>
      <c r="AN1217">
        <v>5.4342414279002504</v>
      </c>
    </row>
    <row r="1218" spans="1:40" x14ac:dyDescent="0.3">
      <c r="A1218" t="s">
        <v>286</v>
      </c>
      <c r="B1218" t="s">
        <v>644</v>
      </c>
      <c r="C1218" t="s">
        <v>10</v>
      </c>
      <c r="D1218" t="s">
        <v>14</v>
      </c>
      <c r="E1218">
        <v>202602</v>
      </c>
      <c r="F1218" t="s">
        <v>138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3</v>
      </c>
      <c r="AM1218">
        <v>0.33333333333333331</v>
      </c>
      <c r="AN1218">
        <v>4.4342414279002504</v>
      </c>
    </row>
    <row r="1219" spans="1:40" x14ac:dyDescent="0.3">
      <c r="A1219" t="s">
        <v>286</v>
      </c>
      <c r="B1219" t="s">
        <v>139</v>
      </c>
      <c r="C1219" t="s">
        <v>10</v>
      </c>
      <c r="D1219" t="s">
        <v>11</v>
      </c>
      <c r="E1219">
        <v>202602</v>
      </c>
      <c r="F1219" t="s">
        <v>156</v>
      </c>
      <c r="G1219">
        <v>0</v>
      </c>
      <c r="H1219">
        <v>0</v>
      </c>
      <c r="I1219">
        <v>0</v>
      </c>
      <c r="J1219">
        <v>1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3</v>
      </c>
      <c r="AM1219">
        <v>0</v>
      </c>
      <c r="AN1219">
        <v>3</v>
      </c>
    </row>
    <row r="1220" spans="1:40" x14ac:dyDescent="0.3">
      <c r="A1220" t="s">
        <v>286</v>
      </c>
      <c r="B1220" t="s">
        <v>139</v>
      </c>
      <c r="C1220" t="s">
        <v>10</v>
      </c>
      <c r="D1220" t="s">
        <v>11</v>
      </c>
      <c r="E1220">
        <v>202602</v>
      </c>
      <c r="F1220" t="s">
        <v>140</v>
      </c>
      <c r="G1220">
        <v>0</v>
      </c>
      <c r="H1220">
        <v>1</v>
      </c>
      <c r="I1220">
        <v>1</v>
      </c>
      <c r="J1220">
        <v>3</v>
      </c>
      <c r="K1220">
        <v>1</v>
      </c>
      <c r="L1220">
        <v>4</v>
      </c>
      <c r="M1220">
        <v>5</v>
      </c>
      <c r="N1220">
        <v>0</v>
      </c>
      <c r="O1220">
        <v>4</v>
      </c>
      <c r="P1220">
        <v>1</v>
      </c>
      <c r="Q1220">
        <v>4</v>
      </c>
      <c r="R1220">
        <v>1</v>
      </c>
      <c r="S1220">
        <v>3</v>
      </c>
      <c r="T1220">
        <v>1</v>
      </c>
      <c r="U1220">
        <v>0</v>
      </c>
      <c r="V1220">
        <v>1</v>
      </c>
      <c r="W1220">
        <v>1</v>
      </c>
      <c r="X1220">
        <v>3</v>
      </c>
      <c r="Y1220">
        <v>2</v>
      </c>
      <c r="Z1220">
        <v>2</v>
      </c>
      <c r="AA1220">
        <v>1</v>
      </c>
      <c r="AB1220">
        <v>0</v>
      </c>
      <c r="AC1220">
        <v>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41</v>
      </c>
      <c r="AM1220">
        <v>2</v>
      </c>
      <c r="AN1220">
        <v>51.078011736278363</v>
      </c>
    </row>
    <row r="1221" spans="1:40" x14ac:dyDescent="0.3">
      <c r="A1221" t="s">
        <v>286</v>
      </c>
      <c r="B1221" t="s">
        <v>139</v>
      </c>
      <c r="C1221" t="s">
        <v>10</v>
      </c>
      <c r="D1221" t="s">
        <v>11</v>
      </c>
      <c r="E1221">
        <v>202602</v>
      </c>
      <c r="F1221" t="s">
        <v>324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1</v>
      </c>
    </row>
    <row r="1222" spans="1:40" x14ac:dyDescent="0.3">
      <c r="A1222" t="s">
        <v>286</v>
      </c>
      <c r="B1222" t="s">
        <v>139</v>
      </c>
      <c r="C1222" t="s">
        <v>10</v>
      </c>
      <c r="D1222" t="s">
        <v>11</v>
      </c>
      <c r="E1222">
        <v>202602</v>
      </c>
      <c r="F1222" t="s">
        <v>325</v>
      </c>
      <c r="G1222">
        <v>0</v>
      </c>
      <c r="H1222">
        <v>1</v>
      </c>
      <c r="I1222">
        <v>1</v>
      </c>
      <c r="J1222">
        <v>1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10</v>
      </c>
      <c r="AM1222">
        <v>0.66666666666666663</v>
      </c>
      <c r="AN1222">
        <v>13.359337245426122</v>
      </c>
    </row>
    <row r="1223" spans="1:40" x14ac:dyDescent="0.3">
      <c r="A1223" t="s">
        <v>286</v>
      </c>
      <c r="B1223" t="s">
        <v>139</v>
      </c>
      <c r="C1223" t="s">
        <v>10</v>
      </c>
      <c r="D1223" t="s">
        <v>11</v>
      </c>
      <c r="E1223">
        <v>202602</v>
      </c>
      <c r="F1223" t="s">
        <v>326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2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8</v>
      </c>
      <c r="AM1223">
        <v>0.66666666666666663</v>
      </c>
      <c r="AN1223">
        <v>11.359337245426122</v>
      </c>
    </row>
    <row r="1224" spans="1:40" x14ac:dyDescent="0.3">
      <c r="A1224" t="s">
        <v>286</v>
      </c>
      <c r="B1224" t="s">
        <v>139</v>
      </c>
      <c r="C1224" t="s">
        <v>10</v>
      </c>
      <c r="D1224" t="s">
        <v>11</v>
      </c>
      <c r="E1224">
        <v>202602</v>
      </c>
      <c r="F1224" t="s">
        <v>377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</v>
      </c>
      <c r="AM1224">
        <v>0</v>
      </c>
      <c r="AN1224">
        <v>1</v>
      </c>
    </row>
    <row r="1225" spans="1:40" x14ac:dyDescent="0.3">
      <c r="A1225" t="s">
        <v>286</v>
      </c>
      <c r="B1225" t="s">
        <v>139</v>
      </c>
      <c r="C1225" t="s">
        <v>10</v>
      </c>
      <c r="D1225" t="s">
        <v>11</v>
      </c>
      <c r="E1225">
        <v>202602</v>
      </c>
      <c r="F1225" t="s">
        <v>327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1</v>
      </c>
    </row>
    <row r="1226" spans="1:40" x14ac:dyDescent="0.3">
      <c r="A1226" t="s">
        <v>286</v>
      </c>
      <c r="B1226" t="s">
        <v>139</v>
      </c>
      <c r="C1226" t="s">
        <v>10</v>
      </c>
      <c r="D1226" t="s">
        <v>11</v>
      </c>
      <c r="E1226">
        <v>202602</v>
      </c>
      <c r="F1226" t="s">
        <v>328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1</v>
      </c>
    </row>
    <row r="1227" spans="1:40" x14ac:dyDescent="0.3">
      <c r="A1227" t="s">
        <v>286</v>
      </c>
      <c r="B1227" t="s">
        <v>139</v>
      </c>
      <c r="C1227" t="s">
        <v>10</v>
      </c>
      <c r="D1227" t="s">
        <v>11</v>
      </c>
      <c r="E1227">
        <v>202602</v>
      </c>
      <c r="F1227" t="s">
        <v>329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</v>
      </c>
      <c r="AM1227">
        <v>0</v>
      </c>
      <c r="AN1227">
        <v>1</v>
      </c>
    </row>
    <row r="1228" spans="1:40" x14ac:dyDescent="0.3">
      <c r="A1228" t="s">
        <v>286</v>
      </c>
      <c r="B1228" t="s">
        <v>139</v>
      </c>
      <c r="C1228" t="s">
        <v>10</v>
      </c>
      <c r="D1228" t="s">
        <v>11</v>
      </c>
      <c r="E1228">
        <v>202602</v>
      </c>
      <c r="F1228" t="s">
        <v>754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</v>
      </c>
      <c r="AM1228">
        <v>0.33333333333333331</v>
      </c>
      <c r="AN1228">
        <v>2.6796686227130611</v>
      </c>
    </row>
    <row r="1229" spans="1:40" x14ac:dyDescent="0.3">
      <c r="A1229" t="s">
        <v>286</v>
      </c>
      <c r="B1229" t="s">
        <v>139</v>
      </c>
      <c r="C1229" t="s">
        <v>10</v>
      </c>
      <c r="D1229" t="s">
        <v>11</v>
      </c>
      <c r="E1229">
        <v>202602</v>
      </c>
      <c r="F1229" t="s">
        <v>718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</v>
      </c>
      <c r="AM1229">
        <v>0.33333333333333331</v>
      </c>
      <c r="AN1229">
        <v>2.6796686227130611</v>
      </c>
    </row>
    <row r="1230" spans="1:40" x14ac:dyDescent="0.3">
      <c r="A1230" t="s">
        <v>286</v>
      </c>
      <c r="B1230" t="s">
        <v>139</v>
      </c>
      <c r="C1230" t="s">
        <v>10</v>
      </c>
      <c r="D1230" t="s">
        <v>11</v>
      </c>
      <c r="E1230">
        <v>202602</v>
      </c>
      <c r="F1230" t="s">
        <v>330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1</v>
      </c>
    </row>
    <row r="1231" spans="1:40" x14ac:dyDescent="0.3">
      <c r="A1231" t="s">
        <v>286</v>
      </c>
      <c r="B1231" t="s">
        <v>139</v>
      </c>
      <c r="C1231" t="s">
        <v>10</v>
      </c>
      <c r="D1231" t="s">
        <v>11</v>
      </c>
      <c r="E1231">
        <v>202602</v>
      </c>
      <c r="F1231" t="s">
        <v>717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1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4</v>
      </c>
      <c r="AM1231">
        <v>0.33333333333333331</v>
      </c>
      <c r="AN1231">
        <v>5.6796686227130611</v>
      </c>
    </row>
    <row r="1232" spans="1:40" x14ac:dyDescent="0.3">
      <c r="A1232" t="s">
        <v>286</v>
      </c>
      <c r="B1232" t="s">
        <v>139</v>
      </c>
      <c r="C1232" t="s">
        <v>10</v>
      </c>
      <c r="D1232" t="s">
        <v>11</v>
      </c>
      <c r="E1232">
        <v>202602</v>
      </c>
      <c r="F1232" t="s">
        <v>331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4</v>
      </c>
      <c r="AM1232">
        <v>0.33333333333333331</v>
      </c>
      <c r="AN1232">
        <v>5.6796686227130611</v>
      </c>
    </row>
    <row r="1233" spans="1:40" x14ac:dyDescent="0.3">
      <c r="A1233" t="s">
        <v>286</v>
      </c>
      <c r="B1233" t="s">
        <v>139</v>
      </c>
      <c r="C1233" t="s">
        <v>10</v>
      </c>
      <c r="D1233" t="s">
        <v>11</v>
      </c>
      <c r="E1233">
        <v>202602</v>
      </c>
      <c r="F1233" t="s">
        <v>148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</v>
      </c>
      <c r="AN1233">
        <v>1</v>
      </c>
    </row>
    <row r="1234" spans="1:40" x14ac:dyDescent="0.3">
      <c r="A1234" t="s">
        <v>286</v>
      </c>
      <c r="B1234" t="s">
        <v>139</v>
      </c>
      <c r="C1234" t="s">
        <v>10</v>
      </c>
      <c r="D1234" t="s">
        <v>11</v>
      </c>
      <c r="E1234">
        <v>202602</v>
      </c>
      <c r="F1234" t="s">
        <v>332</v>
      </c>
      <c r="G1234">
        <v>0</v>
      </c>
      <c r="H1234">
        <v>2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2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7</v>
      </c>
      <c r="AM1234">
        <v>0</v>
      </c>
      <c r="AN1234">
        <v>7</v>
      </c>
    </row>
    <row r="1235" spans="1:40" x14ac:dyDescent="0.3">
      <c r="A1235" t="s">
        <v>286</v>
      </c>
      <c r="B1235" t="s">
        <v>139</v>
      </c>
      <c r="C1235" t="s">
        <v>10</v>
      </c>
      <c r="D1235" t="s">
        <v>11</v>
      </c>
      <c r="E1235">
        <v>202602</v>
      </c>
      <c r="F1235" t="s">
        <v>333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0</v>
      </c>
      <c r="AN1235">
        <v>1</v>
      </c>
    </row>
    <row r="1236" spans="1:40" x14ac:dyDescent="0.3">
      <c r="A1236" t="s">
        <v>286</v>
      </c>
      <c r="B1236" t="s">
        <v>139</v>
      </c>
      <c r="C1236" t="s">
        <v>10</v>
      </c>
      <c r="D1236" t="s">
        <v>11</v>
      </c>
      <c r="E1236">
        <v>202602</v>
      </c>
      <c r="F1236" t="s">
        <v>336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0.33333333333333331</v>
      </c>
      <c r="AN1236">
        <v>2.6796686227130611</v>
      </c>
    </row>
    <row r="1237" spans="1:40" x14ac:dyDescent="0.3">
      <c r="A1237" t="s">
        <v>286</v>
      </c>
      <c r="B1237" t="s">
        <v>139</v>
      </c>
      <c r="C1237" t="s">
        <v>10</v>
      </c>
      <c r="D1237" t="s">
        <v>11</v>
      </c>
      <c r="E1237">
        <v>202602</v>
      </c>
      <c r="F1237" t="s">
        <v>337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2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2</v>
      </c>
      <c r="AM1237">
        <v>0</v>
      </c>
      <c r="AN1237">
        <v>2</v>
      </c>
    </row>
    <row r="1238" spans="1:40" x14ac:dyDescent="0.3">
      <c r="A1238" t="s">
        <v>286</v>
      </c>
      <c r="B1238" t="s">
        <v>139</v>
      </c>
      <c r="C1238" t="s">
        <v>10</v>
      </c>
      <c r="D1238" t="s">
        <v>11</v>
      </c>
      <c r="E1238">
        <v>202602</v>
      </c>
      <c r="F1238" t="s">
        <v>334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3</v>
      </c>
      <c r="AM1238">
        <v>0.33333333333333331</v>
      </c>
      <c r="AN1238">
        <v>4.6796686227130611</v>
      </c>
    </row>
    <row r="1239" spans="1:40" x14ac:dyDescent="0.3">
      <c r="A1239" t="s">
        <v>286</v>
      </c>
      <c r="B1239" t="s">
        <v>139</v>
      </c>
      <c r="C1239" t="s">
        <v>10</v>
      </c>
      <c r="D1239" t="s">
        <v>11</v>
      </c>
      <c r="E1239">
        <v>202602</v>
      </c>
      <c r="F1239" t="s">
        <v>742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0.33333333333333331</v>
      </c>
      <c r="AN1239">
        <v>2.6796686227130611</v>
      </c>
    </row>
    <row r="1240" spans="1:40" x14ac:dyDescent="0.3">
      <c r="A1240" t="s">
        <v>286</v>
      </c>
      <c r="B1240" t="s">
        <v>139</v>
      </c>
      <c r="C1240" t="s">
        <v>10</v>
      </c>
      <c r="D1240" t="s">
        <v>11</v>
      </c>
      <c r="E1240">
        <v>202602</v>
      </c>
      <c r="F1240" t="s">
        <v>719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0.33333333333333331</v>
      </c>
      <c r="AN1240">
        <v>2.6796686227130611</v>
      </c>
    </row>
    <row r="1241" spans="1:40" x14ac:dyDescent="0.3">
      <c r="A1241" t="s">
        <v>286</v>
      </c>
      <c r="B1241" t="s">
        <v>139</v>
      </c>
      <c r="C1241" t="s">
        <v>10</v>
      </c>
      <c r="D1241" t="s">
        <v>11</v>
      </c>
      <c r="E1241">
        <v>202602</v>
      </c>
      <c r="F1241" t="s">
        <v>335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4</v>
      </c>
      <c r="AM1241">
        <v>0.33333333333333331</v>
      </c>
      <c r="AN1241">
        <v>5.6796686227130611</v>
      </c>
    </row>
    <row r="1242" spans="1:40" x14ac:dyDescent="0.3">
      <c r="A1242" t="s">
        <v>286</v>
      </c>
      <c r="B1242" t="s">
        <v>139</v>
      </c>
      <c r="C1242" t="s">
        <v>10</v>
      </c>
      <c r="D1242" t="s">
        <v>14</v>
      </c>
      <c r="E1242">
        <v>202602</v>
      </c>
      <c r="F1242" t="s">
        <v>156</v>
      </c>
      <c r="G1242">
        <v>0</v>
      </c>
      <c r="H1242">
        <v>0</v>
      </c>
      <c r="I1242">
        <v>1</v>
      </c>
      <c r="J1242">
        <v>1</v>
      </c>
      <c r="K1242">
        <v>0</v>
      </c>
      <c r="L1242">
        <v>1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5</v>
      </c>
      <c r="AM1242">
        <v>0</v>
      </c>
      <c r="AN1242">
        <v>5</v>
      </c>
    </row>
    <row r="1243" spans="1:40" x14ac:dyDescent="0.3">
      <c r="A1243" t="s">
        <v>286</v>
      </c>
      <c r="B1243" t="s">
        <v>139</v>
      </c>
      <c r="C1243" t="s">
        <v>10</v>
      </c>
      <c r="D1243" t="s">
        <v>14</v>
      </c>
      <c r="E1243">
        <v>202602</v>
      </c>
      <c r="F1243" t="s">
        <v>140</v>
      </c>
      <c r="G1243">
        <v>0</v>
      </c>
      <c r="H1243">
        <v>4</v>
      </c>
      <c r="I1243">
        <v>0</v>
      </c>
      <c r="J1243">
        <v>4</v>
      </c>
      <c r="K1243">
        <v>7</v>
      </c>
      <c r="L1243">
        <v>3</v>
      </c>
      <c r="M1243">
        <v>1</v>
      </c>
      <c r="N1243">
        <v>1</v>
      </c>
      <c r="O1243">
        <v>5</v>
      </c>
      <c r="P1243">
        <v>1</v>
      </c>
      <c r="Q1243">
        <v>7</v>
      </c>
      <c r="R1243">
        <v>1</v>
      </c>
      <c r="S1243">
        <v>0</v>
      </c>
      <c r="T1243">
        <v>0</v>
      </c>
      <c r="U1243">
        <v>0</v>
      </c>
      <c r="V1243">
        <v>4</v>
      </c>
      <c r="W1243">
        <v>0</v>
      </c>
      <c r="X1243">
        <v>3</v>
      </c>
      <c r="Y1243">
        <v>6</v>
      </c>
      <c r="Z1243">
        <v>2</v>
      </c>
      <c r="AA1243">
        <v>1</v>
      </c>
      <c r="AB1243">
        <v>1</v>
      </c>
      <c r="AC1243">
        <v>3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54</v>
      </c>
      <c r="AM1243">
        <v>3.6666666666666665</v>
      </c>
      <c r="AN1243">
        <v>69.776655706902744</v>
      </c>
    </row>
    <row r="1244" spans="1:40" x14ac:dyDescent="0.3">
      <c r="A1244" t="s">
        <v>286</v>
      </c>
      <c r="B1244" t="s">
        <v>139</v>
      </c>
      <c r="C1244" t="s">
        <v>10</v>
      </c>
      <c r="D1244" t="s">
        <v>14</v>
      </c>
      <c r="E1244">
        <v>202602</v>
      </c>
      <c r="F1244" t="s">
        <v>325</v>
      </c>
      <c r="G1244">
        <v>0</v>
      </c>
      <c r="H1244">
        <v>2</v>
      </c>
      <c r="I1244">
        <v>0</v>
      </c>
      <c r="J1244">
        <v>0</v>
      </c>
      <c r="K1244">
        <v>2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2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2</v>
      </c>
      <c r="Z1244">
        <v>1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12</v>
      </c>
      <c r="AM1244">
        <v>1.3333333333333333</v>
      </c>
      <c r="AN1244">
        <v>17.736965711601002</v>
      </c>
    </row>
    <row r="1245" spans="1:40" x14ac:dyDescent="0.3">
      <c r="A1245" t="s">
        <v>286</v>
      </c>
      <c r="B1245" t="s">
        <v>139</v>
      </c>
      <c r="C1245" t="s">
        <v>10</v>
      </c>
      <c r="D1245" t="s">
        <v>14</v>
      </c>
      <c r="E1245">
        <v>202602</v>
      </c>
      <c r="F1245" t="s">
        <v>326</v>
      </c>
      <c r="G1245">
        <v>0</v>
      </c>
      <c r="H1245">
        <v>0</v>
      </c>
      <c r="I1245">
        <v>1</v>
      </c>
      <c r="J1245">
        <v>1</v>
      </c>
      <c r="K1245">
        <v>0</v>
      </c>
      <c r="L1245">
        <v>1</v>
      </c>
      <c r="M1245">
        <v>0</v>
      </c>
      <c r="N1245">
        <v>1</v>
      </c>
      <c r="O1245">
        <v>2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</v>
      </c>
      <c r="AM1245">
        <v>0.66666666666666663</v>
      </c>
      <c r="AN1245">
        <v>11.868482855800501</v>
      </c>
    </row>
    <row r="1246" spans="1:40" x14ac:dyDescent="0.3">
      <c r="A1246" t="s">
        <v>286</v>
      </c>
      <c r="B1246" t="s">
        <v>139</v>
      </c>
      <c r="C1246" t="s">
        <v>10</v>
      </c>
      <c r="D1246" t="s">
        <v>14</v>
      </c>
      <c r="E1246">
        <v>202602</v>
      </c>
      <c r="F1246" t="s">
        <v>377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</v>
      </c>
      <c r="AM1246">
        <v>0</v>
      </c>
      <c r="AN1246">
        <v>1</v>
      </c>
    </row>
    <row r="1247" spans="1:40" x14ac:dyDescent="0.3">
      <c r="A1247" t="s">
        <v>286</v>
      </c>
      <c r="B1247" t="s">
        <v>139</v>
      </c>
      <c r="C1247" t="s">
        <v>10</v>
      </c>
      <c r="D1247" t="s">
        <v>14</v>
      </c>
      <c r="E1247">
        <v>202602</v>
      </c>
      <c r="F1247" t="s">
        <v>327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2</v>
      </c>
      <c r="AM1247">
        <v>0.33333333333333331</v>
      </c>
      <c r="AN1247">
        <v>3.43424142790025</v>
      </c>
    </row>
    <row r="1248" spans="1:40" x14ac:dyDescent="0.3">
      <c r="A1248" t="s">
        <v>286</v>
      </c>
      <c r="B1248" t="s">
        <v>139</v>
      </c>
      <c r="C1248" t="s">
        <v>10</v>
      </c>
      <c r="D1248" t="s">
        <v>14</v>
      </c>
      <c r="E1248">
        <v>202602</v>
      </c>
      <c r="F1248" t="s">
        <v>328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</v>
      </c>
      <c r="AM1248">
        <v>0</v>
      </c>
      <c r="AN1248">
        <v>2</v>
      </c>
    </row>
    <row r="1249" spans="1:40" x14ac:dyDescent="0.3">
      <c r="A1249" t="s">
        <v>286</v>
      </c>
      <c r="B1249" t="s">
        <v>139</v>
      </c>
      <c r="C1249" t="s">
        <v>10</v>
      </c>
      <c r="D1249" t="s">
        <v>14</v>
      </c>
      <c r="E1249">
        <v>202602</v>
      </c>
      <c r="F1249" t="s">
        <v>329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</v>
      </c>
      <c r="AM1249">
        <v>0.33333333333333331</v>
      </c>
      <c r="AN1249">
        <v>3.43424142790025</v>
      </c>
    </row>
    <row r="1250" spans="1:40" x14ac:dyDescent="0.3">
      <c r="A1250" t="s">
        <v>286</v>
      </c>
      <c r="B1250" t="s">
        <v>139</v>
      </c>
      <c r="C1250" t="s">
        <v>10</v>
      </c>
      <c r="D1250" t="s">
        <v>14</v>
      </c>
      <c r="E1250">
        <v>202602</v>
      </c>
      <c r="F1250" t="s">
        <v>754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0.33333333333333331</v>
      </c>
      <c r="AN1250">
        <v>2.43424142790025</v>
      </c>
    </row>
    <row r="1251" spans="1:40" x14ac:dyDescent="0.3">
      <c r="A1251" t="s">
        <v>286</v>
      </c>
      <c r="B1251" t="s">
        <v>139</v>
      </c>
      <c r="C1251" t="s">
        <v>10</v>
      </c>
      <c r="D1251" t="s">
        <v>14</v>
      </c>
      <c r="E1251">
        <v>202602</v>
      </c>
      <c r="F1251" t="s">
        <v>718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1</v>
      </c>
    </row>
    <row r="1252" spans="1:40" x14ac:dyDescent="0.3">
      <c r="A1252" t="s">
        <v>286</v>
      </c>
      <c r="B1252" t="s">
        <v>139</v>
      </c>
      <c r="C1252" t="s">
        <v>10</v>
      </c>
      <c r="D1252" t="s">
        <v>14</v>
      </c>
      <c r="E1252">
        <v>202602</v>
      </c>
      <c r="F1252" t="s">
        <v>330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0</v>
      </c>
      <c r="AN1252">
        <v>1</v>
      </c>
    </row>
    <row r="1253" spans="1:40" x14ac:dyDescent="0.3">
      <c r="A1253" t="s">
        <v>286</v>
      </c>
      <c r="B1253" t="s">
        <v>139</v>
      </c>
      <c r="C1253" t="s">
        <v>10</v>
      </c>
      <c r="D1253" t="s">
        <v>14</v>
      </c>
      <c r="E1253">
        <v>202602</v>
      </c>
      <c r="F1253" t="s">
        <v>717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2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5</v>
      </c>
      <c r="AM1253">
        <v>0.66666666666666663</v>
      </c>
      <c r="AN1253">
        <v>7.8684828558005</v>
      </c>
    </row>
    <row r="1254" spans="1:40" x14ac:dyDescent="0.3">
      <c r="A1254" t="s">
        <v>286</v>
      </c>
      <c r="B1254" t="s">
        <v>139</v>
      </c>
      <c r="C1254" t="s">
        <v>10</v>
      </c>
      <c r="D1254" t="s">
        <v>14</v>
      </c>
      <c r="E1254">
        <v>202602</v>
      </c>
      <c r="F1254" t="s">
        <v>331</v>
      </c>
      <c r="G1254">
        <v>0</v>
      </c>
      <c r="H1254">
        <v>0</v>
      </c>
      <c r="I1254">
        <v>0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4</v>
      </c>
      <c r="AM1254">
        <v>0</v>
      </c>
      <c r="AN1254">
        <v>4</v>
      </c>
    </row>
    <row r="1255" spans="1:40" x14ac:dyDescent="0.3">
      <c r="A1255" t="s">
        <v>286</v>
      </c>
      <c r="B1255" t="s">
        <v>139</v>
      </c>
      <c r="C1255" t="s">
        <v>10</v>
      </c>
      <c r="D1255" t="s">
        <v>14</v>
      </c>
      <c r="E1255">
        <v>202602</v>
      </c>
      <c r="F1255" t="s">
        <v>148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3</v>
      </c>
      <c r="AM1255">
        <v>0.33333333333333331</v>
      </c>
      <c r="AN1255">
        <v>4.4342414279002504</v>
      </c>
    </row>
    <row r="1256" spans="1:40" x14ac:dyDescent="0.3">
      <c r="A1256" t="s">
        <v>286</v>
      </c>
      <c r="B1256" t="s">
        <v>139</v>
      </c>
      <c r="C1256" t="s">
        <v>10</v>
      </c>
      <c r="D1256" t="s">
        <v>14</v>
      </c>
      <c r="E1256">
        <v>202602</v>
      </c>
      <c r="F1256" t="s">
        <v>332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5</v>
      </c>
      <c r="AM1256">
        <v>0.33333333333333331</v>
      </c>
      <c r="AN1256">
        <v>6.4342414279002504</v>
      </c>
    </row>
    <row r="1257" spans="1:40" x14ac:dyDescent="0.3">
      <c r="A1257" t="s">
        <v>286</v>
      </c>
      <c r="B1257" t="s">
        <v>139</v>
      </c>
      <c r="C1257" t="s">
        <v>10</v>
      </c>
      <c r="D1257" t="s">
        <v>14</v>
      </c>
      <c r="E1257">
        <v>202602</v>
      </c>
      <c r="F1257" t="s">
        <v>336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</v>
      </c>
      <c r="AM1257">
        <v>0</v>
      </c>
      <c r="AN1257">
        <v>2</v>
      </c>
    </row>
    <row r="1258" spans="1:40" x14ac:dyDescent="0.3">
      <c r="A1258" t="s">
        <v>286</v>
      </c>
      <c r="B1258" t="s">
        <v>139</v>
      </c>
      <c r="C1258" t="s">
        <v>10</v>
      </c>
      <c r="D1258" t="s">
        <v>14</v>
      </c>
      <c r="E1258">
        <v>202602</v>
      </c>
      <c r="F1258" t="s">
        <v>337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2</v>
      </c>
      <c r="AM1258">
        <v>0</v>
      </c>
      <c r="AN1258">
        <v>2</v>
      </c>
    </row>
    <row r="1259" spans="1:40" x14ac:dyDescent="0.3">
      <c r="A1259" t="s">
        <v>286</v>
      </c>
      <c r="B1259" t="s">
        <v>139</v>
      </c>
      <c r="C1259" t="s">
        <v>10</v>
      </c>
      <c r="D1259" t="s">
        <v>14</v>
      </c>
      <c r="E1259">
        <v>202602</v>
      </c>
      <c r="F1259" t="s">
        <v>689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</v>
      </c>
      <c r="AM1259">
        <v>0</v>
      </c>
      <c r="AN1259">
        <v>2</v>
      </c>
    </row>
    <row r="1260" spans="1:40" x14ac:dyDescent="0.3">
      <c r="A1260" t="s">
        <v>286</v>
      </c>
      <c r="B1260" t="s">
        <v>139</v>
      </c>
      <c r="C1260" t="s">
        <v>10</v>
      </c>
      <c r="D1260" t="s">
        <v>14</v>
      </c>
      <c r="E1260">
        <v>202602</v>
      </c>
      <c r="F1260" t="s">
        <v>334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3</v>
      </c>
      <c r="AM1260">
        <v>0.33333333333333331</v>
      </c>
      <c r="AN1260">
        <v>4.4342414279002504</v>
      </c>
    </row>
    <row r="1261" spans="1:40" x14ac:dyDescent="0.3">
      <c r="A1261" t="s">
        <v>286</v>
      </c>
      <c r="B1261" t="s">
        <v>139</v>
      </c>
      <c r="C1261" t="s">
        <v>10</v>
      </c>
      <c r="D1261" t="s">
        <v>14</v>
      </c>
      <c r="E1261">
        <v>202602</v>
      </c>
      <c r="F1261" t="s">
        <v>742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1</v>
      </c>
      <c r="AM1261">
        <v>0.33333333333333331</v>
      </c>
      <c r="AN1261">
        <v>2.43424142790025</v>
      </c>
    </row>
    <row r="1262" spans="1:40" x14ac:dyDescent="0.3">
      <c r="A1262" t="s">
        <v>286</v>
      </c>
      <c r="B1262" t="s">
        <v>139</v>
      </c>
      <c r="C1262" t="s">
        <v>10</v>
      </c>
      <c r="D1262" t="s">
        <v>14</v>
      </c>
      <c r="E1262">
        <v>202602</v>
      </c>
      <c r="F1262" t="s">
        <v>719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0</v>
      </c>
      <c r="AN1262">
        <v>1</v>
      </c>
    </row>
    <row r="1263" spans="1:40" x14ac:dyDescent="0.3">
      <c r="A1263" t="s">
        <v>286</v>
      </c>
      <c r="B1263" t="s">
        <v>139</v>
      </c>
      <c r="C1263" t="s">
        <v>10</v>
      </c>
      <c r="D1263" t="s">
        <v>14</v>
      </c>
      <c r="E1263">
        <v>202602</v>
      </c>
      <c r="F1263" t="s">
        <v>335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5</v>
      </c>
      <c r="AM1263">
        <v>0</v>
      </c>
      <c r="AN1263">
        <v>5</v>
      </c>
    </row>
    <row r="1264" spans="1:40" x14ac:dyDescent="0.3">
      <c r="A1264" t="s">
        <v>286</v>
      </c>
      <c r="B1264" t="s">
        <v>139</v>
      </c>
      <c r="C1264" t="s">
        <v>16</v>
      </c>
      <c r="D1264" t="s">
        <v>14</v>
      </c>
      <c r="E1264">
        <v>202602</v>
      </c>
      <c r="F1264" t="s">
        <v>761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2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</v>
      </c>
      <c r="AM1264">
        <v>0.66666666666666663</v>
      </c>
      <c r="AN1264">
        <v>4.8684828558005</v>
      </c>
    </row>
    <row r="1265" spans="1:40" x14ac:dyDescent="0.3">
      <c r="A1265" t="s">
        <v>286</v>
      </c>
      <c r="B1265" t="s">
        <v>139</v>
      </c>
      <c r="C1265" t="s">
        <v>16</v>
      </c>
      <c r="D1265" t="s">
        <v>14</v>
      </c>
      <c r="E1265">
        <v>202602</v>
      </c>
      <c r="F1265" t="s">
        <v>331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2</v>
      </c>
      <c r="AM1265">
        <v>0</v>
      </c>
      <c r="AN1265">
        <v>2</v>
      </c>
    </row>
    <row r="1266" spans="1:40" x14ac:dyDescent="0.3">
      <c r="A1266" t="s">
        <v>286</v>
      </c>
      <c r="B1266" t="s">
        <v>238</v>
      </c>
      <c r="C1266" t="s">
        <v>10</v>
      </c>
      <c r="D1266" t="s">
        <v>11</v>
      </c>
      <c r="E1266">
        <v>202602</v>
      </c>
      <c r="F1266" t="s">
        <v>203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</v>
      </c>
      <c r="S1266">
        <v>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2</v>
      </c>
      <c r="Z1266">
        <v>0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7</v>
      </c>
      <c r="AM1266">
        <v>0.66666666666666663</v>
      </c>
      <c r="AN1266">
        <v>10.359337245426122</v>
      </c>
    </row>
    <row r="1267" spans="1:40" x14ac:dyDescent="0.3">
      <c r="A1267" t="s">
        <v>286</v>
      </c>
      <c r="B1267" t="s">
        <v>238</v>
      </c>
      <c r="C1267" t="s">
        <v>10</v>
      </c>
      <c r="D1267" t="s">
        <v>14</v>
      </c>
      <c r="E1267">
        <v>202602</v>
      </c>
      <c r="F1267" t="s">
        <v>203</v>
      </c>
      <c r="G1267">
        <v>0</v>
      </c>
      <c r="H1267">
        <v>0</v>
      </c>
      <c r="I1267">
        <v>0</v>
      </c>
      <c r="J1267">
        <v>2</v>
      </c>
      <c r="K1267">
        <v>1</v>
      </c>
      <c r="L1267">
        <v>3</v>
      </c>
      <c r="M1267">
        <v>1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2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11</v>
      </c>
      <c r="AM1267">
        <v>1</v>
      </c>
      <c r="AN1267">
        <v>15.302724283700751</v>
      </c>
    </row>
    <row r="1268" spans="1:40" x14ac:dyDescent="0.3">
      <c r="A1268" t="s">
        <v>286</v>
      </c>
      <c r="B1268" t="s">
        <v>656</v>
      </c>
      <c r="C1268" t="s">
        <v>10</v>
      </c>
      <c r="D1268" t="s">
        <v>11</v>
      </c>
      <c r="E1268">
        <v>202602</v>
      </c>
      <c r="F1268" t="s">
        <v>171</v>
      </c>
      <c r="G1268">
        <v>0</v>
      </c>
      <c r="H1268">
        <v>1</v>
      </c>
      <c r="I1268">
        <v>3</v>
      </c>
      <c r="J1268">
        <v>3</v>
      </c>
      <c r="K1268">
        <v>4</v>
      </c>
      <c r="L1268">
        <v>4</v>
      </c>
      <c r="M1268">
        <v>2</v>
      </c>
      <c r="N1268">
        <v>0</v>
      </c>
      <c r="O1268">
        <v>3</v>
      </c>
      <c r="P1268">
        <v>1</v>
      </c>
      <c r="Q1268">
        <v>5</v>
      </c>
      <c r="R1268">
        <v>12</v>
      </c>
      <c r="S1268">
        <v>2</v>
      </c>
      <c r="T1268">
        <v>4</v>
      </c>
      <c r="U1268">
        <v>0</v>
      </c>
      <c r="V1268">
        <v>2</v>
      </c>
      <c r="W1268">
        <v>0</v>
      </c>
      <c r="X1268">
        <v>4</v>
      </c>
      <c r="Y1268">
        <v>3</v>
      </c>
      <c r="Z1268">
        <v>4</v>
      </c>
      <c r="AA1268">
        <v>2</v>
      </c>
      <c r="AB1268">
        <v>0</v>
      </c>
      <c r="AC1268">
        <v>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61</v>
      </c>
      <c r="AM1268">
        <v>3</v>
      </c>
      <c r="AN1268">
        <v>76.117017604417555</v>
      </c>
    </row>
    <row r="1269" spans="1:40" x14ac:dyDescent="0.3">
      <c r="A1269" t="s">
        <v>286</v>
      </c>
      <c r="B1269" t="s">
        <v>656</v>
      </c>
      <c r="C1269" t="s">
        <v>10</v>
      </c>
      <c r="D1269" t="s">
        <v>14</v>
      </c>
      <c r="E1269">
        <v>202602</v>
      </c>
      <c r="F1269" t="s">
        <v>171</v>
      </c>
      <c r="G1269">
        <v>0</v>
      </c>
      <c r="H1269">
        <v>4</v>
      </c>
      <c r="I1269">
        <v>4</v>
      </c>
      <c r="J1269">
        <v>8</v>
      </c>
      <c r="K1269">
        <v>4</v>
      </c>
      <c r="L1269">
        <v>9</v>
      </c>
      <c r="M1269">
        <v>2</v>
      </c>
      <c r="N1269">
        <v>0</v>
      </c>
      <c r="O1269">
        <v>10</v>
      </c>
      <c r="P1269">
        <v>10</v>
      </c>
      <c r="Q1269">
        <v>5</v>
      </c>
      <c r="R1269">
        <v>5</v>
      </c>
      <c r="S1269">
        <v>3</v>
      </c>
      <c r="T1269">
        <v>1</v>
      </c>
      <c r="U1269">
        <v>0</v>
      </c>
      <c r="V1269">
        <v>4</v>
      </c>
      <c r="W1269">
        <v>1</v>
      </c>
      <c r="X1269">
        <v>6</v>
      </c>
      <c r="Y1269">
        <v>5</v>
      </c>
      <c r="Z1269">
        <v>10</v>
      </c>
      <c r="AA1269">
        <v>0</v>
      </c>
      <c r="AB1269">
        <v>0</v>
      </c>
      <c r="AC1269">
        <v>5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96</v>
      </c>
      <c r="AM1269">
        <v>6.666666666666667</v>
      </c>
      <c r="AN1269">
        <v>124.68482855800499</v>
      </c>
    </row>
    <row r="1270" spans="1:40" x14ac:dyDescent="0.3">
      <c r="A1270" t="s">
        <v>286</v>
      </c>
      <c r="B1270" t="s">
        <v>656</v>
      </c>
      <c r="C1270" t="s">
        <v>16</v>
      </c>
      <c r="D1270" t="s">
        <v>11</v>
      </c>
      <c r="E1270">
        <v>202602</v>
      </c>
      <c r="F1270" t="s">
        <v>171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</v>
      </c>
      <c r="AM1270">
        <v>0</v>
      </c>
      <c r="AN1270">
        <v>3</v>
      </c>
    </row>
    <row r="1271" spans="1:40" x14ac:dyDescent="0.3">
      <c r="A1271" t="s">
        <v>286</v>
      </c>
      <c r="B1271" t="s">
        <v>656</v>
      </c>
      <c r="C1271" t="s">
        <v>16</v>
      </c>
      <c r="D1271" t="s">
        <v>14</v>
      </c>
      <c r="E1271">
        <v>202602</v>
      </c>
      <c r="F1271" t="s">
        <v>171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3</v>
      </c>
      <c r="AM1271">
        <v>0</v>
      </c>
      <c r="AN1271">
        <v>3</v>
      </c>
    </row>
    <row r="1272" spans="1:40" x14ac:dyDescent="0.3">
      <c r="A1272" t="s">
        <v>286</v>
      </c>
      <c r="B1272" t="s">
        <v>643</v>
      </c>
      <c r="C1272" t="s">
        <v>10</v>
      </c>
      <c r="D1272" t="s">
        <v>11</v>
      </c>
      <c r="E1272">
        <v>202602</v>
      </c>
      <c r="F1272" t="s">
        <v>294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>
        <v>0</v>
      </c>
      <c r="AN1272">
        <v>1</v>
      </c>
    </row>
    <row r="1273" spans="1:40" x14ac:dyDescent="0.3">
      <c r="A1273" t="s">
        <v>286</v>
      </c>
      <c r="B1273" t="s">
        <v>643</v>
      </c>
      <c r="C1273" t="s">
        <v>10</v>
      </c>
      <c r="D1273" t="s">
        <v>14</v>
      </c>
      <c r="E1273">
        <v>202602</v>
      </c>
      <c r="F1273" t="s">
        <v>294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0</v>
      </c>
      <c r="AN1273">
        <v>1</v>
      </c>
    </row>
    <row r="1274" spans="1:40" x14ac:dyDescent="0.3">
      <c r="A1274" t="s">
        <v>286</v>
      </c>
      <c r="B1274" t="s">
        <v>164</v>
      </c>
      <c r="C1274" t="s">
        <v>10</v>
      </c>
      <c r="D1274" t="s">
        <v>11</v>
      </c>
      <c r="E1274">
        <v>202602</v>
      </c>
      <c r="F1274" t="s">
        <v>18</v>
      </c>
      <c r="G1274">
        <v>0</v>
      </c>
      <c r="H1274">
        <v>5</v>
      </c>
      <c r="I1274">
        <v>7</v>
      </c>
      <c r="J1274">
        <v>5</v>
      </c>
      <c r="K1274">
        <v>10</v>
      </c>
      <c r="L1274">
        <v>7</v>
      </c>
      <c r="M1274">
        <v>6</v>
      </c>
      <c r="N1274">
        <v>0</v>
      </c>
      <c r="O1274">
        <v>7</v>
      </c>
      <c r="P1274">
        <v>7</v>
      </c>
      <c r="Q1274">
        <v>9</v>
      </c>
      <c r="R1274">
        <v>12</v>
      </c>
      <c r="S1274">
        <v>9</v>
      </c>
      <c r="T1274">
        <v>7</v>
      </c>
      <c r="U1274">
        <v>0</v>
      </c>
      <c r="V1274">
        <v>8</v>
      </c>
      <c r="W1274">
        <v>1</v>
      </c>
      <c r="X1274">
        <v>9</v>
      </c>
      <c r="Y1274">
        <v>7</v>
      </c>
      <c r="Z1274">
        <v>5</v>
      </c>
      <c r="AA1274">
        <v>6</v>
      </c>
      <c r="AB1274">
        <v>1</v>
      </c>
      <c r="AC1274">
        <v>8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136</v>
      </c>
      <c r="AM1274">
        <v>6.666666666666667</v>
      </c>
      <c r="AN1274">
        <v>169.59337245426121</v>
      </c>
    </row>
    <row r="1275" spans="1:40" x14ac:dyDescent="0.3">
      <c r="A1275" t="s">
        <v>286</v>
      </c>
      <c r="B1275" t="s">
        <v>164</v>
      </c>
      <c r="C1275" t="s">
        <v>10</v>
      </c>
      <c r="D1275" t="s">
        <v>11</v>
      </c>
      <c r="E1275">
        <v>202602</v>
      </c>
      <c r="F1275" t="s">
        <v>292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</v>
      </c>
      <c r="AM1275">
        <v>0</v>
      </c>
      <c r="AN1275">
        <v>1</v>
      </c>
    </row>
    <row r="1276" spans="1:40" x14ac:dyDescent="0.3">
      <c r="A1276" t="s">
        <v>286</v>
      </c>
      <c r="B1276" t="s">
        <v>164</v>
      </c>
      <c r="C1276" t="s">
        <v>10</v>
      </c>
      <c r="D1276" t="s">
        <v>11</v>
      </c>
      <c r="E1276">
        <v>202602</v>
      </c>
      <c r="F1276" t="s">
        <v>138</v>
      </c>
      <c r="G1276">
        <v>0</v>
      </c>
      <c r="H1276">
        <v>8</v>
      </c>
      <c r="I1276">
        <v>7</v>
      </c>
      <c r="J1276">
        <v>6</v>
      </c>
      <c r="K1276">
        <v>6</v>
      </c>
      <c r="L1276">
        <v>5</v>
      </c>
      <c r="M1276">
        <v>4</v>
      </c>
      <c r="N1276">
        <v>0</v>
      </c>
      <c r="O1276">
        <v>5</v>
      </c>
      <c r="P1276">
        <v>6</v>
      </c>
      <c r="Q1276">
        <v>7</v>
      </c>
      <c r="R1276">
        <v>8</v>
      </c>
      <c r="S1276">
        <v>5</v>
      </c>
      <c r="T1276">
        <v>0</v>
      </c>
      <c r="U1276">
        <v>0</v>
      </c>
      <c r="V1276">
        <v>3</v>
      </c>
      <c r="W1276">
        <v>1</v>
      </c>
      <c r="X1276">
        <v>12</v>
      </c>
      <c r="Y1276">
        <v>9</v>
      </c>
      <c r="Z1276">
        <v>4</v>
      </c>
      <c r="AA1276">
        <v>4</v>
      </c>
      <c r="AB1276">
        <v>0</v>
      </c>
      <c r="AC1276">
        <v>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110</v>
      </c>
      <c r="AM1276">
        <v>7.666666666666667</v>
      </c>
      <c r="AN1276">
        <v>148.6323783224004</v>
      </c>
    </row>
    <row r="1277" spans="1:40" x14ac:dyDescent="0.3">
      <c r="A1277" t="s">
        <v>286</v>
      </c>
      <c r="B1277" t="s">
        <v>164</v>
      </c>
      <c r="C1277" t="s">
        <v>10</v>
      </c>
      <c r="D1277" t="s">
        <v>14</v>
      </c>
      <c r="E1277">
        <v>202602</v>
      </c>
      <c r="F1277" t="s">
        <v>18</v>
      </c>
      <c r="G1277">
        <v>4</v>
      </c>
      <c r="H1277">
        <v>11</v>
      </c>
      <c r="I1277">
        <v>12</v>
      </c>
      <c r="J1277">
        <v>14</v>
      </c>
      <c r="K1277">
        <v>9</v>
      </c>
      <c r="L1277">
        <v>11</v>
      </c>
      <c r="M1277">
        <v>6</v>
      </c>
      <c r="N1277">
        <v>4</v>
      </c>
      <c r="O1277">
        <v>12</v>
      </c>
      <c r="P1277">
        <v>13</v>
      </c>
      <c r="Q1277">
        <v>15</v>
      </c>
      <c r="R1277">
        <v>11</v>
      </c>
      <c r="S1277">
        <v>11</v>
      </c>
      <c r="T1277">
        <v>4</v>
      </c>
      <c r="U1277">
        <v>1</v>
      </c>
      <c r="V1277">
        <v>4</v>
      </c>
      <c r="W1277">
        <v>3</v>
      </c>
      <c r="X1277">
        <v>10</v>
      </c>
      <c r="Y1277">
        <v>14</v>
      </c>
      <c r="Z1277">
        <v>8</v>
      </c>
      <c r="AA1277">
        <v>6</v>
      </c>
      <c r="AB1277">
        <v>5</v>
      </c>
      <c r="AC1277">
        <v>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197</v>
      </c>
      <c r="AM1277">
        <v>10.333333333333334</v>
      </c>
      <c r="AN1277">
        <v>241.46148426490777</v>
      </c>
    </row>
    <row r="1278" spans="1:40" x14ac:dyDescent="0.3">
      <c r="A1278" t="s">
        <v>286</v>
      </c>
      <c r="B1278" t="s">
        <v>164</v>
      </c>
      <c r="C1278" t="s">
        <v>10</v>
      </c>
      <c r="D1278" t="s">
        <v>14</v>
      </c>
      <c r="E1278">
        <v>202602</v>
      </c>
      <c r="F1278" t="s">
        <v>292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</v>
      </c>
      <c r="AM1278">
        <v>0</v>
      </c>
      <c r="AN1278">
        <v>1</v>
      </c>
    </row>
    <row r="1279" spans="1:40" x14ac:dyDescent="0.3">
      <c r="A1279" t="s">
        <v>286</v>
      </c>
      <c r="B1279" t="s">
        <v>164</v>
      </c>
      <c r="C1279" t="s">
        <v>10</v>
      </c>
      <c r="D1279" t="s">
        <v>14</v>
      </c>
      <c r="E1279">
        <v>202602</v>
      </c>
      <c r="F1279" t="s">
        <v>138</v>
      </c>
      <c r="G1279">
        <v>0</v>
      </c>
      <c r="H1279">
        <v>9</v>
      </c>
      <c r="I1279">
        <v>10</v>
      </c>
      <c r="J1279">
        <v>4</v>
      </c>
      <c r="K1279">
        <v>16</v>
      </c>
      <c r="L1279">
        <v>9</v>
      </c>
      <c r="M1279">
        <v>2</v>
      </c>
      <c r="N1279">
        <v>0</v>
      </c>
      <c r="O1279">
        <v>8</v>
      </c>
      <c r="P1279">
        <v>14</v>
      </c>
      <c r="Q1279">
        <v>13</v>
      </c>
      <c r="R1279">
        <v>11</v>
      </c>
      <c r="S1279">
        <v>8</v>
      </c>
      <c r="T1279">
        <v>9</v>
      </c>
      <c r="U1279">
        <v>0</v>
      </c>
      <c r="V1279">
        <v>7</v>
      </c>
      <c r="W1279">
        <v>2</v>
      </c>
      <c r="X1279">
        <v>10</v>
      </c>
      <c r="Y1279">
        <v>13</v>
      </c>
      <c r="Z1279">
        <v>10</v>
      </c>
      <c r="AA1279">
        <v>8</v>
      </c>
      <c r="AB1279">
        <v>0</v>
      </c>
      <c r="AC1279">
        <v>13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176</v>
      </c>
      <c r="AM1279">
        <v>12</v>
      </c>
      <c r="AN1279">
        <v>227.632691404409</v>
      </c>
    </row>
    <row r="1280" spans="1:40" x14ac:dyDescent="0.3">
      <c r="A1280" t="s">
        <v>286</v>
      </c>
      <c r="B1280" t="s">
        <v>164</v>
      </c>
      <c r="C1280" t="s">
        <v>16</v>
      </c>
      <c r="D1280" t="s">
        <v>11</v>
      </c>
      <c r="E1280">
        <v>202602</v>
      </c>
      <c r="F1280" t="s">
        <v>165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</v>
      </c>
      <c r="AM1280">
        <v>0</v>
      </c>
      <c r="AN1280">
        <v>1</v>
      </c>
    </row>
    <row r="1281" spans="1:40" x14ac:dyDescent="0.3">
      <c r="A1281" t="s">
        <v>286</v>
      </c>
      <c r="B1281" t="s">
        <v>164</v>
      </c>
      <c r="C1281" t="s">
        <v>16</v>
      </c>
      <c r="D1281" t="s">
        <v>11</v>
      </c>
      <c r="E1281">
        <v>202602</v>
      </c>
      <c r="F1281" t="s">
        <v>18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3</v>
      </c>
      <c r="AM1281">
        <v>0.33333333333333331</v>
      </c>
      <c r="AN1281">
        <v>4.6796686227130611</v>
      </c>
    </row>
    <row r="1282" spans="1:40" x14ac:dyDescent="0.3">
      <c r="A1282" t="s">
        <v>286</v>
      </c>
      <c r="B1282" t="s">
        <v>164</v>
      </c>
      <c r="C1282" t="s">
        <v>16</v>
      </c>
      <c r="D1282" t="s">
        <v>11</v>
      </c>
      <c r="E1282">
        <v>202602</v>
      </c>
      <c r="F1282" t="s">
        <v>138</v>
      </c>
      <c r="G1282">
        <v>0</v>
      </c>
      <c r="H1282">
        <v>0</v>
      </c>
      <c r="I1282">
        <v>0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5</v>
      </c>
      <c r="AM1282">
        <v>0</v>
      </c>
      <c r="AN1282">
        <v>5</v>
      </c>
    </row>
    <row r="1283" spans="1:40" x14ac:dyDescent="0.3">
      <c r="A1283" t="s">
        <v>286</v>
      </c>
      <c r="B1283" t="s">
        <v>164</v>
      </c>
      <c r="C1283" t="s">
        <v>16</v>
      </c>
      <c r="D1283" t="s">
        <v>14</v>
      </c>
      <c r="E1283">
        <v>202602</v>
      </c>
      <c r="F1283" t="s">
        <v>165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</v>
      </c>
      <c r="AM1283">
        <v>0</v>
      </c>
      <c r="AN1283">
        <v>1</v>
      </c>
    </row>
    <row r="1284" spans="1:40" x14ac:dyDescent="0.3">
      <c r="A1284" t="s">
        <v>286</v>
      </c>
      <c r="B1284" t="s">
        <v>164</v>
      </c>
      <c r="C1284" t="s">
        <v>16</v>
      </c>
      <c r="D1284" t="s">
        <v>14</v>
      </c>
      <c r="E1284">
        <v>202602</v>
      </c>
      <c r="F1284" t="s">
        <v>18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6</v>
      </c>
      <c r="AM1284">
        <v>0</v>
      </c>
      <c r="AN1284">
        <v>6</v>
      </c>
    </row>
    <row r="1285" spans="1:40" x14ac:dyDescent="0.3">
      <c r="A1285" t="s">
        <v>286</v>
      </c>
      <c r="B1285" t="s">
        <v>164</v>
      </c>
      <c r="C1285" t="s">
        <v>16</v>
      </c>
      <c r="D1285" t="s">
        <v>14</v>
      </c>
      <c r="E1285">
        <v>202602</v>
      </c>
      <c r="F1285" t="s">
        <v>138</v>
      </c>
      <c r="G1285">
        <v>0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7</v>
      </c>
      <c r="AM1285">
        <v>0</v>
      </c>
      <c r="AN1285">
        <v>7</v>
      </c>
    </row>
    <row r="1286" spans="1:40" x14ac:dyDescent="0.3">
      <c r="A1286" t="s">
        <v>286</v>
      </c>
      <c r="B1286" t="s">
        <v>643</v>
      </c>
      <c r="C1286" t="s">
        <v>10</v>
      </c>
      <c r="D1286" t="s">
        <v>11</v>
      </c>
      <c r="E1286">
        <v>202602</v>
      </c>
      <c r="F1286" t="s">
        <v>338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1</v>
      </c>
      <c r="M1286">
        <v>0</v>
      </c>
      <c r="N1286">
        <v>1</v>
      </c>
      <c r="O1286">
        <v>0</v>
      </c>
      <c r="P1286">
        <v>2</v>
      </c>
      <c r="Q1286">
        <v>1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2</v>
      </c>
      <c r="Z1286">
        <v>1</v>
      </c>
      <c r="AA1286">
        <v>1</v>
      </c>
      <c r="AB1286">
        <v>1</v>
      </c>
      <c r="AC1286">
        <v>2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17</v>
      </c>
      <c r="AM1286">
        <v>1.6666666666666667</v>
      </c>
      <c r="AN1286">
        <v>25.398343113565303</v>
      </c>
    </row>
    <row r="1287" spans="1:40" x14ac:dyDescent="0.3">
      <c r="A1287" t="s">
        <v>286</v>
      </c>
      <c r="B1287" t="s">
        <v>643</v>
      </c>
      <c r="C1287" t="s">
        <v>10</v>
      </c>
      <c r="D1287" t="s">
        <v>14</v>
      </c>
      <c r="E1287">
        <v>202602</v>
      </c>
      <c r="F1287" t="s">
        <v>338</v>
      </c>
      <c r="G1287">
        <v>0</v>
      </c>
      <c r="H1287">
        <v>1</v>
      </c>
      <c r="I1287">
        <v>1</v>
      </c>
      <c r="J1287">
        <v>1</v>
      </c>
      <c r="K1287">
        <v>1</v>
      </c>
      <c r="L1287">
        <v>3</v>
      </c>
      <c r="M1287">
        <v>1</v>
      </c>
      <c r="N1287">
        <v>0</v>
      </c>
      <c r="O1287">
        <v>1</v>
      </c>
      <c r="P1287">
        <v>2</v>
      </c>
      <c r="Q1287">
        <v>0</v>
      </c>
      <c r="R1287">
        <v>1</v>
      </c>
      <c r="S1287">
        <v>1</v>
      </c>
      <c r="T1287">
        <v>0</v>
      </c>
      <c r="U1287">
        <v>0</v>
      </c>
      <c r="V1287">
        <v>0</v>
      </c>
      <c r="W1287">
        <v>2</v>
      </c>
      <c r="X1287">
        <v>4</v>
      </c>
      <c r="Y1287">
        <v>0</v>
      </c>
      <c r="Z1287">
        <v>2</v>
      </c>
      <c r="AA1287">
        <v>2</v>
      </c>
      <c r="AB1287">
        <v>0</v>
      </c>
      <c r="AC1287">
        <v>2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25</v>
      </c>
      <c r="AM1287">
        <v>1.3333333333333333</v>
      </c>
      <c r="AN1287">
        <v>30.736965711601002</v>
      </c>
    </row>
    <row r="1288" spans="1:40" x14ac:dyDescent="0.3">
      <c r="A1288" t="s">
        <v>286</v>
      </c>
      <c r="B1288" t="s">
        <v>168</v>
      </c>
      <c r="C1288" t="s">
        <v>10</v>
      </c>
      <c r="D1288" t="s">
        <v>11</v>
      </c>
      <c r="E1288">
        <v>202602</v>
      </c>
      <c r="F1288" t="s">
        <v>169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</v>
      </c>
      <c r="AM1288">
        <v>0</v>
      </c>
      <c r="AN1288">
        <v>2</v>
      </c>
    </row>
    <row r="1289" spans="1:40" x14ac:dyDescent="0.3">
      <c r="A1289" t="s">
        <v>286</v>
      </c>
      <c r="B1289" t="s">
        <v>168</v>
      </c>
      <c r="C1289" t="s">
        <v>10</v>
      </c>
      <c r="D1289" t="s">
        <v>11</v>
      </c>
      <c r="E1289">
        <v>202602</v>
      </c>
      <c r="F1289" t="s">
        <v>323</v>
      </c>
      <c r="G1289">
        <v>0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2</v>
      </c>
      <c r="Q1289">
        <v>0</v>
      </c>
      <c r="R1289">
        <v>1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9</v>
      </c>
      <c r="AM1289">
        <v>0.66666666666666663</v>
      </c>
      <c r="AN1289">
        <v>12.359337245426122</v>
      </c>
    </row>
    <row r="1290" spans="1:40" x14ac:dyDescent="0.3">
      <c r="A1290" t="s">
        <v>286</v>
      </c>
      <c r="B1290" t="s">
        <v>168</v>
      </c>
      <c r="C1290" t="s">
        <v>10</v>
      </c>
      <c r="D1290" t="s">
        <v>14</v>
      </c>
      <c r="E1290">
        <v>202602</v>
      </c>
      <c r="F1290" t="s">
        <v>169</v>
      </c>
      <c r="G1290">
        <v>0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3</v>
      </c>
      <c r="AM1290">
        <v>0</v>
      </c>
      <c r="AN1290">
        <v>3</v>
      </c>
    </row>
    <row r="1291" spans="1:40" x14ac:dyDescent="0.3">
      <c r="A1291" t="s">
        <v>286</v>
      </c>
      <c r="B1291" t="s">
        <v>168</v>
      </c>
      <c r="C1291" t="s">
        <v>10</v>
      </c>
      <c r="D1291" t="s">
        <v>14</v>
      </c>
      <c r="E1291">
        <v>202602</v>
      </c>
      <c r="F1291" t="s">
        <v>323</v>
      </c>
      <c r="G1291">
        <v>0</v>
      </c>
      <c r="H1291">
        <v>1</v>
      </c>
      <c r="I1291">
        <v>1</v>
      </c>
      <c r="J1291">
        <v>1</v>
      </c>
      <c r="K1291">
        <v>1</v>
      </c>
      <c r="L1291">
        <v>0</v>
      </c>
      <c r="M1291">
        <v>0</v>
      </c>
      <c r="N1291">
        <v>0</v>
      </c>
      <c r="O1291">
        <v>1</v>
      </c>
      <c r="P1291">
        <v>2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2</v>
      </c>
      <c r="AA1291">
        <v>0</v>
      </c>
      <c r="AB1291">
        <v>0</v>
      </c>
      <c r="AC1291">
        <v>2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13</v>
      </c>
      <c r="AM1291">
        <v>1.3333333333333333</v>
      </c>
      <c r="AN1291">
        <v>18.736965711601002</v>
      </c>
    </row>
    <row r="1292" spans="1:40" x14ac:dyDescent="0.3">
      <c r="A1292" t="s">
        <v>286</v>
      </c>
      <c r="B1292" t="s">
        <v>170</v>
      </c>
      <c r="C1292" t="s">
        <v>10</v>
      </c>
      <c r="D1292" t="s">
        <v>11</v>
      </c>
      <c r="E1292">
        <v>202602</v>
      </c>
      <c r="F1292" t="s">
        <v>50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4</v>
      </c>
      <c r="AM1292">
        <v>0.33333333333333331</v>
      </c>
      <c r="AN1292">
        <v>5.6796686227130611</v>
      </c>
    </row>
    <row r="1293" spans="1:40" x14ac:dyDescent="0.3">
      <c r="A1293" t="s">
        <v>286</v>
      </c>
      <c r="B1293" t="s">
        <v>170</v>
      </c>
      <c r="C1293" t="s">
        <v>10</v>
      </c>
      <c r="D1293" t="s">
        <v>14</v>
      </c>
      <c r="E1293">
        <v>202602</v>
      </c>
      <c r="F1293" t="s">
        <v>50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2</v>
      </c>
      <c r="Z1293">
        <v>2</v>
      </c>
      <c r="AA1293">
        <v>0</v>
      </c>
      <c r="AB1293">
        <v>0</v>
      </c>
      <c r="AC1293">
        <v>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8</v>
      </c>
      <c r="AM1293">
        <v>2</v>
      </c>
      <c r="AN1293">
        <v>16.605448567401503</v>
      </c>
    </row>
    <row r="1294" spans="1:40" x14ac:dyDescent="0.3">
      <c r="A1294" t="s">
        <v>286</v>
      </c>
      <c r="B1294" t="s">
        <v>172</v>
      </c>
      <c r="C1294" t="s">
        <v>10</v>
      </c>
      <c r="D1294" t="s">
        <v>11</v>
      </c>
      <c r="E1294">
        <v>202602</v>
      </c>
      <c r="F1294" t="s">
        <v>171</v>
      </c>
      <c r="G1294">
        <v>0</v>
      </c>
      <c r="H1294">
        <v>3</v>
      </c>
      <c r="I1294">
        <v>1</v>
      </c>
      <c r="J1294">
        <v>2</v>
      </c>
      <c r="K1294">
        <v>1</v>
      </c>
      <c r="L1294">
        <v>3</v>
      </c>
      <c r="M1294">
        <v>0</v>
      </c>
      <c r="N1294">
        <v>0</v>
      </c>
      <c r="O1294">
        <v>3</v>
      </c>
      <c r="P1294">
        <v>0</v>
      </c>
      <c r="Q1294">
        <v>0</v>
      </c>
      <c r="R1294">
        <v>4</v>
      </c>
      <c r="S1294">
        <v>1</v>
      </c>
      <c r="T1294">
        <v>2</v>
      </c>
      <c r="U1294">
        <v>0</v>
      </c>
      <c r="V1294">
        <v>0</v>
      </c>
      <c r="W1294">
        <v>0</v>
      </c>
      <c r="X1294">
        <v>0</v>
      </c>
      <c r="Y1294">
        <v>2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23</v>
      </c>
      <c r="AM1294">
        <v>0.66666666666666663</v>
      </c>
      <c r="AN1294">
        <v>26.359337245426122</v>
      </c>
    </row>
    <row r="1295" spans="1:40" x14ac:dyDescent="0.3">
      <c r="A1295" t="s">
        <v>286</v>
      </c>
      <c r="B1295" t="s">
        <v>172</v>
      </c>
      <c r="C1295" t="s">
        <v>10</v>
      </c>
      <c r="D1295" t="s">
        <v>14</v>
      </c>
      <c r="E1295">
        <v>202602</v>
      </c>
      <c r="F1295" t="s">
        <v>171</v>
      </c>
      <c r="G1295">
        <v>0</v>
      </c>
      <c r="H1295">
        <v>3</v>
      </c>
      <c r="I1295">
        <v>2</v>
      </c>
      <c r="J1295">
        <v>5</v>
      </c>
      <c r="K1295">
        <v>3</v>
      </c>
      <c r="L1295">
        <v>0</v>
      </c>
      <c r="M1295">
        <v>0</v>
      </c>
      <c r="N1295">
        <v>0</v>
      </c>
      <c r="O1295">
        <v>0</v>
      </c>
      <c r="P1295">
        <v>2</v>
      </c>
      <c r="Q1295">
        <v>3</v>
      </c>
      <c r="R1295">
        <v>2</v>
      </c>
      <c r="S1295">
        <v>3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2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27</v>
      </c>
      <c r="AM1295">
        <v>1.3333333333333333</v>
      </c>
      <c r="AN1295">
        <v>32.736965711601002</v>
      </c>
    </row>
    <row r="1296" spans="1:40" x14ac:dyDescent="0.3">
      <c r="A1296" t="s">
        <v>286</v>
      </c>
      <c r="B1296" t="s">
        <v>172</v>
      </c>
      <c r="C1296" t="s">
        <v>16</v>
      </c>
      <c r="D1296" t="s">
        <v>11</v>
      </c>
      <c r="E1296">
        <v>202602</v>
      </c>
      <c r="F1296" t="s">
        <v>171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</v>
      </c>
      <c r="AM1296">
        <v>0</v>
      </c>
      <c r="AN1296">
        <v>2</v>
      </c>
    </row>
    <row r="1297" spans="1:40" x14ac:dyDescent="0.3">
      <c r="A1297" t="s">
        <v>286</v>
      </c>
      <c r="B1297" t="s">
        <v>172</v>
      </c>
      <c r="C1297" t="s">
        <v>16</v>
      </c>
      <c r="D1297" t="s">
        <v>14</v>
      </c>
      <c r="E1297">
        <v>202602</v>
      </c>
      <c r="F1297" t="s">
        <v>171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2</v>
      </c>
      <c r="AM1297">
        <v>0</v>
      </c>
      <c r="AN1297">
        <v>2</v>
      </c>
    </row>
    <row r="1298" spans="1:40" x14ac:dyDescent="0.3">
      <c r="A1298" t="s">
        <v>339</v>
      </c>
      <c r="B1298" t="s">
        <v>9</v>
      </c>
      <c r="C1298" t="s">
        <v>10</v>
      </c>
      <c r="D1298" t="s">
        <v>11</v>
      </c>
      <c r="E1298">
        <v>202602</v>
      </c>
      <c r="F1298" t="s">
        <v>13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</v>
      </c>
      <c r="AM1298">
        <v>0</v>
      </c>
      <c r="AN1298">
        <v>1</v>
      </c>
    </row>
    <row r="1299" spans="1:40" x14ac:dyDescent="0.3">
      <c r="A1299" t="s">
        <v>339</v>
      </c>
      <c r="B1299" t="s">
        <v>9</v>
      </c>
      <c r="C1299" t="s">
        <v>10</v>
      </c>
      <c r="D1299" t="s">
        <v>11</v>
      </c>
      <c r="E1299">
        <v>202602</v>
      </c>
      <c r="F1299" t="s">
        <v>340</v>
      </c>
      <c r="G1299">
        <v>0</v>
      </c>
      <c r="H1299">
        <v>0</v>
      </c>
      <c r="I1299">
        <v>0</v>
      </c>
      <c r="J1299">
        <v>5</v>
      </c>
      <c r="K1299">
        <v>3</v>
      </c>
      <c r="L1299">
        <v>2</v>
      </c>
      <c r="M1299">
        <v>1</v>
      </c>
      <c r="N1299">
        <v>0</v>
      </c>
      <c r="O1299">
        <v>3</v>
      </c>
      <c r="P1299">
        <v>2</v>
      </c>
      <c r="Q1299">
        <v>4</v>
      </c>
      <c r="R1299">
        <v>3</v>
      </c>
      <c r="S1299">
        <v>2</v>
      </c>
      <c r="T1299">
        <v>2</v>
      </c>
      <c r="U1299">
        <v>0</v>
      </c>
      <c r="V1299">
        <v>2</v>
      </c>
      <c r="W1299">
        <v>0</v>
      </c>
      <c r="X1299">
        <v>1</v>
      </c>
      <c r="Y1299">
        <v>7</v>
      </c>
      <c r="Z1299">
        <v>3</v>
      </c>
      <c r="AA1299">
        <v>1</v>
      </c>
      <c r="AB1299">
        <v>0</v>
      </c>
      <c r="AC1299">
        <v>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43</v>
      </c>
      <c r="AM1299">
        <v>4</v>
      </c>
      <c r="AN1299">
        <v>63.156023472556726</v>
      </c>
    </row>
    <row r="1300" spans="1:40" x14ac:dyDescent="0.3">
      <c r="A1300" t="s">
        <v>339</v>
      </c>
      <c r="B1300" t="s">
        <v>9</v>
      </c>
      <c r="C1300" t="s">
        <v>10</v>
      </c>
      <c r="D1300" t="s">
        <v>11</v>
      </c>
      <c r="E1300">
        <v>202602</v>
      </c>
      <c r="F1300" t="s">
        <v>15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0</v>
      </c>
      <c r="AN1300">
        <v>1</v>
      </c>
    </row>
    <row r="1301" spans="1:40" x14ac:dyDescent="0.3">
      <c r="A1301" t="s">
        <v>339</v>
      </c>
      <c r="B1301" t="s">
        <v>9</v>
      </c>
      <c r="C1301" t="s">
        <v>10</v>
      </c>
      <c r="D1301" t="s">
        <v>14</v>
      </c>
      <c r="E1301">
        <v>202602</v>
      </c>
      <c r="F1301" t="s">
        <v>13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</v>
      </c>
      <c r="AM1301">
        <v>0</v>
      </c>
      <c r="AN1301">
        <v>2</v>
      </c>
    </row>
    <row r="1302" spans="1:40" x14ac:dyDescent="0.3">
      <c r="A1302" t="s">
        <v>339</v>
      </c>
      <c r="B1302" t="s">
        <v>9</v>
      </c>
      <c r="C1302" t="s">
        <v>10</v>
      </c>
      <c r="D1302" t="s">
        <v>14</v>
      </c>
      <c r="E1302">
        <v>202602</v>
      </c>
      <c r="F1302" t="s">
        <v>340</v>
      </c>
      <c r="G1302">
        <v>0</v>
      </c>
      <c r="H1302">
        <v>0</v>
      </c>
      <c r="I1302">
        <v>7</v>
      </c>
      <c r="J1302">
        <v>2</v>
      </c>
      <c r="K1302">
        <v>6</v>
      </c>
      <c r="L1302">
        <v>3</v>
      </c>
      <c r="M1302">
        <v>0</v>
      </c>
      <c r="N1302">
        <v>0</v>
      </c>
      <c r="O1302">
        <v>6</v>
      </c>
      <c r="P1302">
        <v>5</v>
      </c>
      <c r="Q1302">
        <v>3</v>
      </c>
      <c r="R1302">
        <v>4</v>
      </c>
      <c r="S1302">
        <v>5</v>
      </c>
      <c r="T1302">
        <v>2</v>
      </c>
      <c r="U1302">
        <v>0</v>
      </c>
      <c r="V1302">
        <v>1</v>
      </c>
      <c r="W1302">
        <v>0</v>
      </c>
      <c r="X1302">
        <v>2</v>
      </c>
      <c r="Y1302">
        <v>4</v>
      </c>
      <c r="Z1302">
        <v>2</v>
      </c>
      <c r="AA1302">
        <v>0</v>
      </c>
      <c r="AB1302">
        <v>0</v>
      </c>
      <c r="AC1302">
        <v>7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59</v>
      </c>
      <c r="AM1302">
        <v>4.333333333333333</v>
      </c>
      <c r="AN1302">
        <v>77.645138562703252</v>
      </c>
    </row>
    <row r="1303" spans="1:40" x14ac:dyDescent="0.3">
      <c r="A1303" t="s">
        <v>339</v>
      </c>
      <c r="B1303" t="s">
        <v>17</v>
      </c>
      <c r="C1303" t="s">
        <v>10</v>
      </c>
      <c r="D1303" t="s">
        <v>11</v>
      </c>
      <c r="E1303">
        <v>202602</v>
      </c>
      <c r="F1303" t="s">
        <v>18</v>
      </c>
      <c r="G1303">
        <v>0</v>
      </c>
      <c r="H1303">
        <v>1</v>
      </c>
      <c r="I1303">
        <v>1</v>
      </c>
      <c r="J1303">
        <v>1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7</v>
      </c>
      <c r="AM1303">
        <v>0.33333333333333331</v>
      </c>
      <c r="AN1303">
        <v>8.6796686227130611</v>
      </c>
    </row>
    <row r="1304" spans="1:40" x14ac:dyDescent="0.3">
      <c r="A1304" t="s">
        <v>339</v>
      </c>
      <c r="B1304" t="s">
        <v>17</v>
      </c>
      <c r="C1304" t="s">
        <v>10</v>
      </c>
      <c r="D1304" t="s">
        <v>11</v>
      </c>
      <c r="E1304">
        <v>202602</v>
      </c>
      <c r="F1304" t="s">
        <v>341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2</v>
      </c>
      <c r="AM1304">
        <v>0</v>
      </c>
      <c r="AN1304">
        <v>2</v>
      </c>
    </row>
    <row r="1305" spans="1:40" x14ac:dyDescent="0.3">
      <c r="A1305" t="s">
        <v>339</v>
      </c>
      <c r="B1305" t="s">
        <v>17</v>
      </c>
      <c r="C1305" t="s">
        <v>10</v>
      </c>
      <c r="D1305" t="s">
        <v>11</v>
      </c>
      <c r="E1305">
        <v>202602</v>
      </c>
      <c r="F1305" t="s">
        <v>342</v>
      </c>
      <c r="G1305">
        <v>0</v>
      </c>
      <c r="H1305">
        <v>0</v>
      </c>
      <c r="I1305">
        <v>2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6</v>
      </c>
      <c r="AM1305">
        <v>0.66666666666666663</v>
      </c>
      <c r="AN1305">
        <v>9.3593372454261221</v>
      </c>
    </row>
    <row r="1306" spans="1:40" x14ac:dyDescent="0.3">
      <c r="A1306" t="s">
        <v>339</v>
      </c>
      <c r="B1306" t="s">
        <v>17</v>
      </c>
      <c r="C1306" t="s">
        <v>10</v>
      </c>
      <c r="D1306" t="s">
        <v>11</v>
      </c>
      <c r="E1306">
        <v>202602</v>
      </c>
      <c r="F1306" t="s">
        <v>343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4</v>
      </c>
      <c r="AM1306">
        <v>0</v>
      </c>
      <c r="AN1306">
        <v>4</v>
      </c>
    </row>
    <row r="1307" spans="1:40" x14ac:dyDescent="0.3">
      <c r="A1307" t="s">
        <v>339</v>
      </c>
      <c r="B1307" t="s">
        <v>17</v>
      </c>
      <c r="C1307" t="s">
        <v>10</v>
      </c>
      <c r="D1307" t="s">
        <v>11</v>
      </c>
      <c r="E1307">
        <v>202602</v>
      </c>
      <c r="F1307" t="s">
        <v>344</v>
      </c>
      <c r="G1307">
        <v>1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6</v>
      </c>
      <c r="AM1307">
        <v>0</v>
      </c>
      <c r="AN1307">
        <v>6</v>
      </c>
    </row>
    <row r="1308" spans="1:40" x14ac:dyDescent="0.3">
      <c r="A1308" t="s">
        <v>339</v>
      </c>
      <c r="B1308" t="s">
        <v>17</v>
      </c>
      <c r="C1308" t="s">
        <v>10</v>
      </c>
      <c r="D1308" t="s">
        <v>11</v>
      </c>
      <c r="E1308">
        <v>202602</v>
      </c>
      <c r="F1308" t="s">
        <v>690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1</v>
      </c>
      <c r="AM1308">
        <v>0</v>
      </c>
      <c r="AN1308">
        <v>1</v>
      </c>
    </row>
    <row r="1309" spans="1:40" x14ac:dyDescent="0.3">
      <c r="A1309" t="s">
        <v>339</v>
      </c>
      <c r="B1309" t="s">
        <v>17</v>
      </c>
      <c r="C1309" t="s">
        <v>10</v>
      </c>
      <c r="D1309" t="s">
        <v>11</v>
      </c>
      <c r="E1309">
        <v>202602</v>
      </c>
      <c r="F1309" t="s">
        <v>345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3</v>
      </c>
      <c r="AM1309">
        <v>0</v>
      </c>
      <c r="AN1309">
        <v>3</v>
      </c>
    </row>
    <row r="1310" spans="1:40" x14ac:dyDescent="0.3">
      <c r="A1310" t="s">
        <v>339</v>
      </c>
      <c r="B1310" t="s">
        <v>17</v>
      </c>
      <c r="C1310" t="s">
        <v>10</v>
      </c>
      <c r="D1310" t="s">
        <v>11</v>
      </c>
      <c r="E1310">
        <v>202602</v>
      </c>
      <c r="F1310" t="s">
        <v>346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2</v>
      </c>
      <c r="W1310">
        <v>0</v>
      </c>
      <c r="X1310">
        <v>1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7</v>
      </c>
      <c r="AM1310">
        <v>0.33333333333333331</v>
      </c>
      <c r="AN1310">
        <v>8.6796686227130611</v>
      </c>
    </row>
    <row r="1311" spans="1:40" x14ac:dyDescent="0.3">
      <c r="A1311" t="s">
        <v>339</v>
      </c>
      <c r="B1311" t="s">
        <v>17</v>
      </c>
      <c r="C1311" t="s">
        <v>10</v>
      </c>
      <c r="D1311" t="s">
        <v>11</v>
      </c>
      <c r="E1311">
        <v>202602</v>
      </c>
      <c r="F1311" t="s">
        <v>347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</v>
      </c>
      <c r="N1311">
        <v>0</v>
      </c>
      <c r="O1311">
        <v>0</v>
      </c>
      <c r="P1311">
        <v>0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1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6</v>
      </c>
      <c r="AM1311">
        <v>0.33333333333333331</v>
      </c>
      <c r="AN1311">
        <v>7.6796686227130611</v>
      </c>
    </row>
    <row r="1312" spans="1:40" x14ac:dyDescent="0.3">
      <c r="A1312" t="s">
        <v>339</v>
      </c>
      <c r="B1312" t="s">
        <v>17</v>
      </c>
      <c r="C1312" t="s">
        <v>10</v>
      </c>
      <c r="D1312" t="s">
        <v>11</v>
      </c>
      <c r="E1312">
        <v>202602</v>
      </c>
      <c r="F1312" t="s">
        <v>348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1</v>
      </c>
    </row>
    <row r="1313" spans="1:40" x14ac:dyDescent="0.3">
      <c r="A1313" t="s">
        <v>339</v>
      </c>
      <c r="B1313" t="s">
        <v>17</v>
      </c>
      <c r="C1313" t="s">
        <v>10</v>
      </c>
      <c r="D1313" t="s">
        <v>11</v>
      </c>
      <c r="E1313">
        <v>202602</v>
      </c>
      <c r="F1313" t="s">
        <v>349</v>
      </c>
      <c r="G1313">
        <v>0</v>
      </c>
      <c r="H1313">
        <v>0</v>
      </c>
      <c r="I1313">
        <v>1</v>
      </c>
      <c r="J1313">
        <v>0</v>
      </c>
      <c r="K1313">
        <v>1</v>
      </c>
      <c r="L1313">
        <v>0</v>
      </c>
      <c r="M1313">
        <v>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6</v>
      </c>
      <c r="AM1313">
        <v>0.33333333333333331</v>
      </c>
      <c r="AN1313">
        <v>7.6796686227130611</v>
      </c>
    </row>
    <row r="1314" spans="1:40" x14ac:dyDescent="0.3">
      <c r="A1314" t="s">
        <v>339</v>
      </c>
      <c r="B1314" t="s">
        <v>17</v>
      </c>
      <c r="C1314" t="s">
        <v>10</v>
      </c>
      <c r="D1314" t="s">
        <v>11</v>
      </c>
      <c r="E1314">
        <v>202602</v>
      </c>
      <c r="F1314" t="s">
        <v>350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1</v>
      </c>
      <c r="AM1314">
        <v>0</v>
      </c>
      <c r="AN1314">
        <v>1</v>
      </c>
    </row>
    <row r="1315" spans="1:40" x14ac:dyDescent="0.3">
      <c r="A1315" t="s">
        <v>339</v>
      </c>
      <c r="B1315" t="s">
        <v>17</v>
      </c>
      <c r="C1315" t="s">
        <v>10</v>
      </c>
      <c r="D1315" t="s">
        <v>11</v>
      </c>
      <c r="E1315">
        <v>202602</v>
      </c>
      <c r="F1315" t="s">
        <v>720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0</v>
      </c>
      <c r="AN1315">
        <v>1</v>
      </c>
    </row>
    <row r="1316" spans="1:40" x14ac:dyDescent="0.3">
      <c r="A1316" t="s">
        <v>339</v>
      </c>
      <c r="B1316" t="s">
        <v>17</v>
      </c>
      <c r="C1316" t="s">
        <v>10</v>
      </c>
      <c r="D1316" t="s">
        <v>11</v>
      </c>
      <c r="E1316">
        <v>202602</v>
      </c>
      <c r="F1316" t="s">
        <v>351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0</v>
      </c>
      <c r="AN1316">
        <v>1</v>
      </c>
    </row>
    <row r="1317" spans="1:40" x14ac:dyDescent="0.3">
      <c r="A1317" t="s">
        <v>339</v>
      </c>
      <c r="B1317" t="s">
        <v>17</v>
      </c>
      <c r="C1317" t="s">
        <v>10</v>
      </c>
      <c r="D1317" t="s">
        <v>11</v>
      </c>
      <c r="E1317">
        <v>202602</v>
      </c>
      <c r="F1317" t="s">
        <v>756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</v>
      </c>
      <c r="AM1317">
        <v>0.33333333333333331</v>
      </c>
      <c r="AN1317">
        <v>2.6796686227130611</v>
      </c>
    </row>
    <row r="1318" spans="1:40" x14ac:dyDescent="0.3">
      <c r="A1318" t="s">
        <v>339</v>
      </c>
      <c r="B1318" t="s">
        <v>17</v>
      </c>
      <c r="C1318" t="s">
        <v>10</v>
      </c>
      <c r="D1318" t="s">
        <v>14</v>
      </c>
      <c r="E1318">
        <v>202602</v>
      </c>
      <c r="F1318" t="s">
        <v>18</v>
      </c>
      <c r="G1318">
        <v>0</v>
      </c>
      <c r="H1318">
        <v>1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1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5</v>
      </c>
      <c r="AM1318">
        <v>0.33333333333333331</v>
      </c>
      <c r="AN1318">
        <v>6.4342414279002504</v>
      </c>
    </row>
    <row r="1319" spans="1:40" x14ac:dyDescent="0.3">
      <c r="A1319" t="s">
        <v>339</v>
      </c>
      <c r="B1319" t="s">
        <v>17</v>
      </c>
      <c r="C1319" t="s">
        <v>10</v>
      </c>
      <c r="D1319" t="s">
        <v>14</v>
      </c>
      <c r="E1319">
        <v>202602</v>
      </c>
      <c r="F1319" t="s">
        <v>341</v>
      </c>
      <c r="G1319">
        <v>0</v>
      </c>
      <c r="H1319">
        <v>1</v>
      </c>
      <c r="I1319">
        <v>1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4</v>
      </c>
      <c r="AM1319">
        <v>0.33333333333333331</v>
      </c>
      <c r="AN1319">
        <v>5.4342414279002504</v>
      </c>
    </row>
    <row r="1320" spans="1:40" x14ac:dyDescent="0.3">
      <c r="A1320" t="s">
        <v>339</v>
      </c>
      <c r="B1320" t="s">
        <v>17</v>
      </c>
      <c r="C1320" t="s">
        <v>10</v>
      </c>
      <c r="D1320" t="s">
        <v>14</v>
      </c>
      <c r="E1320">
        <v>202602</v>
      </c>
      <c r="F1320" t="s">
        <v>755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</v>
      </c>
      <c r="AM1320">
        <v>0.33333333333333331</v>
      </c>
      <c r="AN1320">
        <v>2.43424142790025</v>
      </c>
    </row>
    <row r="1321" spans="1:40" x14ac:dyDescent="0.3">
      <c r="A1321" t="s">
        <v>339</v>
      </c>
      <c r="B1321" t="s">
        <v>17</v>
      </c>
      <c r="C1321" t="s">
        <v>10</v>
      </c>
      <c r="D1321" t="s">
        <v>14</v>
      </c>
      <c r="E1321">
        <v>202602</v>
      </c>
      <c r="F1321" t="s">
        <v>342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5</v>
      </c>
      <c r="AM1321">
        <v>0.66666666666666663</v>
      </c>
      <c r="AN1321">
        <v>7.8684828558005</v>
      </c>
    </row>
    <row r="1322" spans="1:40" x14ac:dyDescent="0.3">
      <c r="A1322" t="s">
        <v>339</v>
      </c>
      <c r="B1322" t="s">
        <v>17</v>
      </c>
      <c r="C1322" t="s">
        <v>10</v>
      </c>
      <c r="D1322" t="s">
        <v>14</v>
      </c>
      <c r="E1322">
        <v>202602</v>
      </c>
      <c r="F1322" t="s">
        <v>343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1</v>
      </c>
      <c r="M1322">
        <v>0</v>
      </c>
      <c r="N1322">
        <v>0</v>
      </c>
      <c r="O1322">
        <v>1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4</v>
      </c>
      <c r="AM1322">
        <v>0</v>
      </c>
      <c r="AN1322">
        <v>4</v>
      </c>
    </row>
    <row r="1323" spans="1:40" x14ac:dyDescent="0.3">
      <c r="A1323" t="s">
        <v>339</v>
      </c>
      <c r="B1323" t="s">
        <v>17</v>
      </c>
      <c r="C1323" t="s">
        <v>10</v>
      </c>
      <c r="D1323" t="s">
        <v>14</v>
      </c>
      <c r="E1323">
        <v>202602</v>
      </c>
      <c r="F1323" t="s">
        <v>344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1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6</v>
      </c>
      <c r="AM1323">
        <v>0.66666666666666663</v>
      </c>
      <c r="AN1323">
        <v>8.8684828558005009</v>
      </c>
    </row>
    <row r="1324" spans="1:40" x14ac:dyDescent="0.3">
      <c r="A1324" t="s">
        <v>339</v>
      </c>
      <c r="B1324" t="s">
        <v>17</v>
      </c>
      <c r="C1324" t="s">
        <v>10</v>
      </c>
      <c r="D1324" t="s">
        <v>14</v>
      </c>
      <c r="E1324">
        <v>202602</v>
      </c>
      <c r="F1324" t="s">
        <v>46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</v>
      </c>
      <c r="AM1324">
        <v>0</v>
      </c>
      <c r="AN1324">
        <v>1</v>
      </c>
    </row>
    <row r="1325" spans="1:40" x14ac:dyDescent="0.3">
      <c r="A1325" t="s">
        <v>339</v>
      </c>
      <c r="B1325" t="s">
        <v>17</v>
      </c>
      <c r="C1325" t="s">
        <v>10</v>
      </c>
      <c r="D1325" t="s">
        <v>14</v>
      </c>
      <c r="E1325">
        <v>202602</v>
      </c>
      <c r="F1325" t="s">
        <v>352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</v>
      </c>
      <c r="AM1325">
        <v>0.33333333333333331</v>
      </c>
      <c r="AN1325">
        <v>2.43424142790025</v>
      </c>
    </row>
    <row r="1326" spans="1:40" x14ac:dyDescent="0.3">
      <c r="A1326" t="s">
        <v>339</v>
      </c>
      <c r="B1326" t="s">
        <v>17</v>
      </c>
      <c r="C1326" t="s">
        <v>10</v>
      </c>
      <c r="D1326" t="s">
        <v>14</v>
      </c>
      <c r="E1326">
        <v>202602</v>
      </c>
      <c r="F1326" t="s">
        <v>690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</v>
      </c>
      <c r="AM1326">
        <v>0</v>
      </c>
      <c r="AN1326">
        <v>1</v>
      </c>
    </row>
    <row r="1327" spans="1:40" x14ac:dyDescent="0.3">
      <c r="A1327" t="s">
        <v>339</v>
      </c>
      <c r="B1327" t="s">
        <v>17</v>
      </c>
      <c r="C1327" t="s">
        <v>10</v>
      </c>
      <c r="D1327" t="s">
        <v>14</v>
      </c>
      <c r="E1327">
        <v>202602</v>
      </c>
      <c r="F1327" t="s">
        <v>691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0</v>
      </c>
      <c r="AN1327">
        <v>1</v>
      </c>
    </row>
    <row r="1328" spans="1:40" x14ac:dyDescent="0.3">
      <c r="A1328" t="s">
        <v>339</v>
      </c>
      <c r="B1328" t="s">
        <v>17</v>
      </c>
      <c r="C1328" t="s">
        <v>10</v>
      </c>
      <c r="D1328" t="s">
        <v>14</v>
      </c>
      <c r="E1328">
        <v>202602</v>
      </c>
      <c r="F1328" t="s">
        <v>345</v>
      </c>
      <c r="G1328">
        <v>0</v>
      </c>
      <c r="H1328">
        <v>1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3</v>
      </c>
      <c r="AM1328">
        <v>0</v>
      </c>
      <c r="AN1328">
        <v>3</v>
      </c>
    </row>
    <row r="1329" spans="1:40" x14ac:dyDescent="0.3">
      <c r="A1329" t="s">
        <v>339</v>
      </c>
      <c r="B1329" t="s">
        <v>17</v>
      </c>
      <c r="C1329" t="s">
        <v>10</v>
      </c>
      <c r="D1329" t="s">
        <v>14</v>
      </c>
      <c r="E1329">
        <v>202602</v>
      </c>
      <c r="F1329" t="s">
        <v>251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</v>
      </c>
      <c r="AM1329">
        <v>0.33333333333333331</v>
      </c>
      <c r="AN1329">
        <v>2.43424142790025</v>
      </c>
    </row>
    <row r="1330" spans="1:40" x14ac:dyDescent="0.3">
      <c r="A1330" t="s">
        <v>339</v>
      </c>
      <c r="B1330" t="s">
        <v>17</v>
      </c>
      <c r="C1330" t="s">
        <v>10</v>
      </c>
      <c r="D1330" t="s">
        <v>14</v>
      </c>
      <c r="E1330">
        <v>202602</v>
      </c>
      <c r="F1330" t="s">
        <v>346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</v>
      </c>
      <c r="V1330">
        <v>1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3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12</v>
      </c>
      <c r="AM1330">
        <v>1</v>
      </c>
      <c r="AN1330">
        <v>16.302724283700751</v>
      </c>
    </row>
    <row r="1331" spans="1:40" x14ac:dyDescent="0.3">
      <c r="A1331" t="s">
        <v>339</v>
      </c>
      <c r="B1331" t="s">
        <v>17</v>
      </c>
      <c r="C1331" t="s">
        <v>10</v>
      </c>
      <c r="D1331" t="s">
        <v>14</v>
      </c>
      <c r="E1331">
        <v>202602</v>
      </c>
      <c r="F1331" t="s">
        <v>347</v>
      </c>
      <c r="G1331">
        <v>0</v>
      </c>
      <c r="H1331">
        <v>0</v>
      </c>
      <c r="I1331">
        <v>0</v>
      </c>
      <c r="J1331">
        <v>1</v>
      </c>
      <c r="K1331">
        <v>1</v>
      </c>
      <c r="L1331">
        <v>2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7</v>
      </c>
      <c r="AM1331">
        <v>0.33333333333333331</v>
      </c>
      <c r="AN1331">
        <v>8.4342414279002504</v>
      </c>
    </row>
    <row r="1332" spans="1:40" x14ac:dyDescent="0.3">
      <c r="A1332" t="s">
        <v>339</v>
      </c>
      <c r="B1332" t="s">
        <v>17</v>
      </c>
      <c r="C1332" t="s">
        <v>10</v>
      </c>
      <c r="D1332" t="s">
        <v>14</v>
      </c>
      <c r="E1332">
        <v>202602</v>
      </c>
      <c r="F1332" t="s">
        <v>348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</v>
      </c>
      <c r="AM1332">
        <v>0</v>
      </c>
      <c r="AN1332">
        <v>1</v>
      </c>
    </row>
    <row r="1333" spans="1:40" x14ac:dyDescent="0.3">
      <c r="A1333" t="s">
        <v>339</v>
      </c>
      <c r="B1333" t="s">
        <v>17</v>
      </c>
      <c r="C1333" t="s">
        <v>10</v>
      </c>
      <c r="D1333" t="s">
        <v>14</v>
      </c>
      <c r="E1333">
        <v>202602</v>
      </c>
      <c r="F1333" t="s">
        <v>349</v>
      </c>
      <c r="G1333">
        <v>1</v>
      </c>
      <c r="H1333">
        <v>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1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6</v>
      </c>
      <c r="AM1333">
        <v>0.66666666666666663</v>
      </c>
      <c r="AN1333">
        <v>8.8684828558005009</v>
      </c>
    </row>
    <row r="1334" spans="1:40" x14ac:dyDescent="0.3">
      <c r="A1334" t="s">
        <v>339</v>
      </c>
      <c r="B1334" t="s">
        <v>17</v>
      </c>
      <c r="C1334" t="s">
        <v>10</v>
      </c>
      <c r="D1334" t="s">
        <v>14</v>
      </c>
      <c r="E1334">
        <v>202602</v>
      </c>
      <c r="F1334" t="s">
        <v>350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2</v>
      </c>
      <c r="AM1334">
        <v>0.33333333333333331</v>
      </c>
      <c r="AN1334">
        <v>3.43424142790025</v>
      </c>
    </row>
    <row r="1335" spans="1:40" x14ac:dyDescent="0.3">
      <c r="A1335" t="s">
        <v>339</v>
      </c>
      <c r="B1335" t="s">
        <v>17</v>
      </c>
      <c r="C1335" t="s">
        <v>10</v>
      </c>
      <c r="D1335" t="s">
        <v>14</v>
      </c>
      <c r="E1335">
        <v>202602</v>
      </c>
      <c r="F1335" t="s">
        <v>720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</v>
      </c>
      <c r="AM1335">
        <v>0</v>
      </c>
      <c r="AN1335">
        <v>1</v>
      </c>
    </row>
    <row r="1336" spans="1:40" x14ac:dyDescent="0.3">
      <c r="A1336" t="s">
        <v>339</v>
      </c>
      <c r="B1336" t="s">
        <v>17</v>
      </c>
      <c r="C1336" t="s">
        <v>10</v>
      </c>
      <c r="D1336" t="s">
        <v>14</v>
      </c>
      <c r="E1336">
        <v>202602</v>
      </c>
      <c r="F1336" t="s">
        <v>351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1</v>
      </c>
      <c r="AM1336">
        <v>0</v>
      </c>
      <c r="AN1336">
        <v>1</v>
      </c>
    </row>
    <row r="1337" spans="1:40" x14ac:dyDescent="0.3">
      <c r="A1337" t="s">
        <v>339</v>
      </c>
      <c r="B1337" t="s">
        <v>17</v>
      </c>
      <c r="C1337" t="s">
        <v>10</v>
      </c>
      <c r="D1337" t="s">
        <v>14</v>
      </c>
      <c r="E1337">
        <v>202602</v>
      </c>
      <c r="F1337" t="s">
        <v>756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0.33333333333333331</v>
      </c>
      <c r="AN1337">
        <v>2.43424142790025</v>
      </c>
    </row>
    <row r="1338" spans="1:40" x14ac:dyDescent="0.3">
      <c r="A1338" t="s">
        <v>339</v>
      </c>
      <c r="B1338" t="s">
        <v>17</v>
      </c>
      <c r="C1338" t="s">
        <v>16</v>
      </c>
      <c r="D1338" t="s">
        <v>11</v>
      </c>
      <c r="E1338">
        <v>202602</v>
      </c>
      <c r="F1338" t="s">
        <v>342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1</v>
      </c>
      <c r="AM1338">
        <v>0</v>
      </c>
      <c r="AN1338">
        <v>1</v>
      </c>
    </row>
    <row r="1339" spans="1:40" x14ac:dyDescent="0.3">
      <c r="A1339" t="s">
        <v>339</v>
      </c>
      <c r="B1339" t="s">
        <v>17</v>
      </c>
      <c r="C1339" t="s">
        <v>16</v>
      </c>
      <c r="D1339" t="s">
        <v>11</v>
      </c>
      <c r="E1339">
        <v>202602</v>
      </c>
      <c r="F1339" t="s">
        <v>343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</v>
      </c>
      <c r="AM1339">
        <v>0</v>
      </c>
      <c r="AN1339">
        <v>2</v>
      </c>
    </row>
    <row r="1340" spans="1:40" x14ac:dyDescent="0.3">
      <c r="A1340" t="s">
        <v>339</v>
      </c>
      <c r="B1340" t="s">
        <v>17</v>
      </c>
      <c r="C1340" t="s">
        <v>16</v>
      </c>
      <c r="D1340" t="s">
        <v>11</v>
      </c>
      <c r="E1340">
        <v>202602</v>
      </c>
      <c r="F1340" t="s">
        <v>691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0</v>
      </c>
      <c r="AN1340">
        <v>1</v>
      </c>
    </row>
    <row r="1341" spans="1:40" x14ac:dyDescent="0.3">
      <c r="A1341" t="s">
        <v>339</v>
      </c>
      <c r="B1341" t="s">
        <v>17</v>
      </c>
      <c r="C1341" t="s">
        <v>16</v>
      </c>
      <c r="D1341" t="s">
        <v>11</v>
      </c>
      <c r="E1341">
        <v>202602</v>
      </c>
      <c r="F1341" t="s">
        <v>349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1</v>
      </c>
      <c r="AM1341">
        <v>0.33333333333333331</v>
      </c>
      <c r="AN1341">
        <v>2.6796686227130611</v>
      </c>
    </row>
    <row r="1342" spans="1:40" x14ac:dyDescent="0.3">
      <c r="A1342" t="s">
        <v>339</v>
      </c>
      <c r="B1342" t="s">
        <v>17</v>
      </c>
      <c r="C1342" t="s">
        <v>16</v>
      </c>
      <c r="D1342" t="s">
        <v>14</v>
      </c>
      <c r="E1342">
        <v>202602</v>
      </c>
      <c r="F1342" t="s">
        <v>342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</v>
      </c>
      <c r="AM1342">
        <v>0</v>
      </c>
      <c r="AN1342">
        <v>2</v>
      </c>
    </row>
    <row r="1343" spans="1:40" x14ac:dyDescent="0.3">
      <c r="A1343" t="s">
        <v>339</v>
      </c>
      <c r="B1343" t="s">
        <v>17</v>
      </c>
      <c r="C1343" t="s">
        <v>16</v>
      </c>
      <c r="D1343" t="s">
        <v>14</v>
      </c>
      <c r="E1343">
        <v>202602</v>
      </c>
      <c r="F1343" t="s">
        <v>343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</v>
      </c>
      <c r="AM1343">
        <v>0</v>
      </c>
      <c r="AN1343">
        <v>2</v>
      </c>
    </row>
    <row r="1344" spans="1:40" x14ac:dyDescent="0.3">
      <c r="A1344" t="s">
        <v>339</v>
      </c>
      <c r="B1344" t="s">
        <v>17</v>
      </c>
      <c r="C1344" t="s">
        <v>16</v>
      </c>
      <c r="D1344" t="s">
        <v>14</v>
      </c>
      <c r="E1344">
        <v>202602</v>
      </c>
      <c r="F1344" t="s">
        <v>352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1</v>
      </c>
    </row>
    <row r="1345" spans="1:40" x14ac:dyDescent="0.3">
      <c r="A1345" t="s">
        <v>339</v>
      </c>
      <c r="B1345" t="s">
        <v>17</v>
      </c>
      <c r="C1345" t="s">
        <v>16</v>
      </c>
      <c r="D1345" t="s">
        <v>14</v>
      </c>
      <c r="E1345">
        <v>202602</v>
      </c>
      <c r="F1345" t="s">
        <v>691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</v>
      </c>
      <c r="AM1345">
        <v>0</v>
      </c>
      <c r="AN1345">
        <v>1</v>
      </c>
    </row>
    <row r="1346" spans="1:40" x14ac:dyDescent="0.3">
      <c r="A1346" t="s">
        <v>339</v>
      </c>
      <c r="B1346" t="s">
        <v>17</v>
      </c>
      <c r="C1346" t="s">
        <v>16</v>
      </c>
      <c r="D1346" t="s">
        <v>14</v>
      </c>
      <c r="E1346">
        <v>202602</v>
      </c>
      <c r="F1346" t="s">
        <v>346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</v>
      </c>
      <c r="AM1346">
        <v>0</v>
      </c>
      <c r="AN1346">
        <v>1</v>
      </c>
    </row>
    <row r="1347" spans="1:40" x14ac:dyDescent="0.3">
      <c r="A1347" t="s">
        <v>339</v>
      </c>
      <c r="B1347" t="s">
        <v>17</v>
      </c>
      <c r="C1347" t="s">
        <v>16</v>
      </c>
      <c r="D1347" t="s">
        <v>14</v>
      </c>
      <c r="E1347">
        <v>202602</v>
      </c>
      <c r="F1347" t="s">
        <v>349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</v>
      </c>
      <c r="AM1347">
        <v>0</v>
      </c>
      <c r="AN1347">
        <v>1</v>
      </c>
    </row>
    <row r="1348" spans="1:40" x14ac:dyDescent="0.3">
      <c r="A1348" t="s">
        <v>339</v>
      </c>
      <c r="B1348" t="s">
        <v>17</v>
      </c>
      <c r="C1348" t="s">
        <v>16</v>
      </c>
      <c r="D1348" t="s">
        <v>14</v>
      </c>
      <c r="E1348">
        <v>202602</v>
      </c>
      <c r="F1348" t="s">
        <v>350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</v>
      </c>
      <c r="AM1348">
        <v>0.33333333333333331</v>
      </c>
      <c r="AN1348">
        <v>2.43424142790025</v>
      </c>
    </row>
    <row r="1349" spans="1:40" x14ac:dyDescent="0.3">
      <c r="A1349" t="s">
        <v>339</v>
      </c>
      <c r="B1349" t="s">
        <v>49</v>
      </c>
      <c r="C1349" t="s">
        <v>10</v>
      </c>
      <c r="D1349" t="s">
        <v>11</v>
      </c>
      <c r="E1349">
        <v>202602</v>
      </c>
      <c r="F1349" t="s">
        <v>50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</v>
      </c>
      <c r="AM1349">
        <v>0.33333333333333331</v>
      </c>
      <c r="AN1349">
        <v>3.6796686227130611</v>
      </c>
    </row>
    <row r="1350" spans="1:40" x14ac:dyDescent="0.3">
      <c r="A1350" t="s">
        <v>339</v>
      </c>
      <c r="B1350" t="s">
        <v>49</v>
      </c>
      <c r="C1350" t="s">
        <v>10</v>
      </c>
      <c r="D1350" t="s">
        <v>11</v>
      </c>
      <c r="E1350">
        <v>202602</v>
      </c>
      <c r="F1350" t="s">
        <v>110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1</v>
      </c>
    </row>
    <row r="1351" spans="1:40" x14ac:dyDescent="0.3">
      <c r="A1351" t="s">
        <v>339</v>
      </c>
      <c r="B1351" t="s">
        <v>49</v>
      </c>
      <c r="C1351" t="s">
        <v>10</v>
      </c>
      <c r="D1351" t="s">
        <v>14</v>
      </c>
      <c r="E1351">
        <v>202602</v>
      </c>
      <c r="F1351" t="s">
        <v>50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3</v>
      </c>
      <c r="AM1351">
        <v>0</v>
      </c>
      <c r="AN1351">
        <v>3</v>
      </c>
    </row>
    <row r="1352" spans="1:40" x14ac:dyDescent="0.3">
      <c r="A1352" t="s">
        <v>339</v>
      </c>
      <c r="B1352" t="s">
        <v>49</v>
      </c>
      <c r="C1352" t="s">
        <v>10</v>
      </c>
      <c r="D1352" t="s">
        <v>14</v>
      </c>
      <c r="E1352">
        <v>202602</v>
      </c>
      <c r="F1352" t="s">
        <v>110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1</v>
      </c>
    </row>
    <row r="1353" spans="1:40" x14ac:dyDescent="0.3">
      <c r="A1353" t="s">
        <v>339</v>
      </c>
      <c r="B1353" t="s">
        <v>49</v>
      </c>
      <c r="C1353" t="s">
        <v>10</v>
      </c>
      <c r="D1353" t="s">
        <v>14</v>
      </c>
      <c r="E1353">
        <v>202602</v>
      </c>
      <c r="F1353" t="s">
        <v>571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2</v>
      </c>
      <c r="AM1353">
        <v>0.33333333333333331</v>
      </c>
      <c r="AN1353">
        <v>3.43424142790025</v>
      </c>
    </row>
    <row r="1354" spans="1:40" x14ac:dyDescent="0.3">
      <c r="A1354" t="s">
        <v>339</v>
      </c>
      <c r="B1354" t="s">
        <v>49</v>
      </c>
      <c r="C1354" t="s">
        <v>16</v>
      </c>
      <c r="D1354" t="s">
        <v>14</v>
      </c>
      <c r="E1354">
        <v>202602</v>
      </c>
      <c r="F1354" t="s">
        <v>51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1</v>
      </c>
      <c r="AM1354">
        <v>0</v>
      </c>
      <c r="AN1354">
        <v>1</v>
      </c>
    </row>
    <row r="1355" spans="1:40" x14ac:dyDescent="0.3">
      <c r="A1355" t="s">
        <v>339</v>
      </c>
      <c r="B1355" t="s">
        <v>49</v>
      </c>
      <c r="C1355" t="s">
        <v>16</v>
      </c>
      <c r="D1355" t="s">
        <v>14</v>
      </c>
      <c r="E1355">
        <v>202602</v>
      </c>
      <c r="F1355" t="s">
        <v>171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0</v>
      </c>
      <c r="AN1355">
        <v>1</v>
      </c>
    </row>
    <row r="1356" spans="1:40" x14ac:dyDescent="0.3">
      <c r="A1356" t="s">
        <v>339</v>
      </c>
      <c r="B1356" t="s">
        <v>54</v>
      </c>
      <c r="C1356" t="s">
        <v>10</v>
      </c>
      <c r="D1356" t="s">
        <v>11</v>
      </c>
      <c r="E1356">
        <v>202602</v>
      </c>
      <c r="F1356" t="s">
        <v>55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6</v>
      </c>
      <c r="AM1356">
        <v>0</v>
      </c>
      <c r="AN1356">
        <v>6</v>
      </c>
    </row>
    <row r="1357" spans="1:40" x14ac:dyDescent="0.3">
      <c r="A1357" t="s">
        <v>339</v>
      </c>
      <c r="B1357" t="s">
        <v>54</v>
      </c>
      <c r="C1357" t="s">
        <v>10</v>
      </c>
      <c r="D1357" t="s">
        <v>11</v>
      </c>
      <c r="E1357">
        <v>202602</v>
      </c>
      <c r="F1357" t="s">
        <v>56</v>
      </c>
      <c r="G1357">
        <v>0</v>
      </c>
      <c r="H1357">
        <v>0</v>
      </c>
      <c r="I1357">
        <v>5</v>
      </c>
      <c r="J1357">
        <v>3</v>
      </c>
      <c r="K1357">
        <v>2</v>
      </c>
      <c r="L1357">
        <v>2</v>
      </c>
      <c r="M1357">
        <v>1</v>
      </c>
      <c r="N1357">
        <v>0</v>
      </c>
      <c r="O1357">
        <v>2</v>
      </c>
      <c r="P1357">
        <v>1</v>
      </c>
      <c r="Q1357">
        <v>0</v>
      </c>
      <c r="R1357">
        <v>1</v>
      </c>
      <c r="S1357">
        <v>1</v>
      </c>
      <c r="T1357">
        <v>0</v>
      </c>
      <c r="U1357">
        <v>0</v>
      </c>
      <c r="V1357">
        <v>1</v>
      </c>
      <c r="W1357">
        <v>1</v>
      </c>
      <c r="X1357">
        <v>2</v>
      </c>
      <c r="Y1357">
        <v>3</v>
      </c>
      <c r="Z1357">
        <v>1</v>
      </c>
      <c r="AA1357">
        <v>5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32</v>
      </c>
      <c r="AM1357">
        <v>1.6666666666666667</v>
      </c>
      <c r="AN1357">
        <v>40.398343113565303</v>
      </c>
    </row>
    <row r="1358" spans="1:40" x14ac:dyDescent="0.3">
      <c r="A1358" t="s">
        <v>339</v>
      </c>
      <c r="B1358" t="s">
        <v>54</v>
      </c>
      <c r="C1358" t="s">
        <v>10</v>
      </c>
      <c r="D1358" t="s">
        <v>11</v>
      </c>
      <c r="E1358">
        <v>202602</v>
      </c>
      <c r="F1358" t="s">
        <v>57</v>
      </c>
      <c r="G1358">
        <v>0</v>
      </c>
      <c r="H1358">
        <v>0</v>
      </c>
      <c r="I1358">
        <v>2</v>
      </c>
      <c r="J1358">
        <v>0</v>
      </c>
      <c r="K1358">
        <v>1</v>
      </c>
      <c r="L1358">
        <v>3</v>
      </c>
      <c r="M1358">
        <v>1</v>
      </c>
      <c r="N1358">
        <v>0</v>
      </c>
      <c r="O1358">
        <v>1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1</v>
      </c>
      <c r="Y1358">
        <v>1</v>
      </c>
      <c r="Z1358">
        <v>2</v>
      </c>
      <c r="AA1358">
        <v>1</v>
      </c>
      <c r="AB1358">
        <v>0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16</v>
      </c>
      <c r="AM1358">
        <v>1.3333333333333333</v>
      </c>
      <c r="AN1358">
        <v>22.718674490852244</v>
      </c>
    </row>
    <row r="1359" spans="1:40" x14ac:dyDescent="0.3">
      <c r="A1359" t="s">
        <v>339</v>
      </c>
      <c r="B1359" t="s">
        <v>54</v>
      </c>
      <c r="C1359" t="s">
        <v>10</v>
      </c>
      <c r="D1359" t="s">
        <v>11</v>
      </c>
      <c r="E1359">
        <v>202602</v>
      </c>
      <c r="F1359" t="s">
        <v>58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1</v>
      </c>
      <c r="AM1359">
        <v>0.33333333333333331</v>
      </c>
      <c r="AN1359">
        <v>2.6796686227130611</v>
      </c>
    </row>
    <row r="1360" spans="1:40" x14ac:dyDescent="0.3">
      <c r="A1360" t="s">
        <v>339</v>
      </c>
      <c r="B1360" t="s">
        <v>54</v>
      </c>
      <c r="C1360" t="s">
        <v>10</v>
      </c>
      <c r="D1360" t="s">
        <v>14</v>
      </c>
      <c r="E1360">
        <v>202602</v>
      </c>
      <c r="F1360" t="s">
        <v>55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1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2</v>
      </c>
      <c r="S1360">
        <v>2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8</v>
      </c>
      <c r="AM1360">
        <v>0</v>
      </c>
      <c r="AN1360">
        <v>8</v>
      </c>
    </row>
    <row r="1361" spans="1:40" x14ac:dyDescent="0.3">
      <c r="A1361" t="s">
        <v>339</v>
      </c>
      <c r="B1361" t="s">
        <v>54</v>
      </c>
      <c r="C1361" t="s">
        <v>10</v>
      </c>
      <c r="D1361" t="s">
        <v>14</v>
      </c>
      <c r="E1361">
        <v>202602</v>
      </c>
      <c r="F1361" t="s">
        <v>56</v>
      </c>
      <c r="G1361">
        <v>0</v>
      </c>
      <c r="H1361">
        <v>2</v>
      </c>
      <c r="I1361">
        <v>3</v>
      </c>
      <c r="J1361">
        <v>3</v>
      </c>
      <c r="K1361">
        <v>2</v>
      </c>
      <c r="L1361">
        <v>2</v>
      </c>
      <c r="M1361">
        <v>0</v>
      </c>
      <c r="N1361">
        <v>0</v>
      </c>
      <c r="O1361">
        <v>1</v>
      </c>
      <c r="P1361">
        <v>1</v>
      </c>
      <c r="Q1361">
        <v>1</v>
      </c>
      <c r="R1361">
        <v>3</v>
      </c>
      <c r="S1361">
        <v>3</v>
      </c>
      <c r="T1361">
        <v>1</v>
      </c>
      <c r="U1361">
        <v>0</v>
      </c>
      <c r="V1361">
        <v>2</v>
      </c>
      <c r="W1361">
        <v>3</v>
      </c>
      <c r="X1361">
        <v>1</v>
      </c>
      <c r="Y1361">
        <v>6</v>
      </c>
      <c r="Z1361">
        <v>4</v>
      </c>
      <c r="AA1361">
        <v>0</v>
      </c>
      <c r="AB1361">
        <v>0</v>
      </c>
      <c r="AC1361">
        <v>8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46</v>
      </c>
      <c r="AM1361">
        <v>6</v>
      </c>
      <c r="AN1361">
        <v>71.816345702204501</v>
      </c>
    </row>
    <row r="1362" spans="1:40" x14ac:dyDescent="0.3">
      <c r="A1362" t="s">
        <v>339</v>
      </c>
      <c r="B1362" t="s">
        <v>54</v>
      </c>
      <c r="C1362" t="s">
        <v>10</v>
      </c>
      <c r="D1362" t="s">
        <v>14</v>
      </c>
      <c r="E1362">
        <v>202602</v>
      </c>
      <c r="F1362" t="s">
        <v>57</v>
      </c>
      <c r="G1362">
        <v>0</v>
      </c>
      <c r="H1362">
        <v>0</v>
      </c>
      <c r="I1362">
        <v>2</v>
      </c>
      <c r="J1362">
        <v>3</v>
      </c>
      <c r="K1362">
        <v>2</v>
      </c>
      <c r="L1362">
        <v>2</v>
      </c>
      <c r="M1362">
        <v>0</v>
      </c>
      <c r="N1362">
        <v>0</v>
      </c>
      <c r="O1362">
        <v>0</v>
      </c>
      <c r="P1362">
        <v>0</v>
      </c>
      <c r="Q1362">
        <v>2</v>
      </c>
      <c r="R1362">
        <v>1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4</v>
      </c>
      <c r="Y1362">
        <v>2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20</v>
      </c>
      <c r="AM1362">
        <v>1</v>
      </c>
      <c r="AN1362">
        <v>24.302724283700751</v>
      </c>
    </row>
    <row r="1363" spans="1:40" x14ac:dyDescent="0.3">
      <c r="A1363" t="s">
        <v>339</v>
      </c>
      <c r="B1363" t="s">
        <v>54</v>
      </c>
      <c r="C1363" t="s">
        <v>10</v>
      </c>
      <c r="D1363" t="s">
        <v>14</v>
      </c>
      <c r="E1363">
        <v>202602</v>
      </c>
      <c r="F1363" t="s">
        <v>58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2</v>
      </c>
      <c r="AM1363">
        <v>0</v>
      </c>
      <c r="AN1363">
        <v>2</v>
      </c>
    </row>
    <row r="1364" spans="1:40" x14ac:dyDescent="0.3">
      <c r="A1364" t="s">
        <v>339</v>
      </c>
      <c r="B1364" t="s">
        <v>54</v>
      </c>
      <c r="C1364" t="s">
        <v>16</v>
      </c>
      <c r="D1364" t="s">
        <v>14</v>
      </c>
      <c r="E1364">
        <v>202602</v>
      </c>
      <c r="F1364" t="s">
        <v>56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</v>
      </c>
      <c r="AM1364">
        <v>0</v>
      </c>
      <c r="AN1364">
        <v>2</v>
      </c>
    </row>
    <row r="1365" spans="1:40" x14ac:dyDescent="0.3">
      <c r="A1365" t="s">
        <v>339</v>
      </c>
      <c r="B1365" t="s">
        <v>59</v>
      </c>
      <c r="C1365" t="s">
        <v>10</v>
      </c>
      <c r="D1365" t="s">
        <v>11</v>
      </c>
      <c r="E1365">
        <v>202602</v>
      </c>
      <c r="F1365" t="s">
        <v>204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4</v>
      </c>
      <c r="AM1365">
        <v>0.33333333333333331</v>
      </c>
      <c r="AN1365">
        <v>5.6796686227130611</v>
      </c>
    </row>
    <row r="1366" spans="1:40" x14ac:dyDescent="0.3">
      <c r="A1366" t="s">
        <v>339</v>
      </c>
      <c r="B1366" t="s">
        <v>59</v>
      </c>
      <c r="C1366" t="s">
        <v>10</v>
      </c>
      <c r="D1366" t="s">
        <v>11</v>
      </c>
      <c r="E1366">
        <v>202602</v>
      </c>
      <c r="F1366" t="s">
        <v>302</v>
      </c>
      <c r="G1366">
        <v>0</v>
      </c>
      <c r="H1366">
        <v>1</v>
      </c>
      <c r="I1366">
        <v>1</v>
      </c>
      <c r="J1366">
        <v>3</v>
      </c>
      <c r="K1366">
        <v>6</v>
      </c>
      <c r="L1366">
        <v>7</v>
      </c>
      <c r="M1366">
        <v>2</v>
      </c>
      <c r="N1366">
        <v>2</v>
      </c>
      <c r="O1366">
        <v>6</v>
      </c>
      <c r="P1366">
        <v>4</v>
      </c>
      <c r="Q1366">
        <v>5</v>
      </c>
      <c r="R1366">
        <v>6</v>
      </c>
      <c r="S1366">
        <v>3</v>
      </c>
      <c r="T1366">
        <v>5</v>
      </c>
      <c r="U1366">
        <v>0</v>
      </c>
      <c r="V1366">
        <v>4</v>
      </c>
      <c r="W1366">
        <v>1</v>
      </c>
      <c r="X1366">
        <v>1</v>
      </c>
      <c r="Y1366">
        <v>5</v>
      </c>
      <c r="Z1366">
        <v>3</v>
      </c>
      <c r="AA1366">
        <v>3</v>
      </c>
      <c r="AB1366">
        <v>0</v>
      </c>
      <c r="AC1366">
        <v>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74</v>
      </c>
      <c r="AM1366">
        <v>4.666666666666667</v>
      </c>
      <c r="AN1366">
        <v>97.515360717982844</v>
      </c>
    </row>
    <row r="1367" spans="1:40" x14ac:dyDescent="0.3">
      <c r="A1367" t="s">
        <v>339</v>
      </c>
      <c r="B1367" t="s">
        <v>59</v>
      </c>
      <c r="C1367" t="s">
        <v>10</v>
      </c>
      <c r="D1367" t="s">
        <v>11</v>
      </c>
      <c r="E1367">
        <v>202602</v>
      </c>
      <c r="F1367" t="s">
        <v>61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2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4</v>
      </c>
      <c r="AM1367">
        <v>0</v>
      </c>
      <c r="AN1367">
        <v>4</v>
      </c>
    </row>
    <row r="1368" spans="1:40" x14ac:dyDescent="0.3">
      <c r="A1368" t="s">
        <v>339</v>
      </c>
      <c r="B1368" t="s">
        <v>59</v>
      </c>
      <c r="C1368" t="s">
        <v>10</v>
      </c>
      <c r="D1368" t="s">
        <v>11</v>
      </c>
      <c r="E1368">
        <v>202602</v>
      </c>
      <c r="F1368" t="s">
        <v>205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</v>
      </c>
      <c r="Q1368">
        <v>2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7</v>
      </c>
      <c r="AM1368">
        <v>0.33333333333333331</v>
      </c>
      <c r="AN1368">
        <v>8.6796686227130611</v>
      </c>
    </row>
    <row r="1369" spans="1:40" x14ac:dyDescent="0.3">
      <c r="A1369" t="s">
        <v>339</v>
      </c>
      <c r="B1369" t="s">
        <v>59</v>
      </c>
      <c r="C1369" t="s">
        <v>10</v>
      </c>
      <c r="D1369" t="s">
        <v>11</v>
      </c>
      <c r="E1369">
        <v>202602</v>
      </c>
      <c r="F1369" t="s">
        <v>75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</v>
      </c>
      <c r="AM1369">
        <v>0</v>
      </c>
      <c r="AN1369">
        <v>1</v>
      </c>
    </row>
    <row r="1370" spans="1:40" x14ac:dyDescent="0.3">
      <c r="A1370" t="s">
        <v>339</v>
      </c>
      <c r="B1370" t="s">
        <v>59</v>
      </c>
      <c r="C1370" t="s">
        <v>10</v>
      </c>
      <c r="D1370" t="s">
        <v>11</v>
      </c>
      <c r="E1370">
        <v>202602</v>
      </c>
      <c r="F1370" t="s">
        <v>206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1</v>
      </c>
    </row>
    <row r="1371" spans="1:40" x14ac:dyDescent="0.3">
      <c r="A1371" t="s">
        <v>339</v>
      </c>
      <c r="B1371" t="s">
        <v>59</v>
      </c>
      <c r="C1371" t="s">
        <v>10</v>
      </c>
      <c r="D1371" t="s">
        <v>11</v>
      </c>
      <c r="E1371">
        <v>202602</v>
      </c>
      <c r="F1371" t="s">
        <v>76</v>
      </c>
      <c r="G1371">
        <v>0</v>
      </c>
      <c r="H1371">
        <v>2</v>
      </c>
      <c r="I1371">
        <v>2</v>
      </c>
      <c r="J1371">
        <v>2</v>
      </c>
      <c r="K1371">
        <v>5</v>
      </c>
      <c r="L1371">
        <v>4</v>
      </c>
      <c r="M1371">
        <v>0</v>
      </c>
      <c r="N1371">
        <v>1</v>
      </c>
      <c r="O1371">
        <v>5</v>
      </c>
      <c r="P1371">
        <v>1</v>
      </c>
      <c r="Q1371">
        <v>1</v>
      </c>
      <c r="R1371">
        <v>3</v>
      </c>
      <c r="S1371">
        <v>2</v>
      </c>
      <c r="T1371">
        <v>1</v>
      </c>
      <c r="U1371">
        <v>0</v>
      </c>
      <c r="V1371">
        <v>2</v>
      </c>
      <c r="W1371">
        <v>0</v>
      </c>
      <c r="X1371">
        <v>5</v>
      </c>
      <c r="Y1371">
        <v>3</v>
      </c>
      <c r="Z1371">
        <v>3</v>
      </c>
      <c r="AA1371">
        <v>1</v>
      </c>
      <c r="AB1371">
        <v>0</v>
      </c>
      <c r="AC1371">
        <v>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46</v>
      </c>
      <c r="AM1371">
        <v>3</v>
      </c>
      <c r="AN1371">
        <v>61.117017604417548</v>
      </c>
    </row>
    <row r="1372" spans="1:40" x14ac:dyDescent="0.3">
      <c r="A1372" t="s">
        <v>339</v>
      </c>
      <c r="B1372" t="s">
        <v>59</v>
      </c>
      <c r="C1372" t="s">
        <v>10</v>
      </c>
      <c r="D1372" t="s">
        <v>11</v>
      </c>
      <c r="E1372">
        <v>202602</v>
      </c>
      <c r="F1372" t="s">
        <v>64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>
        <v>0</v>
      </c>
      <c r="AN1372">
        <v>1</v>
      </c>
    </row>
    <row r="1373" spans="1:40" x14ac:dyDescent="0.3">
      <c r="A1373" t="s">
        <v>339</v>
      </c>
      <c r="B1373" t="s">
        <v>59</v>
      </c>
      <c r="C1373" t="s">
        <v>10</v>
      </c>
      <c r="D1373" t="s">
        <v>11</v>
      </c>
      <c r="E1373">
        <v>202602</v>
      </c>
      <c r="F1373" t="s">
        <v>353</v>
      </c>
      <c r="G1373">
        <v>0</v>
      </c>
      <c r="H1373">
        <v>1</v>
      </c>
      <c r="I1373">
        <v>1</v>
      </c>
      <c r="J1373">
        <v>3</v>
      </c>
      <c r="K1373">
        <v>1</v>
      </c>
      <c r="L1373">
        <v>2</v>
      </c>
      <c r="M1373">
        <v>2</v>
      </c>
      <c r="N1373">
        <v>0</v>
      </c>
      <c r="O1373">
        <v>2</v>
      </c>
      <c r="P1373">
        <v>0</v>
      </c>
      <c r="Q1373">
        <v>1</v>
      </c>
      <c r="R1373">
        <v>1</v>
      </c>
      <c r="S1373">
        <v>5</v>
      </c>
      <c r="T1373">
        <v>0</v>
      </c>
      <c r="U1373">
        <v>0</v>
      </c>
      <c r="V1373">
        <v>2</v>
      </c>
      <c r="W1373">
        <v>2</v>
      </c>
      <c r="X1373">
        <v>6</v>
      </c>
      <c r="Y1373">
        <v>7</v>
      </c>
      <c r="Z1373">
        <v>6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43</v>
      </c>
      <c r="AM1373">
        <v>4.666666666666667</v>
      </c>
      <c r="AN1373">
        <v>66.515360717982844</v>
      </c>
    </row>
    <row r="1374" spans="1:40" x14ac:dyDescent="0.3">
      <c r="A1374" t="s">
        <v>339</v>
      </c>
      <c r="B1374" t="s">
        <v>59</v>
      </c>
      <c r="C1374" t="s">
        <v>10</v>
      </c>
      <c r="D1374" t="s">
        <v>11</v>
      </c>
      <c r="E1374">
        <v>202602</v>
      </c>
      <c r="F1374" t="s">
        <v>304</v>
      </c>
      <c r="G1374">
        <v>0</v>
      </c>
      <c r="H1374">
        <v>4</v>
      </c>
      <c r="I1374">
        <v>8</v>
      </c>
      <c r="J1374">
        <v>8</v>
      </c>
      <c r="K1374">
        <v>5</v>
      </c>
      <c r="L1374">
        <v>5</v>
      </c>
      <c r="M1374">
        <v>7</v>
      </c>
      <c r="N1374">
        <v>1</v>
      </c>
      <c r="O1374">
        <v>8</v>
      </c>
      <c r="P1374">
        <v>8</v>
      </c>
      <c r="Q1374">
        <v>13</v>
      </c>
      <c r="R1374">
        <v>9</v>
      </c>
      <c r="S1374">
        <v>9</v>
      </c>
      <c r="T1374">
        <v>5</v>
      </c>
      <c r="U1374">
        <v>1</v>
      </c>
      <c r="V1374">
        <v>1</v>
      </c>
      <c r="W1374">
        <v>1</v>
      </c>
      <c r="X1374">
        <v>5</v>
      </c>
      <c r="Y1374">
        <v>9</v>
      </c>
      <c r="Z1374">
        <v>17</v>
      </c>
      <c r="AA1374">
        <v>5</v>
      </c>
      <c r="AB1374">
        <v>1</v>
      </c>
      <c r="AC1374">
        <v>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141</v>
      </c>
      <c r="AM1374">
        <v>12.333333333333334</v>
      </c>
      <c r="AN1374">
        <v>203.14773904038324</v>
      </c>
    </row>
    <row r="1375" spans="1:40" x14ac:dyDescent="0.3">
      <c r="A1375" t="s">
        <v>339</v>
      </c>
      <c r="B1375" t="s">
        <v>59</v>
      </c>
      <c r="C1375" t="s">
        <v>10</v>
      </c>
      <c r="D1375" t="s">
        <v>11</v>
      </c>
      <c r="E1375">
        <v>202602</v>
      </c>
      <c r="F1375" t="s">
        <v>69</v>
      </c>
      <c r="G1375">
        <v>1</v>
      </c>
      <c r="H1375">
        <v>2</v>
      </c>
      <c r="I1375">
        <v>7</v>
      </c>
      <c r="J1375">
        <v>2</v>
      </c>
      <c r="K1375">
        <v>7</v>
      </c>
      <c r="L1375">
        <v>7</v>
      </c>
      <c r="M1375">
        <v>2</v>
      </c>
      <c r="N1375">
        <v>1</v>
      </c>
      <c r="O1375">
        <v>7</v>
      </c>
      <c r="P1375">
        <v>3</v>
      </c>
      <c r="Q1375">
        <v>2</v>
      </c>
      <c r="R1375">
        <v>7</v>
      </c>
      <c r="S1375">
        <v>6</v>
      </c>
      <c r="T1375">
        <v>3</v>
      </c>
      <c r="U1375">
        <v>1</v>
      </c>
      <c r="V1375">
        <v>4</v>
      </c>
      <c r="W1375">
        <v>0</v>
      </c>
      <c r="X1375">
        <v>4</v>
      </c>
      <c r="Y1375">
        <v>3</v>
      </c>
      <c r="Z1375">
        <v>5</v>
      </c>
      <c r="AA1375">
        <v>2</v>
      </c>
      <c r="AB1375">
        <v>1</v>
      </c>
      <c r="AC1375">
        <v>8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85</v>
      </c>
      <c r="AM1375">
        <v>5.333333333333333</v>
      </c>
      <c r="AN1375">
        <v>111.87469796340898</v>
      </c>
    </row>
    <row r="1376" spans="1:40" x14ac:dyDescent="0.3">
      <c r="A1376" t="s">
        <v>339</v>
      </c>
      <c r="B1376" t="s">
        <v>59</v>
      </c>
      <c r="C1376" t="s">
        <v>10</v>
      </c>
      <c r="D1376" t="s">
        <v>11</v>
      </c>
      <c r="E1376">
        <v>202602</v>
      </c>
      <c r="F1376" t="s">
        <v>354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4</v>
      </c>
      <c r="AM1376">
        <v>0</v>
      </c>
      <c r="AN1376">
        <v>4</v>
      </c>
    </row>
    <row r="1377" spans="1:40" x14ac:dyDescent="0.3">
      <c r="A1377" t="s">
        <v>339</v>
      </c>
      <c r="B1377" t="s">
        <v>59</v>
      </c>
      <c r="C1377" t="s">
        <v>10</v>
      </c>
      <c r="D1377" t="s">
        <v>11</v>
      </c>
      <c r="E1377">
        <v>202602</v>
      </c>
      <c r="F1377" t="s">
        <v>78</v>
      </c>
      <c r="G1377">
        <v>0</v>
      </c>
      <c r="H1377">
        <v>0</v>
      </c>
      <c r="I1377">
        <v>0</v>
      </c>
      <c r="J1377">
        <v>0</v>
      </c>
      <c r="K1377">
        <v>4</v>
      </c>
      <c r="L1377">
        <v>1</v>
      </c>
      <c r="M1377">
        <v>0</v>
      </c>
      <c r="N1377">
        <v>0</v>
      </c>
      <c r="O1377">
        <v>3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0</v>
      </c>
      <c r="V1377">
        <v>1</v>
      </c>
      <c r="W1377">
        <v>0</v>
      </c>
      <c r="X1377">
        <v>1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13</v>
      </c>
      <c r="AM1377">
        <v>0.33333333333333331</v>
      </c>
      <c r="AN1377">
        <v>14.679668622713061</v>
      </c>
    </row>
    <row r="1378" spans="1:40" x14ac:dyDescent="0.3">
      <c r="A1378" t="s">
        <v>339</v>
      </c>
      <c r="B1378" t="s">
        <v>59</v>
      </c>
      <c r="C1378" t="s">
        <v>10</v>
      </c>
      <c r="D1378" t="s">
        <v>11</v>
      </c>
      <c r="E1378">
        <v>202602</v>
      </c>
      <c r="F1378" t="s">
        <v>79</v>
      </c>
      <c r="G1378">
        <v>0</v>
      </c>
      <c r="H1378">
        <v>0</v>
      </c>
      <c r="I1378">
        <v>2</v>
      </c>
      <c r="J1378">
        <v>1</v>
      </c>
      <c r="K1378">
        <v>0</v>
      </c>
      <c r="L1378">
        <v>1</v>
      </c>
      <c r="M1378">
        <v>0</v>
      </c>
      <c r="N1378">
        <v>0</v>
      </c>
      <c r="O1378">
        <v>2</v>
      </c>
      <c r="P1378">
        <v>1</v>
      </c>
      <c r="Q1378">
        <v>0</v>
      </c>
      <c r="R1378">
        <v>1</v>
      </c>
      <c r="S1378">
        <v>2</v>
      </c>
      <c r="T1378">
        <v>1</v>
      </c>
      <c r="U1378">
        <v>0</v>
      </c>
      <c r="V1378">
        <v>2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15</v>
      </c>
      <c r="AM1378">
        <v>0.66666666666666663</v>
      </c>
      <c r="AN1378">
        <v>18.359337245426122</v>
      </c>
    </row>
    <row r="1379" spans="1:40" x14ac:dyDescent="0.3">
      <c r="A1379" t="s">
        <v>339</v>
      </c>
      <c r="B1379" t="s">
        <v>59</v>
      </c>
      <c r="C1379" t="s">
        <v>10</v>
      </c>
      <c r="D1379" t="s">
        <v>14</v>
      </c>
      <c r="E1379">
        <v>202602</v>
      </c>
      <c r="F1379" t="s">
        <v>204</v>
      </c>
      <c r="G1379">
        <v>0</v>
      </c>
      <c r="H1379">
        <v>0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2</v>
      </c>
      <c r="AA1379">
        <v>0</v>
      </c>
      <c r="AB1379">
        <v>0</v>
      </c>
      <c r="AC1379">
        <v>2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6</v>
      </c>
      <c r="AM1379">
        <v>1.3333333333333333</v>
      </c>
      <c r="AN1379">
        <v>11.736965711601</v>
      </c>
    </row>
    <row r="1380" spans="1:40" x14ac:dyDescent="0.3">
      <c r="A1380" t="s">
        <v>339</v>
      </c>
      <c r="B1380" t="s">
        <v>59</v>
      </c>
      <c r="C1380" t="s">
        <v>10</v>
      </c>
      <c r="D1380" t="s">
        <v>14</v>
      </c>
      <c r="E1380">
        <v>202602</v>
      </c>
      <c r="F1380" t="s">
        <v>302</v>
      </c>
      <c r="G1380">
        <v>0</v>
      </c>
      <c r="H1380">
        <v>10</v>
      </c>
      <c r="I1380">
        <v>9</v>
      </c>
      <c r="J1380">
        <v>9</v>
      </c>
      <c r="K1380">
        <v>5</v>
      </c>
      <c r="L1380">
        <v>9</v>
      </c>
      <c r="M1380">
        <v>0</v>
      </c>
      <c r="N1380">
        <v>0</v>
      </c>
      <c r="O1380">
        <v>8</v>
      </c>
      <c r="P1380">
        <v>8</v>
      </c>
      <c r="Q1380">
        <v>7</v>
      </c>
      <c r="R1380">
        <v>5</v>
      </c>
      <c r="S1380">
        <v>8</v>
      </c>
      <c r="T1380">
        <v>0</v>
      </c>
      <c r="U1380">
        <v>0</v>
      </c>
      <c r="V1380">
        <v>0</v>
      </c>
      <c r="W1380">
        <v>2</v>
      </c>
      <c r="X1380">
        <v>2</v>
      </c>
      <c r="Y1380">
        <v>8</v>
      </c>
      <c r="Z1380">
        <v>7</v>
      </c>
      <c r="AA1380">
        <v>0</v>
      </c>
      <c r="AB1380">
        <v>0</v>
      </c>
      <c r="AC1380">
        <v>8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105</v>
      </c>
      <c r="AM1380">
        <v>7.666666666666667</v>
      </c>
      <c r="AN1380">
        <v>137.98755284170576</v>
      </c>
    </row>
    <row r="1381" spans="1:40" x14ac:dyDescent="0.3">
      <c r="A1381" t="s">
        <v>339</v>
      </c>
      <c r="B1381" t="s">
        <v>59</v>
      </c>
      <c r="C1381" t="s">
        <v>10</v>
      </c>
      <c r="D1381" t="s">
        <v>14</v>
      </c>
      <c r="E1381">
        <v>202602</v>
      </c>
      <c r="F1381" t="s">
        <v>61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1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5</v>
      </c>
      <c r="AM1381">
        <v>0</v>
      </c>
      <c r="AN1381">
        <v>5</v>
      </c>
    </row>
    <row r="1382" spans="1:40" x14ac:dyDescent="0.3">
      <c r="A1382" t="s">
        <v>339</v>
      </c>
      <c r="B1382" t="s">
        <v>59</v>
      </c>
      <c r="C1382" t="s">
        <v>10</v>
      </c>
      <c r="D1382" t="s">
        <v>14</v>
      </c>
      <c r="E1382">
        <v>202602</v>
      </c>
      <c r="F1382" t="s">
        <v>205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3</v>
      </c>
      <c r="M1382">
        <v>0</v>
      </c>
      <c r="N1382">
        <v>0</v>
      </c>
      <c r="O1382">
        <v>1</v>
      </c>
      <c r="P1382">
        <v>3</v>
      </c>
      <c r="Q1382">
        <v>3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</v>
      </c>
      <c r="AA1382">
        <v>0</v>
      </c>
      <c r="AB1382">
        <v>0</v>
      </c>
      <c r="AC1382">
        <v>2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15</v>
      </c>
      <c r="AM1382">
        <v>1.3333333333333333</v>
      </c>
      <c r="AN1382">
        <v>20.736965711601002</v>
      </c>
    </row>
    <row r="1383" spans="1:40" x14ac:dyDescent="0.3">
      <c r="A1383" t="s">
        <v>339</v>
      </c>
      <c r="B1383" t="s">
        <v>59</v>
      </c>
      <c r="C1383" t="s">
        <v>10</v>
      </c>
      <c r="D1383" t="s">
        <v>14</v>
      </c>
      <c r="E1383">
        <v>202602</v>
      </c>
      <c r="F1383" t="s">
        <v>75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1</v>
      </c>
    </row>
    <row r="1384" spans="1:40" x14ac:dyDescent="0.3">
      <c r="A1384" t="s">
        <v>339</v>
      </c>
      <c r="B1384" t="s">
        <v>59</v>
      </c>
      <c r="C1384" t="s">
        <v>10</v>
      </c>
      <c r="D1384" t="s">
        <v>14</v>
      </c>
      <c r="E1384">
        <v>202602</v>
      </c>
      <c r="F1384" t="s">
        <v>76</v>
      </c>
      <c r="G1384">
        <v>0</v>
      </c>
      <c r="H1384">
        <v>2</v>
      </c>
      <c r="I1384">
        <v>4</v>
      </c>
      <c r="J1384">
        <v>1</v>
      </c>
      <c r="K1384">
        <v>6</v>
      </c>
      <c r="L1384">
        <v>5</v>
      </c>
      <c r="M1384">
        <v>1</v>
      </c>
      <c r="N1384">
        <v>0</v>
      </c>
      <c r="O1384">
        <v>3</v>
      </c>
      <c r="P1384">
        <v>2</v>
      </c>
      <c r="Q1384">
        <v>3</v>
      </c>
      <c r="R1384">
        <v>2</v>
      </c>
      <c r="S1384">
        <v>6</v>
      </c>
      <c r="T1384">
        <v>0</v>
      </c>
      <c r="U1384">
        <v>0</v>
      </c>
      <c r="V1384">
        <v>2</v>
      </c>
      <c r="W1384">
        <v>0</v>
      </c>
      <c r="X1384">
        <v>3</v>
      </c>
      <c r="Y1384">
        <v>2</v>
      </c>
      <c r="Z1384">
        <v>2</v>
      </c>
      <c r="AA1384">
        <v>0</v>
      </c>
      <c r="AB1384">
        <v>0</v>
      </c>
      <c r="AC1384">
        <v>2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46</v>
      </c>
      <c r="AM1384">
        <v>2</v>
      </c>
      <c r="AN1384">
        <v>54.605448567401503</v>
      </c>
    </row>
    <row r="1385" spans="1:40" x14ac:dyDescent="0.3">
      <c r="A1385" t="s">
        <v>339</v>
      </c>
      <c r="B1385" t="s">
        <v>59</v>
      </c>
      <c r="C1385" t="s">
        <v>10</v>
      </c>
      <c r="D1385" t="s">
        <v>14</v>
      </c>
      <c r="E1385">
        <v>202602</v>
      </c>
      <c r="F1385" t="s">
        <v>64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>
        <v>0.33333333333333331</v>
      </c>
      <c r="AN1385">
        <v>2.43424142790025</v>
      </c>
    </row>
    <row r="1386" spans="1:40" x14ac:dyDescent="0.3">
      <c r="A1386" t="s">
        <v>339</v>
      </c>
      <c r="B1386" t="s">
        <v>59</v>
      </c>
      <c r="C1386" t="s">
        <v>10</v>
      </c>
      <c r="D1386" t="s">
        <v>14</v>
      </c>
      <c r="E1386">
        <v>202602</v>
      </c>
      <c r="F1386" t="s">
        <v>353</v>
      </c>
      <c r="G1386">
        <v>0</v>
      </c>
      <c r="H1386">
        <v>4</v>
      </c>
      <c r="I1386">
        <v>1</v>
      </c>
      <c r="J1386">
        <v>3</v>
      </c>
      <c r="K1386">
        <v>2</v>
      </c>
      <c r="L1386">
        <v>1</v>
      </c>
      <c r="M1386">
        <v>0</v>
      </c>
      <c r="N1386">
        <v>0</v>
      </c>
      <c r="O1386">
        <v>2</v>
      </c>
      <c r="P1386">
        <v>5</v>
      </c>
      <c r="Q1386">
        <v>3</v>
      </c>
      <c r="R1386">
        <v>4</v>
      </c>
      <c r="S1386">
        <v>4</v>
      </c>
      <c r="T1386">
        <v>0</v>
      </c>
      <c r="U1386">
        <v>0</v>
      </c>
      <c r="V1386">
        <v>5</v>
      </c>
      <c r="W1386">
        <v>4</v>
      </c>
      <c r="X1386">
        <v>5</v>
      </c>
      <c r="Y1386">
        <v>3</v>
      </c>
      <c r="Z1386">
        <v>1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48</v>
      </c>
      <c r="AM1386">
        <v>1.6666666666666667</v>
      </c>
      <c r="AN1386">
        <v>55.171207139501249</v>
      </c>
    </row>
    <row r="1387" spans="1:40" x14ac:dyDescent="0.3">
      <c r="A1387" t="s">
        <v>339</v>
      </c>
      <c r="B1387" t="s">
        <v>59</v>
      </c>
      <c r="C1387" t="s">
        <v>10</v>
      </c>
      <c r="D1387" t="s">
        <v>14</v>
      </c>
      <c r="E1387">
        <v>202602</v>
      </c>
      <c r="F1387" t="s">
        <v>304</v>
      </c>
      <c r="G1387">
        <v>2</v>
      </c>
      <c r="H1387">
        <v>4</v>
      </c>
      <c r="I1387">
        <v>10</v>
      </c>
      <c r="J1387">
        <v>18</v>
      </c>
      <c r="K1387">
        <v>14</v>
      </c>
      <c r="L1387">
        <v>17</v>
      </c>
      <c r="M1387">
        <v>0</v>
      </c>
      <c r="N1387">
        <v>0</v>
      </c>
      <c r="O1387">
        <v>16</v>
      </c>
      <c r="P1387">
        <v>7</v>
      </c>
      <c r="Q1387">
        <v>15</v>
      </c>
      <c r="R1387">
        <v>14</v>
      </c>
      <c r="S1387">
        <v>14</v>
      </c>
      <c r="T1387">
        <v>0</v>
      </c>
      <c r="U1387">
        <v>0</v>
      </c>
      <c r="V1387">
        <v>0</v>
      </c>
      <c r="W1387">
        <v>4</v>
      </c>
      <c r="X1387">
        <v>20</v>
      </c>
      <c r="Y1387">
        <v>14</v>
      </c>
      <c r="Z1387">
        <v>13</v>
      </c>
      <c r="AA1387">
        <v>0</v>
      </c>
      <c r="AB1387">
        <v>0</v>
      </c>
      <c r="AC1387">
        <v>9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191</v>
      </c>
      <c r="AM1387">
        <v>12</v>
      </c>
      <c r="AN1387">
        <v>242.632691404409</v>
      </c>
    </row>
    <row r="1388" spans="1:40" x14ac:dyDescent="0.3">
      <c r="A1388" t="s">
        <v>339</v>
      </c>
      <c r="B1388" t="s">
        <v>59</v>
      </c>
      <c r="C1388" t="s">
        <v>10</v>
      </c>
      <c r="D1388" t="s">
        <v>14</v>
      </c>
      <c r="E1388">
        <v>202602</v>
      </c>
      <c r="F1388" t="s">
        <v>69</v>
      </c>
      <c r="G1388">
        <v>0</v>
      </c>
      <c r="H1388">
        <v>4</v>
      </c>
      <c r="I1388">
        <v>12</v>
      </c>
      <c r="J1388">
        <v>13</v>
      </c>
      <c r="K1388">
        <v>4</v>
      </c>
      <c r="L1388">
        <v>6</v>
      </c>
      <c r="M1388">
        <v>0</v>
      </c>
      <c r="N1388">
        <v>0</v>
      </c>
      <c r="O1388">
        <v>6</v>
      </c>
      <c r="P1388">
        <v>8</v>
      </c>
      <c r="Q1388">
        <v>6</v>
      </c>
      <c r="R1388">
        <v>7</v>
      </c>
      <c r="S1388">
        <v>9</v>
      </c>
      <c r="T1388">
        <v>0</v>
      </c>
      <c r="U1388">
        <v>0</v>
      </c>
      <c r="V1388">
        <v>2</v>
      </c>
      <c r="W1388">
        <v>0</v>
      </c>
      <c r="X1388">
        <v>5</v>
      </c>
      <c r="Y1388">
        <v>7</v>
      </c>
      <c r="Z1388">
        <v>10</v>
      </c>
      <c r="AA1388">
        <v>0</v>
      </c>
      <c r="AB1388">
        <v>0</v>
      </c>
      <c r="AC1388">
        <v>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107</v>
      </c>
      <c r="AM1388">
        <v>8.3333333333333339</v>
      </c>
      <c r="AN1388">
        <v>142.85603569750626</v>
      </c>
    </row>
    <row r="1389" spans="1:40" x14ac:dyDescent="0.3">
      <c r="A1389" t="s">
        <v>339</v>
      </c>
      <c r="B1389" t="s">
        <v>59</v>
      </c>
      <c r="C1389" t="s">
        <v>10</v>
      </c>
      <c r="D1389" t="s">
        <v>14</v>
      </c>
      <c r="E1389">
        <v>202602</v>
      </c>
      <c r="F1389" t="s">
        <v>354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2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5</v>
      </c>
      <c r="AM1389">
        <v>0.33333333333333331</v>
      </c>
      <c r="AN1389">
        <v>6.4342414279002504</v>
      </c>
    </row>
    <row r="1390" spans="1:40" x14ac:dyDescent="0.3">
      <c r="A1390" t="s">
        <v>339</v>
      </c>
      <c r="B1390" t="s">
        <v>59</v>
      </c>
      <c r="C1390" t="s">
        <v>10</v>
      </c>
      <c r="D1390" t="s">
        <v>14</v>
      </c>
      <c r="E1390">
        <v>202602</v>
      </c>
      <c r="F1390" t="s">
        <v>78</v>
      </c>
      <c r="G1390">
        <v>0</v>
      </c>
      <c r="H1390">
        <v>0</v>
      </c>
      <c r="I1390">
        <v>2</v>
      </c>
      <c r="J1390">
        <v>3</v>
      </c>
      <c r="K1390">
        <v>0</v>
      </c>
      <c r="L1390">
        <v>3</v>
      </c>
      <c r="M1390">
        <v>0</v>
      </c>
      <c r="N1390">
        <v>0</v>
      </c>
      <c r="O1390">
        <v>0</v>
      </c>
      <c r="P1390">
        <v>2</v>
      </c>
      <c r="Q1390">
        <v>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1</v>
      </c>
      <c r="Z1390">
        <v>0</v>
      </c>
      <c r="AA1390">
        <v>0</v>
      </c>
      <c r="AB1390">
        <v>0</v>
      </c>
      <c r="AC1390">
        <v>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16</v>
      </c>
      <c r="AM1390">
        <v>1</v>
      </c>
      <c r="AN1390">
        <v>20.302724283700751</v>
      </c>
    </row>
    <row r="1391" spans="1:40" x14ac:dyDescent="0.3">
      <c r="A1391" t="s">
        <v>339</v>
      </c>
      <c r="B1391" t="s">
        <v>59</v>
      </c>
      <c r="C1391" t="s">
        <v>10</v>
      </c>
      <c r="D1391" t="s">
        <v>14</v>
      </c>
      <c r="E1391">
        <v>202602</v>
      </c>
      <c r="F1391" t="s">
        <v>79</v>
      </c>
      <c r="G1391">
        <v>0</v>
      </c>
      <c r="H1391">
        <v>0</v>
      </c>
      <c r="I1391">
        <v>1</v>
      </c>
      <c r="J1391">
        <v>1</v>
      </c>
      <c r="K1391">
        <v>0</v>
      </c>
      <c r="L1391">
        <v>1</v>
      </c>
      <c r="M1391">
        <v>0</v>
      </c>
      <c r="N1391">
        <v>0</v>
      </c>
      <c r="O1391">
        <v>1</v>
      </c>
      <c r="P1391">
        <v>1</v>
      </c>
      <c r="Q1391">
        <v>4</v>
      </c>
      <c r="R1391">
        <v>4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4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18</v>
      </c>
      <c r="AM1391">
        <v>1.6666666666666667</v>
      </c>
      <c r="AN1391">
        <v>25.171207139501249</v>
      </c>
    </row>
    <row r="1392" spans="1:40" x14ac:dyDescent="0.3">
      <c r="A1392" t="s">
        <v>339</v>
      </c>
      <c r="B1392" t="s">
        <v>81</v>
      </c>
      <c r="C1392" t="s">
        <v>10</v>
      </c>
      <c r="D1392" t="s">
        <v>11</v>
      </c>
      <c r="E1392">
        <v>202602</v>
      </c>
      <c r="F1392" t="s">
        <v>307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0.33333333333333331</v>
      </c>
      <c r="AN1392">
        <v>2.6796686227130611</v>
      </c>
    </row>
    <row r="1393" spans="1:40" x14ac:dyDescent="0.3">
      <c r="A1393" t="s">
        <v>339</v>
      </c>
      <c r="B1393" t="s">
        <v>81</v>
      </c>
      <c r="C1393" t="s">
        <v>10</v>
      </c>
      <c r="D1393" t="s">
        <v>11</v>
      </c>
      <c r="E1393">
        <v>202602</v>
      </c>
      <c r="F1393" t="s">
        <v>83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2</v>
      </c>
      <c r="AM1393">
        <v>0</v>
      </c>
      <c r="AN1393">
        <v>2</v>
      </c>
    </row>
    <row r="1394" spans="1:40" x14ac:dyDescent="0.3">
      <c r="A1394" t="s">
        <v>339</v>
      </c>
      <c r="B1394" t="s">
        <v>81</v>
      </c>
      <c r="C1394" t="s">
        <v>10</v>
      </c>
      <c r="D1394" t="s">
        <v>11</v>
      </c>
      <c r="E1394">
        <v>202602</v>
      </c>
      <c r="F1394" t="s">
        <v>355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2</v>
      </c>
      <c r="M1394">
        <v>1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2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8</v>
      </c>
      <c r="AM1394">
        <v>0.66666666666666663</v>
      </c>
      <c r="AN1394">
        <v>11.359337245426122</v>
      </c>
    </row>
    <row r="1395" spans="1:40" x14ac:dyDescent="0.3">
      <c r="A1395" t="s">
        <v>339</v>
      </c>
      <c r="B1395" t="s">
        <v>81</v>
      </c>
      <c r="C1395" t="s">
        <v>10</v>
      </c>
      <c r="D1395" t="s">
        <v>11</v>
      </c>
      <c r="E1395">
        <v>202602</v>
      </c>
      <c r="F1395" t="s">
        <v>356</v>
      </c>
      <c r="G1395">
        <v>0</v>
      </c>
      <c r="H1395">
        <v>0</v>
      </c>
      <c r="I1395">
        <v>1</v>
      </c>
      <c r="J1395">
        <v>0</v>
      </c>
      <c r="K1395">
        <v>2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2</v>
      </c>
      <c r="R1395">
        <v>0</v>
      </c>
      <c r="S1395">
        <v>1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10</v>
      </c>
      <c r="AM1395">
        <v>0.66666666666666663</v>
      </c>
      <c r="AN1395">
        <v>13.359337245426122</v>
      </c>
    </row>
    <row r="1396" spans="1:40" x14ac:dyDescent="0.3">
      <c r="A1396" t="s">
        <v>339</v>
      </c>
      <c r="B1396" t="s">
        <v>81</v>
      </c>
      <c r="C1396" t="s">
        <v>10</v>
      </c>
      <c r="D1396" t="s">
        <v>11</v>
      </c>
      <c r="E1396">
        <v>202602</v>
      </c>
      <c r="F1396" t="s">
        <v>357</v>
      </c>
      <c r="G1396">
        <v>0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6</v>
      </c>
      <c r="AM1396">
        <v>0.33333333333333331</v>
      </c>
      <c r="AN1396">
        <v>7.6796686227130611</v>
      </c>
    </row>
    <row r="1397" spans="1:40" x14ac:dyDescent="0.3">
      <c r="A1397" t="s">
        <v>339</v>
      </c>
      <c r="B1397" t="s">
        <v>81</v>
      </c>
      <c r="C1397" t="s">
        <v>10</v>
      </c>
      <c r="D1397" t="s">
        <v>11</v>
      </c>
      <c r="E1397">
        <v>202602</v>
      </c>
      <c r="F1397" t="s">
        <v>358</v>
      </c>
      <c r="G1397">
        <v>0</v>
      </c>
      <c r="H1397">
        <v>0</v>
      </c>
      <c r="I1397">
        <v>1</v>
      </c>
      <c r="J1397">
        <v>5</v>
      </c>
      <c r="K1397">
        <v>1</v>
      </c>
      <c r="L1397">
        <v>3</v>
      </c>
      <c r="M1397">
        <v>0</v>
      </c>
      <c r="N1397">
        <v>0</v>
      </c>
      <c r="O1397">
        <v>1</v>
      </c>
      <c r="P1397">
        <v>1</v>
      </c>
      <c r="Q1397">
        <v>1</v>
      </c>
      <c r="R1397">
        <v>4</v>
      </c>
      <c r="S1397">
        <v>2</v>
      </c>
      <c r="T1397">
        <v>0</v>
      </c>
      <c r="U1397">
        <v>0</v>
      </c>
      <c r="V1397">
        <v>0</v>
      </c>
      <c r="W1397">
        <v>1</v>
      </c>
      <c r="X1397">
        <v>1</v>
      </c>
      <c r="Y1397">
        <v>0</v>
      </c>
      <c r="Z1397">
        <v>5</v>
      </c>
      <c r="AA1397">
        <v>2</v>
      </c>
      <c r="AB1397">
        <v>0</v>
      </c>
      <c r="AC1397">
        <v>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30</v>
      </c>
      <c r="AM1397">
        <v>2.3333333333333335</v>
      </c>
      <c r="AN1397">
        <v>41.757680358991422</v>
      </c>
    </row>
    <row r="1398" spans="1:40" x14ac:dyDescent="0.3">
      <c r="A1398" t="s">
        <v>339</v>
      </c>
      <c r="B1398" t="s">
        <v>81</v>
      </c>
      <c r="C1398" t="s">
        <v>10</v>
      </c>
      <c r="D1398" t="s">
        <v>11</v>
      </c>
      <c r="E1398">
        <v>202602</v>
      </c>
      <c r="F1398" t="s">
        <v>362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1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3</v>
      </c>
      <c r="AM1398">
        <v>0.33333333333333331</v>
      </c>
      <c r="AN1398">
        <v>4.6796686227130611</v>
      </c>
    </row>
    <row r="1399" spans="1:40" x14ac:dyDescent="0.3">
      <c r="A1399" t="s">
        <v>339</v>
      </c>
      <c r="B1399" t="s">
        <v>81</v>
      </c>
      <c r="C1399" t="s">
        <v>10</v>
      </c>
      <c r="D1399" t="s">
        <v>11</v>
      </c>
      <c r="E1399">
        <v>202602</v>
      </c>
      <c r="F1399" t="s">
        <v>359</v>
      </c>
      <c r="G1399">
        <v>0</v>
      </c>
      <c r="H1399">
        <v>1</v>
      </c>
      <c r="I1399">
        <v>0</v>
      </c>
      <c r="J1399">
        <v>2</v>
      </c>
      <c r="K1399">
        <v>2</v>
      </c>
      <c r="L1399">
        <v>1</v>
      </c>
      <c r="M1399">
        <v>0</v>
      </c>
      <c r="N1399">
        <v>0</v>
      </c>
      <c r="O1399">
        <v>1</v>
      </c>
      <c r="P1399">
        <v>0</v>
      </c>
      <c r="Q1399">
        <v>3</v>
      </c>
      <c r="R1399">
        <v>1</v>
      </c>
      <c r="S1399">
        <v>1</v>
      </c>
      <c r="T1399">
        <v>0</v>
      </c>
      <c r="U1399">
        <v>0</v>
      </c>
      <c r="V1399">
        <v>1</v>
      </c>
      <c r="W1399">
        <v>1</v>
      </c>
      <c r="X1399">
        <v>1</v>
      </c>
      <c r="Y1399">
        <v>1</v>
      </c>
      <c r="Z1399">
        <v>0</v>
      </c>
      <c r="AA1399">
        <v>0</v>
      </c>
      <c r="AB1399">
        <v>0</v>
      </c>
      <c r="AC1399">
        <v>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18</v>
      </c>
      <c r="AM1399">
        <v>1</v>
      </c>
      <c r="AN1399">
        <v>23.039005868139181</v>
      </c>
    </row>
    <row r="1400" spans="1:40" x14ac:dyDescent="0.3">
      <c r="A1400" t="s">
        <v>339</v>
      </c>
      <c r="B1400" t="s">
        <v>81</v>
      </c>
      <c r="C1400" t="s">
        <v>10</v>
      </c>
      <c r="D1400" t="s">
        <v>11</v>
      </c>
      <c r="E1400">
        <v>202602</v>
      </c>
      <c r="F1400" t="s">
        <v>360</v>
      </c>
      <c r="G1400">
        <v>1</v>
      </c>
      <c r="H1400">
        <v>0</v>
      </c>
      <c r="I1400">
        <v>1</v>
      </c>
      <c r="J1400">
        <v>0</v>
      </c>
      <c r="K1400">
        <v>1</v>
      </c>
      <c r="L1400">
        <v>2</v>
      </c>
      <c r="M1400">
        <v>0</v>
      </c>
      <c r="N1400">
        <v>0</v>
      </c>
      <c r="O1400">
        <v>1</v>
      </c>
      <c r="P1400">
        <v>1</v>
      </c>
      <c r="Q1400">
        <v>2</v>
      </c>
      <c r="R1400">
        <v>0</v>
      </c>
      <c r="S1400">
        <v>1</v>
      </c>
      <c r="T1400">
        <v>0</v>
      </c>
      <c r="U1400">
        <v>0</v>
      </c>
      <c r="V1400">
        <v>2</v>
      </c>
      <c r="W1400">
        <v>1</v>
      </c>
      <c r="X1400">
        <v>1</v>
      </c>
      <c r="Y1400">
        <v>1</v>
      </c>
      <c r="Z1400">
        <v>2</v>
      </c>
      <c r="AA1400">
        <v>2</v>
      </c>
      <c r="AB1400">
        <v>0</v>
      </c>
      <c r="AC1400">
        <v>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21</v>
      </c>
      <c r="AM1400">
        <v>1.6666666666666667</v>
      </c>
      <c r="AN1400">
        <v>29.398343113565303</v>
      </c>
    </row>
    <row r="1401" spans="1:40" x14ac:dyDescent="0.3">
      <c r="A1401" t="s">
        <v>339</v>
      </c>
      <c r="B1401" t="s">
        <v>81</v>
      </c>
      <c r="C1401" t="s">
        <v>10</v>
      </c>
      <c r="D1401" t="s">
        <v>11</v>
      </c>
      <c r="E1401">
        <v>202602</v>
      </c>
      <c r="F1401" t="s">
        <v>363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  <c r="AN1401">
        <v>1</v>
      </c>
    </row>
    <row r="1402" spans="1:40" x14ac:dyDescent="0.3">
      <c r="A1402" t="s">
        <v>339</v>
      </c>
      <c r="B1402" t="s">
        <v>81</v>
      </c>
      <c r="C1402" t="s">
        <v>10</v>
      </c>
      <c r="D1402" t="s">
        <v>11</v>
      </c>
      <c r="E1402">
        <v>202602</v>
      </c>
      <c r="F1402" t="s">
        <v>364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3</v>
      </c>
      <c r="AM1402">
        <v>0.66666666666666663</v>
      </c>
      <c r="AN1402">
        <v>6.3593372454261221</v>
      </c>
    </row>
    <row r="1403" spans="1:40" x14ac:dyDescent="0.3">
      <c r="A1403" t="s">
        <v>339</v>
      </c>
      <c r="B1403" t="s">
        <v>81</v>
      </c>
      <c r="C1403" t="s">
        <v>10</v>
      </c>
      <c r="D1403" t="s">
        <v>11</v>
      </c>
      <c r="E1403">
        <v>202602</v>
      </c>
      <c r="F1403" t="s">
        <v>361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3</v>
      </c>
      <c r="AM1403">
        <v>0</v>
      </c>
      <c r="AN1403">
        <v>3</v>
      </c>
    </row>
    <row r="1404" spans="1:40" x14ac:dyDescent="0.3">
      <c r="A1404" t="s">
        <v>339</v>
      </c>
      <c r="B1404" t="s">
        <v>81</v>
      </c>
      <c r="C1404" t="s">
        <v>10</v>
      </c>
      <c r="D1404" t="s">
        <v>14</v>
      </c>
      <c r="E1404">
        <v>202602</v>
      </c>
      <c r="F1404" t="s">
        <v>307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1</v>
      </c>
    </row>
    <row r="1405" spans="1:40" x14ac:dyDescent="0.3">
      <c r="A1405" t="s">
        <v>339</v>
      </c>
      <c r="B1405" t="s">
        <v>81</v>
      </c>
      <c r="C1405" t="s">
        <v>10</v>
      </c>
      <c r="D1405" t="s">
        <v>14</v>
      </c>
      <c r="E1405">
        <v>202602</v>
      </c>
      <c r="F1405" t="s">
        <v>83</v>
      </c>
      <c r="G1405">
        <v>0</v>
      </c>
      <c r="H1405">
        <v>0</v>
      </c>
      <c r="I1405">
        <v>0</v>
      </c>
      <c r="J1405">
        <v>3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4</v>
      </c>
      <c r="AM1405">
        <v>0</v>
      </c>
      <c r="AN1405">
        <v>4</v>
      </c>
    </row>
    <row r="1406" spans="1:40" x14ac:dyDescent="0.3">
      <c r="A1406" t="s">
        <v>339</v>
      </c>
      <c r="B1406" t="s">
        <v>81</v>
      </c>
      <c r="C1406" t="s">
        <v>10</v>
      </c>
      <c r="D1406" t="s">
        <v>14</v>
      </c>
      <c r="E1406">
        <v>202602</v>
      </c>
      <c r="F1406" t="s">
        <v>355</v>
      </c>
      <c r="G1406">
        <v>0</v>
      </c>
      <c r="H1406">
        <v>0</v>
      </c>
      <c r="I1406">
        <v>0</v>
      </c>
      <c r="J1406">
        <v>2</v>
      </c>
      <c r="K1406">
        <v>0</v>
      </c>
      <c r="L1406">
        <v>1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0</v>
      </c>
      <c r="V1406">
        <v>0</v>
      </c>
      <c r="W1406">
        <v>0</v>
      </c>
      <c r="X1406">
        <v>1</v>
      </c>
      <c r="Y1406">
        <v>1</v>
      </c>
      <c r="Z1406">
        <v>2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10</v>
      </c>
      <c r="AM1406">
        <v>1</v>
      </c>
      <c r="AN1406">
        <v>14.302724283700751</v>
      </c>
    </row>
    <row r="1407" spans="1:40" x14ac:dyDescent="0.3">
      <c r="A1407" t="s">
        <v>339</v>
      </c>
      <c r="B1407" t="s">
        <v>81</v>
      </c>
      <c r="C1407" t="s">
        <v>10</v>
      </c>
      <c r="D1407" t="s">
        <v>14</v>
      </c>
      <c r="E1407">
        <v>202602</v>
      </c>
      <c r="F1407" t="s">
        <v>356</v>
      </c>
      <c r="G1407">
        <v>0</v>
      </c>
      <c r="H1407">
        <v>2</v>
      </c>
      <c r="I1407">
        <v>0</v>
      </c>
      <c r="J1407">
        <v>1</v>
      </c>
      <c r="K1407">
        <v>2</v>
      </c>
      <c r="L1407">
        <v>0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10</v>
      </c>
      <c r="AM1407">
        <v>0</v>
      </c>
      <c r="AN1407">
        <v>10</v>
      </c>
    </row>
    <row r="1408" spans="1:40" x14ac:dyDescent="0.3">
      <c r="A1408" t="s">
        <v>339</v>
      </c>
      <c r="B1408" t="s">
        <v>81</v>
      </c>
      <c r="C1408" t="s">
        <v>10</v>
      </c>
      <c r="D1408" t="s">
        <v>14</v>
      </c>
      <c r="E1408">
        <v>202602</v>
      </c>
      <c r="F1408" t="s">
        <v>357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2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6</v>
      </c>
      <c r="AM1408">
        <v>0</v>
      </c>
      <c r="AN1408">
        <v>6</v>
      </c>
    </row>
    <row r="1409" spans="1:40" x14ac:dyDescent="0.3">
      <c r="A1409" t="s">
        <v>339</v>
      </c>
      <c r="B1409" t="s">
        <v>81</v>
      </c>
      <c r="C1409" t="s">
        <v>10</v>
      </c>
      <c r="D1409" t="s">
        <v>14</v>
      </c>
      <c r="E1409">
        <v>202602</v>
      </c>
      <c r="F1409" t="s">
        <v>358</v>
      </c>
      <c r="G1409">
        <v>0</v>
      </c>
      <c r="H1409">
        <v>3</v>
      </c>
      <c r="I1409">
        <v>3</v>
      </c>
      <c r="J1409">
        <v>3</v>
      </c>
      <c r="K1409">
        <v>3</v>
      </c>
      <c r="L1409">
        <v>3</v>
      </c>
      <c r="M1409">
        <v>2</v>
      </c>
      <c r="N1409">
        <v>0</v>
      </c>
      <c r="O1409">
        <v>0</v>
      </c>
      <c r="P1409">
        <v>5</v>
      </c>
      <c r="Q1409">
        <v>4</v>
      </c>
      <c r="R1409">
        <v>1</v>
      </c>
      <c r="S1409">
        <v>1</v>
      </c>
      <c r="T1409">
        <v>1</v>
      </c>
      <c r="U1409">
        <v>0</v>
      </c>
      <c r="V1409">
        <v>3</v>
      </c>
      <c r="W1409">
        <v>4</v>
      </c>
      <c r="X1409">
        <v>0</v>
      </c>
      <c r="Y1409">
        <v>7</v>
      </c>
      <c r="Z1409">
        <v>4</v>
      </c>
      <c r="AA1409">
        <v>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49</v>
      </c>
      <c r="AM1409">
        <v>3.6666666666666665</v>
      </c>
      <c r="AN1409">
        <v>64.776655706902744</v>
      </c>
    </row>
    <row r="1410" spans="1:40" x14ac:dyDescent="0.3">
      <c r="A1410" t="s">
        <v>339</v>
      </c>
      <c r="B1410" t="s">
        <v>81</v>
      </c>
      <c r="C1410" t="s">
        <v>10</v>
      </c>
      <c r="D1410" t="s">
        <v>14</v>
      </c>
      <c r="E1410">
        <v>202602</v>
      </c>
      <c r="F1410" t="s">
        <v>362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3</v>
      </c>
      <c r="AM1410">
        <v>0</v>
      </c>
      <c r="AN1410">
        <v>3</v>
      </c>
    </row>
    <row r="1411" spans="1:40" x14ac:dyDescent="0.3">
      <c r="A1411" t="s">
        <v>339</v>
      </c>
      <c r="B1411" t="s">
        <v>81</v>
      </c>
      <c r="C1411" t="s">
        <v>10</v>
      </c>
      <c r="D1411" t="s">
        <v>14</v>
      </c>
      <c r="E1411">
        <v>202602</v>
      </c>
      <c r="F1411" t="s">
        <v>359</v>
      </c>
      <c r="G1411">
        <v>0</v>
      </c>
      <c r="H1411">
        <v>0</v>
      </c>
      <c r="I1411">
        <v>3</v>
      </c>
      <c r="J1411">
        <v>1</v>
      </c>
      <c r="K1411">
        <v>1</v>
      </c>
      <c r="L1411">
        <v>2</v>
      </c>
      <c r="M1411">
        <v>0</v>
      </c>
      <c r="N1411">
        <v>0</v>
      </c>
      <c r="O1411">
        <v>3</v>
      </c>
      <c r="P1411">
        <v>2</v>
      </c>
      <c r="Q1411">
        <v>3</v>
      </c>
      <c r="R1411">
        <v>1</v>
      </c>
      <c r="S1411">
        <v>2</v>
      </c>
      <c r="T1411">
        <v>0</v>
      </c>
      <c r="U1411">
        <v>0</v>
      </c>
      <c r="V1411">
        <v>1</v>
      </c>
      <c r="W1411">
        <v>0</v>
      </c>
      <c r="X1411">
        <v>2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22</v>
      </c>
      <c r="AM1411">
        <v>0.33333333333333331</v>
      </c>
      <c r="AN1411">
        <v>23.43424142790025</v>
      </c>
    </row>
    <row r="1412" spans="1:40" x14ac:dyDescent="0.3">
      <c r="A1412" t="s">
        <v>339</v>
      </c>
      <c r="B1412" t="s">
        <v>81</v>
      </c>
      <c r="C1412" t="s">
        <v>10</v>
      </c>
      <c r="D1412" t="s">
        <v>14</v>
      </c>
      <c r="E1412">
        <v>202602</v>
      </c>
      <c r="F1412" t="s">
        <v>360</v>
      </c>
      <c r="G1412">
        <v>0</v>
      </c>
      <c r="H1412">
        <v>1</v>
      </c>
      <c r="I1412">
        <v>0</v>
      </c>
      <c r="J1412">
        <v>0</v>
      </c>
      <c r="K1412">
        <v>3</v>
      </c>
      <c r="L1412">
        <v>1</v>
      </c>
      <c r="M1412">
        <v>0</v>
      </c>
      <c r="N1412">
        <v>0</v>
      </c>
      <c r="O1412">
        <v>2</v>
      </c>
      <c r="P1412">
        <v>2</v>
      </c>
      <c r="Q1412">
        <v>1</v>
      </c>
      <c r="R1412">
        <v>0</v>
      </c>
      <c r="S1412">
        <v>0</v>
      </c>
      <c r="T1412">
        <v>1</v>
      </c>
      <c r="U1412">
        <v>0</v>
      </c>
      <c r="V1412">
        <v>1</v>
      </c>
      <c r="W1412">
        <v>2</v>
      </c>
      <c r="X1412">
        <v>3</v>
      </c>
      <c r="Y1412">
        <v>6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23</v>
      </c>
      <c r="AM1412">
        <v>2</v>
      </c>
      <c r="AN1412">
        <v>31.605448567401503</v>
      </c>
    </row>
    <row r="1413" spans="1:40" x14ac:dyDescent="0.3">
      <c r="A1413" t="s">
        <v>339</v>
      </c>
      <c r="B1413" t="s">
        <v>81</v>
      </c>
      <c r="C1413" t="s">
        <v>10</v>
      </c>
      <c r="D1413" t="s">
        <v>14</v>
      </c>
      <c r="E1413">
        <v>202602</v>
      </c>
      <c r="F1413" t="s">
        <v>363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1</v>
      </c>
    </row>
    <row r="1414" spans="1:40" x14ac:dyDescent="0.3">
      <c r="A1414" t="s">
        <v>339</v>
      </c>
      <c r="B1414" t="s">
        <v>81</v>
      </c>
      <c r="C1414" t="s">
        <v>10</v>
      </c>
      <c r="D1414" t="s">
        <v>14</v>
      </c>
      <c r="E1414">
        <v>202602</v>
      </c>
      <c r="F1414" t="s">
        <v>364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2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3</v>
      </c>
      <c r="AM1414">
        <v>0.66666666666666663</v>
      </c>
      <c r="AN1414">
        <v>5.8684828558005</v>
      </c>
    </row>
    <row r="1415" spans="1:40" x14ac:dyDescent="0.3">
      <c r="A1415" t="s">
        <v>339</v>
      </c>
      <c r="B1415" t="s">
        <v>81</v>
      </c>
      <c r="C1415" t="s">
        <v>10</v>
      </c>
      <c r="D1415" t="s">
        <v>14</v>
      </c>
      <c r="E1415">
        <v>202602</v>
      </c>
      <c r="F1415" t="s">
        <v>361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4</v>
      </c>
      <c r="AM1415">
        <v>0</v>
      </c>
      <c r="AN1415">
        <v>4</v>
      </c>
    </row>
    <row r="1416" spans="1:40" x14ac:dyDescent="0.3">
      <c r="A1416" t="s">
        <v>339</v>
      </c>
      <c r="B1416" t="s">
        <v>81</v>
      </c>
      <c r="C1416" t="s">
        <v>16</v>
      </c>
      <c r="D1416" t="s">
        <v>11</v>
      </c>
      <c r="E1416">
        <v>202602</v>
      </c>
      <c r="F1416" t="s">
        <v>358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0</v>
      </c>
      <c r="AN1416">
        <v>1</v>
      </c>
    </row>
    <row r="1417" spans="1:40" x14ac:dyDescent="0.3">
      <c r="A1417" t="s">
        <v>339</v>
      </c>
      <c r="B1417" t="s">
        <v>81</v>
      </c>
      <c r="C1417" t="s">
        <v>16</v>
      </c>
      <c r="D1417" t="s">
        <v>14</v>
      </c>
      <c r="E1417">
        <v>202602</v>
      </c>
      <c r="F1417" t="s">
        <v>358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0</v>
      </c>
      <c r="AN1417">
        <v>1</v>
      </c>
    </row>
    <row r="1418" spans="1:40" x14ac:dyDescent="0.3">
      <c r="A1418" t="s">
        <v>339</v>
      </c>
      <c r="B1418" t="s">
        <v>100</v>
      </c>
      <c r="C1418" t="s">
        <v>10</v>
      </c>
      <c r="D1418" t="s">
        <v>14</v>
      </c>
      <c r="E1418">
        <v>202602</v>
      </c>
      <c r="F1418" t="s">
        <v>101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</v>
      </c>
      <c r="AM1418">
        <v>0</v>
      </c>
      <c r="AN1418">
        <v>1</v>
      </c>
    </row>
    <row r="1419" spans="1:40" x14ac:dyDescent="0.3">
      <c r="A1419" t="s">
        <v>339</v>
      </c>
      <c r="B1419" t="s">
        <v>643</v>
      </c>
      <c r="C1419" t="s">
        <v>10</v>
      </c>
      <c r="D1419" t="s">
        <v>11</v>
      </c>
      <c r="E1419">
        <v>202602</v>
      </c>
      <c r="F1419" t="s">
        <v>61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</v>
      </c>
      <c r="AM1419">
        <v>0</v>
      </c>
      <c r="AN1419">
        <v>1</v>
      </c>
    </row>
    <row r="1420" spans="1:40" x14ac:dyDescent="0.3">
      <c r="A1420" t="s">
        <v>339</v>
      </c>
      <c r="B1420" t="s">
        <v>643</v>
      </c>
      <c r="C1420" t="s">
        <v>10</v>
      </c>
      <c r="D1420" t="s">
        <v>11</v>
      </c>
      <c r="E1420">
        <v>202602</v>
      </c>
      <c r="F1420" t="s">
        <v>112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4</v>
      </c>
      <c r="AM1420">
        <v>0</v>
      </c>
      <c r="AN1420">
        <v>4</v>
      </c>
    </row>
    <row r="1421" spans="1:40" x14ac:dyDescent="0.3">
      <c r="A1421" t="s">
        <v>339</v>
      </c>
      <c r="B1421" t="s">
        <v>643</v>
      </c>
      <c r="C1421" t="s">
        <v>10</v>
      </c>
      <c r="D1421" t="s">
        <v>11</v>
      </c>
      <c r="E1421">
        <v>202602</v>
      </c>
      <c r="F1421" t="s">
        <v>365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</v>
      </c>
      <c r="AM1421">
        <v>0</v>
      </c>
      <c r="AN1421">
        <v>2</v>
      </c>
    </row>
    <row r="1422" spans="1:40" x14ac:dyDescent="0.3">
      <c r="A1422" t="s">
        <v>339</v>
      </c>
      <c r="B1422" t="s">
        <v>643</v>
      </c>
      <c r="C1422" t="s">
        <v>10</v>
      </c>
      <c r="D1422" t="s">
        <v>11</v>
      </c>
      <c r="E1422">
        <v>202602</v>
      </c>
      <c r="F1422" t="s">
        <v>278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</v>
      </c>
      <c r="AM1422">
        <v>0</v>
      </c>
      <c r="AN1422">
        <v>1</v>
      </c>
    </row>
    <row r="1423" spans="1:40" x14ac:dyDescent="0.3">
      <c r="A1423" t="s">
        <v>339</v>
      </c>
      <c r="B1423" t="s">
        <v>643</v>
      </c>
      <c r="C1423" t="s">
        <v>10</v>
      </c>
      <c r="D1423" t="s">
        <v>11</v>
      </c>
      <c r="E1423">
        <v>202602</v>
      </c>
      <c r="F1423" t="s">
        <v>114</v>
      </c>
      <c r="G1423">
        <v>0</v>
      </c>
      <c r="H1423">
        <v>0</v>
      </c>
      <c r="I1423">
        <v>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1</v>
      </c>
      <c r="R1423">
        <v>0</v>
      </c>
      <c r="S1423">
        <v>1</v>
      </c>
      <c r="T1423">
        <v>1</v>
      </c>
      <c r="U1423">
        <v>1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13</v>
      </c>
      <c r="AM1423">
        <v>0.66666666666666663</v>
      </c>
      <c r="AN1423">
        <v>16.359337245426122</v>
      </c>
    </row>
    <row r="1424" spans="1:40" x14ac:dyDescent="0.3">
      <c r="A1424" t="s">
        <v>339</v>
      </c>
      <c r="B1424" t="s">
        <v>643</v>
      </c>
      <c r="C1424" t="s">
        <v>10</v>
      </c>
      <c r="D1424" t="s">
        <v>11</v>
      </c>
      <c r="E1424">
        <v>202602</v>
      </c>
      <c r="F1424" t="s">
        <v>129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0</v>
      </c>
      <c r="AN1424">
        <v>1</v>
      </c>
    </row>
    <row r="1425" spans="1:40" x14ac:dyDescent="0.3">
      <c r="A1425" t="s">
        <v>339</v>
      </c>
      <c r="B1425" t="s">
        <v>643</v>
      </c>
      <c r="C1425" t="s">
        <v>10</v>
      </c>
      <c r="D1425" t="s">
        <v>11</v>
      </c>
      <c r="E1425">
        <v>202602</v>
      </c>
      <c r="F1425" t="s">
        <v>115</v>
      </c>
      <c r="G1425">
        <v>0</v>
      </c>
      <c r="H1425">
        <v>0</v>
      </c>
      <c r="I1425">
        <v>0</v>
      </c>
      <c r="J1425">
        <v>0</v>
      </c>
      <c r="K1425">
        <v>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</v>
      </c>
      <c r="AM1425">
        <v>0</v>
      </c>
      <c r="AN1425">
        <v>2</v>
      </c>
    </row>
    <row r="1426" spans="1:40" x14ac:dyDescent="0.3">
      <c r="A1426" t="s">
        <v>339</v>
      </c>
      <c r="B1426" t="s">
        <v>643</v>
      </c>
      <c r="C1426" t="s">
        <v>10</v>
      </c>
      <c r="D1426" t="s">
        <v>11</v>
      </c>
      <c r="E1426">
        <v>202602</v>
      </c>
      <c r="F1426" t="s">
        <v>116</v>
      </c>
      <c r="G1426">
        <v>0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2</v>
      </c>
      <c r="AM1426">
        <v>0</v>
      </c>
      <c r="AN1426">
        <v>2</v>
      </c>
    </row>
    <row r="1427" spans="1:40" x14ac:dyDescent="0.3">
      <c r="A1427" t="s">
        <v>339</v>
      </c>
      <c r="B1427" t="s">
        <v>643</v>
      </c>
      <c r="C1427" t="s">
        <v>10</v>
      </c>
      <c r="D1427" t="s">
        <v>11</v>
      </c>
      <c r="E1427">
        <v>202602</v>
      </c>
      <c r="F1427" t="s">
        <v>130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</v>
      </c>
      <c r="AM1427">
        <v>0</v>
      </c>
      <c r="AN1427">
        <v>2</v>
      </c>
    </row>
    <row r="1428" spans="1:40" x14ac:dyDescent="0.3">
      <c r="A1428" t="s">
        <v>339</v>
      </c>
      <c r="B1428" t="s">
        <v>643</v>
      </c>
      <c r="C1428" t="s">
        <v>10</v>
      </c>
      <c r="D1428" t="s">
        <v>11</v>
      </c>
      <c r="E1428">
        <v>202602</v>
      </c>
      <c r="F1428" t="s">
        <v>118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2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4</v>
      </c>
      <c r="AM1428">
        <v>0</v>
      </c>
      <c r="AN1428">
        <v>4</v>
      </c>
    </row>
    <row r="1429" spans="1:40" x14ac:dyDescent="0.3">
      <c r="A1429" t="s">
        <v>339</v>
      </c>
      <c r="B1429" t="s">
        <v>643</v>
      </c>
      <c r="C1429" t="s">
        <v>10</v>
      </c>
      <c r="D1429" t="s">
        <v>11</v>
      </c>
      <c r="E1429">
        <v>202602</v>
      </c>
      <c r="F1429" t="s">
        <v>320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2</v>
      </c>
      <c r="AM1429">
        <v>0</v>
      </c>
      <c r="AN1429">
        <v>2</v>
      </c>
    </row>
    <row r="1430" spans="1:40" x14ac:dyDescent="0.3">
      <c r="A1430" t="s">
        <v>339</v>
      </c>
      <c r="B1430" t="s">
        <v>643</v>
      </c>
      <c r="C1430" t="s">
        <v>10</v>
      </c>
      <c r="D1430" t="s">
        <v>11</v>
      </c>
      <c r="E1430">
        <v>202602</v>
      </c>
      <c r="F1430" t="s">
        <v>132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1</v>
      </c>
      <c r="AM1430">
        <v>0.33333333333333331</v>
      </c>
      <c r="AN1430">
        <v>2.6796686227130611</v>
      </c>
    </row>
    <row r="1431" spans="1:40" x14ac:dyDescent="0.3">
      <c r="A1431" t="s">
        <v>339</v>
      </c>
      <c r="B1431" t="s">
        <v>643</v>
      </c>
      <c r="C1431" t="s">
        <v>10</v>
      </c>
      <c r="D1431" t="s">
        <v>11</v>
      </c>
      <c r="E1431">
        <v>202602</v>
      </c>
      <c r="F1431" t="s">
        <v>119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0.33333333333333331</v>
      </c>
      <c r="AN1431">
        <v>2.6796686227130611</v>
      </c>
    </row>
    <row r="1432" spans="1:40" x14ac:dyDescent="0.3">
      <c r="A1432" t="s">
        <v>339</v>
      </c>
      <c r="B1432" t="s">
        <v>643</v>
      </c>
      <c r="C1432" t="s">
        <v>10</v>
      </c>
      <c r="D1432" t="s">
        <v>11</v>
      </c>
      <c r="E1432">
        <v>202602</v>
      </c>
      <c r="F1432" t="s">
        <v>121</v>
      </c>
      <c r="G1432">
        <v>0</v>
      </c>
      <c r="H1432">
        <v>2</v>
      </c>
      <c r="I1432">
        <v>0</v>
      </c>
      <c r="J1432">
        <v>1</v>
      </c>
      <c r="K1432">
        <v>0</v>
      </c>
      <c r="L1432">
        <v>0</v>
      </c>
      <c r="M1432">
        <v>3</v>
      </c>
      <c r="N1432">
        <v>0</v>
      </c>
      <c r="O1432">
        <v>4</v>
      </c>
      <c r="P1432">
        <v>4</v>
      </c>
      <c r="Q1432">
        <v>2</v>
      </c>
      <c r="R1432">
        <v>1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  <c r="Z1432">
        <v>2</v>
      </c>
      <c r="AA1432">
        <v>3</v>
      </c>
      <c r="AB1432">
        <v>1</v>
      </c>
      <c r="AC1432">
        <v>2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27</v>
      </c>
      <c r="AM1432">
        <v>1.6666666666666667</v>
      </c>
      <c r="AN1432">
        <v>35.398343113565303</v>
      </c>
    </row>
    <row r="1433" spans="1:40" x14ac:dyDescent="0.3">
      <c r="A1433" t="s">
        <v>339</v>
      </c>
      <c r="B1433" t="s">
        <v>643</v>
      </c>
      <c r="C1433" t="s">
        <v>10</v>
      </c>
      <c r="D1433" t="s">
        <v>11</v>
      </c>
      <c r="E1433">
        <v>202602</v>
      </c>
      <c r="F1433" t="s">
        <v>224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</v>
      </c>
      <c r="AM1433">
        <v>0</v>
      </c>
      <c r="AN1433">
        <v>1</v>
      </c>
    </row>
    <row r="1434" spans="1:40" x14ac:dyDescent="0.3">
      <c r="A1434" t="s">
        <v>339</v>
      </c>
      <c r="B1434" t="s">
        <v>643</v>
      </c>
      <c r="C1434" t="s">
        <v>10</v>
      </c>
      <c r="D1434" t="s">
        <v>11</v>
      </c>
      <c r="E1434">
        <v>202602</v>
      </c>
      <c r="F1434" t="s">
        <v>321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1</v>
      </c>
    </row>
    <row r="1435" spans="1:40" x14ac:dyDescent="0.3">
      <c r="A1435" t="s">
        <v>339</v>
      </c>
      <c r="B1435" t="s">
        <v>643</v>
      </c>
      <c r="C1435" t="s">
        <v>10</v>
      </c>
      <c r="D1435" t="s">
        <v>11</v>
      </c>
      <c r="E1435">
        <v>202602</v>
      </c>
      <c r="F1435" t="s">
        <v>319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0.33333333333333331</v>
      </c>
      <c r="AN1435">
        <v>2.6796686227130611</v>
      </c>
    </row>
    <row r="1436" spans="1:40" x14ac:dyDescent="0.3">
      <c r="A1436" t="s">
        <v>339</v>
      </c>
      <c r="B1436" t="s">
        <v>643</v>
      </c>
      <c r="C1436" t="s">
        <v>10</v>
      </c>
      <c r="D1436" t="s">
        <v>11</v>
      </c>
      <c r="E1436">
        <v>202602</v>
      </c>
      <c r="F1436" t="s">
        <v>721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0.33333333333333331</v>
      </c>
      <c r="AN1436">
        <v>2.6796686227130611</v>
      </c>
    </row>
    <row r="1437" spans="1:40" x14ac:dyDescent="0.3">
      <c r="A1437" t="s">
        <v>339</v>
      </c>
      <c r="B1437" t="s">
        <v>643</v>
      </c>
      <c r="C1437" t="s">
        <v>10</v>
      </c>
      <c r="D1437" t="s">
        <v>14</v>
      </c>
      <c r="E1437">
        <v>202602</v>
      </c>
      <c r="F1437" t="s">
        <v>56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</v>
      </c>
      <c r="AM1437">
        <v>0.33333333333333331</v>
      </c>
      <c r="AN1437">
        <v>2.43424142790025</v>
      </c>
    </row>
    <row r="1438" spans="1:40" x14ac:dyDescent="0.3">
      <c r="A1438" t="s">
        <v>339</v>
      </c>
      <c r="B1438" t="s">
        <v>643</v>
      </c>
      <c r="C1438" t="s">
        <v>10</v>
      </c>
      <c r="D1438" t="s">
        <v>14</v>
      </c>
      <c r="E1438">
        <v>202602</v>
      </c>
      <c r="F1438" t="s">
        <v>111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</v>
      </c>
      <c r="AM1438">
        <v>0.33333333333333331</v>
      </c>
      <c r="AN1438">
        <v>2.43424142790025</v>
      </c>
    </row>
    <row r="1439" spans="1:40" x14ac:dyDescent="0.3">
      <c r="A1439" t="s">
        <v>339</v>
      </c>
      <c r="B1439" t="s">
        <v>643</v>
      </c>
      <c r="C1439" t="s">
        <v>10</v>
      </c>
      <c r="D1439" t="s">
        <v>14</v>
      </c>
      <c r="E1439">
        <v>202602</v>
      </c>
      <c r="F1439" t="s">
        <v>61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2</v>
      </c>
      <c r="AM1439">
        <v>0</v>
      </c>
      <c r="AN1439">
        <v>2</v>
      </c>
    </row>
    <row r="1440" spans="1:40" x14ac:dyDescent="0.3">
      <c r="A1440" t="s">
        <v>339</v>
      </c>
      <c r="B1440" t="s">
        <v>643</v>
      </c>
      <c r="C1440" t="s">
        <v>10</v>
      </c>
      <c r="D1440" t="s">
        <v>14</v>
      </c>
      <c r="E1440">
        <v>202602</v>
      </c>
      <c r="F1440" t="s">
        <v>112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3</v>
      </c>
      <c r="AM1440">
        <v>0</v>
      </c>
      <c r="AN1440">
        <v>3</v>
      </c>
    </row>
    <row r="1441" spans="1:40" x14ac:dyDescent="0.3">
      <c r="A1441" t="s">
        <v>339</v>
      </c>
      <c r="B1441" t="s">
        <v>643</v>
      </c>
      <c r="C1441" t="s">
        <v>10</v>
      </c>
      <c r="D1441" t="s">
        <v>14</v>
      </c>
      <c r="E1441">
        <v>202602</v>
      </c>
      <c r="F1441" t="s">
        <v>365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</v>
      </c>
      <c r="AM1441">
        <v>0</v>
      </c>
      <c r="AN1441">
        <v>2</v>
      </c>
    </row>
    <row r="1442" spans="1:40" x14ac:dyDescent="0.3">
      <c r="A1442" t="s">
        <v>339</v>
      </c>
      <c r="B1442" t="s">
        <v>643</v>
      </c>
      <c r="C1442" t="s">
        <v>10</v>
      </c>
      <c r="D1442" t="s">
        <v>14</v>
      </c>
      <c r="E1442">
        <v>202602</v>
      </c>
      <c r="F1442" t="s">
        <v>278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1</v>
      </c>
    </row>
    <row r="1443" spans="1:40" x14ac:dyDescent="0.3">
      <c r="A1443" t="s">
        <v>339</v>
      </c>
      <c r="B1443" t="s">
        <v>643</v>
      </c>
      <c r="C1443" t="s">
        <v>10</v>
      </c>
      <c r="D1443" t="s">
        <v>14</v>
      </c>
      <c r="E1443">
        <v>202602</v>
      </c>
      <c r="F1443" t="s">
        <v>114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2</v>
      </c>
      <c r="P1443">
        <v>0</v>
      </c>
      <c r="Q1443">
        <v>1</v>
      </c>
      <c r="R1443">
        <v>2</v>
      </c>
      <c r="S1443">
        <v>1</v>
      </c>
      <c r="T1443">
        <v>0</v>
      </c>
      <c r="U1443">
        <v>0</v>
      </c>
      <c r="V1443">
        <v>1</v>
      </c>
      <c r="W1443">
        <v>1</v>
      </c>
      <c r="X1443">
        <v>2</v>
      </c>
      <c r="Y1443">
        <v>0</v>
      </c>
      <c r="Z1443">
        <v>3</v>
      </c>
      <c r="AA1443">
        <v>0</v>
      </c>
      <c r="AB1443">
        <v>0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15</v>
      </c>
      <c r="AM1443">
        <v>1.3333333333333333</v>
      </c>
      <c r="AN1443">
        <v>20.736965711601002</v>
      </c>
    </row>
    <row r="1444" spans="1:40" x14ac:dyDescent="0.3">
      <c r="A1444" t="s">
        <v>339</v>
      </c>
      <c r="B1444" t="s">
        <v>643</v>
      </c>
      <c r="C1444" t="s">
        <v>10</v>
      </c>
      <c r="D1444" t="s">
        <v>14</v>
      </c>
      <c r="E1444">
        <v>202602</v>
      </c>
      <c r="F1444" t="s">
        <v>129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</v>
      </c>
      <c r="AM1444">
        <v>0</v>
      </c>
      <c r="AN1444">
        <v>1</v>
      </c>
    </row>
    <row r="1445" spans="1:40" x14ac:dyDescent="0.3">
      <c r="A1445" t="s">
        <v>339</v>
      </c>
      <c r="B1445" t="s">
        <v>643</v>
      </c>
      <c r="C1445" t="s">
        <v>10</v>
      </c>
      <c r="D1445" t="s">
        <v>14</v>
      </c>
      <c r="E1445">
        <v>202602</v>
      </c>
      <c r="F1445" t="s">
        <v>115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</v>
      </c>
      <c r="AM1445">
        <v>0</v>
      </c>
      <c r="AN1445">
        <v>1</v>
      </c>
    </row>
    <row r="1446" spans="1:40" x14ac:dyDescent="0.3">
      <c r="A1446" t="s">
        <v>339</v>
      </c>
      <c r="B1446" t="s">
        <v>643</v>
      </c>
      <c r="C1446" t="s">
        <v>10</v>
      </c>
      <c r="D1446" t="s">
        <v>14</v>
      </c>
      <c r="E1446">
        <v>202602</v>
      </c>
      <c r="F1446" t="s">
        <v>116</v>
      </c>
      <c r="G1446">
        <v>0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4</v>
      </c>
      <c r="AM1446">
        <v>0.33333333333333331</v>
      </c>
      <c r="AN1446">
        <v>5.4342414279002504</v>
      </c>
    </row>
    <row r="1447" spans="1:40" x14ac:dyDescent="0.3">
      <c r="A1447" t="s">
        <v>339</v>
      </c>
      <c r="B1447" t="s">
        <v>643</v>
      </c>
      <c r="C1447" t="s">
        <v>10</v>
      </c>
      <c r="D1447" t="s">
        <v>14</v>
      </c>
      <c r="E1447">
        <v>202602</v>
      </c>
      <c r="F1447" t="s">
        <v>130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</v>
      </c>
      <c r="AM1447">
        <v>0</v>
      </c>
      <c r="AN1447">
        <v>2</v>
      </c>
    </row>
    <row r="1448" spans="1:40" x14ac:dyDescent="0.3">
      <c r="A1448" t="s">
        <v>339</v>
      </c>
      <c r="B1448" t="s">
        <v>643</v>
      </c>
      <c r="C1448" t="s">
        <v>10</v>
      </c>
      <c r="D1448" t="s">
        <v>14</v>
      </c>
      <c r="E1448">
        <v>202602</v>
      </c>
      <c r="F1448" t="s">
        <v>118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2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6</v>
      </c>
      <c r="AM1448">
        <v>0.66666666666666663</v>
      </c>
      <c r="AN1448">
        <v>8.8684828558005009</v>
      </c>
    </row>
    <row r="1449" spans="1:40" x14ac:dyDescent="0.3">
      <c r="A1449" t="s">
        <v>339</v>
      </c>
      <c r="B1449" t="s">
        <v>643</v>
      </c>
      <c r="C1449" t="s">
        <v>10</v>
      </c>
      <c r="D1449" t="s">
        <v>14</v>
      </c>
      <c r="E1449">
        <v>202602</v>
      </c>
      <c r="F1449" t="s">
        <v>716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1</v>
      </c>
    </row>
    <row r="1450" spans="1:40" x14ac:dyDescent="0.3">
      <c r="A1450" t="s">
        <v>339</v>
      </c>
      <c r="B1450" t="s">
        <v>643</v>
      </c>
      <c r="C1450" t="s">
        <v>10</v>
      </c>
      <c r="D1450" t="s">
        <v>14</v>
      </c>
      <c r="E1450">
        <v>202602</v>
      </c>
      <c r="F1450" t="s">
        <v>320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2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2</v>
      </c>
      <c r="AM1450">
        <v>0</v>
      </c>
      <c r="AN1450">
        <v>2</v>
      </c>
    </row>
    <row r="1451" spans="1:40" x14ac:dyDescent="0.3">
      <c r="A1451" t="s">
        <v>339</v>
      </c>
      <c r="B1451" t="s">
        <v>643</v>
      </c>
      <c r="C1451" t="s">
        <v>10</v>
      </c>
      <c r="D1451" t="s">
        <v>14</v>
      </c>
      <c r="E1451">
        <v>202602</v>
      </c>
      <c r="F1451" t="s">
        <v>132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</v>
      </c>
      <c r="AM1451">
        <v>0</v>
      </c>
      <c r="AN1451">
        <v>2</v>
      </c>
    </row>
    <row r="1452" spans="1:40" x14ac:dyDescent="0.3">
      <c r="A1452" t="s">
        <v>339</v>
      </c>
      <c r="B1452" t="s">
        <v>643</v>
      </c>
      <c r="C1452" t="s">
        <v>10</v>
      </c>
      <c r="D1452" t="s">
        <v>14</v>
      </c>
      <c r="E1452">
        <v>202602</v>
      </c>
      <c r="F1452" t="s">
        <v>119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1</v>
      </c>
      <c r="AM1452">
        <v>0.33333333333333331</v>
      </c>
      <c r="AN1452">
        <v>2.43424142790025</v>
      </c>
    </row>
    <row r="1453" spans="1:40" x14ac:dyDescent="0.3">
      <c r="A1453" t="s">
        <v>339</v>
      </c>
      <c r="B1453" t="s">
        <v>643</v>
      </c>
      <c r="C1453" t="s">
        <v>10</v>
      </c>
      <c r="D1453" t="s">
        <v>14</v>
      </c>
      <c r="E1453">
        <v>202602</v>
      </c>
      <c r="F1453" t="s">
        <v>121</v>
      </c>
      <c r="G1453">
        <v>0</v>
      </c>
      <c r="H1453">
        <v>0</v>
      </c>
      <c r="I1453">
        <v>1</v>
      </c>
      <c r="J1453">
        <v>1</v>
      </c>
      <c r="K1453">
        <v>1</v>
      </c>
      <c r="L1453">
        <v>5</v>
      </c>
      <c r="M1453">
        <v>5</v>
      </c>
      <c r="N1453">
        <v>0</v>
      </c>
      <c r="O1453">
        <v>1</v>
      </c>
      <c r="P1453">
        <v>3</v>
      </c>
      <c r="Q1453">
        <v>4</v>
      </c>
      <c r="R1453">
        <v>1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6</v>
      </c>
      <c r="Y1453">
        <v>8</v>
      </c>
      <c r="Z1453">
        <v>8</v>
      </c>
      <c r="AA1453">
        <v>0</v>
      </c>
      <c r="AB1453">
        <v>0</v>
      </c>
      <c r="AC1453">
        <v>5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50</v>
      </c>
      <c r="AM1453">
        <v>7</v>
      </c>
      <c r="AN1453">
        <v>80.119069985905256</v>
      </c>
    </row>
    <row r="1454" spans="1:40" x14ac:dyDescent="0.3">
      <c r="A1454" t="s">
        <v>339</v>
      </c>
      <c r="B1454" t="s">
        <v>643</v>
      </c>
      <c r="C1454" t="s">
        <v>10</v>
      </c>
      <c r="D1454" t="s">
        <v>14</v>
      </c>
      <c r="E1454">
        <v>202602</v>
      </c>
      <c r="F1454" t="s">
        <v>224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0</v>
      </c>
      <c r="AN1454">
        <v>1</v>
      </c>
    </row>
    <row r="1455" spans="1:40" x14ac:dyDescent="0.3">
      <c r="A1455" t="s">
        <v>339</v>
      </c>
      <c r="B1455" t="s">
        <v>643</v>
      </c>
      <c r="C1455" t="s">
        <v>10</v>
      </c>
      <c r="D1455" t="s">
        <v>14</v>
      </c>
      <c r="E1455">
        <v>202602</v>
      </c>
      <c r="F1455" t="s">
        <v>321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</v>
      </c>
      <c r="AM1455">
        <v>0</v>
      </c>
      <c r="AN1455">
        <v>2</v>
      </c>
    </row>
    <row r="1456" spans="1:40" x14ac:dyDescent="0.3">
      <c r="A1456" t="s">
        <v>339</v>
      </c>
      <c r="B1456" t="s">
        <v>643</v>
      </c>
      <c r="C1456" t="s">
        <v>10</v>
      </c>
      <c r="D1456" t="s">
        <v>14</v>
      </c>
      <c r="E1456">
        <v>202602</v>
      </c>
      <c r="F1456" t="s">
        <v>319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3</v>
      </c>
      <c r="AM1456">
        <v>0.33333333333333331</v>
      </c>
      <c r="AN1456">
        <v>4.4342414279002504</v>
      </c>
    </row>
    <row r="1457" spans="1:40" x14ac:dyDescent="0.3">
      <c r="A1457" t="s">
        <v>339</v>
      </c>
      <c r="B1457" t="s">
        <v>643</v>
      </c>
      <c r="C1457" t="s">
        <v>10</v>
      </c>
      <c r="D1457" t="s">
        <v>14</v>
      </c>
      <c r="E1457">
        <v>202602</v>
      </c>
      <c r="F1457" t="s">
        <v>226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1</v>
      </c>
    </row>
    <row r="1458" spans="1:40" x14ac:dyDescent="0.3">
      <c r="A1458" t="s">
        <v>339</v>
      </c>
      <c r="B1458" t="s">
        <v>643</v>
      </c>
      <c r="C1458" t="s">
        <v>10</v>
      </c>
      <c r="D1458" t="s">
        <v>14</v>
      </c>
      <c r="E1458">
        <v>202602</v>
      </c>
      <c r="F1458" t="s">
        <v>721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</v>
      </c>
      <c r="AM1458">
        <v>0</v>
      </c>
      <c r="AN1458">
        <v>1</v>
      </c>
    </row>
    <row r="1459" spans="1:40" x14ac:dyDescent="0.3">
      <c r="A1459" t="s">
        <v>339</v>
      </c>
      <c r="B1459" t="s">
        <v>643</v>
      </c>
      <c r="C1459" t="s">
        <v>16</v>
      </c>
      <c r="D1459" t="s">
        <v>11</v>
      </c>
      <c r="E1459">
        <v>202602</v>
      </c>
      <c r="F1459" t="s">
        <v>112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1</v>
      </c>
      <c r="AM1459">
        <v>0</v>
      </c>
      <c r="AN1459">
        <v>1</v>
      </c>
    </row>
    <row r="1460" spans="1:40" x14ac:dyDescent="0.3">
      <c r="A1460" t="s">
        <v>339</v>
      </c>
      <c r="B1460" t="s">
        <v>643</v>
      </c>
      <c r="C1460" t="s">
        <v>16</v>
      </c>
      <c r="D1460" t="s">
        <v>11</v>
      </c>
      <c r="E1460">
        <v>202602</v>
      </c>
      <c r="F1460" t="s">
        <v>114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0</v>
      </c>
      <c r="AN1460">
        <v>1</v>
      </c>
    </row>
    <row r="1461" spans="1:40" x14ac:dyDescent="0.3">
      <c r="A1461" t="s">
        <v>339</v>
      </c>
      <c r="B1461" t="s">
        <v>643</v>
      </c>
      <c r="C1461" t="s">
        <v>16</v>
      </c>
      <c r="D1461" t="s">
        <v>14</v>
      </c>
      <c r="E1461">
        <v>202602</v>
      </c>
      <c r="F1461" t="s">
        <v>114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</v>
      </c>
      <c r="AM1461">
        <v>0</v>
      </c>
      <c r="AN1461">
        <v>2</v>
      </c>
    </row>
    <row r="1462" spans="1:40" x14ac:dyDescent="0.3">
      <c r="A1462" t="s">
        <v>339</v>
      </c>
      <c r="B1462" t="s">
        <v>643</v>
      </c>
      <c r="C1462" t="s">
        <v>16</v>
      </c>
      <c r="D1462" t="s">
        <v>14</v>
      </c>
      <c r="E1462">
        <v>202602</v>
      </c>
      <c r="F1462" t="s">
        <v>121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</v>
      </c>
      <c r="AM1462">
        <v>0</v>
      </c>
      <c r="AN1462">
        <v>2</v>
      </c>
    </row>
    <row r="1463" spans="1:40" x14ac:dyDescent="0.3">
      <c r="A1463" t="s">
        <v>339</v>
      </c>
      <c r="B1463" t="s">
        <v>136</v>
      </c>
      <c r="C1463" t="s">
        <v>10</v>
      </c>
      <c r="D1463" t="s">
        <v>11</v>
      </c>
      <c r="E1463">
        <v>202602</v>
      </c>
      <c r="F1463" t="s">
        <v>323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1</v>
      </c>
      <c r="AM1463">
        <v>0.33333333333333331</v>
      </c>
      <c r="AN1463">
        <v>2.6796686227130611</v>
      </c>
    </row>
    <row r="1464" spans="1:40" x14ac:dyDescent="0.3">
      <c r="A1464" t="s">
        <v>339</v>
      </c>
      <c r="B1464" t="s">
        <v>136</v>
      </c>
      <c r="C1464" t="s">
        <v>10</v>
      </c>
      <c r="D1464" t="s">
        <v>11</v>
      </c>
      <c r="E1464">
        <v>202602</v>
      </c>
      <c r="F1464" t="s">
        <v>366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1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6</v>
      </c>
      <c r="AM1464">
        <v>0.66666666666666663</v>
      </c>
      <c r="AN1464">
        <v>9.3593372454261221</v>
      </c>
    </row>
    <row r="1465" spans="1:40" x14ac:dyDescent="0.3">
      <c r="A1465" t="s">
        <v>339</v>
      </c>
      <c r="B1465" t="s">
        <v>136</v>
      </c>
      <c r="C1465" t="s">
        <v>10</v>
      </c>
      <c r="D1465" t="s">
        <v>14</v>
      </c>
      <c r="E1465">
        <v>202602</v>
      </c>
      <c r="F1465" t="s">
        <v>323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0</v>
      </c>
      <c r="AN1465">
        <v>1</v>
      </c>
    </row>
    <row r="1466" spans="1:40" x14ac:dyDescent="0.3">
      <c r="A1466" t="s">
        <v>339</v>
      </c>
      <c r="B1466" t="s">
        <v>136</v>
      </c>
      <c r="C1466" t="s">
        <v>10</v>
      </c>
      <c r="D1466" t="s">
        <v>14</v>
      </c>
      <c r="E1466">
        <v>202602</v>
      </c>
      <c r="F1466" t="s">
        <v>366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2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2</v>
      </c>
      <c r="Y1466">
        <v>0</v>
      </c>
      <c r="Z1466">
        <v>0</v>
      </c>
      <c r="AA1466">
        <v>0</v>
      </c>
      <c r="AB1466">
        <v>0</v>
      </c>
      <c r="AC1466">
        <v>2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8</v>
      </c>
      <c r="AM1466">
        <v>0.66666666666666663</v>
      </c>
      <c r="AN1466">
        <v>10.868482855800501</v>
      </c>
    </row>
    <row r="1467" spans="1:40" x14ac:dyDescent="0.3">
      <c r="A1467" t="s">
        <v>339</v>
      </c>
      <c r="B1467" t="s">
        <v>644</v>
      </c>
      <c r="C1467" t="s">
        <v>10</v>
      </c>
      <c r="D1467" t="s">
        <v>11</v>
      </c>
      <c r="E1467">
        <v>202602</v>
      </c>
      <c r="F1467" t="s">
        <v>101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</v>
      </c>
      <c r="AM1467">
        <v>0</v>
      </c>
      <c r="AN1467">
        <v>2</v>
      </c>
    </row>
    <row r="1468" spans="1:40" x14ac:dyDescent="0.3">
      <c r="A1468" t="s">
        <v>339</v>
      </c>
      <c r="B1468" t="s">
        <v>644</v>
      </c>
      <c r="C1468" t="s">
        <v>10</v>
      </c>
      <c r="D1468" t="s">
        <v>11</v>
      </c>
      <c r="E1468">
        <v>202602</v>
      </c>
      <c r="F1468" t="s">
        <v>138</v>
      </c>
      <c r="G1468">
        <v>0</v>
      </c>
      <c r="H1468">
        <v>0</v>
      </c>
      <c r="I1468">
        <v>0</v>
      </c>
      <c r="J1468">
        <v>0</v>
      </c>
      <c r="K1468">
        <v>2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</v>
      </c>
      <c r="AM1468">
        <v>0</v>
      </c>
      <c r="AN1468">
        <v>2</v>
      </c>
    </row>
    <row r="1469" spans="1:40" x14ac:dyDescent="0.3">
      <c r="A1469" t="s">
        <v>339</v>
      </c>
      <c r="B1469" t="s">
        <v>644</v>
      </c>
      <c r="C1469" t="s">
        <v>10</v>
      </c>
      <c r="D1469" t="s">
        <v>14</v>
      </c>
      <c r="E1469">
        <v>202602</v>
      </c>
      <c r="F1469" t="s">
        <v>101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3</v>
      </c>
      <c r="AM1469">
        <v>0.66666666666666663</v>
      </c>
      <c r="AN1469">
        <v>5.8684828558005</v>
      </c>
    </row>
    <row r="1470" spans="1:40" x14ac:dyDescent="0.3">
      <c r="A1470" t="s">
        <v>339</v>
      </c>
      <c r="B1470" t="s">
        <v>644</v>
      </c>
      <c r="C1470" t="s">
        <v>10</v>
      </c>
      <c r="D1470" t="s">
        <v>14</v>
      </c>
      <c r="E1470">
        <v>202602</v>
      </c>
      <c r="F1470" t="s">
        <v>138</v>
      </c>
      <c r="G1470">
        <v>0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2</v>
      </c>
      <c r="AM1470">
        <v>0</v>
      </c>
      <c r="AN1470">
        <v>2</v>
      </c>
    </row>
    <row r="1471" spans="1:40" x14ac:dyDescent="0.3">
      <c r="A1471" t="s">
        <v>339</v>
      </c>
      <c r="B1471" t="s">
        <v>139</v>
      </c>
      <c r="C1471" t="s">
        <v>10</v>
      </c>
      <c r="D1471" t="s">
        <v>11</v>
      </c>
      <c r="E1471">
        <v>202602</v>
      </c>
      <c r="F1471" t="s">
        <v>140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1</v>
      </c>
    </row>
    <row r="1472" spans="1:40" x14ac:dyDescent="0.3">
      <c r="A1472" t="s">
        <v>339</v>
      </c>
      <c r="B1472" t="s">
        <v>139</v>
      </c>
      <c r="C1472" t="s">
        <v>10</v>
      </c>
      <c r="D1472" t="s">
        <v>11</v>
      </c>
      <c r="E1472">
        <v>202602</v>
      </c>
      <c r="F1472" t="s">
        <v>367</v>
      </c>
      <c r="G1472">
        <v>0</v>
      </c>
      <c r="H1472">
        <v>2</v>
      </c>
      <c r="I1472">
        <v>2</v>
      </c>
      <c r="J1472">
        <v>3</v>
      </c>
      <c r="K1472">
        <v>2</v>
      </c>
      <c r="L1472">
        <v>3</v>
      </c>
      <c r="M1472">
        <v>1</v>
      </c>
      <c r="N1472">
        <v>0</v>
      </c>
      <c r="O1472">
        <v>0</v>
      </c>
      <c r="P1472">
        <v>3</v>
      </c>
      <c r="Q1472">
        <v>5</v>
      </c>
      <c r="R1472">
        <v>5</v>
      </c>
      <c r="S1472">
        <v>8</v>
      </c>
      <c r="T1472">
        <v>0</v>
      </c>
      <c r="U1472">
        <v>0</v>
      </c>
      <c r="V1472">
        <v>2</v>
      </c>
      <c r="W1472">
        <v>0</v>
      </c>
      <c r="X1472">
        <v>4</v>
      </c>
      <c r="Y1472">
        <v>2</v>
      </c>
      <c r="Z1472">
        <v>1</v>
      </c>
      <c r="AA1472">
        <v>0</v>
      </c>
      <c r="AB1472">
        <v>0</v>
      </c>
      <c r="AC1472">
        <v>2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45</v>
      </c>
      <c r="AM1472">
        <v>1.6666666666666667</v>
      </c>
      <c r="AN1472">
        <v>53.398343113565303</v>
      </c>
    </row>
    <row r="1473" spans="1:40" x14ac:dyDescent="0.3">
      <c r="A1473" t="s">
        <v>339</v>
      </c>
      <c r="B1473" t="s">
        <v>139</v>
      </c>
      <c r="C1473" t="s">
        <v>10</v>
      </c>
      <c r="D1473" t="s">
        <v>11</v>
      </c>
      <c r="E1473">
        <v>202602</v>
      </c>
      <c r="F1473" t="s">
        <v>368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3</v>
      </c>
      <c r="AM1473">
        <v>0.33333333333333331</v>
      </c>
      <c r="AN1473">
        <v>4.6796686227130611</v>
      </c>
    </row>
    <row r="1474" spans="1:40" x14ac:dyDescent="0.3">
      <c r="A1474" t="s">
        <v>339</v>
      </c>
      <c r="B1474" t="s">
        <v>139</v>
      </c>
      <c r="C1474" t="s">
        <v>10</v>
      </c>
      <c r="D1474" t="s">
        <v>11</v>
      </c>
      <c r="E1474">
        <v>202602</v>
      </c>
      <c r="F1474" t="s">
        <v>369</v>
      </c>
      <c r="G1474">
        <v>0</v>
      </c>
      <c r="H1474">
        <v>1</v>
      </c>
      <c r="I1474">
        <v>1</v>
      </c>
      <c r="J1474">
        <v>2</v>
      </c>
      <c r="K1474">
        <v>3</v>
      </c>
      <c r="L1474">
        <v>2</v>
      </c>
      <c r="M1474">
        <v>0</v>
      </c>
      <c r="N1474">
        <v>0</v>
      </c>
      <c r="O1474">
        <v>0</v>
      </c>
      <c r="P1474">
        <v>2</v>
      </c>
      <c r="Q1474">
        <v>3</v>
      </c>
      <c r="R1474">
        <v>1</v>
      </c>
      <c r="S1474">
        <v>4</v>
      </c>
      <c r="T1474">
        <v>0</v>
      </c>
      <c r="U1474">
        <v>0</v>
      </c>
      <c r="V1474">
        <v>1</v>
      </c>
      <c r="W1474">
        <v>0</v>
      </c>
      <c r="X1474">
        <v>1</v>
      </c>
      <c r="Y1474">
        <v>1</v>
      </c>
      <c r="Z1474">
        <v>1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24</v>
      </c>
      <c r="AM1474">
        <v>1</v>
      </c>
      <c r="AN1474">
        <v>29.039005868139181</v>
      </c>
    </row>
    <row r="1475" spans="1:40" x14ac:dyDescent="0.3">
      <c r="A1475" t="s">
        <v>339</v>
      </c>
      <c r="B1475" t="s">
        <v>139</v>
      </c>
      <c r="C1475" t="s">
        <v>10</v>
      </c>
      <c r="D1475" t="s">
        <v>11</v>
      </c>
      <c r="E1475">
        <v>202602</v>
      </c>
      <c r="F1475" t="s">
        <v>370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2</v>
      </c>
      <c r="AM1475">
        <v>0.33333333333333331</v>
      </c>
      <c r="AN1475">
        <v>3.6796686227130611</v>
      </c>
    </row>
    <row r="1476" spans="1:40" x14ac:dyDescent="0.3">
      <c r="A1476" t="s">
        <v>339</v>
      </c>
      <c r="B1476" t="s">
        <v>139</v>
      </c>
      <c r="C1476" t="s">
        <v>10</v>
      </c>
      <c r="D1476" t="s">
        <v>11</v>
      </c>
      <c r="E1476">
        <v>202602</v>
      </c>
      <c r="F1476" t="s">
        <v>371</v>
      </c>
      <c r="G1476">
        <v>0</v>
      </c>
      <c r="H1476">
        <v>2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2</v>
      </c>
      <c r="R1476">
        <v>0</v>
      </c>
      <c r="S1476">
        <v>1</v>
      </c>
      <c r="T1476">
        <v>0</v>
      </c>
      <c r="U1476">
        <v>0</v>
      </c>
      <c r="V1476">
        <v>3</v>
      </c>
      <c r="W1476">
        <v>0</v>
      </c>
      <c r="X1476">
        <v>0</v>
      </c>
      <c r="Y1476">
        <v>1</v>
      </c>
      <c r="Z1476">
        <v>2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12</v>
      </c>
      <c r="AM1476">
        <v>1</v>
      </c>
      <c r="AN1476">
        <v>17.039005868139181</v>
      </c>
    </row>
    <row r="1477" spans="1:40" x14ac:dyDescent="0.3">
      <c r="A1477" t="s">
        <v>339</v>
      </c>
      <c r="B1477" t="s">
        <v>139</v>
      </c>
      <c r="C1477" t="s">
        <v>10</v>
      </c>
      <c r="D1477" t="s">
        <v>11</v>
      </c>
      <c r="E1477">
        <v>202602</v>
      </c>
      <c r="F1477" t="s">
        <v>722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</v>
      </c>
      <c r="AM1477">
        <v>0.33333333333333331</v>
      </c>
      <c r="AN1477">
        <v>3.6796686227130611</v>
      </c>
    </row>
    <row r="1478" spans="1:40" x14ac:dyDescent="0.3">
      <c r="A1478" t="s">
        <v>339</v>
      </c>
      <c r="B1478" t="s">
        <v>139</v>
      </c>
      <c r="C1478" t="s">
        <v>10</v>
      </c>
      <c r="D1478" t="s">
        <v>11</v>
      </c>
      <c r="E1478">
        <v>202602</v>
      </c>
      <c r="F1478" t="s">
        <v>377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</v>
      </c>
      <c r="AM1478">
        <v>0.33333333333333331</v>
      </c>
      <c r="AN1478">
        <v>3.6796686227130611</v>
      </c>
    </row>
    <row r="1479" spans="1:40" x14ac:dyDescent="0.3">
      <c r="A1479" t="s">
        <v>339</v>
      </c>
      <c r="B1479" t="s">
        <v>139</v>
      </c>
      <c r="C1479" t="s">
        <v>10</v>
      </c>
      <c r="D1479" t="s">
        <v>11</v>
      </c>
      <c r="E1479">
        <v>202602</v>
      </c>
      <c r="F1479" t="s">
        <v>372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3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6</v>
      </c>
      <c r="AM1479">
        <v>0</v>
      </c>
      <c r="AN1479">
        <v>6</v>
      </c>
    </row>
    <row r="1480" spans="1:40" x14ac:dyDescent="0.3">
      <c r="A1480" t="s">
        <v>339</v>
      </c>
      <c r="B1480" t="s">
        <v>139</v>
      </c>
      <c r="C1480" t="s">
        <v>10</v>
      </c>
      <c r="D1480" t="s">
        <v>11</v>
      </c>
      <c r="E1480">
        <v>202602</v>
      </c>
      <c r="F1480" t="s">
        <v>718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2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</v>
      </c>
      <c r="AM1480">
        <v>0</v>
      </c>
      <c r="AN1480">
        <v>2</v>
      </c>
    </row>
    <row r="1481" spans="1:40" x14ac:dyDescent="0.3">
      <c r="A1481" t="s">
        <v>339</v>
      </c>
      <c r="B1481" t="s">
        <v>139</v>
      </c>
      <c r="C1481" t="s">
        <v>10</v>
      </c>
      <c r="D1481" t="s">
        <v>11</v>
      </c>
      <c r="E1481">
        <v>202602</v>
      </c>
      <c r="F1481" t="s">
        <v>373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3</v>
      </c>
      <c r="AM1481">
        <v>0</v>
      </c>
      <c r="AN1481">
        <v>3</v>
      </c>
    </row>
    <row r="1482" spans="1:40" x14ac:dyDescent="0.3">
      <c r="A1482" t="s">
        <v>339</v>
      </c>
      <c r="B1482" t="s">
        <v>139</v>
      </c>
      <c r="C1482" t="s">
        <v>10</v>
      </c>
      <c r="D1482" t="s">
        <v>11</v>
      </c>
      <c r="E1482">
        <v>202602</v>
      </c>
      <c r="F1482" t="s">
        <v>374</v>
      </c>
      <c r="G1482">
        <v>0</v>
      </c>
      <c r="H1482">
        <v>0</v>
      </c>
      <c r="I1482">
        <v>0</v>
      </c>
      <c r="J1482">
        <v>2</v>
      </c>
      <c r="K1482">
        <v>0</v>
      </c>
      <c r="L1482">
        <v>0</v>
      </c>
      <c r="M1482">
        <v>1</v>
      </c>
      <c r="N1482">
        <v>0</v>
      </c>
      <c r="O1482">
        <v>1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7</v>
      </c>
      <c r="AM1482">
        <v>0.66666666666666663</v>
      </c>
      <c r="AN1482">
        <v>10.359337245426122</v>
      </c>
    </row>
    <row r="1483" spans="1:40" x14ac:dyDescent="0.3">
      <c r="A1483" t="s">
        <v>339</v>
      </c>
      <c r="B1483" t="s">
        <v>139</v>
      </c>
      <c r="C1483" t="s">
        <v>10</v>
      </c>
      <c r="D1483" t="s">
        <v>11</v>
      </c>
      <c r="E1483">
        <v>202602</v>
      </c>
      <c r="F1483" t="s">
        <v>375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3</v>
      </c>
      <c r="AM1483">
        <v>0</v>
      </c>
      <c r="AN1483">
        <v>3</v>
      </c>
    </row>
    <row r="1484" spans="1:40" x14ac:dyDescent="0.3">
      <c r="A1484" t="s">
        <v>339</v>
      </c>
      <c r="B1484" t="s">
        <v>139</v>
      </c>
      <c r="C1484" t="s">
        <v>10</v>
      </c>
      <c r="D1484" t="s">
        <v>11</v>
      </c>
      <c r="E1484">
        <v>202602</v>
      </c>
      <c r="F1484" t="s">
        <v>148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0</v>
      </c>
      <c r="AN1484">
        <v>1</v>
      </c>
    </row>
    <row r="1485" spans="1:40" x14ac:dyDescent="0.3">
      <c r="A1485" t="s">
        <v>339</v>
      </c>
      <c r="B1485" t="s">
        <v>139</v>
      </c>
      <c r="C1485" t="s">
        <v>10</v>
      </c>
      <c r="D1485" t="s">
        <v>11</v>
      </c>
      <c r="E1485">
        <v>202602</v>
      </c>
      <c r="F1485" t="s">
        <v>723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0</v>
      </c>
      <c r="AN1485">
        <v>1</v>
      </c>
    </row>
    <row r="1486" spans="1:40" x14ac:dyDescent="0.3">
      <c r="A1486" t="s">
        <v>339</v>
      </c>
      <c r="B1486" t="s">
        <v>139</v>
      </c>
      <c r="C1486" t="s">
        <v>10</v>
      </c>
      <c r="D1486" t="s">
        <v>11</v>
      </c>
      <c r="E1486">
        <v>202602</v>
      </c>
      <c r="F1486" t="s">
        <v>743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0.33333333333333331</v>
      </c>
      <c r="AN1486">
        <v>2.6796686227130611</v>
      </c>
    </row>
    <row r="1487" spans="1:40" x14ac:dyDescent="0.3">
      <c r="A1487" t="s">
        <v>339</v>
      </c>
      <c r="B1487" t="s">
        <v>139</v>
      </c>
      <c r="C1487" t="s">
        <v>10</v>
      </c>
      <c r="D1487" t="s">
        <v>11</v>
      </c>
      <c r="E1487">
        <v>202602</v>
      </c>
      <c r="F1487" t="s">
        <v>237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0</v>
      </c>
      <c r="AN1487">
        <v>1</v>
      </c>
    </row>
    <row r="1488" spans="1:40" x14ac:dyDescent="0.3">
      <c r="A1488" t="s">
        <v>339</v>
      </c>
      <c r="B1488" t="s">
        <v>139</v>
      </c>
      <c r="C1488" t="s">
        <v>10</v>
      </c>
      <c r="D1488" t="s">
        <v>14</v>
      </c>
      <c r="E1488">
        <v>202602</v>
      </c>
      <c r="F1488" t="s">
        <v>140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</v>
      </c>
      <c r="AM1488">
        <v>0</v>
      </c>
      <c r="AN1488">
        <v>1</v>
      </c>
    </row>
    <row r="1489" spans="1:40" x14ac:dyDescent="0.3">
      <c r="A1489" t="s">
        <v>339</v>
      </c>
      <c r="B1489" t="s">
        <v>139</v>
      </c>
      <c r="C1489" t="s">
        <v>10</v>
      </c>
      <c r="D1489" t="s">
        <v>14</v>
      </c>
      <c r="E1489">
        <v>202602</v>
      </c>
      <c r="F1489" t="s">
        <v>367</v>
      </c>
      <c r="G1489">
        <v>1</v>
      </c>
      <c r="H1489">
        <v>3</v>
      </c>
      <c r="I1489">
        <v>3</v>
      </c>
      <c r="J1489">
        <v>2</v>
      </c>
      <c r="K1489">
        <v>3</v>
      </c>
      <c r="L1489">
        <v>3</v>
      </c>
      <c r="M1489">
        <v>2</v>
      </c>
      <c r="N1489">
        <v>0</v>
      </c>
      <c r="O1489">
        <v>4</v>
      </c>
      <c r="P1489">
        <v>7</v>
      </c>
      <c r="Q1489">
        <v>5</v>
      </c>
      <c r="R1489">
        <v>6</v>
      </c>
      <c r="S1489">
        <v>5</v>
      </c>
      <c r="T1489">
        <v>2</v>
      </c>
      <c r="U1489">
        <v>0</v>
      </c>
      <c r="V1489">
        <v>1</v>
      </c>
      <c r="W1489">
        <v>0</v>
      </c>
      <c r="X1489">
        <v>3</v>
      </c>
      <c r="Y1489">
        <v>1</v>
      </c>
      <c r="Z1489">
        <v>1</v>
      </c>
      <c r="AA1489">
        <v>3</v>
      </c>
      <c r="AB1489">
        <v>1</v>
      </c>
      <c r="AC1489">
        <v>3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59</v>
      </c>
      <c r="AM1489">
        <v>1.6666666666666667</v>
      </c>
      <c r="AN1489">
        <v>66.171207139501249</v>
      </c>
    </row>
    <row r="1490" spans="1:40" x14ac:dyDescent="0.3">
      <c r="A1490" t="s">
        <v>339</v>
      </c>
      <c r="B1490" t="s">
        <v>139</v>
      </c>
      <c r="C1490" t="s">
        <v>10</v>
      </c>
      <c r="D1490" t="s">
        <v>14</v>
      </c>
      <c r="E1490">
        <v>202602</v>
      </c>
      <c r="F1490" t="s">
        <v>368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3</v>
      </c>
      <c r="AM1490">
        <v>0.33333333333333331</v>
      </c>
      <c r="AN1490">
        <v>4.4342414279002504</v>
      </c>
    </row>
    <row r="1491" spans="1:40" x14ac:dyDescent="0.3">
      <c r="A1491" t="s">
        <v>339</v>
      </c>
      <c r="B1491" t="s">
        <v>139</v>
      </c>
      <c r="C1491" t="s">
        <v>10</v>
      </c>
      <c r="D1491" t="s">
        <v>14</v>
      </c>
      <c r="E1491">
        <v>202602</v>
      </c>
      <c r="F1491" t="s">
        <v>369</v>
      </c>
      <c r="G1491">
        <v>0</v>
      </c>
      <c r="H1491">
        <v>2</v>
      </c>
      <c r="I1491">
        <v>2</v>
      </c>
      <c r="J1491">
        <v>3</v>
      </c>
      <c r="K1491">
        <v>2</v>
      </c>
      <c r="L1491">
        <v>0</v>
      </c>
      <c r="M1491">
        <v>0</v>
      </c>
      <c r="N1491">
        <v>0</v>
      </c>
      <c r="O1491">
        <v>5</v>
      </c>
      <c r="P1491">
        <v>1</v>
      </c>
      <c r="Q1491">
        <v>5</v>
      </c>
      <c r="R1491">
        <v>6</v>
      </c>
      <c r="S1491">
        <v>4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2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33</v>
      </c>
      <c r="AM1491">
        <v>1</v>
      </c>
      <c r="AN1491">
        <v>37.302724283700748</v>
      </c>
    </row>
    <row r="1492" spans="1:40" x14ac:dyDescent="0.3">
      <c r="A1492" t="s">
        <v>339</v>
      </c>
      <c r="B1492" t="s">
        <v>139</v>
      </c>
      <c r="C1492" t="s">
        <v>10</v>
      </c>
      <c r="D1492" t="s">
        <v>14</v>
      </c>
      <c r="E1492">
        <v>202602</v>
      </c>
      <c r="F1492" t="s">
        <v>370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3</v>
      </c>
      <c r="AM1492">
        <v>0.33333333333333331</v>
      </c>
      <c r="AN1492">
        <v>4.4342414279002504</v>
      </c>
    </row>
    <row r="1493" spans="1:40" x14ac:dyDescent="0.3">
      <c r="A1493" t="s">
        <v>339</v>
      </c>
      <c r="B1493" t="s">
        <v>139</v>
      </c>
      <c r="C1493" t="s">
        <v>10</v>
      </c>
      <c r="D1493" t="s">
        <v>14</v>
      </c>
      <c r="E1493">
        <v>202602</v>
      </c>
      <c r="F1493" t="s">
        <v>142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1</v>
      </c>
      <c r="AM1493">
        <v>0.33333333333333331</v>
      </c>
      <c r="AN1493">
        <v>2.43424142790025</v>
      </c>
    </row>
    <row r="1494" spans="1:40" x14ac:dyDescent="0.3">
      <c r="A1494" t="s">
        <v>339</v>
      </c>
      <c r="B1494" t="s">
        <v>139</v>
      </c>
      <c r="C1494" t="s">
        <v>10</v>
      </c>
      <c r="D1494" t="s">
        <v>14</v>
      </c>
      <c r="E1494">
        <v>202602</v>
      </c>
      <c r="F1494" t="s">
        <v>376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1</v>
      </c>
    </row>
    <row r="1495" spans="1:40" x14ac:dyDescent="0.3">
      <c r="A1495" t="s">
        <v>339</v>
      </c>
      <c r="B1495" t="s">
        <v>139</v>
      </c>
      <c r="C1495" t="s">
        <v>10</v>
      </c>
      <c r="D1495" t="s">
        <v>14</v>
      </c>
      <c r="E1495">
        <v>202602</v>
      </c>
      <c r="F1495" t="s">
        <v>371</v>
      </c>
      <c r="G1495">
        <v>0</v>
      </c>
      <c r="H1495">
        <v>1</v>
      </c>
      <c r="I1495">
        <v>0</v>
      </c>
      <c r="J1495">
        <v>1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1</v>
      </c>
      <c r="Q1495">
        <v>0</v>
      </c>
      <c r="R1495">
        <v>2</v>
      </c>
      <c r="S1495">
        <v>2</v>
      </c>
      <c r="T1495">
        <v>0</v>
      </c>
      <c r="U1495">
        <v>0</v>
      </c>
      <c r="V1495">
        <v>0</v>
      </c>
      <c r="W1495">
        <v>0</v>
      </c>
      <c r="X1495">
        <v>3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12</v>
      </c>
      <c r="AM1495">
        <v>0.33333333333333331</v>
      </c>
      <c r="AN1495">
        <v>13.43424142790025</v>
      </c>
    </row>
    <row r="1496" spans="1:40" x14ac:dyDescent="0.3">
      <c r="A1496" t="s">
        <v>339</v>
      </c>
      <c r="B1496" t="s">
        <v>139</v>
      </c>
      <c r="C1496" t="s">
        <v>10</v>
      </c>
      <c r="D1496" t="s">
        <v>14</v>
      </c>
      <c r="E1496">
        <v>202602</v>
      </c>
      <c r="F1496" t="s">
        <v>722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2</v>
      </c>
      <c r="AM1496">
        <v>0.33333333333333331</v>
      </c>
      <c r="AN1496">
        <v>3.43424142790025</v>
      </c>
    </row>
    <row r="1497" spans="1:40" x14ac:dyDescent="0.3">
      <c r="A1497" t="s">
        <v>339</v>
      </c>
      <c r="B1497" t="s">
        <v>139</v>
      </c>
      <c r="C1497" t="s">
        <v>10</v>
      </c>
      <c r="D1497" t="s">
        <v>14</v>
      </c>
      <c r="E1497">
        <v>202602</v>
      </c>
      <c r="F1497" t="s">
        <v>377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</v>
      </c>
      <c r="AM1497">
        <v>0</v>
      </c>
      <c r="AN1497">
        <v>2</v>
      </c>
    </row>
    <row r="1498" spans="1:40" x14ac:dyDescent="0.3">
      <c r="A1498" t="s">
        <v>339</v>
      </c>
      <c r="B1498" t="s">
        <v>139</v>
      </c>
      <c r="C1498" t="s">
        <v>10</v>
      </c>
      <c r="D1498" t="s">
        <v>14</v>
      </c>
      <c r="E1498">
        <v>202602</v>
      </c>
      <c r="F1498" t="s">
        <v>372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1</v>
      </c>
      <c r="P1498">
        <v>1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2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7</v>
      </c>
      <c r="AM1498">
        <v>0</v>
      </c>
      <c r="AN1498">
        <v>7</v>
      </c>
    </row>
    <row r="1499" spans="1:40" x14ac:dyDescent="0.3">
      <c r="A1499" t="s">
        <v>339</v>
      </c>
      <c r="B1499" t="s">
        <v>139</v>
      </c>
      <c r="C1499" t="s">
        <v>10</v>
      </c>
      <c r="D1499" t="s">
        <v>14</v>
      </c>
      <c r="E1499">
        <v>202602</v>
      </c>
      <c r="F1499" t="s">
        <v>718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2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2</v>
      </c>
      <c r="AM1499">
        <v>0.66666666666666663</v>
      </c>
      <c r="AN1499">
        <v>4.8684828558005</v>
      </c>
    </row>
    <row r="1500" spans="1:40" x14ac:dyDescent="0.3">
      <c r="A1500" t="s">
        <v>339</v>
      </c>
      <c r="B1500" t="s">
        <v>139</v>
      </c>
      <c r="C1500" t="s">
        <v>10</v>
      </c>
      <c r="D1500" t="s">
        <v>14</v>
      </c>
      <c r="E1500">
        <v>202602</v>
      </c>
      <c r="F1500" t="s">
        <v>373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2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4</v>
      </c>
      <c r="AM1500">
        <v>0.66666666666666663</v>
      </c>
      <c r="AN1500">
        <v>6.8684828558005</v>
      </c>
    </row>
    <row r="1501" spans="1:40" x14ac:dyDescent="0.3">
      <c r="A1501" t="s">
        <v>339</v>
      </c>
      <c r="B1501" t="s">
        <v>139</v>
      </c>
      <c r="C1501" t="s">
        <v>10</v>
      </c>
      <c r="D1501" t="s">
        <v>14</v>
      </c>
      <c r="E1501">
        <v>202602</v>
      </c>
      <c r="F1501" t="s">
        <v>374</v>
      </c>
      <c r="G1501">
        <v>0</v>
      </c>
      <c r="H1501">
        <v>0</v>
      </c>
      <c r="I1501">
        <v>1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2</v>
      </c>
      <c r="Z1501">
        <v>2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8</v>
      </c>
      <c r="AM1501">
        <v>1.3333333333333333</v>
      </c>
      <c r="AN1501">
        <v>13.736965711601</v>
      </c>
    </row>
    <row r="1502" spans="1:40" x14ac:dyDescent="0.3">
      <c r="A1502" t="s">
        <v>339</v>
      </c>
      <c r="B1502" t="s">
        <v>139</v>
      </c>
      <c r="C1502" t="s">
        <v>10</v>
      </c>
      <c r="D1502" t="s">
        <v>14</v>
      </c>
      <c r="E1502">
        <v>202602</v>
      </c>
      <c r="F1502" t="s">
        <v>375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4</v>
      </c>
      <c r="AM1502">
        <v>0.33333333333333331</v>
      </c>
      <c r="AN1502">
        <v>5.4342414279002504</v>
      </c>
    </row>
    <row r="1503" spans="1:40" x14ac:dyDescent="0.3">
      <c r="A1503" t="s">
        <v>339</v>
      </c>
      <c r="B1503" t="s">
        <v>139</v>
      </c>
      <c r="C1503" t="s">
        <v>10</v>
      </c>
      <c r="D1503" t="s">
        <v>14</v>
      </c>
      <c r="E1503">
        <v>202602</v>
      </c>
      <c r="F1503" t="s">
        <v>148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</v>
      </c>
      <c r="AM1503">
        <v>0.33333333333333331</v>
      </c>
      <c r="AN1503">
        <v>3.43424142790025</v>
      </c>
    </row>
    <row r="1504" spans="1:40" x14ac:dyDescent="0.3">
      <c r="A1504" t="s">
        <v>339</v>
      </c>
      <c r="B1504" t="s">
        <v>139</v>
      </c>
      <c r="C1504" t="s">
        <v>10</v>
      </c>
      <c r="D1504" t="s">
        <v>14</v>
      </c>
      <c r="E1504">
        <v>202602</v>
      </c>
      <c r="F1504" t="s">
        <v>723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1</v>
      </c>
      <c r="AM1504">
        <v>0</v>
      </c>
      <c r="AN1504">
        <v>1</v>
      </c>
    </row>
    <row r="1505" spans="1:40" x14ac:dyDescent="0.3">
      <c r="A1505" t="s">
        <v>339</v>
      </c>
      <c r="B1505" t="s">
        <v>139</v>
      </c>
      <c r="C1505" t="s">
        <v>10</v>
      </c>
      <c r="D1505" t="s">
        <v>14</v>
      </c>
      <c r="E1505">
        <v>202602</v>
      </c>
      <c r="F1505" t="s">
        <v>743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0.33333333333333331</v>
      </c>
      <c r="AN1505">
        <v>2.43424142790025</v>
      </c>
    </row>
    <row r="1506" spans="1:40" x14ac:dyDescent="0.3">
      <c r="A1506" t="s">
        <v>339</v>
      </c>
      <c r="B1506" t="s">
        <v>139</v>
      </c>
      <c r="C1506" t="s">
        <v>10</v>
      </c>
      <c r="D1506" t="s">
        <v>14</v>
      </c>
      <c r="E1506">
        <v>202602</v>
      </c>
      <c r="F1506" t="s">
        <v>762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0.33333333333333331</v>
      </c>
      <c r="AN1506">
        <v>2.43424142790025</v>
      </c>
    </row>
    <row r="1507" spans="1:40" x14ac:dyDescent="0.3">
      <c r="A1507" t="s">
        <v>339</v>
      </c>
      <c r="B1507" t="s">
        <v>139</v>
      </c>
      <c r="C1507" t="s">
        <v>10</v>
      </c>
      <c r="D1507" t="s">
        <v>14</v>
      </c>
      <c r="E1507">
        <v>202602</v>
      </c>
      <c r="F1507" t="s">
        <v>378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1</v>
      </c>
      <c r="AM1507">
        <v>0</v>
      </c>
      <c r="AN1507">
        <v>1</v>
      </c>
    </row>
    <row r="1508" spans="1:40" x14ac:dyDescent="0.3">
      <c r="A1508" t="s">
        <v>339</v>
      </c>
      <c r="B1508" t="s">
        <v>139</v>
      </c>
      <c r="C1508" t="s">
        <v>10</v>
      </c>
      <c r="D1508" t="s">
        <v>14</v>
      </c>
      <c r="E1508">
        <v>202602</v>
      </c>
      <c r="F1508" t="s">
        <v>744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1</v>
      </c>
      <c r="AM1508">
        <v>0.33333333333333331</v>
      </c>
      <c r="AN1508">
        <v>2.43424142790025</v>
      </c>
    </row>
    <row r="1509" spans="1:40" x14ac:dyDescent="0.3">
      <c r="A1509" t="s">
        <v>339</v>
      </c>
      <c r="B1509" t="s">
        <v>238</v>
      </c>
      <c r="C1509" t="s">
        <v>10</v>
      </c>
      <c r="D1509" t="s">
        <v>11</v>
      </c>
      <c r="E1509">
        <v>202602</v>
      </c>
      <c r="F1509" t="s">
        <v>203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1</v>
      </c>
      <c r="AM1509">
        <v>0.33333333333333331</v>
      </c>
      <c r="AN1509">
        <v>2.6796686227130611</v>
      </c>
    </row>
    <row r="1510" spans="1:40" x14ac:dyDescent="0.3">
      <c r="A1510" t="s">
        <v>339</v>
      </c>
      <c r="B1510" t="s">
        <v>238</v>
      </c>
      <c r="C1510" t="s">
        <v>10</v>
      </c>
      <c r="D1510" t="s">
        <v>14</v>
      </c>
      <c r="E1510">
        <v>202602</v>
      </c>
      <c r="F1510" t="s">
        <v>203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5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6</v>
      </c>
      <c r="AM1510">
        <v>2</v>
      </c>
      <c r="AN1510">
        <v>14.605448567401501</v>
      </c>
    </row>
    <row r="1511" spans="1:40" x14ac:dyDescent="0.3">
      <c r="A1511" t="s">
        <v>339</v>
      </c>
      <c r="B1511" t="s">
        <v>656</v>
      </c>
      <c r="C1511" t="s">
        <v>10</v>
      </c>
      <c r="D1511" t="s">
        <v>11</v>
      </c>
      <c r="E1511">
        <v>202602</v>
      </c>
      <c r="F1511" t="s">
        <v>171</v>
      </c>
      <c r="G1511">
        <v>0</v>
      </c>
      <c r="H1511">
        <v>0</v>
      </c>
      <c r="I1511">
        <v>0</v>
      </c>
      <c r="J1511">
        <v>3</v>
      </c>
      <c r="K1511">
        <v>2</v>
      </c>
      <c r="L1511">
        <v>2</v>
      </c>
      <c r="M1511">
        <v>0</v>
      </c>
      <c r="N1511">
        <v>0</v>
      </c>
      <c r="O1511">
        <v>3</v>
      </c>
      <c r="P1511">
        <v>3</v>
      </c>
      <c r="Q1511">
        <v>1</v>
      </c>
      <c r="R1511">
        <v>2</v>
      </c>
      <c r="S1511">
        <v>3</v>
      </c>
      <c r="T1511">
        <v>0</v>
      </c>
      <c r="U1511">
        <v>0</v>
      </c>
      <c r="V1511">
        <v>3</v>
      </c>
      <c r="W1511">
        <v>0</v>
      </c>
      <c r="X1511">
        <v>0</v>
      </c>
      <c r="Y1511">
        <v>2</v>
      </c>
      <c r="Z1511">
        <v>3</v>
      </c>
      <c r="AA1511">
        <v>2</v>
      </c>
      <c r="AB1511">
        <v>0</v>
      </c>
      <c r="AC1511">
        <v>3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32</v>
      </c>
      <c r="AM1511">
        <v>2.6666666666666665</v>
      </c>
      <c r="AN1511">
        <v>45.437348981704488</v>
      </c>
    </row>
    <row r="1512" spans="1:40" x14ac:dyDescent="0.3">
      <c r="A1512" t="s">
        <v>339</v>
      </c>
      <c r="B1512" t="s">
        <v>656</v>
      </c>
      <c r="C1512" t="s">
        <v>10</v>
      </c>
      <c r="D1512" t="s">
        <v>14</v>
      </c>
      <c r="E1512">
        <v>202602</v>
      </c>
      <c r="F1512" t="s">
        <v>171</v>
      </c>
      <c r="G1512">
        <v>0</v>
      </c>
      <c r="H1512">
        <v>2</v>
      </c>
      <c r="I1512">
        <v>2</v>
      </c>
      <c r="J1512">
        <v>2</v>
      </c>
      <c r="K1512">
        <v>3</v>
      </c>
      <c r="L1512">
        <v>7</v>
      </c>
      <c r="M1512">
        <v>0</v>
      </c>
      <c r="N1512">
        <v>0</v>
      </c>
      <c r="O1512">
        <v>2</v>
      </c>
      <c r="P1512">
        <v>0</v>
      </c>
      <c r="Q1512">
        <v>2</v>
      </c>
      <c r="R1512">
        <v>0</v>
      </c>
      <c r="S1512">
        <v>3</v>
      </c>
      <c r="T1512">
        <v>3</v>
      </c>
      <c r="U1512">
        <v>0</v>
      </c>
      <c r="V1512">
        <v>2</v>
      </c>
      <c r="W1512">
        <v>0</v>
      </c>
      <c r="X1512">
        <v>1</v>
      </c>
      <c r="Y1512">
        <v>2</v>
      </c>
      <c r="Z1512">
        <v>5</v>
      </c>
      <c r="AA1512">
        <v>3</v>
      </c>
      <c r="AB1512">
        <v>0</v>
      </c>
      <c r="AC1512">
        <v>5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44</v>
      </c>
      <c r="AM1512">
        <v>4</v>
      </c>
      <c r="AN1512">
        <v>61.210897134803005</v>
      </c>
    </row>
    <row r="1513" spans="1:40" x14ac:dyDescent="0.3">
      <c r="A1513" t="s">
        <v>339</v>
      </c>
      <c r="B1513" t="s">
        <v>656</v>
      </c>
      <c r="C1513" t="s">
        <v>16</v>
      </c>
      <c r="D1513" t="s">
        <v>11</v>
      </c>
      <c r="E1513">
        <v>202602</v>
      </c>
      <c r="F1513" t="s">
        <v>171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2</v>
      </c>
      <c r="AM1513">
        <v>0</v>
      </c>
      <c r="AN1513">
        <v>2</v>
      </c>
    </row>
    <row r="1514" spans="1:40" x14ac:dyDescent="0.3">
      <c r="A1514" t="s">
        <v>339</v>
      </c>
      <c r="B1514" t="s">
        <v>656</v>
      </c>
      <c r="C1514" t="s">
        <v>16</v>
      </c>
      <c r="D1514" t="s">
        <v>14</v>
      </c>
      <c r="E1514">
        <v>202602</v>
      </c>
      <c r="F1514" t="s">
        <v>171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</v>
      </c>
      <c r="AM1514">
        <v>0</v>
      </c>
      <c r="AN1514">
        <v>2</v>
      </c>
    </row>
    <row r="1515" spans="1:40" x14ac:dyDescent="0.3">
      <c r="A1515" t="s">
        <v>339</v>
      </c>
      <c r="B1515" t="s">
        <v>164</v>
      </c>
      <c r="C1515" t="s">
        <v>10</v>
      </c>
      <c r="D1515" t="s">
        <v>11</v>
      </c>
      <c r="E1515">
        <v>202602</v>
      </c>
      <c r="F1515" t="s">
        <v>18</v>
      </c>
      <c r="G1515">
        <v>0</v>
      </c>
      <c r="H1515">
        <v>0</v>
      </c>
      <c r="I1515">
        <v>0</v>
      </c>
      <c r="J1515">
        <v>10</v>
      </c>
      <c r="K1515">
        <v>5</v>
      </c>
      <c r="L1515">
        <v>5</v>
      </c>
      <c r="M1515">
        <v>1</v>
      </c>
      <c r="N1515">
        <v>1</v>
      </c>
      <c r="O1515">
        <v>5</v>
      </c>
      <c r="P1515">
        <v>3</v>
      </c>
      <c r="Q1515">
        <v>0</v>
      </c>
      <c r="R1515">
        <v>1</v>
      </c>
      <c r="S1515">
        <v>3</v>
      </c>
      <c r="T1515">
        <v>4</v>
      </c>
      <c r="U1515">
        <v>0</v>
      </c>
      <c r="V1515">
        <v>6</v>
      </c>
      <c r="W1515">
        <v>1</v>
      </c>
      <c r="X1515">
        <v>5</v>
      </c>
      <c r="Y1515">
        <v>1</v>
      </c>
      <c r="Z1515">
        <v>2</v>
      </c>
      <c r="AA1515">
        <v>5</v>
      </c>
      <c r="AB1515">
        <v>1</v>
      </c>
      <c r="AC1515">
        <v>5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64</v>
      </c>
      <c r="AM1515">
        <v>2.6666666666666665</v>
      </c>
      <c r="AN1515">
        <v>77.437348981704488</v>
      </c>
    </row>
    <row r="1516" spans="1:40" x14ac:dyDescent="0.3">
      <c r="A1516" t="s">
        <v>339</v>
      </c>
      <c r="B1516" t="s">
        <v>164</v>
      </c>
      <c r="C1516" t="s">
        <v>10</v>
      </c>
      <c r="D1516" t="s">
        <v>11</v>
      </c>
      <c r="E1516">
        <v>202602</v>
      </c>
      <c r="F1516" t="s">
        <v>138</v>
      </c>
      <c r="G1516">
        <v>0</v>
      </c>
      <c r="H1516">
        <v>0</v>
      </c>
      <c r="I1516">
        <v>4</v>
      </c>
      <c r="J1516">
        <v>3</v>
      </c>
      <c r="K1516">
        <v>2</v>
      </c>
      <c r="L1516">
        <v>5</v>
      </c>
      <c r="M1516">
        <v>1</v>
      </c>
      <c r="N1516">
        <v>0</v>
      </c>
      <c r="O1516">
        <v>2</v>
      </c>
      <c r="P1516">
        <v>1</v>
      </c>
      <c r="Q1516">
        <v>2</v>
      </c>
      <c r="R1516">
        <v>4</v>
      </c>
      <c r="S1516">
        <v>5</v>
      </c>
      <c r="T1516">
        <v>0</v>
      </c>
      <c r="U1516">
        <v>0</v>
      </c>
      <c r="V1516">
        <v>3</v>
      </c>
      <c r="W1516">
        <v>0</v>
      </c>
      <c r="X1516">
        <v>4</v>
      </c>
      <c r="Y1516">
        <v>4</v>
      </c>
      <c r="Z1516">
        <v>5</v>
      </c>
      <c r="AA1516">
        <v>1</v>
      </c>
      <c r="AB1516">
        <v>1</v>
      </c>
      <c r="AC1516">
        <v>5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52</v>
      </c>
      <c r="AM1516">
        <v>4.666666666666667</v>
      </c>
      <c r="AN1516">
        <v>75.515360717982844</v>
      </c>
    </row>
    <row r="1517" spans="1:40" x14ac:dyDescent="0.3">
      <c r="A1517" t="s">
        <v>339</v>
      </c>
      <c r="B1517" t="s">
        <v>164</v>
      </c>
      <c r="C1517" t="s">
        <v>10</v>
      </c>
      <c r="D1517" t="s">
        <v>14</v>
      </c>
      <c r="E1517">
        <v>202602</v>
      </c>
      <c r="F1517" t="s">
        <v>18</v>
      </c>
      <c r="G1517">
        <v>3</v>
      </c>
      <c r="H1517">
        <v>2</v>
      </c>
      <c r="I1517">
        <v>8</v>
      </c>
      <c r="J1517">
        <v>5</v>
      </c>
      <c r="K1517">
        <v>3</v>
      </c>
      <c r="L1517">
        <v>4</v>
      </c>
      <c r="M1517">
        <v>1</v>
      </c>
      <c r="N1517">
        <v>1</v>
      </c>
      <c r="O1517">
        <v>4</v>
      </c>
      <c r="P1517">
        <v>4</v>
      </c>
      <c r="Q1517">
        <v>3</v>
      </c>
      <c r="R1517">
        <v>6</v>
      </c>
      <c r="S1517">
        <v>3</v>
      </c>
      <c r="T1517">
        <v>2</v>
      </c>
      <c r="U1517">
        <v>2</v>
      </c>
      <c r="V1517">
        <v>1</v>
      </c>
      <c r="W1517">
        <v>2</v>
      </c>
      <c r="X1517">
        <v>6</v>
      </c>
      <c r="Y1517">
        <v>9</v>
      </c>
      <c r="Z1517">
        <v>3</v>
      </c>
      <c r="AA1517">
        <v>2</v>
      </c>
      <c r="AB1517">
        <v>4</v>
      </c>
      <c r="AC1517">
        <v>3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81</v>
      </c>
      <c r="AM1517">
        <v>5</v>
      </c>
      <c r="AN1517">
        <v>102.51362141850375</v>
      </c>
    </row>
    <row r="1518" spans="1:40" x14ac:dyDescent="0.3">
      <c r="A1518" t="s">
        <v>339</v>
      </c>
      <c r="B1518" t="s">
        <v>164</v>
      </c>
      <c r="C1518" t="s">
        <v>10</v>
      </c>
      <c r="D1518" t="s">
        <v>14</v>
      </c>
      <c r="E1518">
        <v>202602</v>
      </c>
      <c r="F1518" t="s">
        <v>138</v>
      </c>
      <c r="G1518">
        <v>0</v>
      </c>
      <c r="H1518">
        <v>5</v>
      </c>
      <c r="I1518">
        <v>6</v>
      </c>
      <c r="J1518">
        <v>3</v>
      </c>
      <c r="K1518">
        <v>9</v>
      </c>
      <c r="L1518">
        <v>3</v>
      </c>
      <c r="M1518">
        <v>0</v>
      </c>
      <c r="N1518">
        <v>0</v>
      </c>
      <c r="O1518">
        <v>3</v>
      </c>
      <c r="P1518">
        <v>4</v>
      </c>
      <c r="Q1518">
        <v>2</v>
      </c>
      <c r="R1518">
        <v>2</v>
      </c>
      <c r="S1518">
        <v>7</v>
      </c>
      <c r="T1518">
        <v>1</v>
      </c>
      <c r="U1518">
        <v>0</v>
      </c>
      <c r="V1518">
        <v>4</v>
      </c>
      <c r="W1518">
        <v>1</v>
      </c>
      <c r="X1518">
        <v>4</v>
      </c>
      <c r="Y1518">
        <v>3</v>
      </c>
      <c r="Z1518">
        <v>4</v>
      </c>
      <c r="AA1518">
        <v>3</v>
      </c>
      <c r="AB1518">
        <v>0</v>
      </c>
      <c r="AC1518">
        <v>3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67</v>
      </c>
      <c r="AM1518">
        <v>3.3333333333333335</v>
      </c>
      <c r="AN1518">
        <v>81.342414279002497</v>
      </c>
    </row>
    <row r="1519" spans="1:40" x14ac:dyDescent="0.3">
      <c r="A1519" t="s">
        <v>339</v>
      </c>
      <c r="B1519" t="s">
        <v>164</v>
      </c>
      <c r="C1519" t="s">
        <v>16</v>
      </c>
      <c r="D1519" t="s">
        <v>11</v>
      </c>
      <c r="E1519">
        <v>202602</v>
      </c>
      <c r="F1519" t="s">
        <v>18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2</v>
      </c>
      <c r="Y1519">
        <v>1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5</v>
      </c>
      <c r="AM1519">
        <v>0.33333333333333331</v>
      </c>
      <c r="AN1519">
        <v>6.6796686227130611</v>
      </c>
    </row>
    <row r="1520" spans="1:40" x14ac:dyDescent="0.3">
      <c r="A1520" t="s">
        <v>339</v>
      </c>
      <c r="B1520" t="s">
        <v>164</v>
      </c>
      <c r="C1520" t="s">
        <v>16</v>
      </c>
      <c r="D1520" t="s">
        <v>11</v>
      </c>
      <c r="E1520">
        <v>202602</v>
      </c>
      <c r="F1520" t="s">
        <v>138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3</v>
      </c>
      <c r="AM1520">
        <v>0.33333333333333331</v>
      </c>
      <c r="AN1520">
        <v>4.6796686227130611</v>
      </c>
    </row>
    <row r="1521" spans="1:40" x14ac:dyDescent="0.3">
      <c r="A1521" t="s">
        <v>339</v>
      </c>
      <c r="B1521" t="s">
        <v>164</v>
      </c>
      <c r="C1521" t="s">
        <v>16</v>
      </c>
      <c r="D1521" t="s">
        <v>14</v>
      </c>
      <c r="E1521">
        <v>202602</v>
      </c>
      <c r="F1521" t="s">
        <v>18</v>
      </c>
      <c r="G1521">
        <v>0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1</v>
      </c>
      <c r="X1521">
        <v>1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6</v>
      </c>
      <c r="AM1521">
        <v>0.33333333333333331</v>
      </c>
      <c r="AN1521">
        <v>7.4342414279002504</v>
      </c>
    </row>
    <row r="1522" spans="1:40" x14ac:dyDescent="0.3">
      <c r="A1522" t="s">
        <v>339</v>
      </c>
      <c r="B1522" t="s">
        <v>164</v>
      </c>
      <c r="C1522" t="s">
        <v>16</v>
      </c>
      <c r="D1522" t="s">
        <v>14</v>
      </c>
      <c r="E1522">
        <v>202602</v>
      </c>
      <c r="F1522" t="s">
        <v>138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2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6</v>
      </c>
      <c r="AM1522">
        <v>0.33333333333333331</v>
      </c>
      <c r="AN1522">
        <v>7.4342414279002504</v>
      </c>
    </row>
    <row r="1523" spans="1:40" x14ac:dyDescent="0.3">
      <c r="A1523" t="s">
        <v>339</v>
      </c>
      <c r="B1523" t="s">
        <v>168</v>
      </c>
      <c r="C1523" t="s">
        <v>10</v>
      </c>
      <c r="D1523" t="s">
        <v>11</v>
      </c>
      <c r="E1523">
        <v>202602</v>
      </c>
      <c r="F1523" t="s">
        <v>323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</v>
      </c>
      <c r="AM1523">
        <v>0</v>
      </c>
      <c r="AN1523">
        <v>2</v>
      </c>
    </row>
    <row r="1524" spans="1:40" x14ac:dyDescent="0.3">
      <c r="A1524" t="s">
        <v>339</v>
      </c>
      <c r="B1524" t="s">
        <v>168</v>
      </c>
      <c r="C1524" t="s">
        <v>10</v>
      </c>
      <c r="D1524" t="s">
        <v>11</v>
      </c>
      <c r="E1524">
        <v>202602</v>
      </c>
      <c r="F1524" t="s">
        <v>366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0.33333333333333331</v>
      </c>
      <c r="AN1524">
        <v>2.6796686227130611</v>
      </c>
    </row>
    <row r="1525" spans="1:40" x14ac:dyDescent="0.3">
      <c r="A1525" t="s">
        <v>339</v>
      </c>
      <c r="B1525" t="s">
        <v>168</v>
      </c>
      <c r="C1525" t="s">
        <v>10</v>
      </c>
      <c r="D1525" t="s">
        <v>14</v>
      </c>
      <c r="E1525">
        <v>202602</v>
      </c>
      <c r="F1525" t="s">
        <v>323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</v>
      </c>
      <c r="AM1525">
        <v>0</v>
      </c>
      <c r="AN1525">
        <v>2</v>
      </c>
    </row>
    <row r="1526" spans="1:40" x14ac:dyDescent="0.3">
      <c r="A1526" t="s">
        <v>339</v>
      </c>
      <c r="B1526" t="s">
        <v>168</v>
      </c>
      <c r="C1526" t="s">
        <v>10</v>
      </c>
      <c r="D1526" t="s">
        <v>14</v>
      </c>
      <c r="E1526">
        <v>202602</v>
      </c>
      <c r="F1526" t="s">
        <v>366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3</v>
      </c>
      <c r="AM1526">
        <v>0.66666666666666663</v>
      </c>
      <c r="AN1526">
        <v>5.8684828558005</v>
      </c>
    </row>
    <row r="1527" spans="1:40" x14ac:dyDescent="0.3">
      <c r="A1527" t="s">
        <v>339</v>
      </c>
      <c r="B1527" t="s">
        <v>170</v>
      </c>
      <c r="C1527" t="s">
        <v>10</v>
      </c>
      <c r="D1527" t="s">
        <v>11</v>
      </c>
      <c r="E1527">
        <v>202602</v>
      </c>
      <c r="F1527" t="s">
        <v>50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3</v>
      </c>
      <c r="AM1527">
        <v>0</v>
      </c>
      <c r="AN1527">
        <v>3</v>
      </c>
    </row>
    <row r="1528" spans="1:40" x14ac:dyDescent="0.3">
      <c r="A1528" t="s">
        <v>339</v>
      </c>
      <c r="B1528" t="s">
        <v>170</v>
      </c>
      <c r="C1528" t="s">
        <v>10</v>
      </c>
      <c r="D1528" t="s">
        <v>14</v>
      </c>
      <c r="E1528">
        <v>202602</v>
      </c>
      <c r="F1528" t="s">
        <v>50</v>
      </c>
      <c r="G1528">
        <v>0</v>
      </c>
      <c r="H1528">
        <v>0</v>
      </c>
      <c r="I1528">
        <v>1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</v>
      </c>
      <c r="AM1528">
        <v>0</v>
      </c>
      <c r="AN1528">
        <v>3</v>
      </c>
    </row>
    <row r="1529" spans="1:40" x14ac:dyDescent="0.3">
      <c r="A1529" t="s">
        <v>339</v>
      </c>
      <c r="B1529" t="s">
        <v>379</v>
      </c>
      <c r="C1529" t="s">
        <v>10</v>
      </c>
      <c r="D1529" t="s">
        <v>11</v>
      </c>
      <c r="E1529">
        <v>202602</v>
      </c>
      <c r="F1529" t="s">
        <v>366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1</v>
      </c>
      <c r="AM1529">
        <v>0</v>
      </c>
      <c r="AN1529">
        <v>1</v>
      </c>
    </row>
    <row r="1530" spans="1:40" x14ac:dyDescent="0.3">
      <c r="A1530" t="s">
        <v>339</v>
      </c>
      <c r="B1530" t="s">
        <v>379</v>
      </c>
      <c r="C1530" t="s">
        <v>10</v>
      </c>
      <c r="D1530" t="s">
        <v>14</v>
      </c>
      <c r="E1530">
        <v>202602</v>
      </c>
      <c r="F1530" t="s">
        <v>366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1</v>
      </c>
      <c r="AM1530">
        <v>0</v>
      </c>
      <c r="AN1530">
        <v>1</v>
      </c>
    </row>
    <row r="1531" spans="1:40" x14ac:dyDescent="0.3">
      <c r="A1531" t="s">
        <v>339</v>
      </c>
      <c r="B1531" t="s">
        <v>172</v>
      </c>
      <c r="C1531" t="s">
        <v>10</v>
      </c>
      <c r="D1531" t="s">
        <v>11</v>
      </c>
      <c r="E1531">
        <v>202602</v>
      </c>
      <c r="F1531" t="s">
        <v>171</v>
      </c>
      <c r="G1531">
        <v>0</v>
      </c>
      <c r="H1531">
        <v>0</v>
      </c>
      <c r="I1531">
        <v>1</v>
      </c>
      <c r="J1531">
        <v>0</v>
      </c>
      <c r="K1531">
        <v>1</v>
      </c>
      <c r="L1531">
        <v>1</v>
      </c>
      <c r="M1531">
        <v>1</v>
      </c>
      <c r="N1531">
        <v>0</v>
      </c>
      <c r="O1531">
        <v>1</v>
      </c>
      <c r="P1531">
        <v>3</v>
      </c>
      <c r="Q1531">
        <v>1</v>
      </c>
      <c r="R1531">
        <v>1</v>
      </c>
      <c r="S1531">
        <v>1</v>
      </c>
      <c r="T1531">
        <v>1</v>
      </c>
      <c r="U1531">
        <v>0</v>
      </c>
      <c r="V1531">
        <v>0</v>
      </c>
      <c r="W1531">
        <v>0</v>
      </c>
      <c r="X1531">
        <v>1</v>
      </c>
      <c r="Y1531">
        <v>3</v>
      </c>
      <c r="Z1531">
        <v>1</v>
      </c>
      <c r="AA1531">
        <v>1</v>
      </c>
      <c r="AB1531">
        <v>0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19</v>
      </c>
      <c r="AM1531">
        <v>1.6666666666666667</v>
      </c>
      <c r="AN1531">
        <v>27.398343113565303</v>
      </c>
    </row>
    <row r="1532" spans="1:40" x14ac:dyDescent="0.3">
      <c r="A1532" t="s">
        <v>339</v>
      </c>
      <c r="B1532" t="s">
        <v>172</v>
      </c>
      <c r="C1532" t="s">
        <v>10</v>
      </c>
      <c r="D1532" t="s">
        <v>14</v>
      </c>
      <c r="E1532">
        <v>202602</v>
      </c>
      <c r="F1532" t="s">
        <v>171</v>
      </c>
      <c r="G1532">
        <v>0</v>
      </c>
      <c r="H1532">
        <v>1</v>
      </c>
      <c r="I1532">
        <v>4</v>
      </c>
      <c r="J1532">
        <v>3</v>
      </c>
      <c r="K1532">
        <v>1</v>
      </c>
      <c r="L1532">
        <v>4</v>
      </c>
      <c r="M1532">
        <v>0</v>
      </c>
      <c r="N1532">
        <v>0</v>
      </c>
      <c r="O1532">
        <v>2</v>
      </c>
      <c r="P1532">
        <v>2</v>
      </c>
      <c r="Q1532">
        <v>3</v>
      </c>
      <c r="R1532">
        <v>2</v>
      </c>
      <c r="S1532">
        <v>0</v>
      </c>
      <c r="T1532">
        <v>2</v>
      </c>
      <c r="U1532">
        <v>0</v>
      </c>
      <c r="V1532">
        <v>0</v>
      </c>
      <c r="W1532">
        <v>0</v>
      </c>
      <c r="X1532">
        <v>2</v>
      </c>
      <c r="Y1532">
        <v>0</v>
      </c>
      <c r="Z1532">
        <v>0</v>
      </c>
      <c r="AA1532">
        <v>1</v>
      </c>
      <c r="AB1532">
        <v>0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28</v>
      </c>
      <c r="AM1532">
        <v>0.33333333333333331</v>
      </c>
      <c r="AN1532">
        <v>29.43424142790025</v>
      </c>
    </row>
    <row r="1533" spans="1:40" x14ac:dyDescent="0.3">
      <c r="A1533" t="s">
        <v>380</v>
      </c>
      <c r="B1533" t="s">
        <v>9</v>
      </c>
      <c r="C1533" t="s">
        <v>10</v>
      </c>
      <c r="D1533" t="s">
        <v>11</v>
      </c>
      <c r="E1533">
        <v>202602</v>
      </c>
      <c r="F1533" t="s">
        <v>381</v>
      </c>
      <c r="G1533">
        <v>0</v>
      </c>
      <c r="H1533">
        <v>3</v>
      </c>
      <c r="I1533">
        <v>2</v>
      </c>
      <c r="J1533">
        <v>4</v>
      </c>
      <c r="K1533">
        <v>6</v>
      </c>
      <c r="L1533">
        <v>5</v>
      </c>
      <c r="M1533">
        <v>2</v>
      </c>
      <c r="N1533">
        <v>0</v>
      </c>
      <c r="O1533">
        <v>4</v>
      </c>
      <c r="P1533">
        <v>4</v>
      </c>
      <c r="Q1533">
        <v>3</v>
      </c>
      <c r="R1533">
        <v>2</v>
      </c>
      <c r="S1533">
        <v>6</v>
      </c>
      <c r="T1533">
        <v>1</v>
      </c>
      <c r="U1533">
        <v>0</v>
      </c>
      <c r="V1533">
        <v>1</v>
      </c>
      <c r="W1533">
        <v>1</v>
      </c>
      <c r="X1533">
        <v>3</v>
      </c>
      <c r="Y1533">
        <v>9</v>
      </c>
      <c r="Z1533">
        <v>1</v>
      </c>
      <c r="AA1533">
        <v>2</v>
      </c>
      <c r="AB1533">
        <v>0</v>
      </c>
      <c r="AC1533">
        <v>2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61</v>
      </c>
      <c r="AM1533">
        <v>4</v>
      </c>
      <c r="AN1533">
        <v>81.156023472556726</v>
      </c>
    </row>
    <row r="1534" spans="1:40" x14ac:dyDescent="0.3">
      <c r="A1534" t="s">
        <v>380</v>
      </c>
      <c r="B1534" t="s">
        <v>9</v>
      </c>
      <c r="C1534" t="s">
        <v>10</v>
      </c>
      <c r="D1534" t="s">
        <v>14</v>
      </c>
      <c r="E1534">
        <v>202602</v>
      </c>
      <c r="F1534" t="s">
        <v>381</v>
      </c>
      <c r="G1534">
        <v>0</v>
      </c>
      <c r="H1534">
        <v>10</v>
      </c>
      <c r="I1534">
        <v>8</v>
      </c>
      <c r="J1534">
        <v>5</v>
      </c>
      <c r="K1534">
        <v>12</v>
      </c>
      <c r="L1534">
        <v>6</v>
      </c>
      <c r="M1534">
        <v>1</v>
      </c>
      <c r="N1534">
        <v>1</v>
      </c>
      <c r="O1534">
        <v>8</v>
      </c>
      <c r="P1534">
        <v>4</v>
      </c>
      <c r="Q1534">
        <v>3</v>
      </c>
      <c r="R1534">
        <v>3</v>
      </c>
      <c r="S1534">
        <v>0</v>
      </c>
      <c r="T1534">
        <v>1</v>
      </c>
      <c r="U1534">
        <v>0</v>
      </c>
      <c r="V1534">
        <v>5</v>
      </c>
      <c r="W1534">
        <v>0</v>
      </c>
      <c r="X1534">
        <v>7</v>
      </c>
      <c r="Y1534">
        <v>4</v>
      </c>
      <c r="Z1534">
        <v>3</v>
      </c>
      <c r="AA1534">
        <v>1</v>
      </c>
      <c r="AB1534">
        <v>0</v>
      </c>
      <c r="AC1534">
        <v>7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89</v>
      </c>
      <c r="AM1534">
        <v>4.666666666666667</v>
      </c>
      <c r="AN1534">
        <v>109.0793799906035</v>
      </c>
    </row>
    <row r="1535" spans="1:40" x14ac:dyDescent="0.3">
      <c r="A1535" t="s">
        <v>380</v>
      </c>
      <c r="B1535" t="s">
        <v>9</v>
      </c>
      <c r="C1535" t="s">
        <v>16</v>
      </c>
      <c r="D1535" t="s">
        <v>11</v>
      </c>
      <c r="E1535">
        <v>202602</v>
      </c>
      <c r="F1535" t="s">
        <v>381</v>
      </c>
      <c r="G1535">
        <v>0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4</v>
      </c>
      <c r="AM1535">
        <v>0.33333333333333331</v>
      </c>
      <c r="AN1535">
        <v>5.6796686227130611</v>
      </c>
    </row>
    <row r="1536" spans="1:40" x14ac:dyDescent="0.3">
      <c r="A1536" t="s">
        <v>380</v>
      </c>
      <c r="B1536" t="s">
        <v>9</v>
      </c>
      <c r="C1536" t="s">
        <v>16</v>
      </c>
      <c r="D1536" t="s">
        <v>14</v>
      </c>
      <c r="E1536">
        <v>202602</v>
      </c>
      <c r="F1536" t="s">
        <v>381</v>
      </c>
      <c r="G1536">
        <v>0</v>
      </c>
      <c r="H1536">
        <v>0</v>
      </c>
      <c r="I1536">
        <v>0</v>
      </c>
      <c r="J1536">
        <v>1</v>
      </c>
      <c r="K1536">
        <v>1</v>
      </c>
      <c r="L1536">
        <v>1</v>
      </c>
      <c r="M1536">
        <v>0</v>
      </c>
      <c r="N1536">
        <v>0</v>
      </c>
      <c r="O1536">
        <v>0</v>
      </c>
      <c r="P1536">
        <v>3</v>
      </c>
      <c r="Q1536">
        <v>1</v>
      </c>
      <c r="R1536">
        <v>0</v>
      </c>
      <c r="S1536">
        <v>1</v>
      </c>
      <c r="T1536">
        <v>0</v>
      </c>
      <c r="U1536">
        <v>0</v>
      </c>
      <c r="V1536">
        <v>2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11</v>
      </c>
      <c r="AM1536">
        <v>0</v>
      </c>
      <c r="AN1536">
        <v>11</v>
      </c>
    </row>
    <row r="1537" spans="1:40" x14ac:dyDescent="0.3">
      <c r="A1537" t="s">
        <v>380</v>
      </c>
      <c r="B1537" t="s">
        <v>17</v>
      </c>
      <c r="C1537" t="s">
        <v>10</v>
      </c>
      <c r="D1537" t="s">
        <v>11</v>
      </c>
      <c r="E1537">
        <v>202602</v>
      </c>
      <c r="F1537" t="s">
        <v>42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1</v>
      </c>
      <c r="AM1537">
        <v>0</v>
      </c>
      <c r="AN1537">
        <v>1</v>
      </c>
    </row>
    <row r="1538" spans="1:40" x14ac:dyDescent="0.3">
      <c r="A1538" t="s">
        <v>380</v>
      </c>
      <c r="B1538" t="s">
        <v>17</v>
      </c>
      <c r="C1538" t="s">
        <v>10</v>
      </c>
      <c r="D1538" t="s">
        <v>11</v>
      </c>
      <c r="E1538">
        <v>202602</v>
      </c>
      <c r="F1538" t="s">
        <v>382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2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5</v>
      </c>
      <c r="AM1538">
        <v>0</v>
      </c>
      <c r="AN1538">
        <v>5</v>
      </c>
    </row>
    <row r="1539" spans="1:40" x14ac:dyDescent="0.3">
      <c r="A1539" t="s">
        <v>380</v>
      </c>
      <c r="B1539" t="s">
        <v>17</v>
      </c>
      <c r="C1539" t="s">
        <v>10</v>
      </c>
      <c r="D1539" t="s">
        <v>11</v>
      </c>
      <c r="E1539">
        <v>202602</v>
      </c>
      <c r="F1539" t="s">
        <v>383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1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5</v>
      </c>
      <c r="AM1539">
        <v>0</v>
      </c>
      <c r="AN1539">
        <v>5</v>
      </c>
    </row>
    <row r="1540" spans="1:40" x14ac:dyDescent="0.3">
      <c r="A1540" t="s">
        <v>380</v>
      </c>
      <c r="B1540" t="s">
        <v>17</v>
      </c>
      <c r="C1540" t="s">
        <v>10</v>
      </c>
      <c r="D1540" t="s">
        <v>11</v>
      </c>
      <c r="E1540">
        <v>202602</v>
      </c>
      <c r="F1540" t="s">
        <v>384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1</v>
      </c>
      <c r="Q1540">
        <v>1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5</v>
      </c>
      <c r="AM1540">
        <v>0</v>
      </c>
      <c r="AN1540">
        <v>5</v>
      </c>
    </row>
    <row r="1541" spans="1:40" x14ac:dyDescent="0.3">
      <c r="A1541" t="s">
        <v>380</v>
      </c>
      <c r="B1541" t="s">
        <v>17</v>
      </c>
      <c r="C1541" t="s">
        <v>10</v>
      </c>
      <c r="D1541" t="s">
        <v>11</v>
      </c>
      <c r="E1541">
        <v>202602</v>
      </c>
      <c r="F1541" t="s">
        <v>385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3</v>
      </c>
      <c r="AM1541">
        <v>0</v>
      </c>
      <c r="AN1541">
        <v>3</v>
      </c>
    </row>
    <row r="1542" spans="1:40" x14ac:dyDescent="0.3">
      <c r="A1542" t="s">
        <v>380</v>
      </c>
      <c r="B1542" t="s">
        <v>17</v>
      </c>
      <c r="C1542" t="s">
        <v>10</v>
      </c>
      <c r="D1542" t="s">
        <v>11</v>
      </c>
      <c r="E1542">
        <v>202602</v>
      </c>
      <c r="F1542" t="s">
        <v>386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1</v>
      </c>
      <c r="X1542">
        <v>3</v>
      </c>
      <c r="Y1542">
        <v>0</v>
      </c>
      <c r="Z1542">
        <v>0</v>
      </c>
      <c r="AA1542">
        <v>1</v>
      </c>
      <c r="AB1542">
        <v>0</v>
      </c>
      <c r="AC1542">
        <v>2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10</v>
      </c>
      <c r="AM1542">
        <v>0.66666666666666663</v>
      </c>
      <c r="AN1542">
        <v>13.359337245426122</v>
      </c>
    </row>
    <row r="1543" spans="1:40" x14ac:dyDescent="0.3">
      <c r="A1543" t="s">
        <v>380</v>
      </c>
      <c r="B1543" t="s">
        <v>17</v>
      </c>
      <c r="C1543" t="s">
        <v>10</v>
      </c>
      <c r="D1543" t="s">
        <v>11</v>
      </c>
      <c r="E1543">
        <v>202602</v>
      </c>
      <c r="F1543" t="s">
        <v>387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3</v>
      </c>
      <c r="Q1543">
        <v>2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8</v>
      </c>
      <c r="AM1543">
        <v>0.33333333333333331</v>
      </c>
      <c r="AN1543">
        <v>9.6796686227130611</v>
      </c>
    </row>
    <row r="1544" spans="1:40" x14ac:dyDescent="0.3">
      <c r="A1544" t="s">
        <v>380</v>
      </c>
      <c r="B1544" t="s">
        <v>17</v>
      </c>
      <c r="C1544" t="s">
        <v>10</v>
      </c>
      <c r="D1544" t="s">
        <v>11</v>
      </c>
      <c r="E1544">
        <v>202602</v>
      </c>
      <c r="F1544" t="s">
        <v>409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2</v>
      </c>
      <c r="AM1544">
        <v>0.33333333333333331</v>
      </c>
      <c r="AN1544">
        <v>3.6796686227130611</v>
      </c>
    </row>
    <row r="1545" spans="1:40" x14ac:dyDescent="0.3">
      <c r="A1545" t="s">
        <v>380</v>
      </c>
      <c r="B1545" t="s">
        <v>17</v>
      </c>
      <c r="C1545" t="s">
        <v>10</v>
      </c>
      <c r="D1545" t="s">
        <v>11</v>
      </c>
      <c r="E1545">
        <v>202602</v>
      </c>
      <c r="F1545" t="s">
        <v>724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0.33333333333333331</v>
      </c>
      <c r="AN1545">
        <v>2.6796686227130611</v>
      </c>
    </row>
    <row r="1546" spans="1:40" x14ac:dyDescent="0.3">
      <c r="A1546" t="s">
        <v>380</v>
      </c>
      <c r="B1546" t="s">
        <v>17</v>
      </c>
      <c r="C1546" t="s">
        <v>10</v>
      </c>
      <c r="D1546" t="s">
        <v>11</v>
      </c>
      <c r="E1546">
        <v>202602</v>
      </c>
      <c r="F1546" t="s">
        <v>388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2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4</v>
      </c>
      <c r="AM1546">
        <v>0.66666666666666663</v>
      </c>
      <c r="AN1546">
        <v>7.3593372454261221</v>
      </c>
    </row>
    <row r="1547" spans="1:40" x14ac:dyDescent="0.3">
      <c r="A1547" t="s">
        <v>380</v>
      </c>
      <c r="B1547" t="s">
        <v>17</v>
      </c>
      <c r="C1547" t="s">
        <v>10</v>
      </c>
      <c r="D1547" t="s">
        <v>11</v>
      </c>
      <c r="E1547">
        <v>202602</v>
      </c>
      <c r="F1547" t="s">
        <v>389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1</v>
      </c>
      <c r="S1547">
        <v>1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1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7</v>
      </c>
      <c r="AM1547">
        <v>0.66666666666666663</v>
      </c>
      <c r="AN1547">
        <v>10.359337245426122</v>
      </c>
    </row>
    <row r="1548" spans="1:40" x14ac:dyDescent="0.3">
      <c r="A1548" t="s">
        <v>380</v>
      </c>
      <c r="B1548" t="s">
        <v>17</v>
      </c>
      <c r="C1548" t="s">
        <v>10</v>
      </c>
      <c r="D1548" t="s">
        <v>11</v>
      </c>
      <c r="E1548">
        <v>202602</v>
      </c>
      <c r="F1548" t="s">
        <v>390</v>
      </c>
      <c r="G1548">
        <v>0</v>
      </c>
      <c r="H1548">
        <v>0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2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5</v>
      </c>
      <c r="AM1548">
        <v>0.66666666666666663</v>
      </c>
      <c r="AN1548">
        <v>8.3593372454261221</v>
      </c>
    </row>
    <row r="1549" spans="1:40" x14ac:dyDescent="0.3">
      <c r="A1549" t="s">
        <v>380</v>
      </c>
      <c r="B1549" t="s">
        <v>17</v>
      </c>
      <c r="C1549" t="s">
        <v>10</v>
      </c>
      <c r="D1549" t="s">
        <v>11</v>
      </c>
      <c r="E1549">
        <v>202602</v>
      </c>
      <c r="F1549" t="s">
        <v>391</v>
      </c>
      <c r="G1549">
        <v>0</v>
      </c>
      <c r="H1549">
        <v>0</v>
      </c>
      <c r="I1549">
        <v>1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2</v>
      </c>
      <c r="P1549">
        <v>0</v>
      </c>
      <c r="Q1549">
        <v>2</v>
      </c>
      <c r="R1549">
        <v>1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1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11</v>
      </c>
      <c r="AM1549">
        <v>0.33333333333333331</v>
      </c>
      <c r="AN1549">
        <v>12.679668622713061</v>
      </c>
    </row>
    <row r="1550" spans="1:40" x14ac:dyDescent="0.3">
      <c r="A1550" t="s">
        <v>380</v>
      </c>
      <c r="B1550" t="s">
        <v>17</v>
      </c>
      <c r="C1550" t="s">
        <v>10</v>
      </c>
      <c r="D1550" t="s">
        <v>11</v>
      </c>
      <c r="E1550">
        <v>202602</v>
      </c>
      <c r="F1550" t="s">
        <v>392</v>
      </c>
      <c r="G1550">
        <v>0</v>
      </c>
      <c r="H1550">
        <v>2</v>
      </c>
      <c r="I1550">
        <v>1</v>
      </c>
      <c r="J1550">
        <v>0</v>
      </c>
      <c r="K1550">
        <v>1</v>
      </c>
      <c r="L1550">
        <v>1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2</v>
      </c>
      <c r="Z1550">
        <v>0</v>
      </c>
      <c r="AA1550">
        <v>2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11</v>
      </c>
      <c r="AM1550">
        <v>0.66666666666666663</v>
      </c>
      <c r="AN1550">
        <v>14.359337245426122</v>
      </c>
    </row>
    <row r="1551" spans="1:40" x14ac:dyDescent="0.3">
      <c r="A1551" t="s">
        <v>380</v>
      </c>
      <c r="B1551" t="s">
        <v>17</v>
      </c>
      <c r="C1551" t="s">
        <v>10</v>
      </c>
      <c r="D1551" t="s">
        <v>11</v>
      </c>
      <c r="E1551">
        <v>202602</v>
      </c>
      <c r="F1551" t="s">
        <v>393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5</v>
      </c>
      <c r="AM1551">
        <v>0.33333333333333331</v>
      </c>
      <c r="AN1551">
        <v>6.6796686227130611</v>
      </c>
    </row>
    <row r="1552" spans="1:40" x14ac:dyDescent="0.3">
      <c r="A1552" t="s">
        <v>380</v>
      </c>
      <c r="B1552" t="s">
        <v>17</v>
      </c>
      <c r="C1552" t="s">
        <v>10</v>
      </c>
      <c r="D1552" t="s">
        <v>11</v>
      </c>
      <c r="E1552">
        <v>202602</v>
      </c>
      <c r="F1552" t="s">
        <v>394</v>
      </c>
      <c r="G1552">
        <v>0</v>
      </c>
      <c r="H1552">
        <v>0</v>
      </c>
      <c r="I1552">
        <v>1</v>
      </c>
      <c r="J1552">
        <v>1</v>
      </c>
      <c r="K1552">
        <v>0</v>
      </c>
      <c r="L1552">
        <v>1</v>
      </c>
      <c r="M1552">
        <v>0</v>
      </c>
      <c r="N1552">
        <v>0</v>
      </c>
      <c r="O1552">
        <v>1</v>
      </c>
      <c r="P1552">
        <v>1</v>
      </c>
      <c r="Q1552">
        <v>1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7</v>
      </c>
      <c r="AM1552">
        <v>0</v>
      </c>
      <c r="AN1552">
        <v>7</v>
      </c>
    </row>
    <row r="1553" spans="1:40" x14ac:dyDescent="0.3">
      <c r="A1553" t="s">
        <v>380</v>
      </c>
      <c r="B1553" t="s">
        <v>17</v>
      </c>
      <c r="C1553" t="s">
        <v>10</v>
      </c>
      <c r="D1553" t="s">
        <v>11</v>
      </c>
      <c r="E1553">
        <v>202602</v>
      </c>
      <c r="F1553" t="s">
        <v>395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2</v>
      </c>
      <c r="AM1553">
        <v>0</v>
      </c>
      <c r="AN1553">
        <v>2</v>
      </c>
    </row>
    <row r="1554" spans="1:40" x14ac:dyDescent="0.3">
      <c r="A1554" t="s">
        <v>380</v>
      </c>
      <c r="B1554" t="s">
        <v>17</v>
      </c>
      <c r="C1554" t="s">
        <v>10</v>
      </c>
      <c r="D1554" t="s">
        <v>11</v>
      </c>
      <c r="E1554">
        <v>202602</v>
      </c>
      <c r="F1554" t="s">
        <v>396</v>
      </c>
      <c r="G1554">
        <v>0</v>
      </c>
      <c r="H1554">
        <v>0</v>
      </c>
      <c r="I1554">
        <v>1</v>
      </c>
      <c r="J1554">
        <v>0</v>
      </c>
      <c r="K1554">
        <v>1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3</v>
      </c>
      <c r="AM1554">
        <v>0</v>
      </c>
      <c r="AN1554">
        <v>3</v>
      </c>
    </row>
    <row r="1555" spans="1:40" x14ac:dyDescent="0.3">
      <c r="A1555" t="s">
        <v>380</v>
      </c>
      <c r="B1555" t="s">
        <v>17</v>
      </c>
      <c r="C1555" t="s">
        <v>10</v>
      </c>
      <c r="D1555" t="s">
        <v>11</v>
      </c>
      <c r="E1555">
        <v>202602</v>
      </c>
      <c r="F1555" t="s">
        <v>725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2</v>
      </c>
      <c r="AM1555">
        <v>0.66666666666666663</v>
      </c>
      <c r="AN1555">
        <v>5.3593372454261221</v>
      </c>
    </row>
    <row r="1556" spans="1:40" x14ac:dyDescent="0.3">
      <c r="A1556" t="s">
        <v>380</v>
      </c>
      <c r="B1556" t="s">
        <v>17</v>
      </c>
      <c r="C1556" t="s">
        <v>10</v>
      </c>
      <c r="D1556" t="s">
        <v>11</v>
      </c>
      <c r="E1556">
        <v>202602</v>
      </c>
      <c r="F1556" t="s">
        <v>397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1</v>
      </c>
      <c r="N1556">
        <v>0</v>
      </c>
      <c r="O1556">
        <v>0</v>
      </c>
      <c r="P1556">
        <v>1</v>
      </c>
      <c r="Q1556">
        <v>0</v>
      </c>
      <c r="R1556">
        <v>1</v>
      </c>
      <c r="S1556">
        <v>0</v>
      </c>
      <c r="T1556">
        <v>1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7</v>
      </c>
      <c r="AM1556">
        <v>0.33333333333333331</v>
      </c>
      <c r="AN1556">
        <v>8.6796686227130611</v>
      </c>
    </row>
    <row r="1557" spans="1:40" x14ac:dyDescent="0.3">
      <c r="A1557" t="s">
        <v>380</v>
      </c>
      <c r="B1557" t="s">
        <v>17</v>
      </c>
      <c r="C1557" t="s">
        <v>10</v>
      </c>
      <c r="D1557" t="s">
        <v>11</v>
      </c>
      <c r="E1557">
        <v>202602</v>
      </c>
      <c r="F1557" t="s">
        <v>398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3</v>
      </c>
      <c r="AM1557">
        <v>0.33333333333333331</v>
      </c>
      <c r="AN1557">
        <v>4.6796686227130611</v>
      </c>
    </row>
    <row r="1558" spans="1:40" x14ac:dyDescent="0.3">
      <c r="A1558" t="s">
        <v>380</v>
      </c>
      <c r="B1558" t="s">
        <v>17</v>
      </c>
      <c r="C1558" t="s">
        <v>10</v>
      </c>
      <c r="D1558" t="s">
        <v>11</v>
      </c>
      <c r="E1558">
        <v>202602</v>
      </c>
      <c r="F1558" t="s">
        <v>399</v>
      </c>
      <c r="G1558">
        <v>0</v>
      </c>
      <c r="H1558">
        <v>2</v>
      </c>
      <c r="I1558">
        <v>0</v>
      </c>
      <c r="J1558">
        <v>0</v>
      </c>
      <c r="K1558">
        <v>0</v>
      </c>
      <c r="L1558">
        <v>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5</v>
      </c>
      <c r="AM1558">
        <v>0.33333333333333331</v>
      </c>
      <c r="AN1558">
        <v>6.6796686227130611</v>
      </c>
    </row>
    <row r="1559" spans="1:40" x14ac:dyDescent="0.3">
      <c r="A1559" t="s">
        <v>380</v>
      </c>
      <c r="B1559" t="s">
        <v>17</v>
      </c>
      <c r="C1559" t="s">
        <v>10</v>
      </c>
      <c r="D1559" t="s">
        <v>11</v>
      </c>
      <c r="E1559">
        <v>202602</v>
      </c>
      <c r="F1559" t="s">
        <v>400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2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6</v>
      </c>
      <c r="AM1559">
        <v>0.33333333333333331</v>
      </c>
      <c r="AN1559">
        <v>7.6796686227130611</v>
      </c>
    </row>
    <row r="1560" spans="1:40" x14ac:dyDescent="0.3">
      <c r="A1560" t="s">
        <v>380</v>
      </c>
      <c r="B1560" t="s">
        <v>17</v>
      </c>
      <c r="C1560" t="s">
        <v>10</v>
      </c>
      <c r="D1560" t="s">
        <v>11</v>
      </c>
      <c r="E1560">
        <v>202602</v>
      </c>
      <c r="F1560" t="s">
        <v>401</v>
      </c>
      <c r="G1560">
        <v>0</v>
      </c>
      <c r="H1560">
        <v>0</v>
      </c>
      <c r="I1560">
        <v>0</v>
      </c>
      <c r="J1560">
        <v>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2</v>
      </c>
      <c r="Y1560">
        <v>1</v>
      </c>
      <c r="Z1560">
        <v>2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9</v>
      </c>
      <c r="AM1560">
        <v>1</v>
      </c>
      <c r="AN1560">
        <v>14.039005868139181</v>
      </c>
    </row>
    <row r="1561" spans="1:40" x14ac:dyDescent="0.3">
      <c r="A1561" t="s">
        <v>380</v>
      </c>
      <c r="B1561" t="s">
        <v>17</v>
      </c>
      <c r="C1561" t="s">
        <v>10</v>
      </c>
      <c r="D1561" t="s">
        <v>11</v>
      </c>
      <c r="E1561">
        <v>202602</v>
      </c>
      <c r="F1561" t="s">
        <v>402</v>
      </c>
      <c r="G1561">
        <v>0</v>
      </c>
      <c r="H1561">
        <v>2</v>
      </c>
      <c r="I1561">
        <v>0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2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12</v>
      </c>
      <c r="AM1561">
        <v>0.66666666666666663</v>
      </c>
      <c r="AN1561">
        <v>15.359337245426122</v>
      </c>
    </row>
    <row r="1562" spans="1:40" x14ac:dyDescent="0.3">
      <c r="A1562" t="s">
        <v>380</v>
      </c>
      <c r="B1562" t="s">
        <v>17</v>
      </c>
      <c r="C1562" t="s">
        <v>10</v>
      </c>
      <c r="D1562" t="s">
        <v>11</v>
      </c>
      <c r="E1562">
        <v>202602</v>
      </c>
      <c r="F1562" t="s">
        <v>403</v>
      </c>
      <c r="G1562">
        <v>0</v>
      </c>
      <c r="H1562">
        <v>0</v>
      </c>
      <c r="I1562">
        <v>0</v>
      </c>
      <c r="J1562">
        <v>2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3</v>
      </c>
      <c r="AM1562">
        <v>0</v>
      </c>
      <c r="AN1562">
        <v>3</v>
      </c>
    </row>
    <row r="1563" spans="1:40" x14ac:dyDescent="0.3">
      <c r="A1563" t="s">
        <v>380</v>
      </c>
      <c r="B1563" t="s">
        <v>17</v>
      </c>
      <c r="C1563" t="s">
        <v>10</v>
      </c>
      <c r="D1563" t="s">
        <v>11</v>
      </c>
      <c r="E1563">
        <v>202602</v>
      </c>
      <c r="F1563" t="s">
        <v>410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1</v>
      </c>
      <c r="Z1563">
        <v>1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5</v>
      </c>
      <c r="AM1563">
        <v>1</v>
      </c>
      <c r="AN1563">
        <v>10.039005868139181</v>
      </c>
    </row>
    <row r="1564" spans="1:40" x14ac:dyDescent="0.3">
      <c r="A1564" t="s">
        <v>380</v>
      </c>
      <c r="B1564" t="s">
        <v>17</v>
      </c>
      <c r="C1564" t="s">
        <v>10</v>
      </c>
      <c r="D1564" t="s">
        <v>11</v>
      </c>
      <c r="E1564">
        <v>202602</v>
      </c>
      <c r="F1564" t="s">
        <v>404</v>
      </c>
      <c r="G1564">
        <v>0</v>
      </c>
      <c r="H1564">
        <v>0</v>
      </c>
      <c r="I1564">
        <v>0</v>
      </c>
      <c r="J1564">
        <v>1</v>
      </c>
      <c r="K1564">
        <v>1</v>
      </c>
      <c r="L1564">
        <v>1</v>
      </c>
      <c r="M1564">
        <v>0</v>
      </c>
      <c r="N1564">
        <v>0</v>
      </c>
      <c r="O1564">
        <v>2</v>
      </c>
      <c r="P1564">
        <v>0</v>
      </c>
      <c r="Q1564">
        <v>0</v>
      </c>
      <c r="R1564">
        <v>1</v>
      </c>
      <c r="S1564">
        <v>0</v>
      </c>
      <c r="T1564">
        <v>1</v>
      </c>
      <c r="U1564">
        <v>0</v>
      </c>
      <c r="V1564">
        <v>1</v>
      </c>
      <c r="W1564">
        <v>0</v>
      </c>
      <c r="X1564">
        <v>1</v>
      </c>
      <c r="Y1564">
        <v>1</v>
      </c>
      <c r="Z1564">
        <v>1</v>
      </c>
      <c r="AA1564">
        <v>1</v>
      </c>
      <c r="AB1564">
        <v>0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13</v>
      </c>
      <c r="AM1564">
        <v>1</v>
      </c>
      <c r="AN1564">
        <v>18.039005868139181</v>
      </c>
    </row>
    <row r="1565" spans="1:40" x14ac:dyDescent="0.3">
      <c r="A1565" t="s">
        <v>380</v>
      </c>
      <c r="B1565" t="s">
        <v>17</v>
      </c>
      <c r="C1565" t="s">
        <v>10</v>
      </c>
      <c r="D1565" t="s">
        <v>11</v>
      </c>
      <c r="E1565">
        <v>202602</v>
      </c>
      <c r="F1565" t="s">
        <v>405</v>
      </c>
      <c r="G1565">
        <v>0</v>
      </c>
      <c r="H1565">
        <v>1</v>
      </c>
      <c r="I1565">
        <v>0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3</v>
      </c>
      <c r="AM1565">
        <v>0</v>
      </c>
      <c r="AN1565">
        <v>3</v>
      </c>
    </row>
    <row r="1566" spans="1:40" x14ac:dyDescent="0.3">
      <c r="A1566" t="s">
        <v>380</v>
      </c>
      <c r="B1566" t="s">
        <v>17</v>
      </c>
      <c r="C1566" t="s">
        <v>10</v>
      </c>
      <c r="D1566" t="s">
        <v>11</v>
      </c>
      <c r="E1566">
        <v>202602</v>
      </c>
      <c r="F1566" t="s">
        <v>406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2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6</v>
      </c>
      <c r="AM1566">
        <v>1</v>
      </c>
      <c r="AN1566">
        <v>11.039005868139181</v>
      </c>
    </row>
    <row r="1567" spans="1:40" x14ac:dyDescent="0.3">
      <c r="A1567" t="s">
        <v>380</v>
      </c>
      <c r="B1567" t="s">
        <v>17</v>
      </c>
      <c r="C1567" t="s">
        <v>10</v>
      </c>
      <c r="D1567" t="s">
        <v>11</v>
      </c>
      <c r="E1567">
        <v>202602</v>
      </c>
      <c r="F1567" t="s">
        <v>407</v>
      </c>
      <c r="G1567">
        <v>0</v>
      </c>
      <c r="H1567">
        <v>0</v>
      </c>
      <c r="I1567">
        <v>1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3</v>
      </c>
      <c r="AM1567">
        <v>0</v>
      </c>
      <c r="AN1567">
        <v>3</v>
      </c>
    </row>
    <row r="1568" spans="1:40" x14ac:dyDescent="0.3">
      <c r="A1568" t="s">
        <v>380</v>
      </c>
      <c r="B1568" t="s">
        <v>17</v>
      </c>
      <c r="C1568" t="s">
        <v>10</v>
      </c>
      <c r="D1568" t="s">
        <v>11</v>
      </c>
      <c r="E1568">
        <v>202602</v>
      </c>
      <c r="F1568" t="s">
        <v>408</v>
      </c>
      <c r="G1568">
        <v>0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1</v>
      </c>
      <c r="Z1568">
        <v>1</v>
      </c>
      <c r="AA1568">
        <v>0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9</v>
      </c>
      <c r="AM1568">
        <v>1</v>
      </c>
      <c r="AN1568">
        <v>14.039005868139181</v>
      </c>
    </row>
    <row r="1569" spans="1:40" x14ac:dyDescent="0.3">
      <c r="A1569" t="s">
        <v>380</v>
      </c>
      <c r="B1569" t="s">
        <v>17</v>
      </c>
      <c r="C1569" t="s">
        <v>10</v>
      </c>
      <c r="D1569" t="s">
        <v>14</v>
      </c>
      <c r="E1569">
        <v>202602</v>
      </c>
      <c r="F1569" t="s">
        <v>42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3</v>
      </c>
      <c r="AM1569">
        <v>0</v>
      </c>
      <c r="AN1569">
        <v>3</v>
      </c>
    </row>
    <row r="1570" spans="1:40" x14ac:dyDescent="0.3">
      <c r="A1570" t="s">
        <v>380</v>
      </c>
      <c r="B1570" t="s">
        <v>17</v>
      </c>
      <c r="C1570" t="s">
        <v>10</v>
      </c>
      <c r="D1570" t="s">
        <v>14</v>
      </c>
      <c r="E1570">
        <v>202602</v>
      </c>
      <c r="F1570" t="s">
        <v>382</v>
      </c>
      <c r="G1570">
        <v>0</v>
      </c>
      <c r="H1570">
        <v>0</v>
      </c>
      <c r="I1570">
        <v>0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6</v>
      </c>
      <c r="AM1570">
        <v>0.33333333333333331</v>
      </c>
      <c r="AN1570">
        <v>7.4342414279002504</v>
      </c>
    </row>
    <row r="1571" spans="1:40" x14ac:dyDescent="0.3">
      <c r="A1571" t="s">
        <v>380</v>
      </c>
      <c r="B1571" t="s">
        <v>17</v>
      </c>
      <c r="C1571" t="s">
        <v>10</v>
      </c>
      <c r="D1571" t="s">
        <v>14</v>
      </c>
      <c r="E1571">
        <v>202602</v>
      </c>
      <c r="F1571" t="s">
        <v>383</v>
      </c>
      <c r="G1571">
        <v>0</v>
      </c>
      <c r="H1571">
        <v>0</v>
      </c>
      <c r="I1571">
        <v>0</v>
      </c>
      <c r="J1571">
        <v>1</v>
      </c>
      <c r="K1571">
        <v>1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5</v>
      </c>
      <c r="AM1571">
        <v>0.33333333333333331</v>
      </c>
      <c r="AN1571">
        <v>6.4342414279002504</v>
      </c>
    </row>
    <row r="1572" spans="1:40" x14ac:dyDescent="0.3">
      <c r="A1572" t="s">
        <v>380</v>
      </c>
      <c r="B1572" t="s">
        <v>17</v>
      </c>
      <c r="C1572" t="s">
        <v>10</v>
      </c>
      <c r="D1572" t="s">
        <v>14</v>
      </c>
      <c r="E1572">
        <v>202602</v>
      </c>
      <c r="F1572" t="s">
        <v>384</v>
      </c>
      <c r="G1572">
        <v>0</v>
      </c>
      <c r="H1572">
        <v>1</v>
      </c>
      <c r="I1572">
        <v>2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1</v>
      </c>
      <c r="P1572">
        <v>0</v>
      </c>
      <c r="Q1572">
        <v>1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2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9</v>
      </c>
      <c r="AM1572">
        <v>0.66666666666666663</v>
      </c>
      <c r="AN1572">
        <v>11.868482855800501</v>
      </c>
    </row>
    <row r="1573" spans="1:40" x14ac:dyDescent="0.3">
      <c r="A1573" t="s">
        <v>380</v>
      </c>
      <c r="B1573" t="s">
        <v>17</v>
      </c>
      <c r="C1573" t="s">
        <v>10</v>
      </c>
      <c r="D1573" t="s">
        <v>14</v>
      </c>
      <c r="E1573">
        <v>202602</v>
      </c>
      <c r="F1573" t="s">
        <v>385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4</v>
      </c>
      <c r="AM1573">
        <v>0.33333333333333331</v>
      </c>
      <c r="AN1573">
        <v>5.4342414279002504</v>
      </c>
    </row>
    <row r="1574" spans="1:40" x14ac:dyDescent="0.3">
      <c r="A1574" t="s">
        <v>380</v>
      </c>
      <c r="B1574" t="s">
        <v>17</v>
      </c>
      <c r="C1574" t="s">
        <v>10</v>
      </c>
      <c r="D1574" t="s">
        <v>14</v>
      </c>
      <c r="E1574">
        <v>202602</v>
      </c>
      <c r="F1574" t="s">
        <v>386</v>
      </c>
      <c r="G1574">
        <v>0</v>
      </c>
      <c r="H1574">
        <v>0</v>
      </c>
      <c r="I1574">
        <v>2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3</v>
      </c>
      <c r="R1574">
        <v>0</v>
      </c>
      <c r="S1574">
        <v>0</v>
      </c>
      <c r="T1574">
        <v>3</v>
      </c>
      <c r="U1574">
        <v>0</v>
      </c>
      <c r="V1574">
        <v>0</v>
      </c>
      <c r="W1574">
        <v>0</v>
      </c>
      <c r="X1574">
        <v>0</v>
      </c>
      <c r="Y1574">
        <v>3</v>
      </c>
      <c r="Z1574">
        <v>2</v>
      </c>
      <c r="AA1574">
        <v>1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15</v>
      </c>
      <c r="AM1574">
        <v>1.6666666666666667</v>
      </c>
      <c r="AN1574">
        <v>22.171207139501249</v>
      </c>
    </row>
    <row r="1575" spans="1:40" x14ac:dyDescent="0.3">
      <c r="A1575" t="s">
        <v>380</v>
      </c>
      <c r="B1575" t="s">
        <v>17</v>
      </c>
      <c r="C1575" t="s">
        <v>10</v>
      </c>
      <c r="D1575" t="s">
        <v>14</v>
      </c>
      <c r="E1575">
        <v>202602</v>
      </c>
      <c r="F1575" t="s">
        <v>387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2</v>
      </c>
      <c r="M1575">
        <v>2</v>
      </c>
      <c r="N1575">
        <v>0</v>
      </c>
      <c r="O1575">
        <v>2</v>
      </c>
      <c r="P1575">
        <v>1</v>
      </c>
      <c r="Q1575">
        <v>0</v>
      </c>
      <c r="R1575">
        <v>1</v>
      </c>
      <c r="S1575">
        <v>1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11</v>
      </c>
      <c r="AM1575">
        <v>0</v>
      </c>
      <c r="AN1575">
        <v>11</v>
      </c>
    </row>
    <row r="1576" spans="1:40" x14ac:dyDescent="0.3">
      <c r="A1576" t="s">
        <v>380</v>
      </c>
      <c r="B1576" t="s">
        <v>17</v>
      </c>
      <c r="C1576" t="s">
        <v>10</v>
      </c>
      <c r="D1576" t="s">
        <v>14</v>
      </c>
      <c r="E1576">
        <v>202602</v>
      </c>
      <c r="F1576" t="s">
        <v>409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1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2</v>
      </c>
      <c r="Z1576">
        <v>0</v>
      </c>
      <c r="AA1576">
        <v>0</v>
      </c>
      <c r="AB1576">
        <v>0</v>
      </c>
      <c r="AC1576">
        <v>3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9</v>
      </c>
      <c r="AM1576">
        <v>1.6666666666666667</v>
      </c>
      <c r="AN1576">
        <v>16.171207139501249</v>
      </c>
    </row>
    <row r="1577" spans="1:40" x14ac:dyDescent="0.3">
      <c r="A1577" t="s">
        <v>380</v>
      </c>
      <c r="B1577" t="s">
        <v>17</v>
      </c>
      <c r="C1577" t="s">
        <v>10</v>
      </c>
      <c r="D1577" t="s">
        <v>14</v>
      </c>
      <c r="E1577">
        <v>202602</v>
      </c>
      <c r="F1577" t="s">
        <v>724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1</v>
      </c>
      <c r="AM1577">
        <v>0</v>
      </c>
      <c r="AN1577">
        <v>1</v>
      </c>
    </row>
    <row r="1578" spans="1:40" x14ac:dyDescent="0.3">
      <c r="A1578" t="s">
        <v>380</v>
      </c>
      <c r="B1578" t="s">
        <v>17</v>
      </c>
      <c r="C1578" t="s">
        <v>10</v>
      </c>
      <c r="D1578" t="s">
        <v>14</v>
      </c>
      <c r="E1578">
        <v>202602</v>
      </c>
      <c r="F1578" t="s">
        <v>388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2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5</v>
      </c>
      <c r="AM1578">
        <v>1</v>
      </c>
      <c r="AN1578">
        <v>9.3027242837007513</v>
      </c>
    </row>
    <row r="1579" spans="1:40" x14ac:dyDescent="0.3">
      <c r="A1579" t="s">
        <v>380</v>
      </c>
      <c r="B1579" t="s">
        <v>17</v>
      </c>
      <c r="C1579" t="s">
        <v>10</v>
      </c>
      <c r="D1579" t="s">
        <v>14</v>
      </c>
      <c r="E1579">
        <v>202602</v>
      </c>
      <c r="F1579" t="s">
        <v>389</v>
      </c>
      <c r="G1579">
        <v>0</v>
      </c>
      <c r="H1579">
        <v>1</v>
      </c>
      <c r="I1579">
        <v>1</v>
      </c>
      <c r="J1579">
        <v>0</v>
      </c>
      <c r="K1579">
        <v>0</v>
      </c>
      <c r="L1579">
        <v>0</v>
      </c>
      <c r="M1579">
        <v>1</v>
      </c>
      <c r="N1579">
        <v>0</v>
      </c>
      <c r="O1579">
        <v>1</v>
      </c>
      <c r="P1579">
        <v>0</v>
      </c>
      <c r="Q1579">
        <v>1</v>
      </c>
      <c r="R1579">
        <v>1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8</v>
      </c>
      <c r="AM1579">
        <v>0.33333333333333331</v>
      </c>
      <c r="AN1579">
        <v>9.4342414279002504</v>
      </c>
    </row>
    <row r="1580" spans="1:40" x14ac:dyDescent="0.3">
      <c r="A1580" t="s">
        <v>380</v>
      </c>
      <c r="B1580" t="s">
        <v>17</v>
      </c>
      <c r="C1580" t="s">
        <v>10</v>
      </c>
      <c r="D1580" t="s">
        <v>14</v>
      </c>
      <c r="E1580">
        <v>202602</v>
      </c>
      <c r="F1580" t="s">
        <v>390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2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5</v>
      </c>
      <c r="AM1580">
        <v>0.33333333333333331</v>
      </c>
      <c r="AN1580">
        <v>6.4342414279002504</v>
      </c>
    </row>
    <row r="1581" spans="1:40" x14ac:dyDescent="0.3">
      <c r="A1581" t="s">
        <v>380</v>
      </c>
      <c r="B1581" t="s">
        <v>17</v>
      </c>
      <c r="C1581" t="s">
        <v>10</v>
      </c>
      <c r="D1581" t="s">
        <v>14</v>
      </c>
      <c r="E1581">
        <v>202602</v>
      </c>
      <c r="F1581" t="s">
        <v>453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</v>
      </c>
      <c r="AM1581">
        <v>0</v>
      </c>
      <c r="AN1581">
        <v>1</v>
      </c>
    </row>
    <row r="1582" spans="1:40" x14ac:dyDescent="0.3">
      <c r="A1582" t="s">
        <v>380</v>
      </c>
      <c r="B1582" t="s">
        <v>17</v>
      </c>
      <c r="C1582" t="s">
        <v>10</v>
      </c>
      <c r="D1582" t="s">
        <v>14</v>
      </c>
      <c r="E1582">
        <v>202602</v>
      </c>
      <c r="F1582" t="s">
        <v>391</v>
      </c>
      <c r="G1582">
        <v>0</v>
      </c>
      <c r="H1582">
        <v>0</v>
      </c>
      <c r="I1582">
        <v>1</v>
      </c>
      <c r="J1582">
        <v>0</v>
      </c>
      <c r="K1582">
        <v>1</v>
      </c>
      <c r="L1582">
        <v>3</v>
      </c>
      <c r="M1582">
        <v>0</v>
      </c>
      <c r="N1582">
        <v>0</v>
      </c>
      <c r="O1582">
        <v>2</v>
      </c>
      <c r="P1582">
        <v>1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2</v>
      </c>
      <c r="Z1582">
        <v>0</v>
      </c>
      <c r="AA1582">
        <v>1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14</v>
      </c>
      <c r="AM1582">
        <v>1</v>
      </c>
      <c r="AN1582">
        <v>18.302724283700751</v>
      </c>
    </row>
    <row r="1583" spans="1:40" x14ac:dyDescent="0.3">
      <c r="A1583" t="s">
        <v>380</v>
      </c>
      <c r="B1583" t="s">
        <v>17</v>
      </c>
      <c r="C1583" t="s">
        <v>10</v>
      </c>
      <c r="D1583" t="s">
        <v>14</v>
      </c>
      <c r="E1583">
        <v>202602</v>
      </c>
      <c r="F1583" t="s">
        <v>392</v>
      </c>
      <c r="G1583">
        <v>0</v>
      </c>
      <c r="H1583">
        <v>2</v>
      </c>
      <c r="I1583">
        <v>1</v>
      </c>
      <c r="J1583">
        <v>1</v>
      </c>
      <c r="K1583">
        <v>1</v>
      </c>
      <c r="L1583">
        <v>1</v>
      </c>
      <c r="M1583">
        <v>0</v>
      </c>
      <c r="N1583">
        <v>0</v>
      </c>
      <c r="O1583">
        <v>0</v>
      </c>
      <c r="P1583">
        <v>1</v>
      </c>
      <c r="Q1583">
        <v>1</v>
      </c>
      <c r="R1583">
        <v>0</v>
      </c>
      <c r="S1583">
        <v>1</v>
      </c>
      <c r="T1583">
        <v>1</v>
      </c>
      <c r="U1583">
        <v>0</v>
      </c>
      <c r="V1583">
        <v>1</v>
      </c>
      <c r="W1583">
        <v>0</v>
      </c>
      <c r="X1583">
        <v>1</v>
      </c>
      <c r="Y1583">
        <v>2</v>
      </c>
      <c r="Z1583">
        <v>0</v>
      </c>
      <c r="AA1583">
        <v>0</v>
      </c>
      <c r="AB1583">
        <v>0</v>
      </c>
      <c r="AC1583">
        <v>2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16</v>
      </c>
      <c r="AM1583">
        <v>1.3333333333333333</v>
      </c>
      <c r="AN1583">
        <v>21.736965711601002</v>
      </c>
    </row>
    <row r="1584" spans="1:40" x14ac:dyDescent="0.3">
      <c r="A1584" t="s">
        <v>380</v>
      </c>
      <c r="B1584" t="s">
        <v>17</v>
      </c>
      <c r="C1584" t="s">
        <v>10</v>
      </c>
      <c r="D1584" t="s">
        <v>14</v>
      </c>
      <c r="E1584">
        <v>202602</v>
      </c>
      <c r="F1584" t="s">
        <v>393</v>
      </c>
      <c r="G1584">
        <v>0</v>
      </c>
      <c r="H1584">
        <v>1</v>
      </c>
      <c r="I1584">
        <v>1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1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6</v>
      </c>
      <c r="AM1584">
        <v>0</v>
      </c>
      <c r="AN1584">
        <v>6</v>
      </c>
    </row>
    <row r="1585" spans="1:40" x14ac:dyDescent="0.3">
      <c r="A1585" t="s">
        <v>380</v>
      </c>
      <c r="B1585" t="s">
        <v>17</v>
      </c>
      <c r="C1585" t="s">
        <v>10</v>
      </c>
      <c r="D1585" t="s">
        <v>14</v>
      </c>
      <c r="E1585">
        <v>202602</v>
      </c>
      <c r="F1585" t="s">
        <v>394</v>
      </c>
      <c r="G1585">
        <v>0</v>
      </c>
      <c r="H1585">
        <v>1</v>
      </c>
      <c r="I1585">
        <v>2</v>
      </c>
      <c r="J1585">
        <v>0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7</v>
      </c>
      <c r="AM1585">
        <v>0</v>
      </c>
      <c r="AN1585">
        <v>7</v>
      </c>
    </row>
    <row r="1586" spans="1:40" x14ac:dyDescent="0.3">
      <c r="A1586" t="s">
        <v>380</v>
      </c>
      <c r="B1586" t="s">
        <v>17</v>
      </c>
      <c r="C1586" t="s">
        <v>10</v>
      </c>
      <c r="D1586" t="s">
        <v>14</v>
      </c>
      <c r="E1586">
        <v>202602</v>
      </c>
      <c r="F1586" t="s">
        <v>395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2</v>
      </c>
      <c r="AM1586">
        <v>0</v>
      </c>
      <c r="AN1586">
        <v>2</v>
      </c>
    </row>
    <row r="1587" spans="1:40" x14ac:dyDescent="0.3">
      <c r="A1587" t="s">
        <v>380</v>
      </c>
      <c r="B1587" t="s">
        <v>17</v>
      </c>
      <c r="C1587" t="s">
        <v>10</v>
      </c>
      <c r="D1587" t="s">
        <v>14</v>
      </c>
      <c r="E1587">
        <v>202602</v>
      </c>
      <c r="F1587" t="s">
        <v>396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4</v>
      </c>
      <c r="AM1587">
        <v>0.33333333333333331</v>
      </c>
      <c r="AN1587">
        <v>5.4342414279002504</v>
      </c>
    </row>
    <row r="1588" spans="1:40" x14ac:dyDescent="0.3">
      <c r="A1588" t="s">
        <v>380</v>
      </c>
      <c r="B1588" t="s">
        <v>17</v>
      </c>
      <c r="C1588" t="s">
        <v>10</v>
      </c>
      <c r="D1588" t="s">
        <v>14</v>
      </c>
      <c r="E1588">
        <v>202602</v>
      </c>
      <c r="F1588" t="s">
        <v>725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3</v>
      </c>
      <c r="AM1588">
        <v>0.33333333333333331</v>
      </c>
      <c r="AN1588">
        <v>4.4342414279002504</v>
      </c>
    </row>
    <row r="1589" spans="1:40" x14ac:dyDescent="0.3">
      <c r="A1589" t="s">
        <v>380</v>
      </c>
      <c r="B1589" t="s">
        <v>17</v>
      </c>
      <c r="C1589" t="s">
        <v>10</v>
      </c>
      <c r="D1589" t="s">
        <v>14</v>
      </c>
      <c r="E1589">
        <v>202602</v>
      </c>
      <c r="F1589" t="s">
        <v>397</v>
      </c>
      <c r="G1589">
        <v>0</v>
      </c>
      <c r="H1589">
        <v>1</v>
      </c>
      <c r="I1589">
        <v>1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2</v>
      </c>
      <c r="P1589">
        <v>0</v>
      </c>
      <c r="Q1589">
        <v>2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8</v>
      </c>
      <c r="AM1589">
        <v>0.33333333333333331</v>
      </c>
      <c r="AN1589">
        <v>9.4342414279002504</v>
      </c>
    </row>
    <row r="1590" spans="1:40" x14ac:dyDescent="0.3">
      <c r="A1590" t="s">
        <v>380</v>
      </c>
      <c r="B1590" t="s">
        <v>17</v>
      </c>
      <c r="C1590" t="s">
        <v>10</v>
      </c>
      <c r="D1590" t="s">
        <v>14</v>
      </c>
      <c r="E1590">
        <v>202602</v>
      </c>
      <c r="F1590" t="s">
        <v>398</v>
      </c>
      <c r="G1590">
        <v>0</v>
      </c>
      <c r="H1590">
        <v>0</v>
      </c>
      <c r="I1590">
        <v>1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3</v>
      </c>
      <c r="AM1590">
        <v>0.33333333333333331</v>
      </c>
      <c r="AN1590">
        <v>4.4342414279002504</v>
      </c>
    </row>
    <row r="1591" spans="1:40" x14ac:dyDescent="0.3">
      <c r="A1591" t="s">
        <v>380</v>
      </c>
      <c r="B1591" t="s">
        <v>17</v>
      </c>
      <c r="C1591" t="s">
        <v>10</v>
      </c>
      <c r="D1591" t="s">
        <v>14</v>
      </c>
      <c r="E1591">
        <v>202602</v>
      </c>
      <c r="F1591" t="s">
        <v>399</v>
      </c>
      <c r="G1591">
        <v>0</v>
      </c>
      <c r="H1591">
        <v>0</v>
      </c>
      <c r="I1591">
        <v>2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4</v>
      </c>
      <c r="AM1591">
        <v>0.33333333333333331</v>
      </c>
      <c r="AN1591">
        <v>5.4342414279002504</v>
      </c>
    </row>
    <row r="1592" spans="1:40" x14ac:dyDescent="0.3">
      <c r="A1592" t="s">
        <v>380</v>
      </c>
      <c r="B1592" t="s">
        <v>17</v>
      </c>
      <c r="C1592" t="s">
        <v>10</v>
      </c>
      <c r="D1592" t="s">
        <v>14</v>
      </c>
      <c r="E1592">
        <v>202602</v>
      </c>
      <c r="F1592" t="s">
        <v>400</v>
      </c>
      <c r="G1592">
        <v>0</v>
      </c>
      <c r="H1592">
        <v>0</v>
      </c>
      <c r="I1592">
        <v>0</v>
      </c>
      <c r="J1592">
        <v>0</v>
      </c>
      <c r="K1592">
        <v>2</v>
      </c>
      <c r="L1592">
        <v>0</v>
      </c>
      <c r="M1592">
        <v>0</v>
      </c>
      <c r="N1592">
        <v>0</v>
      </c>
      <c r="O1592">
        <v>0</v>
      </c>
      <c r="P1592">
        <v>2</v>
      </c>
      <c r="Q1592">
        <v>1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6</v>
      </c>
      <c r="AM1592">
        <v>0</v>
      </c>
      <c r="AN1592">
        <v>6</v>
      </c>
    </row>
    <row r="1593" spans="1:40" x14ac:dyDescent="0.3">
      <c r="A1593" t="s">
        <v>380</v>
      </c>
      <c r="B1593" t="s">
        <v>17</v>
      </c>
      <c r="C1593" t="s">
        <v>10</v>
      </c>
      <c r="D1593" t="s">
        <v>14</v>
      </c>
      <c r="E1593">
        <v>202602</v>
      </c>
      <c r="F1593" t="s">
        <v>401</v>
      </c>
      <c r="G1593">
        <v>0</v>
      </c>
      <c r="H1593">
        <v>1</v>
      </c>
      <c r="I1593">
        <v>2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0</v>
      </c>
      <c r="S1593">
        <v>0</v>
      </c>
      <c r="T1593">
        <v>1</v>
      </c>
      <c r="U1593">
        <v>0</v>
      </c>
      <c r="V1593">
        <v>3</v>
      </c>
      <c r="W1593">
        <v>0</v>
      </c>
      <c r="X1593">
        <v>0</v>
      </c>
      <c r="Y1593">
        <v>2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12</v>
      </c>
      <c r="AM1593">
        <v>1</v>
      </c>
      <c r="AN1593">
        <v>16.302724283700751</v>
      </c>
    </row>
    <row r="1594" spans="1:40" x14ac:dyDescent="0.3">
      <c r="A1594" t="s">
        <v>380</v>
      </c>
      <c r="B1594" t="s">
        <v>17</v>
      </c>
      <c r="C1594" t="s">
        <v>10</v>
      </c>
      <c r="D1594" t="s">
        <v>14</v>
      </c>
      <c r="E1594">
        <v>202602</v>
      </c>
      <c r="F1594" t="s">
        <v>402</v>
      </c>
      <c r="G1594">
        <v>0</v>
      </c>
      <c r="H1594">
        <v>0</v>
      </c>
      <c r="I1594">
        <v>1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2</v>
      </c>
      <c r="S1594">
        <v>2</v>
      </c>
      <c r="T1594">
        <v>0</v>
      </c>
      <c r="U1594">
        <v>0</v>
      </c>
      <c r="V1594">
        <v>1</v>
      </c>
      <c r="W1594">
        <v>1</v>
      </c>
      <c r="X1594">
        <v>0</v>
      </c>
      <c r="Y1594">
        <v>2</v>
      </c>
      <c r="Z1594">
        <v>0</v>
      </c>
      <c r="AA1594">
        <v>0</v>
      </c>
      <c r="AB1594">
        <v>2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14</v>
      </c>
      <c r="AM1594">
        <v>0.66666666666666663</v>
      </c>
      <c r="AN1594">
        <v>16.868482855800501</v>
      </c>
    </row>
    <row r="1595" spans="1:40" x14ac:dyDescent="0.3">
      <c r="A1595" t="s">
        <v>380</v>
      </c>
      <c r="B1595" t="s">
        <v>17</v>
      </c>
      <c r="C1595" t="s">
        <v>10</v>
      </c>
      <c r="D1595" t="s">
        <v>14</v>
      </c>
      <c r="E1595">
        <v>202602</v>
      </c>
      <c r="F1595" t="s">
        <v>403</v>
      </c>
      <c r="G1595">
        <v>1</v>
      </c>
      <c r="H1595">
        <v>0</v>
      </c>
      <c r="I1595">
        <v>2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5</v>
      </c>
      <c r="AM1595">
        <v>0</v>
      </c>
      <c r="AN1595">
        <v>5</v>
      </c>
    </row>
    <row r="1596" spans="1:40" x14ac:dyDescent="0.3">
      <c r="A1596" t="s">
        <v>380</v>
      </c>
      <c r="B1596" t="s">
        <v>17</v>
      </c>
      <c r="C1596" t="s">
        <v>10</v>
      </c>
      <c r="D1596" t="s">
        <v>14</v>
      </c>
      <c r="E1596">
        <v>202602</v>
      </c>
      <c r="F1596" t="s">
        <v>410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1</v>
      </c>
      <c r="S1596">
        <v>1</v>
      </c>
      <c r="T1596">
        <v>0</v>
      </c>
      <c r="U1596">
        <v>0</v>
      </c>
      <c r="V1596">
        <v>3</v>
      </c>
      <c r="W1596">
        <v>0</v>
      </c>
      <c r="X1596">
        <v>2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9</v>
      </c>
      <c r="AM1596">
        <v>0.33333333333333331</v>
      </c>
      <c r="AN1596">
        <v>10.43424142790025</v>
      </c>
    </row>
    <row r="1597" spans="1:40" x14ac:dyDescent="0.3">
      <c r="A1597" t="s">
        <v>380</v>
      </c>
      <c r="B1597" t="s">
        <v>17</v>
      </c>
      <c r="C1597" t="s">
        <v>10</v>
      </c>
      <c r="D1597" t="s">
        <v>14</v>
      </c>
      <c r="E1597">
        <v>202602</v>
      </c>
      <c r="F1597" t="s">
        <v>404</v>
      </c>
      <c r="G1597">
        <v>0</v>
      </c>
      <c r="H1597">
        <v>1</v>
      </c>
      <c r="I1597">
        <v>1</v>
      </c>
      <c r="J1597">
        <v>0</v>
      </c>
      <c r="K1597">
        <v>0</v>
      </c>
      <c r="L1597">
        <v>2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1</v>
      </c>
      <c r="T1597">
        <v>1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1</v>
      </c>
      <c r="AA1597">
        <v>0</v>
      </c>
      <c r="AB1597">
        <v>1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13</v>
      </c>
      <c r="AM1597">
        <v>1</v>
      </c>
      <c r="AN1597">
        <v>17.302724283700751</v>
      </c>
    </row>
    <row r="1598" spans="1:40" x14ac:dyDescent="0.3">
      <c r="A1598" t="s">
        <v>380</v>
      </c>
      <c r="B1598" t="s">
        <v>17</v>
      </c>
      <c r="C1598" t="s">
        <v>10</v>
      </c>
      <c r="D1598" t="s">
        <v>14</v>
      </c>
      <c r="E1598">
        <v>202602</v>
      </c>
      <c r="F1598" t="s">
        <v>405</v>
      </c>
      <c r="G1598">
        <v>0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2</v>
      </c>
      <c r="AM1598">
        <v>0</v>
      </c>
      <c r="AN1598">
        <v>2</v>
      </c>
    </row>
    <row r="1599" spans="1:40" x14ac:dyDescent="0.3">
      <c r="A1599" t="s">
        <v>380</v>
      </c>
      <c r="B1599" t="s">
        <v>17</v>
      </c>
      <c r="C1599" t="s">
        <v>10</v>
      </c>
      <c r="D1599" t="s">
        <v>14</v>
      </c>
      <c r="E1599">
        <v>202602</v>
      </c>
      <c r="F1599" t="s">
        <v>406</v>
      </c>
      <c r="G1599">
        <v>0</v>
      </c>
      <c r="H1599">
        <v>1</v>
      </c>
      <c r="I1599">
        <v>0</v>
      </c>
      <c r="J1599">
        <v>0</v>
      </c>
      <c r="K1599">
        <v>0</v>
      </c>
      <c r="L1599">
        <v>1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1</v>
      </c>
      <c r="V1599">
        <v>1</v>
      </c>
      <c r="W1599">
        <v>0</v>
      </c>
      <c r="X1599">
        <v>1</v>
      </c>
      <c r="Y1599">
        <v>0</v>
      </c>
      <c r="Z1599">
        <v>1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9</v>
      </c>
      <c r="AM1599">
        <v>0.33333333333333331</v>
      </c>
      <c r="AN1599">
        <v>10.43424142790025</v>
      </c>
    </row>
    <row r="1600" spans="1:40" x14ac:dyDescent="0.3">
      <c r="A1600" t="s">
        <v>380</v>
      </c>
      <c r="B1600" t="s">
        <v>17</v>
      </c>
      <c r="C1600" t="s">
        <v>10</v>
      </c>
      <c r="D1600" t="s">
        <v>14</v>
      </c>
      <c r="E1600">
        <v>202602</v>
      </c>
      <c r="F1600" t="s">
        <v>407</v>
      </c>
      <c r="G1600">
        <v>0</v>
      </c>
      <c r="H1600">
        <v>1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4</v>
      </c>
      <c r="AM1600">
        <v>0</v>
      </c>
      <c r="AN1600">
        <v>4</v>
      </c>
    </row>
    <row r="1601" spans="1:40" x14ac:dyDescent="0.3">
      <c r="A1601" t="s">
        <v>380</v>
      </c>
      <c r="B1601" t="s">
        <v>17</v>
      </c>
      <c r="C1601" t="s">
        <v>10</v>
      </c>
      <c r="D1601" t="s">
        <v>14</v>
      </c>
      <c r="E1601">
        <v>202602</v>
      </c>
      <c r="F1601" t="s">
        <v>408</v>
      </c>
      <c r="G1601">
        <v>1</v>
      </c>
      <c r="H1601">
        <v>0</v>
      </c>
      <c r="I1601">
        <v>0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2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9</v>
      </c>
      <c r="AM1601">
        <v>1</v>
      </c>
      <c r="AN1601">
        <v>13.302724283700751</v>
      </c>
    </row>
    <row r="1602" spans="1:40" x14ac:dyDescent="0.3">
      <c r="A1602" t="s">
        <v>380</v>
      </c>
      <c r="B1602" t="s">
        <v>17</v>
      </c>
      <c r="C1602" t="s">
        <v>10</v>
      </c>
      <c r="D1602" t="s">
        <v>14</v>
      </c>
      <c r="E1602">
        <v>202602</v>
      </c>
      <c r="F1602" t="s">
        <v>763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1</v>
      </c>
      <c r="AM1602">
        <v>0.33333333333333331</v>
      </c>
      <c r="AN1602">
        <v>2.43424142790025</v>
      </c>
    </row>
    <row r="1603" spans="1:40" x14ac:dyDescent="0.3">
      <c r="A1603" t="s">
        <v>380</v>
      </c>
      <c r="B1603" t="s">
        <v>17</v>
      </c>
      <c r="C1603" t="s">
        <v>16</v>
      </c>
      <c r="D1603" t="s">
        <v>11</v>
      </c>
      <c r="E1603">
        <v>202602</v>
      </c>
      <c r="F1603" t="s">
        <v>382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2</v>
      </c>
      <c r="AM1603">
        <v>0</v>
      </c>
      <c r="AN1603">
        <v>2</v>
      </c>
    </row>
    <row r="1604" spans="1:40" x14ac:dyDescent="0.3">
      <c r="A1604" t="s">
        <v>380</v>
      </c>
      <c r="B1604" t="s">
        <v>17</v>
      </c>
      <c r="C1604" t="s">
        <v>16</v>
      </c>
      <c r="D1604" t="s">
        <v>11</v>
      </c>
      <c r="E1604">
        <v>202602</v>
      </c>
      <c r="F1604" t="s">
        <v>383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</v>
      </c>
      <c r="AM1604">
        <v>0</v>
      </c>
      <c r="AN1604">
        <v>1</v>
      </c>
    </row>
    <row r="1605" spans="1:40" x14ac:dyDescent="0.3">
      <c r="A1605" t="s">
        <v>380</v>
      </c>
      <c r="B1605" t="s">
        <v>17</v>
      </c>
      <c r="C1605" t="s">
        <v>16</v>
      </c>
      <c r="D1605" t="s">
        <v>11</v>
      </c>
      <c r="E1605">
        <v>202602</v>
      </c>
      <c r="F1605" t="s">
        <v>384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1</v>
      </c>
      <c r="AM1605">
        <v>0</v>
      </c>
      <c r="AN1605">
        <v>1</v>
      </c>
    </row>
    <row r="1606" spans="1:40" x14ac:dyDescent="0.3">
      <c r="A1606" t="s">
        <v>380</v>
      </c>
      <c r="B1606" t="s">
        <v>17</v>
      </c>
      <c r="C1606" t="s">
        <v>16</v>
      </c>
      <c r="D1606" t="s">
        <v>11</v>
      </c>
      <c r="E1606">
        <v>202602</v>
      </c>
      <c r="F1606" t="s">
        <v>387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2</v>
      </c>
      <c r="AM1606">
        <v>0</v>
      </c>
      <c r="AN1606">
        <v>2</v>
      </c>
    </row>
    <row r="1607" spans="1:40" x14ac:dyDescent="0.3">
      <c r="A1607" t="s">
        <v>380</v>
      </c>
      <c r="B1607" t="s">
        <v>17</v>
      </c>
      <c r="C1607" t="s">
        <v>16</v>
      </c>
      <c r="D1607" t="s">
        <v>11</v>
      </c>
      <c r="E1607">
        <v>202602</v>
      </c>
      <c r="F1607" t="s">
        <v>409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</v>
      </c>
      <c r="AM1607">
        <v>0</v>
      </c>
      <c r="AN1607">
        <v>1</v>
      </c>
    </row>
    <row r="1608" spans="1:40" x14ac:dyDescent="0.3">
      <c r="A1608" t="s">
        <v>380</v>
      </c>
      <c r="B1608" t="s">
        <v>17</v>
      </c>
      <c r="C1608" t="s">
        <v>16</v>
      </c>
      <c r="D1608" t="s">
        <v>14</v>
      </c>
      <c r="E1608">
        <v>202602</v>
      </c>
      <c r="F1608" t="s">
        <v>382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2</v>
      </c>
      <c r="AM1608">
        <v>0</v>
      </c>
      <c r="AN1608">
        <v>2</v>
      </c>
    </row>
    <row r="1609" spans="1:40" x14ac:dyDescent="0.3">
      <c r="A1609" t="s">
        <v>380</v>
      </c>
      <c r="B1609" t="s">
        <v>17</v>
      </c>
      <c r="C1609" t="s">
        <v>16</v>
      </c>
      <c r="D1609" t="s">
        <v>14</v>
      </c>
      <c r="E1609">
        <v>202602</v>
      </c>
      <c r="F1609" t="s">
        <v>383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1</v>
      </c>
      <c r="AM1609">
        <v>0</v>
      </c>
      <c r="AN1609">
        <v>1</v>
      </c>
    </row>
    <row r="1610" spans="1:40" x14ac:dyDescent="0.3">
      <c r="A1610" t="s">
        <v>380</v>
      </c>
      <c r="B1610" t="s">
        <v>17</v>
      </c>
      <c r="C1610" t="s">
        <v>16</v>
      </c>
      <c r="D1610" t="s">
        <v>14</v>
      </c>
      <c r="E1610">
        <v>202602</v>
      </c>
      <c r="F1610" t="s">
        <v>384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</v>
      </c>
      <c r="AM1610">
        <v>0</v>
      </c>
      <c r="AN1610">
        <v>1</v>
      </c>
    </row>
    <row r="1611" spans="1:40" x14ac:dyDescent="0.3">
      <c r="A1611" t="s">
        <v>380</v>
      </c>
      <c r="B1611" t="s">
        <v>17</v>
      </c>
      <c r="C1611" t="s">
        <v>16</v>
      </c>
      <c r="D1611" t="s">
        <v>14</v>
      </c>
      <c r="E1611">
        <v>202602</v>
      </c>
      <c r="F1611" t="s">
        <v>387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1</v>
      </c>
      <c r="AM1611">
        <v>0</v>
      </c>
      <c r="AN1611">
        <v>1</v>
      </c>
    </row>
    <row r="1612" spans="1:40" x14ac:dyDescent="0.3">
      <c r="A1612" t="s">
        <v>380</v>
      </c>
      <c r="B1612" t="s">
        <v>17</v>
      </c>
      <c r="C1612" t="s">
        <v>16</v>
      </c>
      <c r="D1612" t="s">
        <v>14</v>
      </c>
      <c r="E1612">
        <v>202602</v>
      </c>
      <c r="F1612" t="s">
        <v>409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1</v>
      </c>
      <c r="AM1612">
        <v>0</v>
      </c>
      <c r="AN1612">
        <v>1</v>
      </c>
    </row>
    <row r="1613" spans="1:40" x14ac:dyDescent="0.3">
      <c r="A1613" t="s">
        <v>380</v>
      </c>
      <c r="B1613" t="s">
        <v>17</v>
      </c>
      <c r="C1613" t="s">
        <v>16</v>
      </c>
      <c r="D1613" t="s">
        <v>14</v>
      </c>
      <c r="E1613">
        <v>202602</v>
      </c>
      <c r="F1613" t="s">
        <v>399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1</v>
      </c>
      <c r="AM1613">
        <v>0</v>
      </c>
      <c r="AN1613">
        <v>1</v>
      </c>
    </row>
    <row r="1614" spans="1:40" x14ac:dyDescent="0.3">
      <c r="A1614" t="s">
        <v>380</v>
      </c>
      <c r="B1614" t="s">
        <v>49</v>
      </c>
      <c r="C1614" t="s">
        <v>10</v>
      </c>
      <c r="D1614" t="s">
        <v>11</v>
      </c>
      <c r="E1614">
        <v>202602</v>
      </c>
      <c r="F1614" t="s">
        <v>50</v>
      </c>
      <c r="G1614">
        <v>0</v>
      </c>
      <c r="H1614">
        <v>0</v>
      </c>
      <c r="I1614">
        <v>0</v>
      </c>
      <c r="J1614">
        <v>1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2</v>
      </c>
      <c r="AM1614">
        <v>0</v>
      </c>
      <c r="AN1614">
        <v>2</v>
      </c>
    </row>
    <row r="1615" spans="1:40" x14ac:dyDescent="0.3">
      <c r="A1615" t="s">
        <v>380</v>
      </c>
      <c r="B1615" t="s">
        <v>49</v>
      </c>
      <c r="C1615" t="s">
        <v>10</v>
      </c>
      <c r="D1615" t="s">
        <v>11</v>
      </c>
      <c r="E1615">
        <v>202602</v>
      </c>
      <c r="F1615" t="s">
        <v>110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</v>
      </c>
      <c r="AM1615">
        <v>0.33333333333333331</v>
      </c>
      <c r="AN1615">
        <v>2.6796686227130611</v>
      </c>
    </row>
    <row r="1616" spans="1:40" x14ac:dyDescent="0.3">
      <c r="A1616" t="s">
        <v>380</v>
      </c>
      <c r="B1616" t="s">
        <v>49</v>
      </c>
      <c r="C1616" t="s">
        <v>10</v>
      </c>
      <c r="D1616" t="s">
        <v>11</v>
      </c>
      <c r="E1616">
        <v>202602</v>
      </c>
      <c r="F1616" t="s">
        <v>571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1</v>
      </c>
      <c r="AM1616">
        <v>0</v>
      </c>
      <c r="AN1616">
        <v>1</v>
      </c>
    </row>
    <row r="1617" spans="1:40" x14ac:dyDescent="0.3">
      <c r="A1617" t="s">
        <v>380</v>
      </c>
      <c r="B1617" t="s">
        <v>49</v>
      </c>
      <c r="C1617" t="s">
        <v>10</v>
      </c>
      <c r="D1617" t="s">
        <v>14</v>
      </c>
      <c r="E1617">
        <v>202602</v>
      </c>
      <c r="F1617" t="s">
        <v>50</v>
      </c>
      <c r="G1617">
        <v>0</v>
      </c>
      <c r="H1617">
        <v>0</v>
      </c>
      <c r="I1617">
        <v>1</v>
      </c>
      <c r="J1617">
        <v>2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3</v>
      </c>
      <c r="AM1617">
        <v>0</v>
      </c>
      <c r="AN1617">
        <v>3</v>
      </c>
    </row>
    <row r="1618" spans="1:40" x14ac:dyDescent="0.3">
      <c r="A1618" t="s">
        <v>380</v>
      </c>
      <c r="B1618" t="s">
        <v>49</v>
      </c>
      <c r="C1618" t="s">
        <v>10</v>
      </c>
      <c r="D1618" t="s">
        <v>14</v>
      </c>
      <c r="E1618">
        <v>202602</v>
      </c>
      <c r="F1618" t="s">
        <v>203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3</v>
      </c>
      <c r="AM1618">
        <v>0.33333333333333331</v>
      </c>
      <c r="AN1618">
        <v>4.4342414279002504</v>
      </c>
    </row>
    <row r="1619" spans="1:40" x14ac:dyDescent="0.3">
      <c r="A1619" t="s">
        <v>380</v>
      </c>
      <c r="B1619" t="s">
        <v>49</v>
      </c>
      <c r="C1619" t="s">
        <v>10</v>
      </c>
      <c r="D1619" t="s">
        <v>14</v>
      </c>
      <c r="E1619">
        <v>202602</v>
      </c>
      <c r="F1619" t="s">
        <v>51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1</v>
      </c>
      <c r="AM1619">
        <v>0</v>
      </c>
      <c r="AN1619">
        <v>1</v>
      </c>
    </row>
    <row r="1620" spans="1:40" x14ac:dyDescent="0.3">
      <c r="A1620" t="s">
        <v>380</v>
      </c>
      <c r="B1620" t="s">
        <v>49</v>
      </c>
      <c r="C1620" t="s">
        <v>10</v>
      </c>
      <c r="D1620" t="s">
        <v>14</v>
      </c>
      <c r="E1620">
        <v>202602</v>
      </c>
      <c r="F1620" t="s">
        <v>110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</v>
      </c>
      <c r="AM1620">
        <v>0</v>
      </c>
      <c r="AN1620">
        <v>1</v>
      </c>
    </row>
    <row r="1621" spans="1:40" x14ac:dyDescent="0.3">
      <c r="A1621" t="s">
        <v>380</v>
      </c>
      <c r="B1621" t="s">
        <v>49</v>
      </c>
      <c r="C1621" t="s">
        <v>10</v>
      </c>
      <c r="D1621" t="s">
        <v>14</v>
      </c>
      <c r="E1621">
        <v>202602</v>
      </c>
      <c r="F1621" t="s">
        <v>571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1</v>
      </c>
      <c r="AM1621">
        <v>0</v>
      </c>
      <c r="AN1621">
        <v>1</v>
      </c>
    </row>
    <row r="1622" spans="1:40" x14ac:dyDescent="0.3">
      <c r="A1622" t="s">
        <v>380</v>
      </c>
      <c r="B1622" t="s">
        <v>49</v>
      </c>
      <c r="C1622" t="s">
        <v>16</v>
      </c>
      <c r="D1622" t="s">
        <v>11</v>
      </c>
      <c r="E1622">
        <v>202602</v>
      </c>
      <c r="F1622" t="s">
        <v>203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  <c r="AN1622">
        <v>1</v>
      </c>
    </row>
    <row r="1623" spans="1:40" x14ac:dyDescent="0.3">
      <c r="A1623" t="s">
        <v>380</v>
      </c>
      <c r="B1623" t="s">
        <v>49</v>
      </c>
      <c r="C1623" t="s">
        <v>16</v>
      </c>
      <c r="D1623" t="s">
        <v>11</v>
      </c>
      <c r="E1623">
        <v>202602</v>
      </c>
      <c r="F1623" t="s">
        <v>52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1</v>
      </c>
    </row>
    <row r="1624" spans="1:40" x14ac:dyDescent="0.3">
      <c r="A1624" t="s">
        <v>380</v>
      </c>
      <c r="B1624" t="s">
        <v>49</v>
      </c>
      <c r="C1624" t="s">
        <v>16</v>
      </c>
      <c r="D1624" t="s">
        <v>14</v>
      </c>
      <c r="E1624">
        <v>202602</v>
      </c>
      <c r="F1624" t="s">
        <v>50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2</v>
      </c>
      <c r="AM1624">
        <v>0</v>
      </c>
      <c r="AN1624">
        <v>2</v>
      </c>
    </row>
    <row r="1625" spans="1:40" x14ac:dyDescent="0.3">
      <c r="A1625" t="s">
        <v>380</v>
      </c>
      <c r="B1625" t="s">
        <v>49</v>
      </c>
      <c r="C1625" t="s">
        <v>16</v>
      </c>
      <c r="D1625" t="s">
        <v>14</v>
      </c>
      <c r="E1625">
        <v>202602</v>
      </c>
      <c r="F1625" t="s">
        <v>203</v>
      </c>
      <c r="G1625">
        <v>0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2</v>
      </c>
      <c r="AM1625">
        <v>0</v>
      </c>
      <c r="AN1625">
        <v>2</v>
      </c>
    </row>
    <row r="1626" spans="1:40" x14ac:dyDescent="0.3">
      <c r="A1626" t="s">
        <v>380</v>
      </c>
      <c r="B1626" t="s">
        <v>49</v>
      </c>
      <c r="C1626" t="s">
        <v>16</v>
      </c>
      <c r="D1626" t="s">
        <v>14</v>
      </c>
      <c r="E1626">
        <v>202602</v>
      </c>
      <c r="F1626" t="s">
        <v>52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0</v>
      </c>
      <c r="AN1626">
        <v>1</v>
      </c>
    </row>
    <row r="1627" spans="1:40" x14ac:dyDescent="0.3">
      <c r="A1627" t="s">
        <v>380</v>
      </c>
      <c r="B1627" t="s">
        <v>54</v>
      </c>
      <c r="C1627" t="s">
        <v>10</v>
      </c>
      <c r="D1627" t="s">
        <v>11</v>
      </c>
      <c r="E1627">
        <v>202602</v>
      </c>
      <c r="F1627" t="s">
        <v>55</v>
      </c>
      <c r="G1627">
        <v>0</v>
      </c>
      <c r="H1627">
        <v>1</v>
      </c>
      <c r="I1627">
        <v>1</v>
      </c>
      <c r="J1627">
        <v>0</v>
      </c>
      <c r="K1627">
        <v>1</v>
      </c>
      <c r="L1627">
        <v>1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2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3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12</v>
      </c>
      <c r="AM1627">
        <v>1</v>
      </c>
      <c r="AN1627">
        <v>17.039005868139181</v>
      </c>
    </row>
    <row r="1628" spans="1:40" x14ac:dyDescent="0.3">
      <c r="A1628" t="s">
        <v>380</v>
      </c>
      <c r="B1628" t="s">
        <v>54</v>
      </c>
      <c r="C1628" t="s">
        <v>10</v>
      </c>
      <c r="D1628" t="s">
        <v>11</v>
      </c>
      <c r="E1628">
        <v>202602</v>
      </c>
      <c r="F1628" t="s">
        <v>56</v>
      </c>
      <c r="G1628">
        <v>0</v>
      </c>
      <c r="H1628">
        <v>7</v>
      </c>
      <c r="I1628">
        <v>6</v>
      </c>
      <c r="J1628">
        <v>4</v>
      </c>
      <c r="K1628">
        <v>4</v>
      </c>
      <c r="L1628">
        <v>8</v>
      </c>
      <c r="M1628">
        <v>2</v>
      </c>
      <c r="N1628">
        <v>0</v>
      </c>
      <c r="O1628">
        <v>6</v>
      </c>
      <c r="P1628">
        <v>2</v>
      </c>
      <c r="Q1628">
        <v>2</v>
      </c>
      <c r="R1628">
        <v>8</v>
      </c>
      <c r="S1628">
        <v>8</v>
      </c>
      <c r="T1628">
        <v>3</v>
      </c>
      <c r="U1628">
        <v>0</v>
      </c>
      <c r="V1628">
        <v>4</v>
      </c>
      <c r="W1628">
        <v>4</v>
      </c>
      <c r="X1628">
        <v>7</v>
      </c>
      <c r="Y1628">
        <v>9</v>
      </c>
      <c r="Z1628">
        <v>7</v>
      </c>
      <c r="AA1628">
        <v>0</v>
      </c>
      <c r="AB1628">
        <v>0</v>
      </c>
      <c r="AC1628">
        <v>6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97</v>
      </c>
      <c r="AM1628">
        <v>7.333333333333333</v>
      </c>
      <c r="AN1628">
        <v>133.95270969968732</v>
      </c>
    </row>
    <row r="1629" spans="1:40" x14ac:dyDescent="0.3">
      <c r="A1629" t="s">
        <v>380</v>
      </c>
      <c r="B1629" t="s">
        <v>54</v>
      </c>
      <c r="C1629" t="s">
        <v>10</v>
      </c>
      <c r="D1629" t="s">
        <v>11</v>
      </c>
      <c r="E1629">
        <v>202602</v>
      </c>
      <c r="F1629" t="s">
        <v>57</v>
      </c>
      <c r="G1629">
        <v>0</v>
      </c>
      <c r="H1629">
        <v>1</v>
      </c>
      <c r="I1629">
        <v>2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4</v>
      </c>
      <c r="S1629">
        <v>2</v>
      </c>
      <c r="T1629">
        <v>1</v>
      </c>
      <c r="U1629">
        <v>0</v>
      </c>
      <c r="V1629">
        <v>1</v>
      </c>
      <c r="W1629">
        <v>0</v>
      </c>
      <c r="X1629">
        <v>1</v>
      </c>
      <c r="Y1629">
        <v>1</v>
      </c>
      <c r="Z1629">
        <v>2</v>
      </c>
      <c r="AA1629">
        <v>0</v>
      </c>
      <c r="AB1629">
        <v>0</v>
      </c>
      <c r="AC1629">
        <v>5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22</v>
      </c>
      <c r="AM1629">
        <v>2.6666666666666665</v>
      </c>
      <c r="AN1629">
        <v>35.437348981704488</v>
      </c>
    </row>
    <row r="1630" spans="1:40" x14ac:dyDescent="0.3">
      <c r="A1630" t="s">
        <v>380</v>
      </c>
      <c r="B1630" t="s">
        <v>54</v>
      </c>
      <c r="C1630" t="s">
        <v>10</v>
      </c>
      <c r="D1630" t="s">
        <v>11</v>
      </c>
      <c r="E1630">
        <v>202602</v>
      </c>
      <c r="F1630" t="s">
        <v>58</v>
      </c>
      <c r="G1630">
        <v>0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2</v>
      </c>
      <c r="AM1630">
        <v>0.33333333333333331</v>
      </c>
      <c r="AN1630">
        <v>3.6796686227130611</v>
      </c>
    </row>
    <row r="1631" spans="1:40" x14ac:dyDescent="0.3">
      <c r="A1631" t="s">
        <v>380</v>
      </c>
      <c r="B1631" t="s">
        <v>54</v>
      </c>
      <c r="C1631" t="s">
        <v>10</v>
      </c>
      <c r="D1631" t="s">
        <v>14</v>
      </c>
      <c r="E1631">
        <v>202602</v>
      </c>
      <c r="F1631" t="s">
        <v>55</v>
      </c>
      <c r="G1631">
        <v>0</v>
      </c>
      <c r="H1631">
        <v>1</v>
      </c>
      <c r="I1631">
        <v>1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1</v>
      </c>
      <c r="P1631">
        <v>1</v>
      </c>
      <c r="Q1631">
        <v>1</v>
      </c>
      <c r="R1631">
        <v>4</v>
      </c>
      <c r="S1631">
        <v>1</v>
      </c>
      <c r="T1631">
        <v>0</v>
      </c>
      <c r="U1631">
        <v>0</v>
      </c>
      <c r="V1631">
        <v>1</v>
      </c>
      <c r="W1631">
        <v>1</v>
      </c>
      <c r="X1631">
        <v>1</v>
      </c>
      <c r="Y1631">
        <v>2</v>
      </c>
      <c r="Z1631">
        <v>3</v>
      </c>
      <c r="AA1631">
        <v>1</v>
      </c>
      <c r="AB1631">
        <v>0</v>
      </c>
      <c r="AC1631">
        <v>2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27</v>
      </c>
      <c r="AM1631">
        <v>2.3333333333333335</v>
      </c>
      <c r="AN1631">
        <v>37.03968999530175</v>
      </c>
    </row>
    <row r="1632" spans="1:40" x14ac:dyDescent="0.3">
      <c r="A1632" t="s">
        <v>380</v>
      </c>
      <c r="B1632" t="s">
        <v>54</v>
      </c>
      <c r="C1632" t="s">
        <v>10</v>
      </c>
      <c r="D1632" t="s">
        <v>14</v>
      </c>
      <c r="E1632">
        <v>202602</v>
      </c>
      <c r="F1632" t="s">
        <v>56</v>
      </c>
      <c r="G1632">
        <v>1</v>
      </c>
      <c r="H1632">
        <v>13</v>
      </c>
      <c r="I1632">
        <v>11</v>
      </c>
      <c r="J1632">
        <v>6</v>
      </c>
      <c r="K1632">
        <v>8</v>
      </c>
      <c r="L1632">
        <v>12</v>
      </c>
      <c r="M1632">
        <v>1</v>
      </c>
      <c r="N1632">
        <v>1</v>
      </c>
      <c r="O1632">
        <v>10</v>
      </c>
      <c r="P1632">
        <v>8</v>
      </c>
      <c r="Q1632">
        <v>9</v>
      </c>
      <c r="R1632">
        <v>10</v>
      </c>
      <c r="S1632">
        <v>10</v>
      </c>
      <c r="T1632">
        <v>3</v>
      </c>
      <c r="U1632">
        <v>1</v>
      </c>
      <c r="V1632">
        <v>7</v>
      </c>
      <c r="W1632">
        <v>0</v>
      </c>
      <c r="X1632">
        <v>7</v>
      </c>
      <c r="Y1632">
        <v>7</v>
      </c>
      <c r="Z1632">
        <v>8</v>
      </c>
      <c r="AA1632">
        <v>3</v>
      </c>
      <c r="AB1632">
        <v>3</v>
      </c>
      <c r="AC1632">
        <v>6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145</v>
      </c>
      <c r="AM1632">
        <v>7</v>
      </c>
      <c r="AN1632">
        <v>175.11906998590524</v>
      </c>
    </row>
    <row r="1633" spans="1:40" x14ac:dyDescent="0.3">
      <c r="A1633" t="s">
        <v>380</v>
      </c>
      <c r="B1633" t="s">
        <v>54</v>
      </c>
      <c r="C1633" t="s">
        <v>10</v>
      </c>
      <c r="D1633" t="s">
        <v>14</v>
      </c>
      <c r="E1633">
        <v>202602</v>
      </c>
      <c r="F1633" t="s">
        <v>57</v>
      </c>
      <c r="G1633">
        <v>0</v>
      </c>
      <c r="H1633">
        <v>2</v>
      </c>
      <c r="I1633">
        <v>1</v>
      </c>
      <c r="J1633">
        <v>0</v>
      </c>
      <c r="K1633">
        <v>1</v>
      </c>
      <c r="L1633">
        <v>1</v>
      </c>
      <c r="M1633">
        <v>0</v>
      </c>
      <c r="N1633">
        <v>0</v>
      </c>
      <c r="O1633">
        <v>2</v>
      </c>
      <c r="P1633">
        <v>2</v>
      </c>
      <c r="Q1633">
        <v>2</v>
      </c>
      <c r="R1633">
        <v>2</v>
      </c>
      <c r="S1633">
        <v>2</v>
      </c>
      <c r="T1633">
        <v>1</v>
      </c>
      <c r="U1633">
        <v>0</v>
      </c>
      <c r="V1633">
        <v>0</v>
      </c>
      <c r="W1633">
        <v>1</v>
      </c>
      <c r="X1633">
        <v>2</v>
      </c>
      <c r="Y1633">
        <v>3</v>
      </c>
      <c r="Z1633">
        <v>2</v>
      </c>
      <c r="AA1633">
        <v>0</v>
      </c>
      <c r="AB1633">
        <v>1</v>
      </c>
      <c r="AC1633">
        <v>6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31</v>
      </c>
      <c r="AM1633">
        <v>3.6666666666666665</v>
      </c>
      <c r="AN1633">
        <v>46.776655706902751</v>
      </c>
    </row>
    <row r="1634" spans="1:40" x14ac:dyDescent="0.3">
      <c r="A1634" t="s">
        <v>380</v>
      </c>
      <c r="B1634" t="s">
        <v>54</v>
      </c>
      <c r="C1634" t="s">
        <v>10</v>
      </c>
      <c r="D1634" t="s">
        <v>14</v>
      </c>
      <c r="E1634">
        <v>202602</v>
      </c>
      <c r="F1634" t="s">
        <v>58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3</v>
      </c>
      <c r="AM1634">
        <v>0</v>
      </c>
      <c r="AN1634">
        <v>3</v>
      </c>
    </row>
    <row r="1635" spans="1:40" x14ac:dyDescent="0.3">
      <c r="A1635" t="s">
        <v>380</v>
      </c>
      <c r="B1635" t="s">
        <v>54</v>
      </c>
      <c r="C1635" t="s">
        <v>16</v>
      </c>
      <c r="D1635" t="s">
        <v>11</v>
      </c>
      <c r="E1635">
        <v>202602</v>
      </c>
      <c r="F1635" t="s">
        <v>55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</v>
      </c>
      <c r="AM1635">
        <v>0</v>
      </c>
      <c r="AN1635">
        <v>1</v>
      </c>
    </row>
    <row r="1636" spans="1:40" x14ac:dyDescent="0.3">
      <c r="A1636" t="s">
        <v>380</v>
      </c>
      <c r="B1636" t="s">
        <v>54</v>
      </c>
      <c r="C1636" t="s">
        <v>16</v>
      </c>
      <c r="D1636" t="s">
        <v>11</v>
      </c>
      <c r="E1636">
        <v>202602</v>
      </c>
      <c r="F1636" t="s">
        <v>56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3</v>
      </c>
      <c r="AM1636">
        <v>0.33333333333333331</v>
      </c>
      <c r="AN1636">
        <v>4.6796686227130611</v>
      </c>
    </row>
    <row r="1637" spans="1:40" x14ac:dyDescent="0.3">
      <c r="A1637" t="s">
        <v>380</v>
      </c>
      <c r="B1637" t="s">
        <v>54</v>
      </c>
      <c r="C1637" t="s">
        <v>16</v>
      </c>
      <c r="D1637" t="s">
        <v>14</v>
      </c>
      <c r="E1637">
        <v>202602</v>
      </c>
      <c r="F1637" t="s">
        <v>55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2</v>
      </c>
      <c r="AM1637">
        <v>0</v>
      </c>
      <c r="AN1637">
        <v>2</v>
      </c>
    </row>
    <row r="1638" spans="1:40" x14ac:dyDescent="0.3">
      <c r="A1638" t="s">
        <v>380</v>
      </c>
      <c r="B1638" t="s">
        <v>54</v>
      </c>
      <c r="C1638" t="s">
        <v>16</v>
      </c>
      <c r="D1638" t="s">
        <v>14</v>
      </c>
      <c r="E1638">
        <v>202602</v>
      </c>
      <c r="F1638" t="s">
        <v>56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4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6</v>
      </c>
      <c r="AM1638">
        <v>0</v>
      </c>
      <c r="AN1638">
        <v>6</v>
      </c>
    </row>
    <row r="1639" spans="1:40" x14ac:dyDescent="0.3">
      <c r="A1639" t="s">
        <v>380</v>
      </c>
      <c r="B1639" t="s">
        <v>59</v>
      </c>
      <c r="C1639" t="s">
        <v>10</v>
      </c>
      <c r="D1639" t="s">
        <v>11</v>
      </c>
      <c r="E1639">
        <v>202602</v>
      </c>
      <c r="F1639" t="s">
        <v>204</v>
      </c>
      <c r="G1639">
        <v>0</v>
      </c>
      <c r="H1639">
        <v>2</v>
      </c>
      <c r="I1639">
        <v>3</v>
      </c>
      <c r="J1639">
        <v>4</v>
      </c>
      <c r="K1639">
        <v>2</v>
      </c>
      <c r="L1639">
        <v>1</v>
      </c>
      <c r="M1639">
        <v>0</v>
      </c>
      <c r="N1639">
        <v>0</v>
      </c>
      <c r="O1639">
        <v>5</v>
      </c>
      <c r="P1639">
        <v>5</v>
      </c>
      <c r="Q1639">
        <v>2</v>
      </c>
      <c r="R1639">
        <v>6</v>
      </c>
      <c r="S1639">
        <v>7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3</v>
      </c>
      <c r="Z1639">
        <v>2</v>
      </c>
      <c r="AA1639">
        <v>0</v>
      </c>
      <c r="AB1639">
        <v>0</v>
      </c>
      <c r="AC1639">
        <v>3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45</v>
      </c>
      <c r="AM1639">
        <v>2.6666666666666665</v>
      </c>
      <c r="AN1639">
        <v>58.437348981704488</v>
      </c>
    </row>
    <row r="1640" spans="1:40" x14ac:dyDescent="0.3">
      <c r="A1640" t="s">
        <v>380</v>
      </c>
      <c r="B1640" t="s">
        <v>59</v>
      </c>
      <c r="C1640" t="s">
        <v>10</v>
      </c>
      <c r="D1640" t="s">
        <v>11</v>
      </c>
      <c r="E1640">
        <v>202602</v>
      </c>
      <c r="F1640" t="s">
        <v>61</v>
      </c>
      <c r="G1640">
        <v>0</v>
      </c>
      <c r="H1640">
        <v>1</v>
      </c>
      <c r="I1640">
        <v>1</v>
      </c>
      <c r="J1640">
        <v>3</v>
      </c>
      <c r="K1640">
        <v>2</v>
      </c>
      <c r="L1640">
        <v>3</v>
      </c>
      <c r="M1640">
        <v>2</v>
      </c>
      <c r="N1640">
        <v>0</v>
      </c>
      <c r="O1640">
        <v>1</v>
      </c>
      <c r="P1640">
        <v>0</v>
      </c>
      <c r="Q1640">
        <v>1</v>
      </c>
      <c r="R1640">
        <v>2</v>
      </c>
      <c r="S1640">
        <v>3</v>
      </c>
      <c r="T1640">
        <v>1</v>
      </c>
      <c r="U1640">
        <v>0</v>
      </c>
      <c r="V1640">
        <v>1</v>
      </c>
      <c r="W1640">
        <v>0</v>
      </c>
      <c r="X1640">
        <v>0</v>
      </c>
      <c r="Y1640">
        <v>1</v>
      </c>
      <c r="Z1640">
        <v>0</v>
      </c>
      <c r="AA1640">
        <v>1</v>
      </c>
      <c r="AB1640">
        <v>0</v>
      </c>
      <c r="AC1640">
        <v>2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25</v>
      </c>
      <c r="AM1640">
        <v>1</v>
      </c>
      <c r="AN1640">
        <v>30.039005868139181</v>
      </c>
    </row>
    <row r="1641" spans="1:40" x14ac:dyDescent="0.3">
      <c r="A1641" t="s">
        <v>380</v>
      </c>
      <c r="B1641" t="s">
        <v>59</v>
      </c>
      <c r="C1641" t="s">
        <v>10</v>
      </c>
      <c r="D1641" t="s">
        <v>11</v>
      </c>
      <c r="E1641">
        <v>202602</v>
      </c>
      <c r="F1641" t="s">
        <v>63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1</v>
      </c>
      <c r="AM1641">
        <v>0</v>
      </c>
      <c r="AN1641">
        <v>1</v>
      </c>
    </row>
    <row r="1642" spans="1:40" x14ac:dyDescent="0.3">
      <c r="A1642" t="s">
        <v>380</v>
      </c>
      <c r="B1642" t="s">
        <v>59</v>
      </c>
      <c r="C1642" t="s">
        <v>10</v>
      </c>
      <c r="D1642" t="s">
        <v>11</v>
      </c>
      <c r="E1642">
        <v>202602</v>
      </c>
      <c r="F1642" t="s">
        <v>75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2</v>
      </c>
      <c r="AM1642">
        <v>0</v>
      </c>
      <c r="AN1642">
        <v>2</v>
      </c>
    </row>
    <row r="1643" spans="1:40" x14ac:dyDescent="0.3">
      <c r="A1643" t="s">
        <v>380</v>
      </c>
      <c r="B1643" t="s">
        <v>59</v>
      </c>
      <c r="C1643" t="s">
        <v>10</v>
      </c>
      <c r="D1643" t="s">
        <v>11</v>
      </c>
      <c r="E1643">
        <v>202602</v>
      </c>
      <c r="F1643" t="s">
        <v>206</v>
      </c>
      <c r="G1643">
        <v>0</v>
      </c>
      <c r="H1643">
        <v>2</v>
      </c>
      <c r="I1643">
        <v>0</v>
      </c>
      <c r="J1643">
        <v>0</v>
      </c>
      <c r="K1643">
        <v>1</v>
      </c>
      <c r="L1643">
        <v>3</v>
      </c>
      <c r="M1643">
        <v>0</v>
      </c>
      <c r="N1643">
        <v>0</v>
      </c>
      <c r="O1643">
        <v>1</v>
      </c>
      <c r="P1643">
        <v>0</v>
      </c>
      <c r="Q1643">
        <v>1</v>
      </c>
      <c r="R1643">
        <v>0</v>
      </c>
      <c r="S1643">
        <v>2</v>
      </c>
      <c r="T1643">
        <v>0</v>
      </c>
      <c r="U1643">
        <v>0</v>
      </c>
      <c r="V1643">
        <v>3</v>
      </c>
      <c r="W1643">
        <v>0</v>
      </c>
      <c r="X1643">
        <v>0</v>
      </c>
      <c r="Y1643">
        <v>2</v>
      </c>
      <c r="Z1643">
        <v>3</v>
      </c>
      <c r="AA1643">
        <v>0</v>
      </c>
      <c r="AB1643">
        <v>0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19</v>
      </c>
      <c r="AM1643">
        <v>2</v>
      </c>
      <c r="AN1643">
        <v>29.078011736278363</v>
      </c>
    </row>
    <row r="1644" spans="1:40" x14ac:dyDescent="0.3">
      <c r="A1644" t="s">
        <v>380</v>
      </c>
      <c r="B1644" t="s">
        <v>59</v>
      </c>
      <c r="C1644" t="s">
        <v>10</v>
      </c>
      <c r="D1644" t="s">
        <v>11</v>
      </c>
      <c r="E1644">
        <v>202602</v>
      </c>
      <c r="F1644" t="s">
        <v>64</v>
      </c>
      <c r="G1644">
        <v>0</v>
      </c>
      <c r="H1644">
        <v>0</v>
      </c>
      <c r="I1644">
        <v>1</v>
      </c>
      <c r="J1644">
        <v>1</v>
      </c>
      <c r="K1644">
        <v>0</v>
      </c>
      <c r="L1644">
        <v>0</v>
      </c>
      <c r="M1644">
        <v>1</v>
      </c>
      <c r="N1644">
        <v>0</v>
      </c>
      <c r="O1644">
        <v>2</v>
      </c>
      <c r="P1644">
        <v>1</v>
      </c>
      <c r="Q1644">
        <v>0</v>
      </c>
      <c r="R1644">
        <v>2</v>
      </c>
      <c r="S1644">
        <v>2</v>
      </c>
      <c r="T1644">
        <v>2</v>
      </c>
      <c r="U1644">
        <v>0</v>
      </c>
      <c r="V1644">
        <v>4</v>
      </c>
      <c r="W1644">
        <v>0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1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18</v>
      </c>
      <c r="AM1644">
        <v>0.66666666666666663</v>
      </c>
      <c r="AN1644">
        <v>21.359337245426122</v>
      </c>
    </row>
    <row r="1645" spans="1:40" x14ac:dyDescent="0.3">
      <c r="A1645" t="s">
        <v>380</v>
      </c>
      <c r="B1645" t="s">
        <v>59</v>
      </c>
      <c r="C1645" t="s">
        <v>10</v>
      </c>
      <c r="D1645" t="s">
        <v>11</v>
      </c>
      <c r="E1645">
        <v>202602</v>
      </c>
      <c r="F1645" t="s">
        <v>411</v>
      </c>
      <c r="G1645">
        <v>0</v>
      </c>
      <c r="H1645">
        <v>1</v>
      </c>
      <c r="I1645">
        <v>0</v>
      </c>
      <c r="J1645">
        <v>1</v>
      </c>
      <c r="K1645">
        <v>1</v>
      </c>
      <c r="L1645">
        <v>0</v>
      </c>
      <c r="M1645">
        <v>1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2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10</v>
      </c>
      <c r="AM1645">
        <v>0.33333333333333331</v>
      </c>
      <c r="AN1645">
        <v>11.679668622713061</v>
      </c>
    </row>
    <row r="1646" spans="1:40" x14ac:dyDescent="0.3">
      <c r="A1646" t="s">
        <v>380</v>
      </c>
      <c r="B1646" t="s">
        <v>59</v>
      </c>
      <c r="C1646" t="s">
        <v>10</v>
      </c>
      <c r="D1646" t="s">
        <v>11</v>
      </c>
      <c r="E1646">
        <v>202602</v>
      </c>
      <c r="F1646" t="s">
        <v>412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1</v>
      </c>
      <c r="N1646">
        <v>0</v>
      </c>
      <c r="O1646">
        <v>1</v>
      </c>
      <c r="P1646">
        <v>1</v>
      </c>
      <c r="Q1646">
        <v>0</v>
      </c>
      <c r="R1646">
        <v>1</v>
      </c>
      <c r="S1646">
        <v>1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1</v>
      </c>
      <c r="Z1646">
        <v>1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10</v>
      </c>
      <c r="AM1646">
        <v>1</v>
      </c>
      <c r="AN1646">
        <v>15.039005868139181</v>
      </c>
    </row>
    <row r="1647" spans="1:40" x14ac:dyDescent="0.3">
      <c r="A1647" t="s">
        <v>380</v>
      </c>
      <c r="B1647" t="s">
        <v>59</v>
      </c>
      <c r="C1647" t="s">
        <v>10</v>
      </c>
      <c r="D1647" t="s">
        <v>11</v>
      </c>
      <c r="E1647">
        <v>202602</v>
      </c>
      <c r="F1647" t="s">
        <v>413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2</v>
      </c>
      <c r="Q1647">
        <v>2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5</v>
      </c>
      <c r="AM1647">
        <v>0.33333333333333331</v>
      </c>
      <c r="AN1647">
        <v>6.6796686227130611</v>
      </c>
    </row>
    <row r="1648" spans="1:40" x14ac:dyDescent="0.3">
      <c r="A1648" t="s">
        <v>380</v>
      </c>
      <c r="B1648" t="s">
        <v>59</v>
      </c>
      <c r="C1648" t="s">
        <v>10</v>
      </c>
      <c r="D1648" t="s">
        <v>11</v>
      </c>
      <c r="E1648">
        <v>202602</v>
      </c>
      <c r="F1648" t="s">
        <v>66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0</v>
      </c>
      <c r="X1648">
        <v>1</v>
      </c>
      <c r="Y1648">
        <v>0</v>
      </c>
      <c r="Z1648">
        <v>1</v>
      </c>
      <c r="AA1648">
        <v>0</v>
      </c>
      <c r="AB1648">
        <v>0</v>
      </c>
      <c r="AC1648">
        <v>2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8</v>
      </c>
      <c r="AM1648">
        <v>1</v>
      </c>
      <c r="AN1648">
        <v>13.039005868139181</v>
      </c>
    </row>
    <row r="1649" spans="1:40" x14ac:dyDescent="0.3">
      <c r="A1649" t="s">
        <v>380</v>
      </c>
      <c r="B1649" t="s">
        <v>59</v>
      </c>
      <c r="C1649" t="s">
        <v>10</v>
      </c>
      <c r="D1649" t="s">
        <v>11</v>
      </c>
      <c r="E1649">
        <v>202602</v>
      </c>
      <c r="F1649" t="s">
        <v>67</v>
      </c>
      <c r="G1649">
        <v>0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1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5</v>
      </c>
      <c r="AM1649">
        <v>0.66666666666666663</v>
      </c>
      <c r="AN1649">
        <v>8.3593372454261221</v>
      </c>
    </row>
    <row r="1650" spans="1:40" x14ac:dyDescent="0.3">
      <c r="A1650" t="s">
        <v>380</v>
      </c>
      <c r="B1650" t="s">
        <v>59</v>
      </c>
      <c r="C1650" t="s">
        <v>10</v>
      </c>
      <c r="D1650" t="s">
        <v>11</v>
      </c>
      <c r="E1650">
        <v>202602</v>
      </c>
      <c r="F1650" t="s">
        <v>422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2</v>
      </c>
      <c r="AM1650">
        <v>0.33333333333333331</v>
      </c>
      <c r="AN1650">
        <v>3.6796686227130611</v>
      </c>
    </row>
    <row r="1651" spans="1:40" x14ac:dyDescent="0.3">
      <c r="A1651" t="s">
        <v>380</v>
      </c>
      <c r="B1651" t="s">
        <v>59</v>
      </c>
      <c r="C1651" t="s">
        <v>10</v>
      </c>
      <c r="D1651" t="s">
        <v>11</v>
      </c>
      <c r="E1651">
        <v>202602</v>
      </c>
      <c r="F1651" t="s">
        <v>414</v>
      </c>
      <c r="G1651">
        <v>0</v>
      </c>
      <c r="H1651">
        <v>1</v>
      </c>
      <c r="I1651">
        <v>7</v>
      </c>
      <c r="J1651">
        <v>0</v>
      </c>
      <c r="K1651">
        <v>4</v>
      </c>
      <c r="L1651">
        <v>5</v>
      </c>
      <c r="M1651">
        <v>3</v>
      </c>
      <c r="N1651">
        <v>0</v>
      </c>
      <c r="O1651">
        <v>6</v>
      </c>
      <c r="P1651">
        <v>3</v>
      </c>
      <c r="Q1651">
        <v>4</v>
      </c>
      <c r="R1651">
        <v>2</v>
      </c>
      <c r="S1651">
        <v>1</v>
      </c>
      <c r="T1651">
        <v>1</v>
      </c>
      <c r="U1651">
        <v>0</v>
      </c>
      <c r="V1651">
        <v>0</v>
      </c>
      <c r="W1651">
        <v>1</v>
      </c>
      <c r="X1651">
        <v>0</v>
      </c>
      <c r="Y1651">
        <v>1</v>
      </c>
      <c r="Z1651">
        <v>3</v>
      </c>
      <c r="AA1651">
        <v>1</v>
      </c>
      <c r="AB1651">
        <v>0</v>
      </c>
      <c r="AC1651">
        <v>2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45</v>
      </c>
      <c r="AM1651">
        <v>2</v>
      </c>
      <c r="AN1651">
        <v>55.078011736278363</v>
      </c>
    </row>
    <row r="1652" spans="1:40" x14ac:dyDescent="0.3">
      <c r="A1652" t="s">
        <v>380</v>
      </c>
      <c r="B1652" t="s">
        <v>59</v>
      </c>
      <c r="C1652" t="s">
        <v>10</v>
      </c>
      <c r="D1652" t="s">
        <v>11</v>
      </c>
      <c r="E1652">
        <v>202602</v>
      </c>
      <c r="F1652" t="s">
        <v>69</v>
      </c>
      <c r="G1652">
        <v>0</v>
      </c>
      <c r="H1652">
        <v>1</v>
      </c>
      <c r="I1652">
        <v>1</v>
      </c>
      <c r="J1652">
        <v>3</v>
      </c>
      <c r="K1652">
        <v>0</v>
      </c>
      <c r="L1652">
        <v>2</v>
      </c>
      <c r="M1652">
        <v>0</v>
      </c>
      <c r="N1652">
        <v>0</v>
      </c>
      <c r="O1652">
        <v>1</v>
      </c>
      <c r="P1652">
        <v>0</v>
      </c>
      <c r="Q1652">
        <v>1</v>
      </c>
      <c r="R1652">
        <v>1</v>
      </c>
      <c r="S1652">
        <v>2</v>
      </c>
      <c r="T1652">
        <v>0</v>
      </c>
      <c r="U1652">
        <v>0</v>
      </c>
      <c r="V1652">
        <v>3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16</v>
      </c>
      <c r="AM1652">
        <v>0.33333333333333331</v>
      </c>
      <c r="AN1652">
        <v>17.679668622713059</v>
      </c>
    </row>
    <row r="1653" spans="1:40" x14ac:dyDescent="0.3">
      <c r="A1653" t="s">
        <v>380</v>
      </c>
      <c r="B1653" t="s">
        <v>59</v>
      </c>
      <c r="C1653" t="s">
        <v>10</v>
      </c>
      <c r="D1653" t="s">
        <v>11</v>
      </c>
      <c r="E1653">
        <v>202602</v>
      </c>
      <c r="F1653" t="s">
        <v>70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</v>
      </c>
      <c r="AM1653">
        <v>0</v>
      </c>
      <c r="AN1653">
        <v>1</v>
      </c>
    </row>
    <row r="1654" spans="1:40" x14ac:dyDescent="0.3">
      <c r="A1654" t="s">
        <v>380</v>
      </c>
      <c r="B1654" t="s">
        <v>59</v>
      </c>
      <c r="C1654" t="s">
        <v>10</v>
      </c>
      <c r="D1654" t="s">
        <v>11</v>
      </c>
      <c r="E1654">
        <v>202602</v>
      </c>
      <c r="F1654" t="s">
        <v>71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3</v>
      </c>
      <c r="AM1654">
        <v>0</v>
      </c>
      <c r="AN1654">
        <v>3</v>
      </c>
    </row>
    <row r="1655" spans="1:40" x14ac:dyDescent="0.3">
      <c r="A1655" t="s">
        <v>380</v>
      </c>
      <c r="B1655" t="s">
        <v>59</v>
      </c>
      <c r="C1655" t="s">
        <v>10</v>
      </c>
      <c r="D1655" t="s">
        <v>11</v>
      </c>
      <c r="E1655">
        <v>202602</v>
      </c>
      <c r="F1655" t="s">
        <v>423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1</v>
      </c>
      <c r="W1655">
        <v>0</v>
      </c>
      <c r="X1655">
        <v>1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4</v>
      </c>
      <c r="AM1655">
        <v>0.33333333333333331</v>
      </c>
      <c r="AN1655">
        <v>5.6796686227130611</v>
      </c>
    </row>
    <row r="1656" spans="1:40" x14ac:dyDescent="0.3">
      <c r="A1656" t="s">
        <v>380</v>
      </c>
      <c r="B1656" t="s">
        <v>59</v>
      </c>
      <c r="C1656" t="s">
        <v>10</v>
      </c>
      <c r="D1656" t="s">
        <v>11</v>
      </c>
      <c r="E1656">
        <v>202602</v>
      </c>
      <c r="F1656" t="s">
        <v>415</v>
      </c>
      <c r="G1656">
        <v>0</v>
      </c>
      <c r="H1656">
        <v>1</v>
      </c>
      <c r="I1656">
        <v>0</v>
      </c>
      <c r="J1656">
        <v>1</v>
      </c>
      <c r="K1656">
        <v>0</v>
      </c>
      <c r="L1656">
        <v>1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1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7</v>
      </c>
      <c r="AM1656">
        <v>0.66666666666666663</v>
      </c>
      <c r="AN1656">
        <v>10.359337245426122</v>
      </c>
    </row>
    <row r="1657" spans="1:40" x14ac:dyDescent="0.3">
      <c r="A1657" t="s">
        <v>380</v>
      </c>
      <c r="B1657" t="s">
        <v>59</v>
      </c>
      <c r="C1657" t="s">
        <v>10</v>
      </c>
      <c r="D1657" t="s">
        <v>11</v>
      </c>
      <c r="E1657">
        <v>202602</v>
      </c>
      <c r="F1657" t="s">
        <v>424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2</v>
      </c>
      <c r="AM1657">
        <v>0</v>
      </c>
      <c r="AN1657">
        <v>2</v>
      </c>
    </row>
    <row r="1658" spans="1:40" x14ac:dyDescent="0.3">
      <c r="A1658" t="s">
        <v>380</v>
      </c>
      <c r="B1658" t="s">
        <v>59</v>
      </c>
      <c r="C1658" t="s">
        <v>10</v>
      </c>
      <c r="D1658" t="s">
        <v>11</v>
      </c>
      <c r="E1658">
        <v>202602</v>
      </c>
      <c r="F1658" t="s">
        <v>416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3</v>
      </c>
      <c r="AM1658">
        <v>0</v>
      </c>
      <c r="AN1658">
        <v>3</v>
      </c>
    </row>
    <row r="1659" spans="1:40" x14ac:dyDescent="0.3">
      <c r="A1659" t="s">
        <v>380</v>
      </c>
      <c r="B1659" t="s">
        <v>59</v>
      </c>
      <c r="C1659" t="s">
        <v>10</v>
      </c>
      <c r="D1659" t="s">
        <v>11</v>
      </c>
      <c r="E1659">
        <v>202602</v>
      </c>
      <c r="F1659" t="s">
        <v>417</v>
      </c>
      <c r="G1659">
        <v>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3</v>
      </c>
      <c r="AM1659">
        <v>0.33333333333333331</v>
      </c>
      <c r="AN1659">
        <v>4.6796686227130611</v>
      </c>
    </row>
    <row r="1660" spans="1:40" x14ac:dyDescent="0.3">
      <c r="A1660" t="s">
        <v>380</v>
      </c>
      <c r="B1660" t="s">
        <v>59</v>
      </c>
      <c r="C1660" t="s">
        <v>10</v>
      </c>
      <c r="D1660" t="s">
        <v>11</v>
      </c>
      <c r="E1660">
        <v>202602</v>
      </c>
      <c r="F1660" t="s">
        <v>77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0.33333333333333331</v>
      </c>
      <c r="AN1660">
        <v>2.6796686227130611</v>
      </c>
    </row>
    <row r="1661" spans="1:40" x14ac:dyDescent="0.3">
      <c r="A1661" t="s">
        <v>380</v>
      </c>
      <c r="B1661" t="s">
        <v>59</v>
      </c>
      <c r="C1661" t="s">
        <v>10</v>
      </c>
      <c r="D1661" t="s">
        <v>11</v>
      </c>
      <c r="E1661">
        <v>202602</v>
      </c>
      <c r="F1661" t="s">
        <v>418</v>
      </c>
      <c r="G1661">
        <v>0</v>
      </c>
      <c r="H1661">
        <v>0</v>
      </c>
      <c r="I1661">
        <v>3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4</v>
      </c>
      <c r="AM1661">
        <v>0</v>
      </c>
      <c r="AN1661">
        <v>4</v>
      </c>
    </row>
    <row r="1662" spans="1:40" x14ac:dyDescent="0.3">
      <c r="A1662" t="s">
        <v>380</v>
      </c>
      <c r="B1662" t="s">
        <v>59</v>
      </c>
      <c r="C1662" t="s">
        <v>10</v>
      </c>
      <c r="D1662" t="s">
        <v>11</v>
      </c>
      <c r="E1662">
        <v>202602</v>
      </c>
      <c r="F1662" t="s">
        <v>419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3</v>
      </c>
      <c r="AM1662">
        <v>0</v>
      </c>
      <c r="AN1662">
        <v>3</v>
      </c>
    </row>
    <row r="1663" spans="1:40" x14ac:dyDescent="0.3">
      <c r="A1663" t="s">
        <v>380</v>
      </c>
      <c r="B1663" t="s">
        <v>59</v>
      </c>
      <c r="C1663" t="s">
        <v>10</v>
      </c>
      <c r="D1663" t="s">
        <v>11</v>
      </c>
      <c r="E1663">
        <v>202602</v>
      </c>
      <c r="F1663" t="s">
        <v>420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3</v>
      </c>
      <c r="AM1663">
        <v>0.33333333333333331</v>
      </c>
      <c r="AN1663">
        <v>4.6796686227130611</v>
      </c>
    </row>
    <row r="1664" spans="1:40" x14ac:dyDescent="0.3">
      <c r="A1664" t="s">
        <v>380</v>
      </c>
      <c r="B1664" t="s">
        <v>59</v>
      </c>
      <c r="C1664" t="s">
        <v>10</v>
      </c>
      <c r="D1664" t="s">
        <v>11</v>
      </c>
      <c r="E1664">
        <v>202602</v>
      </c>
      <c r="F1664" t="s">
        <v>79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0</v>
      </c>
      <c r="AN1664">
        <v>1</v>
      </c>
    </row>
    <row r="1665" spans="1:40" x14ac:dyDescent="0.3">
      <c r="A1665" t="s">
        <v>380</v>
      </c>
      <c r="B1665" t="s">
        <v>59</v>
      </c>
      <c r="C1665" t="s">
        <v>10</v>
      </c>
      <c r="D1665" t="s">
        <v>11</v>
      </c>
      <c r="E1665">
        <v>202602</v>
      </c>
      <c r="F1665" t="s">
        <v>421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1</v>
      </c>
      <c r="M1665">
        <v>1</v>
      </c>
      <c r="N1665">
        <v>0</v>
      </c>
      <c r="O1665">
        <v>1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7</v>
      </c>
      <c r="AM1665">
        <v>0.33333333333333331</v>
      </c>
      <c r="AN1665">
        <v>8.6796686227130611</v>
      </c>
    </row>
    <row r="1666" spans="1:40" x14ac:dyDescent="0.3">
      <c r="A1666" t="s">
        <v>380</v>
      </c>
      <c r="B1666" t="s">
        <v>59</v>
      </c>
      <c r="C1666" t="s">
        <v>10</v>
      </c>
      <c r="D1666" t="s">
        <v>14</v>
      </c>
      <c r="E1666">
        <v>202602</v>
      </c>
      <c r="F1666" t="s">
        <v>204</v>
      </c>
      <c r="G1666">
        <v>0</v>
      </c>
      <c r="H1666">
        <v>1</v>
      </c>
      <c r="I1666">
        <v>3</v>
      </c>
      <c r="J1666">
        <v>7</v>
      </c>
      <c r="K1666">
        <v>6</v>
      </c>
      <c r="L1666">
        <v>3</v>
      </c>
      <c r="M1666">
        <v>0</v>
      </c>
      <c r="N1666">
        <v>0</v>
      </c>
      <c r="O1666">
        <v>3</v>
      </c>
      <c r="P1666">
        <v>6</v>
      </c>
      <c r="Q1666">
        <v>5</v>
      </c>
      <c r="R1666">
        <v>2</v>
      </c>
      <c r="S1666">
        <v>3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7</v>
      </c>
      <c r="Z1666">
        <v>5</v>
      </c>
      <c r="AA1666">
        <v>0</v>
      </c>
      <c r="AB1666">
        <v>0</v>
      </c>
      <c r="AC1666">
        <v>2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53</v>
      </c>
      <c r="AM1666">
        <v>4.666666666666667</v>
      </c>
      <c r="AN1666">
        <v>73.079379990603499</v>
      </c>
    </row>
    <row r="1667" spans="1:40" x14ac:dyDescent="0.3">
      <c r="A1667" t="s">
        <v>380</v>
      </c>
      <c r="B1667" t="s">
        <v>59</v>
      </c>
      <c r="C1667" t="s">
        <v>10</v>
      </c>
      <c r="D1667" t="s">
        <v>14</v>
      </c>
      <c r="E1667">
        <v>202602</v>
      </c>
      <c r="F1667" t="s">
        <v>61</v>
      </c>
      <c r="G1667">
        <v>0</v>
      </c>
      <c r="H1667">
        <v>3</v>
      </c>
      <c r="I1667">
        <v>2</v>
      </c>
      <c r="J1667">
        <v>2</v>
      </c>
      <c r="K1667">
        <v>2</v>
      </c>
      <c r="L1667">
        <v>0</v>
      </c>
      <c r="M1667">
        <v>0</v>
      </c>
      <c r="N1667">
        <v>0</v>
      </c>
      <c r="O1667">
        <v>1</v>
      </c>
      <c r="P1667">
        <v>2</v>
      </c>
      <c r="Q1667">
        <v>5</v>
      </c>
      <c r="R1667">
        <v>3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2</v>
      </c>
      <c r="Z1667">
        <v>1</v>
      </c>
      <c r="AA1667">
        <v>0</v>
      </c>
      <c r="AB1667">
        <v>0</v>
      </c>
      <c r="AC1667">
        <v>3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29</v>
      </c>
      <c r="AM1667">
        <v>2</v>
      </c>
      <c r="AN1667">
        <v>37.605448567401503</v>
      </c>
    </row>
    <row r="1668" spans="1:40" x14ac:dyDescent="0.3">
      <c r="A1668" t="s">
        <v>380</v>
      </c>
      <c r="B1668" t="s">
        <v>59</v>
      </c>
      <c r="C1668" t="s">
        <v>10</v>
      </c>
      <c r="D1668" t="s">
        <v>14</v>
      </c>
      <c r="E1668">
        <v>202602</v>
      </c>
      <c r="F1668" t="s">
        <v>63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2</v>
      </c>
      <c r="AM1668">
        <v>0.33333333333333331</v>
      </c>
      <c r="AN1668">
        <v>3.43424142790025</v>
      </c>
    </row>
    <row r="1669" spans="1:40" x14ac:dyDescent="0.3">
      <c r="A1669" t="s">
        <v>380</v>
      </c>
      <c r="B1669" t="s">
        <v>59</v>
      </c>
      <c r="C1669" t="s">
        <v>10</v>
      </c>
      <c r="D1669" t="s">
        <v>14</v>
      </c>
      <c r="E1669">
        <v>202602</v>
      </c>
      <c r="F1669" t="s">
        <v>75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3</v>
      </c>
      <c r="AM1669">
        <v>0</v>
      </c>
      <c r="AN1669">
        <v>3</v>
      </c>
    </row>
    <row r="1670" spans="1:40" x14ac:dyDescent="0.3">
      <c r="A1670" t="s">
        <v>380</v>
      </c>
      <c r="B1670" t="s">
        <v>59</v>
      </c>
      <c r="C1670" t="s">
        <v>10</v>
      </c>
      <c r="D1670" t="s">
        <v>14</v>
      </c>
      <c r="E1670">
        <v>202602</v>
      </c>
      <c r="F1670" t="s">
        <v>206</v>
      </c>
      <c r="G1670">
        <v>0</v>
      </c>
      <c r="H1670">
        <v>0</v>
      </c>
      <c r="I1670">
        <v>1</v>
      </c>
      <c r="J1670">
        <v>2</v>
      </c>
      <c r="K1670">
        <v>1</v>
      </c>
      <c r="L1670">
        <v>1</v>
      </c>
      <c r="M1670">
        <v>0</v>
      </c>
      <c r="N1670">
        <v>0</v>
      </c>
      <c r="O1670">
        <v>3</v>
      </c>
      <c r="P1670">
        <v>2</v>
      </c>
      <c r="Q1670">
        <v>6</v>
      </c>
      <c r="R1670">
        <v>5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2</v>
      </c>
      <c r="Z1670">
        <v>1</v>
      </c>
      <c r="AA1670">
        <v>0</v>
      </c>
      <c r="AB1670">
        <v>0</v>
      </c>
      <c r="AC1670">
        <v>5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31</v>
      </c>
      <c r="AM1670">
        <v>2.6666666666666665</v>
      </c>
      <c r="AN1670">
        <v>42.473931423202004</v>
      </c>
    </row>
    <row r="1671" spans="1:40" x14ac:dyDescent="0.3">
      <c r="A1671" t="s">
        <v>380</v>
      </c>
      <c r="B1671" t="s">
        <v>59</v>
      </c>
      <c r="C1671" t="s">
        <v>10</v>
      </c>
      <c r="D1671" t="s">
        <v>14</v>
      </c>
      <c r="E1671">
        <v>202602</v>
      </c>
      <c r="F1671" t="s">
        <v>64</v>
      </c>
      <c r="G1671">
        <v>0</v>
      </c>
      <c r="H1671">
        <v>2</v>
      </c>
      <c r="I1671">
        <v>1</v>
      </c>
      <c r="J1671">
        <v>1</v>
      </c>
      <c r="K1671">
        <v>1</v>
      </c>
      <c r="L1671">
        <v>3</v>
      </c>
      <c r="M1671">
        <v>0</v>
      </c>
      <c r="N1671">
        <v>0</v>
      </c>
      <c r="O1671">
        <v>1</v>
      </c>
      <c r="P1671">
        <v>2</v>
      </c>
      <c r="Q1671">
        <v>2</v>
      </c>
      <c r="R1671">
        <v>3</v>
      </c>
      <c r="S1671">
        <v>3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21</v>
      </c>
      <c r="AM1671">
        <v>0.33333333333333331</v>
      </c>
      <c r="AN1671">
        <v>22.43424142790025</v>
      </c>
    </row>
    <row r="1672" spans="1:40" x14ac:dyDescent="0.3">
      <c r="A1672" t="s">
        <v>380</v>
      </c>
      <c r="B1672" t="s">
        <v>59</v>
      </c>
      <c r="C1672" t="s">
        <v>10</v>
      </c>
      <c r="D1672" t="s">
        <v>14</v>
      </c>
      <c r="E1672">
        <v>202602</v>
      </c>
      <c r="F1672" t="s">
        <v>411</v>
      </c>
      <c r="G1672">
        <v>0</v>
      </c>
      <c r="H1672">
        <v>0</v>
      </c>
      <c r="I1672">
        <v>2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1</v>
      </c>
      <c r="P1672">
        <v>1</v>
      </c>
      <c r="Q1672">
        <v>1</v>
      </c>
      <c r="R1672">
        <v>1</v>
      </c>
      <c r="S1672">
        <v>2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2</v>
      </c>
      <c r="AB1672">
        <v>0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12</v>
      </c>
      <c r="AM1672">
        <v>0.33333333333333331</v>
      </c>
      <c r="AN1672">
        <v>13.43424142790025</v>
      </c>
    </row>
    <row r="1673" spans="1:40" x14ac:dyDescent="0.3">
      <c r="A1673" t="s">
        <v>380</v>
      </c>
      <c r="B1673" t="s">
        <v>59</v>
      </c>
      <c r="C1673" t="s">
        <v>10</v>
      </c>
      <c r="D1673" t="s">
        <v>14</v>
      </c>
      <c r="E1673">
        <v>202602</v>
      </c>
      <c r="F1673" t="s">
        <v>412</v>
      </c>
      <c r="G1673">
        <v>0</v>
      </c>
      <c r="H1673">
        <v>1</v>
      </c>
      <c r="I1673">
        <v>1</v>
      </c>
      <c r="J1673">
        <v>0</v>
      </c>
      <c r="K1673">
        <v>1</v>
      </c>
      <c r="L1673">
        <v>1</v>
      </c>
      <c r="M1673">
        <v>0</v>
      </c>
      <c r="N1673">
        <v>0</v>
      </c>
      <c r="O1673">
        <v>2</v>
      </c>
      <c r="P1673">
        <v>1</v>
      </c>
      <c r="Q1673">
        <v>2</v>
      </c>
      <c r="R1673">
        <v>0</v>
      </c>
      <c r="S1673">
        <v>1</v>
      </c>
      <c r="T1673">
        <v>0</v>
      </c>
      <c r="U1673">
        <v>0</v>
      </c>
      <c r="V1673">
        <v>1</v>
      </c>
      <c r="W1673">
        <v>0</v>
      </c>
      <c r="X1673">
        <v>1</v>
      </c>
      <c r="Y1673">
        <v>1</v>
      </c>
      <c r="Z1673">
        <v>1</v>
      </c>
      <c r="AA1673">
        <v>0</v>
      </c>
      <c r="AB1673">
        <v>0</v>
      </c>
      <c r="AC1673">
        <v>2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16</v>
      </c>
      <c r="AM1673">
        <v>1.3333333333333333</v>
      </c>
      <c r="AN1673">
        <v>21.736965711601002</v>
      </c>
    </row>
    <row r="1674" spans="1:40" x14ac:dyDescent="0.3">
      <c r="A1674" t="s">
        <v>380</v>
      </c>
      <c r="B1674" t="s">
        <v>59</v>
      </c>
      <c r="C1674" t="s">
        <v>10</v>
      </c>
      <c r="D1674" t="s">
        <v>14</v>
      </c>
      <c r="E1674">
        <v>202602</v>
      </c>
      <c r="F1674" t="s">
        <v>413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1</v>
      </c>
      <c r="P1674">
        <v>2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7</v>
      </c>
      <c r="AM1674">
        <v>0.33333333333333331</v>
      </c>
      <c r="AN1674">
        <v>8.4342414279002504</v>
      </c>
    </row>
    <row r="1675" spans="1:40" x14ac:dyDescent="0.3">
      <c r="A1675" t="s">
        <v>380</v>
      </c>
      <c r="B1675" t="s">
        <v>59</v>
      </c>
      <c r="C1675" t="s">
        <v>10</v>
      </c>
      <c r="D1675" t="s">
        <v>14</v>
      </c>
      <c r="E1675">
        <v>202602</v>
      </c>
      <c r="F1675" t="s">
        <v>66</v>
      </c>
      <c r="G1675">
        <v>0</v>
      </c>
      <c r="H1675">
        <v>1</v>
      </c>
      <c r="I1675">
        <v>0</v>
      </c>
      <c r="J1675">
        <v>1</v>
      </c>
      <c r="K1675">
        <v>1</v>
      </c>
      <c r="L1675">
        <v>1</v>
      </c>
      <c r="M1675">
        <v>0</v>
      </c>
      <c r="N1675">
        <v>0</v>
      </c>
      <c r="O1675">
        <v>1</v>
      </c>
      <c r="P1675">
        <v>1</v>
      </c>
      <c r="Q1675">
        <v>0</v>
      </c>
      <c r="R1675">
        <v>0</v>
      </c>
      <c r="S1675">
        <v>3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1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12</v>
      </c>
      <c r="AM1675">
        <v>0.66666666666666663</v>
      </c>
      <c r="AN1675">
        <v>14.868482855800501</v>
      </c>
    </row>
    <row r="1676" spans="1:40" x14ac:dyDescent="0.3">
      <c r="A1676" t="s">
        <v>380</v>
      </c>
      <c r="B1676" t="s">
        <v>59</v>
      </c>
      <c r="C1676" t="s">
        <v>10</v>
      </c>
      <c r="D1676" t="s">
        <v>14</v>
      </c>
      <c r="E1676">
        <v>202602</v>
      </c>
      <c r="F1676" t="s">
        <v>67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4</v>
      </c>
      <c r="AM1676">
        <v>0.33333333333333331</v>
      </c>
      <c r="AN1676">
        <v>5.4342414279002504</v>
      </c>
    </row>
    <row r="1677" spans="1:40" x14ac:dyDescent="0.3">
      <c r="A1677" t="s">
        <v>380</v>
      </c>
      <c r="B1677" t="s">
        <v>59</v>
      </c>
      <c r="C1677" t="s">
        <v>10</v>
      </c>
      <c r="D1677" t="s">
        <v>14</v>
      </c>
      <c r="E1677">
        <v>202602</v>
      </c>
      <c r="F1677" t="s">
        <v>422</v>
      </c>
      <c r="G1677">
        <v>0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2</v>
      </c>
      <c r="AM1677">
        <v>0.33333333333333331</v>
      </c>
      <c r="AN1677">
        <v>3.43424142790025</v>
      </c>
    </row>
    <row r="1678" spans="1:40" x14ac:dyDescent="0.3">
      <c r="A1678" t="s">
        <v>380</v>
      </c>
      <c r="B1678" t="s">
        <v>59</v>
      </c>
      <c r="C1678" t="s">
        <v>10</v>
      </c>
      <c r="D1678" t="s">
        <v>14</v>
      </c>
      <c r="E1678">
        <v>202602</v>
      </c>
      <c r="F1678" t="s">
        <v>260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1</v>
      </c>
      <c r="AM1678">
        <v>0.33333333333333331</v>
      </c>
      <c r="AN1678">
        <v>2.43424142790025</v>
      </c>
    </row>
    <row r="1679" spans="1:40" x14ac:dyDescent="0.3">
      <c r="A1679" t="s">
        <v>380</v>
      </c>
      <c r="B1679" t="s">
        <v>59</v>
      </c>
      <c r="C1679" t="s">
        <v>10</v>
      </c>
      <c r="D1679" t="s">
        <v>14</v>
      </c>
      <c r="E1679">
        <v>202602</v>
      </c>
      <c r="F1679" t="s">
        <v>414</v>
      </c>
      <c r="G1679">
        <v>0</v>
      </c>
      <c r="H1679">
        <v>6</v>
      </c>
      <c r="I1679">
        <v>4</v>
      </c>
      <c r="J1679">
        <v>2</v>
      </c>
      <c r="K1679">
        <v>9</v>
      </c>
      <c r="L1679">
        <v>5</v>
      </c>
      <c r="M1679">
        <v>0</v>
      </c>
      <c r="N1679">
        <v>0</v>
      </c>
      <c r="O1679">
        <v>3</v>
      </c>
      <c r="P1679">
        <v>2</v>
      </c>
      <c r="Q1679">
        <v>1</v>
      </c>
      <c r="R1679">
        <v>2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2</v>
      </c>
      <c r="Y1679">
        <v>4</v>
      </c>
      <c r="Z1679">
        <v>3</v>
      </c>
      <c r="AA1679">
        <v>4</v>
      </c>
      <c r="AB1679">
        <v>0</v>
      </c>
      <c r="AC1679">
        <v>7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55</v>
      </c>
      <c r="AM1679">
        <v>4.666666666666667</v>
      </c>
      <c r="AN1679">
        <v>75.079379990603499</v>
      </c>
    </row>
    <row r="1680" spans="1:40" x14ac:dyDescent="0.3">
      <c r="A1680" t="s">
        <v>380</v>
      </c>
      <c r="B1680" t="s">
        <v>59</v>
      </c>
      <c r="C1680" t="s">
        <v>10</v>
      </c>
      <c r="D1680" t="s">
        <v>14</v>
      </c>
      <c r="E1680">
        <v>202602</v>
      </c>
      <c r="F1680" t="s">
        <v>69</v>
      </c>
      <c r="G1680">
        <v>0</v>
      </c>
      <c r="H1680">
        <v>4</v>
      </c>
      <c r="I1680">
        <v>1</v>
      </c>
      <c r="J1680">
        <v>3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1</v>
      </c>
      <c r="Q1680">
        <v>7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2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24</v>
      </c>
      <c r="AM1680">
        <v>0.66666666666666663</v>
      </c>
      <c r="AN1680">
        <v>26.868482855800501</v>
      </c>
    </row>
    <row r="1681" spans="1:40" x14ac:dyDescent="0.3">
      <c r="A1681" t="s">
        <v>380</v>
      </c>
      <c r="B1681" t="s">
        <v>59</v>
      </c>
      <c r="C1681" t="s">
        <v>10</v>
      </c>
      <c r="D1681" t="s">
        <v>14</v>
      </c>
      <c r="E1681">
        <v>202602</v>
      </c>
      <c r="F1681" t="s">
        <v>70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2</v>
      </c>
      <c r="AM1681">
        <v>0.33333333333333331</v>
      </c>
      <c r="AN1681">
        <v>3.43424142790025</v>
      </c>
    </row>
    <row r="1682" spans="1:40" x14ac:dyDescent="0.3">
      <c r="A1682" t="s">
        <v>380</v>
      </c>
      <c r="B1682" t="s">
        <v>59</v>
      </c>
      <c r="C1682" t="s">
        <v>10</v>
      </c>
      <c r="D1682" t="s">
        <v>14</v>
      </c>
      <c r="E1682">
        <v>202602</v>
      </c>
      <c r="F1682" t="s">
        <v>71</v>
      </c>
      <c r="G1682">
        <v>0</v>
      </c>
      <c r="H1682">
        <v>0</v>
      </c>
      <c r="I1682">
        <v>1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4</v>
      </c>
      <c r="AM1682">
        <v>0</v>
      </c>
      <c r="AN1682">
        <v>4</v>
      </c>
    </row>
    <row r="1683" spans="1:40" x14ac:dyDescent="0.3">
      <c r="A1683" t="s">
        <v>380</v>
      </c>
      <c r="B1683" t="s">
        <v>59</v>
      </c>
      <c r="C1683" t="s">
        <v>10</v>
      </c>
      <c r="D1683" t="s">
        <v>14</v>
      </c>
      <c r="E1683">
        <v>202602</v>
      </c>
      <c r="F1683" t="s">
        <v>423</v>
      </c>
      <c r="G1683">
        <v>0</v>
      </c>
      <c r="H1683">
        <v>0</v>
      </c>
      <c r="I1683">
        <v>0</v>
      </c>
      <c r="J1683">
        <v>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1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5</v>
      </c>
      <c r="AM1683">
        <v>0</v>
      </c>
      <c r="AN1683">
        <v>5</v>
      </c>
    </row>
    <row r="1684" spans="1:40" x14ac:dyDescent="0.3">
      <c r="A1684" t="s">
        <v>380</v>
      </c>
      <c r="B1684" t="s">
        <v>59</v>
      </c>
      <c r="C1684" t="s">
        <v>10</v>
      </c>
      <c r="D1684" t="s">
        <v>14</v>
      </c>
      <c r="E1684">
        <v>202602</v>
      </c>
      <c r="F1684" t="s">
        <v>415</v>
      </c>
      <c r="G1684">
        <v>0</v>
      </c>
      <c r="H1684">
        <v>0</v>
      </c>
      <c r="I1684">
        <v>2</v>
      </c>
      <c r="J1684">
        <v>1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7</v>
      </c>
      <c r="AM1684">
        <v>0.33333333333333331</v>
      </c>
      <c r="AN1684">
        <v>8.4342414279002504</v>
      </c>
    </row>
    <row r="1685" spans="1:40" x14ac:dyDescent="0.3">
      <c r="A1685" t="s">
        <v>380</v>
      </c>
      <c r="B1685" t="s">
        <v>59</v>
      </c>
      <c r="C1685" t="s">
        <v>10</v>
      </c>
      <c r="D1685" t="s">
        <v>14</v>
      </c>
      <c r="E1685">
        <v>202602</v>
      </c>
      <c r="F1685" t="s">
        <v>424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3</v>
      </c>
      <c r="AM1685">
        <v>0.33333333333333331</v>
      </c>
      <c r="AN1685">
        <v>4.4342414279002504</v>
      </c>
    </row>
    <row r="1686" spans="1:40" x14ac:dyDescent="0.3">
      <c r="A1686" t="s">
        <v>380</v>
      </c>
      <c r="B1686" t="s">
        <v>59</v>
      </c>
      <c r="C1686" t="s">
        <v>10</v>
      </c>
      <c r="D1686" t="s">
        <v>14</v>
      </c>
      <c r="E1686">
        <v>202602</v>
      </c>
      <c r="F1686" t="s">
        <v>416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5</v>
      </c>
      <c r="AM1686">
        <v>0.33333333333333331</v>
      </c>
      <c r="AN1686">
        <v>6.4342414279002504</v>
      </c>
    </row>
    <row r="1687" spans="1:40" x14ac:dyDescent="0.3">
      <c r="A1687" t="s">
        <v>380</v>
      </c>
      <c r="B1687" t="s">
        <v>59</v>
      </c>
      <c r="C1687" t="s">
        <v>10</v>
      </c>
      <c r="D1687" t="s">
        <v>14</v>
      </c>
      <c r="E1687">
        <v>202602</v>
      </c>
      <c r="F1687" t="s">
        <v>417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2</v>
      </c>
      <c r="AM1687">
        <v>0.33333333333333331</v>
      </c>
      <c r="AN1687">
        <v>3.43424142790025</v>
      </c>
    </row>
    <row r="1688" spans="1:40" x14ac:dyDescent="0.3">
      <c r="A1688" t="s">
        <v>380</v>
      </c>
      <c r="B1688" t="s">
        <v>59</v>
      </c>
      <c r="C1688" t="s">
        <v>10</v>
      </c>
      <c r="D1688" t="s">
        <v>14</v>
      </c>
      <c r="E1688">
        <v>202602</v>
      </c>
      <c r="F1688" t="s">
        <v>77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1</v>
      </c>
      <c r="AM1688">
        <v>0.33333333333333331</v>
      </c>
      <c r="AN1688">
        <v>2.43424142790025</v>
      </c>
    </row>
    <row r="1689" spans="1:40" x14ac:dyDescent="0.3">
      <c r="A1689" t="s">
        <v>380</v>
      </c>
      <c r="B1689" t="s">
        <v>59</v>
      </c>
      <c r="C1689" t="s">
        <v>10</v>
      </c>
      <c r="D1689" t="s">
        <v>14</v>
      </c>
      <c r="E1689">
        <v>202602</v>
      </c>
      <c r="F1689" t="s">
        <v>418</v>
      </c>
      <c r="G1689">
        <v>0</v>
      </c>
      <c r="H1689">
        <v>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5</v>
      </c>
      <c r="AM1689">
        <v>0.33333333333333331</v>
      </c>
      <c r="AN1689">
        <v>6.4342414279002504</v>
      </c>
    </row>
    <row r="1690" spans="1:40" x14ac:dyDescent="0.3">
      <c r="A1690" t="s">
        <v>380</v>
      </c>
      <c r="B1690" t="s">
        <v>59</v>
      </c>
      <c r="C1690" t="s">
        <v>10</v>
      </c>
      <c r="D1690" t="s">
        <v>14</v>
      </c>
      <c r="E1690">
        <v>202602</v>
      </c>
      <c r="F1690" t="s">
        <v>419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2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5</v>
      </c>
      <c r="AM1690">
        <v>0</v>
      </c>
      <c r="AN1690">
        <v>5</v>
      </c>
    </row>
    <row r="1691" spans="1:40" x14ac:dyDescent="0.3">
      <c r="A1691" t="s">
        <v>380</v>
      </c>
      <c r="B1691" t="s">
        <v>59</v>
      </c>
      <c r="C1691" t="s">
        <v>10</v>
      </c>
      <c r="D1691" t="s">
        <v>14</v>
      </c>
      <c r="E1691">
        <v>202602</v>
      </c>
      <c r="F1691" t="s">
        <v>420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4</v>
      </c>
      <c r="AM1691">
        <v>0.33333333333333331</v>
      </c>
      <c r="AN1691">
        <v>5.4342414279002504</v>
      </c>
    </row>
    <row r="1692" spans="1:40" x14ac:dyDescent="0.3">
      <c r="A1692" t="s">
        <v>380</v>
      </c>
      <c r="B1692" t="s">
        <v>59</v>
      </c>
      <c r="C1692" t="s">
        <v>10</v>
      </c>
      <c r="D1692" t="s">
        <v>14</v>
      </c>
      <c r="E1692">
        <v>202602</v>
      </c>
      <c r="F1692" t="s">
        <v>79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1</v>
      </c>
    </row>
    <row r="1693" spans="1:40" x14ac:dyDescent="0.3">
      <c r="A1693" t="s">
        <v>380</v>
      </c>
      <c r="B1693" t="s">
        <v>59</v>
      </c>
      <c r="C1693" t="s">
        <v>10</v>
      </c>
      <c r="D1693" t="s">
        <v>14</v>
      </c>
      <c r="E1693">
        <v>202602</v>
      </c>
      <c r="F1693" t="s">
        <v>421</v>
      </c>
      <c r="G1693">
        <v>0</v>
      </c>
      <c r="H1693">
        <v>0</v>
      </c>
      <c r="I1693">
        <v>0</v>
      </c>
      <c r="J1693">
        <v>1</v>
      </c>
      <c r="K1693">
        <v>2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2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9</v>
      </c>
      <c r="AM1693">
        <v>0.33333333333333331</v>
      </c>
      <c r="AN1693">
        <v>10.43424142790025</v>
      </c>
    </row>
    <row r="1694" spans="1:40" x14ac:dyDescent="0.3">
      <c r="A1694" t="s">
        <v>380</v>
      </c>
      <c r="B1694" t="s">
        <v>81</v>
      </c>
      <c r="C1694" t="s">
        <v>10</v>
      </c>
      <c r="D1694" t="s">
        <v>11</v>
      </c>
      <c r="E1694">
        <v>202602</v>
      </c>
      <c r="F1694" t="s">
        <v>425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2</v>
      </c>
      <c r="AM1694">
        <v>0.33333333333333331</v>
      </c>
      <c r="AN1694">
        <v>3.6796686227130611</v>
      </c>
    </row>
    <row r="1695" spans="1:40" x14ac:dyDescent="0.3">
      <c r="A1695" t="s">
        <v>380</v>
      </c>
      <c r="B1695" t="s">
        <v>81</v>
      </c>
      <c r="C1695" t="s">
        <v>10</v>
      </c>
      <c r="D1695" t="s">
        <v>11</v>
      </c>
      <c r="E1695">
        <v>202602</v>
      </c>
      <c r="F1695" t="s">
        <v>426</v>
      </c>
      <c r="G1695">
        <v>0</v>
      </c>
      <c r="H1695">
        <v>4</v>
      </c>
      <c r="I1695">
        <v>6</v>
      </c>
      <c r="J1695">
        <v>2</v>
      </c>
      <c r="K1695">
        <v>5</v>
      </c>
      <c r="L1695">
        <v>3</v>
      </c>
      <c r="M1695">
        <v>0</v>
      </c>
      <c r="N1695">
        <v>0</v>
      </c>
      <c r="O1695">
        <v>0</v>
      </c>
      <c r="P1695">
        <v>2</v>
      </c>
      <c r="Q1695">
        <v>2</v>
      </c>
      <c r="R1695">
        <v>3</v>
      </c>
      <c r="S1695">
        <v>3</v>
      </c>
      <c r="T1695">
        <v>0</v>
      </c>
      <c r="U1695">
        <v>0</v>
      </c>
      <c r="V1695">
        <v>4</v>
      </c>
      <c r="W1695">
        <v>2</v>
      </c>
      <c r="X1695">
        <v>2</v>
      </c>
      <c r="Y1695">
        <v>0</v>
      </c>
      <c r="Z1695">
        <v>1</v>
      </c>
      <c r="AA1695">
        <v>3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42</v>
      </c>
      <c r="AM1695">
        <v>0.33333333333333331</v>
      </c>
      <c r="AN1695">
        <v>43.679668622713059</v>
      </c>
    </row>
    <row r="1696" spans="1:40" x14ac:dyDescent="0.3">
      <c r="A1696" t="s">
        <v>380</v>
      </c>
      <c r="B1696" t="s">
        <v>81</v>
      </c>
      <c r="C1696" t="s">
        <v>10</v>
      </c>
      <c r="D1696" t="s">
        <v>11</v>
      </c>
      <c r="E1696">
        <v>202602</v>
      </c>
      <c r="F1696" t="s">
        <v>83</v>
      </c>
      <c r="G1696">
        <v>0</v>
      </c>
      <c r="H1696">
        <v>2</v>
      </c>
      <c r="I1696">
        <v>1</v>
      </c>
      <c r="J1696">
        <v>1</v>
      </c>
      <c r="K1696">
        <v>0</v>
      </c>
      <c r="L1696">
        <v>2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v>3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12</v>
      </c>
      <c r="AM1696">
        <v>0.33333333333333331</v>
      </c>
      <c r="AN1696">
        <v>13.679668622713061</v>
      </c>
    </row>
    <row r="1697" spans="1:40" x14ac:dyDescent="0.3">
      <c r="A1697" t="s">
        <v>380</v>
      </c>
      <c r="B1697" t="s">
        <v>81</v>
      </c>
      <c r="C1697" t="s">
        <v>10</v>
      </c>
      <c r="D1697" t="s">
        <v>11</v>
      </c>
      <c r="E1697">
        <v>202602</v>
      </c>
      <c r="F1697" t="s">
        <v>268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2</v>
      </c>
      <c r="W1697">
        <v>0</v>
      </c>
      <c r="X1697">
        <v>2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5</v>
      </c>
      <c r="AM1697">
        <v>0</v>
      </c>
      <c r="AN1697">
        <v>5</v>
      </c>
    </row>
    <row r="1698" spans="1:40" x14ac:dyDescent="0.3">
      <c r="A1698" t="s">
        <v>380</v>
      </c>
      <c r="B1698" t="s">
        <v>81</v>
      </c>
      <c r="C1698" t="s">
        <v>10</v>
      </c>
      <c r="D1698" t="s">
        <v>11</v>
      </c>
      <c r="E1698">
        <v>202602</v>
      </c>
      <c r="F1698" t="s">
        <v>427</v>
      </c>
      <c r="G1698">
        <v>0</v>
      </c>
      <c r="H1698">
        <v>0</v>
      </c>
      <c r="I1698">
        <v>1</v>
      </c>
      <c r="J1698">
        <v>1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3</v>
      </c>
      <c r="S1698">
        <v>0</v>
      </c>
      <c r="T1698">
        <v>0</v>
      </c>
      <c r="U1698">
        <v>0</v>
      </c>
      <c r="V1698">
        <v>2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9</v>
      </c>
      <c r="AM1698">
        <v>0</v>
      </c>
      <c r="AN1698">
        <v>9</v>
      </c>
    </row>
    <row r="1699" spans="1:40" x14ac:dyDescent="0.3">
      <c r="A1699" t="s">
        <v>380</v>
      </c>
      <c r="B1699" t="s">
        <v>81</v>
      </c>
      <c r="C1699" t="s">
        <v>10</v>
      </c>
      <c r="D1699" t="s">
        <v>11</v>
      </c>
      <c r="E1699">
        <v>202602</v>
      </c>
      <c r="F1699" t="s">
        <v>428</v>
      </c>
      <c r="G1699">
        <v>0</v>
      </c>
      <c r="H1699">
        <v>0</v>
      </c>
      <c r="I1699">
        <v>2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2</v>
      </c>
      <c r="AM1699">
        <v>0</v>
      </c>
      <c r="AN1699">
        <v>2</v>
      </c>
    </row>
    <row r="1700" spans="1:40" x14ac:dyDescent="0.3">
      <c r="A1700" t="s">
        <v>380</v>
      </c>
      <c r="B1700" t="s">
        <v>81</v>
      </c>
      <c r="C1700" t="s">
        <v>10</v>
      </c>
      <c r="D1700" t="s">
        <v>11</v>
      </c>
      <c r="E1700">
        <v>202602</v>
      </c>
      <c r="F1700" t="s">
        <v>429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3</v>
      </c>
      <c r="AM1700">
        <v>0</v>
      </c>
      <c r="AN1700">
        <v>3</v>
      </c>
    </row>
    <row r="1701" spans="1:40" x14ac:dyDescent="0.3">
      <c r="A1701" t="s">
        <v>380</v>
      </c>
      <c r="B1701" t="s">
        <v>81</v>
      </c>
      <c r="C1701" t="s">
        <v>10</v>
      </c>
      <c r="D1701" t="s">
        <v>11</v>
      </c>
      <c r="E1701">
        <v>202602</v>
      </c>
      <c r="F1701" t="s">
        <v>430</v>
      </c>
      <c r="G1701">
        <v>0</v>
      </c>
      <c r="H1701">
        <v>0</v>
      </c>
      <c r="I1701">
        <v>1</v>
      </c>
      <c r="J1701">
        <v>0</v>
      </c>
      <c r="K1701">
        <v>3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2</v>
      </c>
      <c r="R1701">
        <v>2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2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12</v>
      </c>
      <c r="AM1701">
        <v>0.66666666666666663</v>
      </c>
      <c r="AN1701">
        <v>15.359337245426122</v>
      </c>
    </row>
    <row r="1702" spans="1:40" x14ac:dyDescent="0.3">
      <c r="A1702" t="s">
        <v>380</v>
      </c>
      <c r="B1702" t="s">
        <v>81</v>
      </c>
      <c r="C1702" t="s">
        <v>10</v>
      </c>
      <c r="D1702" t="s">
        <v>11</v>
      </c>
      <c r="E1702">
        <v>202602</v>
      </c>
      <c r="F1702" t="s">
        <v>431</v>
      </c>
      <c r="G1702">
        <v>0</v>
      </c>
      <c r="H1702">
        <v>0</v>
      </c>
      <c r="I1702">
        <v>0</v>
      </c>
      <c r="J1702">
        <v>0</v>
      </c>
      <c r="K1702">
        <v>3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1</v>
      </c>
      <c r="R1702">
        <v>0</v>
      </c>
      <c r="S1702">
        <v>2</v>
      </c>
      <c r="T1702">
        <v>0</v>
      </c>
      <c r="U1702">
        <v>0</v>
      </c>
      <c r="V1702">
        <v>3</v>
      </c>
      <c r="W1702">
        <v>0</v>
      </c>
      <c r="X1702">
        <v>1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13</v>
      </c>
      <c r="AM1702">
        <v>0</v>
      </c>
      <c r="AN1702">
        <v>13</v>
      </c>
    </row>
    <row r="1703" spans="1:40" x14ac:dyDescent="0.3">
      <c r="A1703" t="s">
        <v>380</v>
      </c>
      <c r="B1703" t="s">
        <v>81</v>
      </c>
      <c r="C1703" t="s">
        <v>10</v>
      </c>
      <c r="D1703" t="s">
        <v>14</v>
      </c>
      <c r="E1703">
        <v>202602</v>
      </c>
      <c r="F1703" t="s">
        <v>425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1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3</v>
      </c>
      <c r="AM1703">
        <v>0</v>
      </c>
      <c r="AN1703">
        <v>3</v>
      </c>
    </row>
    <row r="1704" spans="1:40" x14ac:dyDescent="0.3">
      <c r="A1704" t="s">
        <v>380</v>
      </c>
      <c r="B1704" t="s">
        <v>81</v>
      </c>
      <c r="C1704" t="s">
        <v>10</v>
      </c>
      <c r="D1704" t="s">
        <v>14</v>
      </c>
      <c r="E1704">
        <v>202602</v>
      </c>
      <c r="F1704" t="s">
        <v>426</v>
      </c>
      <c r="G1704">
        <v>1</v>
      </c>
      <c r="H1704">
        <v>6</v>
      </c>
      <c r="I1704">
        <v>3</v>
      </c>
      <c r="J1704">
        <v>6</v>
      </c>
      <c r="K1704">
        <v>2</v>
      </c>
      <c r="L1704">
        <v>3</v>
      </c>
      <c r="M1704">
        <v>2</v>
      </c>
      <c r="N1704">
        <v>0</v>
      </c>
      <c r="O1704">
        <v>4</v>
      </c>
      <c r="P1704">
        <v>1</v>
      </c>
      <c r="Q1704">
        <v>4</v>
      </c>
      <c r="R1704">
        <v>1</v>
      </c>
      <c r="S1704">
        <v>3</v>
      </c>
      <c r="T1704">
        <v>2</v>
      </c>
      <c r="U1704">
        <v>0</v>
      </c>
      <c r="V1704">
        <v>1</v>
      </c>
      <c r="W1704">
        <v>0</v>
      </c>
      <c r="X1704">
        <v>1</v>
      </c>
      <c r="Y1704">
        <v>6</v>
      </c>
      <c r="Z1704">
        <v>0</v>
      </c>
      <c r="AA1704">
        <v>1</v>
      </c>
      <c r="AB1704">
        <v>0</v>
      </c>
      <c r="AC1704">
        <v>4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51</v>
      </c>
      <c r="AM1704">
        <v>3.3333333333333335</v>
      </c>
      <c r="AN1704">
        <v>65.342414279002497</v>
      </c>
    </row>
    <row r="1705" spans="1:40" x14ac:dyDescent="0.3">
      <c r="A1705" t="s">
        <v>380</v>
      </c>
      <c r="B1705" t="s">
        <v>81</v>
      </c>
      <c r="C1705" t="s">
        <v>10</v>
      </c>
      <c r="D1705" t="s">
        <v>14</v>
      </c>
      <c r="E1705">
        <v>202602</v>
      </c>
      <c r="F1705" t="s">
        <v>83</v>
      </c>
      <c r="G1705">
        <v>0</v>
      </c>
      <c r="H1705">
        <v>3</v>
      </c>
      <c r="I1705">
        <v>1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1</v>
      </c>
      <c r="P1705">
        <v>2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2</v>
      </c>
      <c r="AA1705">
        <v>0</v>
      </c>
      <c r="AB1705">
        <v>0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14</v>
      </c>
      <c r="AM1705">
        <v>1</v>
      </c>
      <c r="AN1705">
        <v>18.302724283700751</v>
      </c>
    </row>
    <row r="1706" spans="1:40" x14ac:dyDescent="0.3">
      <c r="A1706" t="s">
        <v>380</v>
      </c>
      <c r="B1706" t="s">
        <v>81</v>
      </c>
      <c r="C1706" t="s">
        <v>10</v>
      </c>
      <c r="D1706" t="s">
        <v>14</v>
      </c>
      <c r="E1706">
        <v>202602</v>
      </c>
      <c r="F1706" t="s">
        <v>268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1</v>
      </c>
      <c r="R1706">
        <v>0</v>
      </c>
      <c r="S1706">
        <v>2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5</v>
      </c>
      <c r="AM1706">
        <v>0.33333333333333331</v>
      </c>
      <c r="AN1706">
        <v>6.4342414279002504</v>
      </c>
    </row>
    <row r="1707" spans="1:40" x14ac:dyDescent="0.3">
      <c r="A1707" t="s">
        <v>380</v>
      </c>
      <c r="B1707" t="s">
        <v>81</v>
      </c>
      <c r="C1707" t="s">
        <v>10</v>
      </c>
      <c r="D1707" t="s">
        <v>14</v>
      </c>
      <c r="E1707">
        <v>202602</v>
      </c>
      <c r="F1707" t="s">
        <v>427</v>
      </c>
      <c r="G1707">
        <v>0</v>
      </c>
      <c r="H1707">
        <v>0</v>
      </c>
      <c r="I1707">
        <v>1</v>
      </c>
      <c r="J1707">
        <v>2</v>
      </c>
      <c r="K1707">
        <v>2</v>
      </c>
      <c r="L1707">
        <v>1</v>
      </c>
      <c r="M1707">
        <v>0</v>
      </c>
      <c r="N1707">
        <v>0</v>
      </c>
      <c r="O1707">
        <v>1</v>
      </c>
      <c r="P1707">
        <v>1</v>
      </c>
      <c r="Q1707">
        <v>4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2</v>
      </c>
      <c r="AA1707">
        <v>0</v>
      </c>
      <c r="AB1707">
        <v>0</v>
      </c>
      <c r="AC1707">
        <v>3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17</v>
      </c>
      <c r="AM1707">
        <v>1.6666666666666667</v>
      </c>
      <c r="AN1707">
        <v>24.171207139501249</v>
      </c>
    </row>
    <row r="1708" spans="1:40" x14ac:dyDescent="0.3">
      <c r="A1708" t="s">
        <v>380</v>
      </c>
      <c r="B1708" t="s">
        <v>81</v>
      </c>
      <c r="C1708" t="s">
        <v>10</v>
      </c>
      <c r="D1708" t="s">
        <v>14</v>
      </c>
      <c r="E1708">
        <v>202602</v>
      </c>
      <c r="F1708" t="s">
        <v>429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1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2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7</v>
      </c>
      <c r="AM1708">
        <v>1</v>
      </c>
      <c r="AN1708">
        <v>11.302724283700751</v>
      </c>
    </row>
    <row r="1709" spans="1:40" x14ac:dyDescent="0.3">
      <c r="A1709" t="s">
        <v>380</v>
      </c>
      <c r="B1709" t="s">
        <v>81</v>
      </c>
      <c r="C1709" t="s">
        <v>10</v>
      </c>
      <c r="D1709" t="s">
        <v>14</v>
      </c>
      <c r="E1709">
        <v>202602</v>
      </c>
      <c r="F1709" t="s">
        <v>430</v>
      </c>
      <c r="G1709">
        <v>0</v>
      </c>
      <c r="H1709">
        <v>0</v>
      </c>
      <c r="I1709">
        <v>3</v>
      </c>
      <c r="J1709">
        <v>0</v>
      </c>
      <c r="K1709">
        <v>0</v>
      </c>
      <c r="L1709">
        <v>2</v>
      </c>
      <c r="M1709">
        <v>0</v>
      </c>
      <c r="N1709">
        <v>0</v>
      </c>
      <c r="O1709">
        <v>3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2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11</v>
      </c>
      <c r="AM1709">
        <v>0.66666666666666663</v>
      </c>
      <c r="AN1709">
        <v>13.868482855800501</v>
      </c>
    </row>
    <row r="1710" spans="1:40" x14ac:dyDescent="0.3">
      <c r="A1710" t="s">
        <v>380</v>
      </c>
      <c r="B1710" t="s">
        <v>81</v>
      </c>
      <c r="C1710" t="s">
        <v>10</v>
      </c>
      <c r="D1710" t="s">
        <v>14</v>
      </c>
      <c r="E1710">
        <v>202602</v>
      </c>
      <c r="F1710" t="s">
        <v>431</v>
      </c>
      <c r="G1710">
        <v>0</v>
      </c>
      <c r="H1710">
        <v>2</v>
      </c>
      <c r="I1710">
        <v>1</v>
      </c>
      <c r="J1710">
        <v>2</v>
      </c>
      <c r="K1710">
        <v>2</v>
      </c>
      <c r="L1710">
        <v>1</v>
      </c>
      <c r="M1710">
        <v>0</v>
      </c>
      <c r="N1710">
        <v>0</v>
      </c>
      <c r="O1710">
        <v>0</v>
      </c>
      <c r="P1710">
        <v>2</v>
      </c>
      <c r="Q1710">
        <v>0</v>
      </c>
      <c r="R1710">
        <v>3</v>
      </c>
      <c r="S1710">
        <v>1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2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17</v>
      </c>
      <c r="AM1710">
        <v>0.66666666666666663</v>
      </c>
      <c r="AN1710">
        <v>19.868482855800501</v>
      </c>
    </row>
    <row r="1711" spans="1:40" x14ac:dyDescent="0.3">
      <c r="A1711" t="s">
        <v>380</v>
      </c>
      <c r="B1711" t="s">
        <v>81</v>
      </c>
      <c r="C1711" t="s">
        <v>16</v>
      </c>
      <c r="D1711" t="s">
        <v>11</v>
      </c>
      <c r="E1711">
        <v>202602</v>
      </c>
      <c r="F1711" t="s">
        <v>426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1</v>
      </c>
      <c r="AM1711">
        <v>0</v>
      </c>
      <c r="AN1711">
        <v>1</v>
      </c>
    </row>
    <row r="1712" spans="1:40" x14ac:dyDescent="0.3">
      <c r="A1712" t="s">
        <v>380</v>
      </c>
      <c r="B1712" t="s">
        <v>81</v>
      </c>
      <c r="C1712" t="s">
        <v>16</v>
      </c>
      <c r="D1712" t="s">
        <v>11</v>
      </c>
      <c r="E1712">
        <v>202602</v>
      </c>
      <c r="F1712" t="s">
        <v>83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1</v>
      </c>
      <c r="AM1712">
        <v>0</v>
      </c>
      <c r="AN1712">
        <v>1</v>
      </c>
    </row>
    <row r="1713" spans="1:40" x14ac:dyDescent="0.3">
      <c r="A1713" t="s">
        <v>380</v>
      </c>
      <c r="B1713" t="s">
        <v>81</v>
      </c>
      <c r="C1713" t="s">
        <v>16</v>
      </c>
      <c r="D1713" t="s">
        <v>11</v>
      </c>
      <c r="E1713">
        <v>202602</v>
      </c>
      <c r="F1713" t="s">
        <v>427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</v>
      </c>
      <c r="AM1713">
        <v>0</v>
      </c>
      <c r="AN1713">
        <v>1</v>
      </c>
    </row>
    <row r="1714" spans="1:40" x14ac:dyDescent="0.3">
      <c r="A1714" t="s">
        <v>380</v>
      </c>
      <c r="B1714" t="s">
        <v>81</v>
      </c>
      <c r="C1714" t="s">
        <v>16</v>
      </c>
      <c r="D1714" t="s">
        <v>11</v>
      </c>
      <c r="E1714">
        <v>202602</v>
      </c>
      <c r="F1714" t="s">
        <v>430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1</v>
      </c>
      <c r="AM1714">
        <v>0</v>
      </c>
      <c r="AN1714">
        <v>1</v>
      </c>
    </row>
    <row r="1715" spans="1:40" x14ac:dyDescent="0.3">
      <c r="A1715" t="s">
        <v>380</v>
      </c>
      <c r="B1715" t="s">
        <v>81</v>
      </c>
      <c r="C1715" t="s">
        <v>16</v>
      </c>
      <c r="D1715" t="s">
        <v>14</v>
      </c>
      <c r="E1715">
        <v>202602</v>
      </c>
      <c r="F1715" t="s">
        <v>426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</v>
      </c>
      <c r="AM1715">
        <v>0</v>
      </c>
      <c r="AN1715">
        <v>1</v>
      </c>
    </row>
    <row r="1716" spans="1:40" x14ac:dyDescent="0.3">
      <c r="A1716" t="s">
        <v>380</v>
      </c>
      <c r="B1716" t="s">
        <v>81</v>
      </c>
      <c r="C1716" t="s">
        <v>16</v>
      </c>
      <c r="D1716" t="s">
        <v>14</v>
      </c>
      <c r="E1716">
        <v>202602</v>
      </c>
      <c r="F1716" t="s">
        <v>83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1</v>
      </c>
    </row>
    <row r="1717" spans="1:40" x14ac:dyDescent="0.3">
      <c r="A1717" t="s">
        <v>380</v>
      </c>
      <c r="B1717" t="s">
        <v>81</v>
      </c>
      <c r="C1717" t="s">
        <v>16</v>
      </c>
      <c r="D1717" t="s">
        <v>14</v>
      </c>
      <c r="E1717">
        <v>202602</v>
      </c>
      <c r="F1717" t="s">
        <v>427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1</v>
      </c>
      <c r="AM1717">
        <v>0</v>
      </c>
      <c r="AN1717">
        <v>1</v>
      </c>
    </row>
    <row r="1718" spans="1:40" x14ac:dyDescent="0.3">
      <c r="A1718" t="s">
        <v>380</v>
      </c>
      <c r="B1718" t="s">
        <v>81</v>
      </c>
      <c r="C1718" t="s">
        <v>16</v>
      </c>
      <c r="D1718" t="s">
        <v>14</v>
      </c>
      <c r="E1718">
        <v>202602</v>
      </c>
      <c r="F1718" t="s">
        <v>430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0</v>
      </c>
      <c r="AN1718">
        <v>1</v>
      </c>
    </row>
    <row r="1719" spans="1:40" x14ac:dyDescent="0.3">
      <c r="A1719" t="s">
        <v>380</v>
      </c>
      <c r="B1719" t="s">
        <v>100</v>
      </c>
      <c r="C1719" t="s">
        <v>10</v>
      </c>
      <c r="D1719" t="s">
        <v>11</v>
      </c>
      <c r="E1719">
        <v>202602</v>
      </c>
      <c r="F1719" t="s">
        <v>42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1</v>
      </c>
      <c r="AB1719">
        <v>0</v>
      </c>
      <c r="AC1719">
        <v>2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6</v>
      </c>
      <c r="AM1719">
        <v>1</v>
      </c>
      <c r="AN1719">
        <v>11.039005868139181</v>
      </c>
    </row>
    <row r="1720" spans="1:40" x14ac:dyDescent="0.3">
      <c r="A1720" t="s">
        <v>380</v>
      </c>
      <c r="B1720" t="s">
        <v>100</v>
      </c>
      <c r="C1720" t="s">
        <v>10</v>
      </c>
      <c r="D1720" t="s">
        <v>11</v>
      </c>
      <c r="E1720">
        <v>202602</v>
      </c>
      <c r="F1720" t="s">
        <v>101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</v>
      </c>
      <c r="AM1720">
        <v>0.33333333333333331</v>
      </c>
      <c r="AN1720">
        <v>2.6796686227130611</v>
      </c>
    </row>
    <row r="1721" spans="1:40" x14ac:dyDescent="0.3">
      <c r="A1721" t="s">
        <v>380</v>
      </c>
      <c r="B1721" t="s">
        <v>100</v>
      </c>
      <c r="C1721" t="s">
        <v>10</v>
      </c>
      <c r="D1721" t="s">
        <v>14</v>
      </c>
      <c r="E1721">
        <v>202602</v>
      </c>
      <c r="F1721" t="s">
        <v>42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2</v>
      </c>
      <c r="S1721">
        <v>2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1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9</v>
      </c>
      <c r="AM1721">
        <v>1</v>
      </c>
      <c r="AN1721">
        <v>13.302724283700751</v>
      </c>
    </row>
    <row r="1722" spans="1:40" x14ac:dyDescent="0.3">
      <c r="A1722" t="s">
        <v>380</v>
      </c>
      <c r="B1722" t="s">
        <v>100</v>
      </c>
      <c r="C1722" t="s">
        <v>10</v>
      </c>
      <c r="D1722" t="s">
        <v>14</v>
      </c>
      <c r="E1722">
        <v>202602</v>
      </c>
      <c r="F1722" t="s">
        <v>101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0</v>
      </c>
      <c r="AN1722">
        <v>1</v>
      </c>
    </row>
    <row r="1723" spans="1:40" x14ac:dyDescent="0.3">
      <c r="A1723" t="s">
        <v>380</v>
      </c>
      <c r="B1723" t="s">
        <v>103</v>
      </c>
      <c r="C1723" t="s">
        <v>10</v>
      </c>
      <c r="D1723" t="s">
        <v>11</v>
      </c>
      <c r="E1723">
        <v>202602</v>
      </c>
      <c r="F1723" t="s">
        <v>432</v>
      </c>
      <c r="G1723">
        <v>0</v>
      </c>
      <c r="H1723">
        <v>0</v>
      </c>
      <c r="I1723">
        <v>1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2</v>
      </c>
      <c r="AM1723">
        <v>0</v>
      </c>
      <c r="AN1723">
        <v>2</v>
      </c>
    </row>
    <row r="1724" spans="1:40" x14ac:dyDescent="0.3">
      <c r="A1724" t="s">
        <v>380</v>
      </c>
      <c r="B1724" t="s">
        <v>103</v>
      </c>
      <c r="C1724" t="s">
        <v>10</v>
      </c>
      <c r="D1724" t="s">
        <v>14</v>
      </c>
      <c r="E1724">
        <v>202602</v>
      </c>
      <c r="F1724" t="s">
        <v>432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1</v>
      </c>
      <c r="AM1724">
        <v>0</v>
      </c>
      <c r="AN1724">
        <v>1</v>
      </c>
    </row>
    <row r="1725" spans="1:40" x14ac:dyDescent="0.3">
      <c r="A1725" t="s">
        <v>380</v>
      </c>
      <c r="B1725" t="s">
        <v>643</v>
      </c>
      <c r="C1725" t="s">
        <v>10</v>
      </c>
      <c r="D1725" t="s">
        <v>11</v>
      </c>
      <c r="E1725">
        <v>202602</v>
      </c>
      <c r="F1725" t="s">
        <v>56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2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3</v>
      </c>
      <c r="AM1725">
        <v>0</v>
      </c>
      <c r="AN1725">
        <v>3</v>
      </c>
    </row>
    <row r="1726" spans="1:40" x14ac:dyDescent="0.3">
      <c r="A1726" t="s">
        <v>380</v>
      </c>
      <c r="B1726" t="s">
        <v>643</v>
      </c>
      <c r="C1726" t="s">
        <v>10</v>
      </c>
      <c r="D1726" t="s">
        <v>11</v>
      </c>
      <c r="E1726">
        <v>202602</v>
      </c>
      <c r="F1726" t="s">
        <v>110</v>
      </c>
      <c r="G1726">
        <v>0</v>
      </c>
      <c r="H1726">
        <v>0</v>
      </c>
      <c r="I1726">
        <v>0</v>
      </c>
      <c r="J1726">
        <v>2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3</v>
      </c>
      <c r="AM1726">
        <v>0</v>
      </c>
      <c r="AN1726">
        <v>3</v>
      </c>
    </row>
    <row r="1727" spans="1:40" x14ac:dyDescent="0.3">
      <c r="A1727" t="s">
        <v>380</v>
      </c>
      <c r="B1727" t="s">
        <v>643</v>
      </c>
      <c r="C1727" t="s">
        <v>10</v>
      </c>
      <c r="D1727" t="s">
        <v>11</v>
      </c>
      <c r="E1727">
        <v>202602</v>
      </c>
      <c r="F1727" t="s">
        <v>111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2</v>
      </c>
      <c r="AM1727">
        <v>0.33333333333333331</v>
      </c>
      <c r="AN1727">
        <v>3.6796686227130611</v>
      </c>
    </row>
    <row r="1728" spans="1:40" x14ac:dyDescent="0.3">
      <c r="A1728" t="s">
        <v>380</v>
      </c>
      <c r="B1728" t="s">
        <v>643</v>
      </c>
      <c r="C1728" t="s">
        <v>10</v>
      </c>
      <c r="D1728" t="s">
        <v>11</v>
      </c>
      <c r="E1728">
        <v>202602</v>
      </c>
      <c r="F1728" t="s">
        <v>61</v>
      </c>
      <c r="G1728">
        <v>0</v>
      </c>
      <c r="H1728">
        <v>0</v>
      </c>
      <c r="I1728">
        <v>2</v>
      </c>
      <c r="J1728">
        <v>0</v>
      </c>
      <c r="K1728">
        <v>2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1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9</v>
      </c>
      <c r="AM1728">
        <v>0.66666666666666663</v>
      </c>
      <c r="AN1728">
        <v>12.359337245426122</v>
      </c>
    </row>
    <row r="1729" spans="1:40" x14ac:dyDescent="0.3">
      <c r="A1729" t="s">
        <v>380</v>
      </c>
      <c r="B1729" t="s">
        <v>643</v>
      </c>
      <c r="C1729" t="s">
        <v>10</v>
      </c>
      <c r="D1729" t="s">
        <v>11</v>
      </c>
      <c r="E1729">
        <v>202602</v>
      </c>
      <c r="F1729" t="s">
        <v>112</v>
      </c>
      <c r="G1729">
        <v>0</v>
      </c>
      <c r="H1729">
        <v>3</v>
      </c>
      <c r="I1729">
        <v>0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1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8</v>
      </c>
      <c r="AM1729">
        <v>0.66666666666666663</v>
      </c>
      <c r="AN1729">
        <v>11.359337245426122</v>
      </c>
    </row>
    <row r="1730" spans="1:40" x14ac:dyDescent="0.3">
      <c r="A1730" t="s">
        <v>380</v>
      </c>
      <c r="B1730" t="s">
        <v>643</v>
      </c>
      <c r="C1730" t="s">
        <v>10</v>
      </c>
      <c r="D1730" t="s">
        <v>11</v>
      </c>
      <c r="E1730">
        <v>202602</v>
      </c>
      <c r="F1730" t="s">
        <v>278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2</v>
      </c>
      <c r="AM1730">
        <v>0</v>
      </c>
      <c r="AN1730">
        <v>2</v>
      </c>
    </row>
    <row r="1731" spans="1:40" x14ac:dyDescent="0.3">
      <c r="A1731" t="s">
        <v>380</v>
      </c>
      <c r="B1731" t="s">
        <v>643</v>
      </c>
      <c r="C1731" t="s">
        <v>10</v>
      </c>
      <c r="D1731" t="s">
        <v>11</v>
      </c>
      <c r="E1731">
        <v>202602</v>
      </c>
      <c r="F1731" t="s">
        <v>114</v>
      </c>
      <c r="G1731">
        <v>0</v>
      </c>
      <c r="H1731">
        <v>3</v>
      </c>
      <c r="I1731">
        <v>3</v>
      </c>
      <c r="J1731">
        <v>0</v>
      </c>
      <c r="K1731">
        <v>4</v>
      </c>
      <c r="L1731">
        <v>4</v>
      </c>
      <c r="M1731">
        <v>0</v>
      </c>
      <c r="N1731">
        <v>0</v>
      </c>
      <c r="O1731">
        <v>2</v>
      </c>
      <c r="P1731">
        <v>0</v>
      </c>
      <c r="Q1731">
        <v>1</v>
      </c>
      <c r="R1731">
        <v>1</v>
      </c>
      <c r="S1731">
        <v>1</v>
      </c>
      <c r="T1731">
        <v>1</v>
      </c>
      <c r="U1731">
        <v>0</v>
      </c>
      <c r="V1731">
        <v>1</v>
      </c>
      <c r="W1731">
        <v>0</v>
      </c>
      <c r="X1731">
        <v>2</v>
      </c>
      <c r="Y1731">
        <v>1</v>
      </c>
      <c r="Z1731">
        <v>2</v>
      </c>
      <c r="AA1731">
        <v>2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29</v>
      </c>
      <c r="AM1731">
        <v>1.3333333333333333</v>
      </c>
      <c r="AN1731">
        <v>35.718674490852244</v>
      </c>
    </row>
    <row r="1732" spans="1:40" x14ac:dyDescent="0.3">
      <c r="A1732" t="s">
        <v>380</v>
      </c>
      <c r="B1732" t="s">
        <v>643</v>
      </c>
      <c r="C1732" t="s">
        <v>10</v>
      </c>
      <c r="D1732" t="s">
        <v>11</v>
      </c>
      <c r="E1732">
        <v>202602</v>
      </c>
      <c r="F1732" t="s">
        <v>115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2</v>
      </c>
      <c r="M1732">
        <v>0</v>
      </c>
      <c r="N1732">
        <v>0</v>
      </c>
      <c r="O1732">
        <v>1</v>
      </c>
      <c r="P1732">
        <v>0</v>
      </c>
      <c r="Q1732">
        <v>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6</v>
      </c>
      <c r="AM1732">
        <v>0</v>
      </c>
      <c r="AN1732">
        <v>6</v>
      </c>
    </row>
    <row r="1733" spans="1:40" x14ac:dyDescent="0.3">
      <c r="A1733" t="s">
        <v>380</v>
      </c>
      <c r="B1733" t="s">
        <v>643</v>
      </c>
      <c r="C1733" t="s">
        <v>10</v>
      </c>
      <c r="D1733" t="s">
        <v>11</v>
      </c>
      <c r="E1733">
        <v>202602</v>
      </c>
      <c r="F1733" t="s">
        <v>116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2</v>
      </c>
      <c r="AM1733">
        <v>0</v>
      </c>
      <c r="AN1733">
        <v>2</v>
      </c>
    </row>
    <row r="1734" spans="1:40" x14ac:dyDescent="0.3">
      <c r="A1734" t="s">
        <v>380</v>
      </c>
      <c r="B1734" t="s">
        <v>643</v>
      </c>
      <c r="C1734" t="s">
        <v>10</v>
      </c>
      <c r="D1734" t="s">
        <v>11</v>
      </c>
      <c r="E1734">
        <v>202602</v>
      </c>
      <c r="F1734" t="s">
        <v>130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5</v>
      </c>
      <c r="AM1734">
        <v>0.33333333333333331</v>
      </c>
      <c r="AN1734">
        <v>6.6796686227130611</v>
      </c>
    </row>
    <row r="1735" spans="1:40" x14ac:dyDescent="0.3">
      <c r="A1735" t="s">
        <v>380</v>
      </c>
      <c r="B1735" t="s">
        <v>643</v>
      </c>
      <c r="C1735" t="s">
        <v>10</v>
      </c>
      <c r="D1735" t="s">
        <v>11</v>
      </c>
      <c r="E1735">
        <v>202602</v>
      </c>
      <c r="F1735" t="s">
        <v>317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0</v>
      </c>
      <c r="AN1735">
        <v>1</v>
      </c>
    </row>
    <row r="1736" spans="1:40" x14ac:dyDescent="0.3">
      <c r="A1736" t="s">
        <v>380</v>
      </c>
      <c r="B1736" t="s">
        <v>643</v>
      </c>
      <c r="C1736" t="s">
        <v>10</v>
      </c>
      <c r="D1736" t="s">
        <v>11</v>
      </c>
      <c r="E1736">
        <v>202602</v>
      </c>
      <c r="F1736" t="s">
        <v>117</v>
      </c>
      <c r="G1736">
        <v>0</v>
      </c>
      <c r="H1736">
        <v>0</v>
      </c>
      <c r="I1736">
        <v>1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1</v>
      </c>
      <c r="AA1736">
        <v>1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7</v>
      </c>
      <c r="AM1736">
        <v>0.66666666666666663</v>
      </c>
      <c r="AN1736">
        <v>10.359337245426122</v>
      </c>
    </row>
    <row r="1737" spans="1:40" x14ac:dyDescent="0.3">
      <c r="A1737" t="s">
        <v>380</v>
      </c>
      <c r="B1737" t="s">
        <v>643</v>
      </c>
      <c r="C1737" t="s">
        <v>10</v>
      </c>
      <c r="D1737" t="s">
        <v>11</v>
      </c>
      <c r="E1737">
        <v>202602</v>
      </c>
      <c r="F1737" t="s">
        <v>118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2</v>
      </c>
      <c r="M1737">
        <v>1</v>
      </c>
      <c r="N1737">
        <v>0</v>
      </c>
      <c r="O1737">
        <v>1</v>
      </c>
      <c r="P1737">
        <v>1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1</v>
      </c>
      <c r="Z1737">
        <v>0</v>
      </c>
      <c r="AA1737">
        <v>1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11</v>
      </c>
      <c r="AM1737">
        <v>0.66666666666666663</v>
      </c>
      <c r="AN1737">
        <v>14.359337245426122</v>
      </c>
    </row>
    <row r="1738" spans="1:40" x14ac:dyDescent="0.3">
      <c r="A1738" t="s">
        <v>380</v>
      </c>
      <c r="B1738" t="s">
        <v>643</v>
      </c>
      <c r="C1738" t="s">
        <v>10</v>
      </c>
      <c r="D1738" t="s">
        <v>11</v>
      </c>
      <c r="E1738">
        <v>202602</v>
      </c>
      <c r="F1738" t="s">
        <v>320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  <c r="AN1738">
        <v>1</v>
      </c>
    </row>
    <row r="1739" spans="1:40" x14ac:dyDescent="0.3">
      <c r="A1739" t="s">
        <v>380</v>
      </c>
      <c r="B1739" t="s">
        <v>643</v>
      </c>
      <c r="C1739" t="s">
        <v>10</v>
      </c>
      <c r="D1739" t="s">
        <v>11</v>
      </c>
      <c r="E1739">
        <v>202602</v>
      </c>
      <c r="F1739" t="s">
        <v>434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  <c r="AN1739">
        <v>1</v>
      </c>
    </row>
    <row r="1740" spans="1:40" x14ac:dyDescent="0.3">
      <c r="A1740" t="s">
        <v>380</v>
      </c>
      <c r="B1740" t="s">
        <v>643</v>
      </c>
      <c r="C1740" t="s">
        <v>10</v>
      </c>
      <c r="D1740" t="s">
        <v>11</v>
      </c>
      <c r="E1740">
        <v>202602</v>
      </c>
      <c r="F1740" t="s">
        <v>132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2</v>
      </c>
      <c r="AM1740">
        <v>0</v>
      </c>
      <c r="AN1740">
        <v>2</v>
      </c>
    </row>
    <row r="1741" spans="1:40" x14ac:dyDescent="0.3">
      <c r="A1741" t="s">
        <v>380</v>
      </c>
      <c r="B1741" t="s">
        <v>643</v>
      </c>
      <c r="C1741" t="s">
        <v>10</v>
      </c>
      <c r="D1741" t="s">
        <v>11</v>
      </c>
      <c r="E1741">
        <v>202602</v>
      </c>
      <c r="F1741" t="s">
        <v>223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2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2</v>
      </c>
      <c r="AM1741">
        <v>0</v>
      </c>
      <c r="AN1741">
        <v>2</v>
      </c>
    </row>
    <row r="1742" spans="1:40" x14ac:dyDescent="0.3">
      <c r="A1742" t="s">
        <v>380</v>
      </c>
      <c r="B1742" t="s">
        <v>643</v>
      </c>
      <c r="C1742" t="s">
        <v>10</v>
      </c>
      <c r="D1742" t="s">
        <v>11</v>
      </c>
      <c r="E1742">
        <v>202602</v>
      </c>
      <c r="F1742" t="s">
        <v>119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0.33333333333333331</v>
      </c>
      <c r="AN1742">
        <v>2.6796686227130611</v>
      </c>
    </row>
    <row r="1743" spans="1:40" x14ac:dyDescent="0.3">
      <c r="A1743" t="s">
        <v>380</v>
      </c>
      <c r="B1743" t="s">
        <v>643</v>
      </c>
      <c r="C1743" t="s">
        <v>10</v>
      </c>
      <c r="D1743" t="s">
        <v>11</v>
      </c>
      <c r="E1743">
        <v>202602</v>
      </c>
      <c r="F1743" t="s">
        <v>121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1</v>
      </c>
      <c r="N1743">
        <v>0</v>
      </c>
      <c r="O1743">
        <v>2</v>
      </c>
      <c r="P1743">
        <v>4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2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12</v>
      </c>
      <c r="AM1743">
        <v>0</v>
      </c>
      <c r="AN1743">
        <v>12</v>
      </c>
    </row>
    <row r="1744" spans="1:40" x14ac:dyDescent="0.3">
      <c r="A1744" t="s">
        <v>380</v>
      </c>
      <c r="B1744" t="s">
        <v>643</v>
      </c>
      <c r="C1744" t="s">
        <v>10</v>
      </c>
      <c r="D1744" t="s">
        <v>11</v>
      </c>
      <c r="E1744">
        <v>202602</v>
      </c>
      <c r="F1744" t="s">
        <v>134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2</v>
      </c>
      <c r="AM1744">
        <v>0.33333333333333331</v>
      </c>
      <c r="AN1744">
        <v>3.6796686227130611</v>
      </c>
    </row>
    <row r="1745" spans="1:40" x14ac:dyDescent="0.3">
      <c r="A1745" t="s">
        <v>380</v>
      </c>
      <c r="B1745" t="s">
        <v>643</v>
      </c>
      <c r="C1745" t="s">
        <v>10</v>
      </c>
      <c r="D1745" t="s">
        <v>11</v>
      </c>
      <c r="E1745">
        <v>202602</v>
      </c>
      <c r="F1745" t="s">
        <v>321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</v>
      </c>
      <c r="AM1745">
        <v>0</v>
      </c>
      <c r="AN1745">
        <v>1</v>
      </c>
    </row>
    <row r="1746" spans="1:40" x14ac:dyDescent="0.3">
      <c r="A1746" t="s">
        <v>380</v>
      </c>
      <c r="B1746" t="s">
        <v>643</v>
      </c>
      <c r="C1746" t="s">
        <v>10</v>
      </c>
      <c r="D1746" t="s">
        <v>11</v>
      </c>
      <c r="E1746">
        <v>202602</v>
      </c>
      <c r="F1746" t="s">
        <v>122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3</v>
      </c>
      <c r="AM1746">
        <v>0</v>
      </c>
      <c r="AN1746">
        <v>3</v>
      </c>
    </row>
    <row r="1747" spans="1:40" x14ac:dyDescent="0.3">
      <c r="A1747" t="s">
        <v>380</v>
      </c>
      <c r="B1747" t="s">
        <v>643</v>
      </c>
      <c r="C1747" t="s">
        <v>10</v>
      </c>
      <c r="D1747" t="s">
        <v>11</v>
      </c>
      <c r="E1747">
        <v>202602</v>
      </c>
      <c r="F1747" t="s">
        <v>124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2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4</v>
      </c>
      <c r="AM1747">
        <v>0</v>
      </c>
      <c r="AN1747">
        <v>4</v>
      </c>
    </row>
    <row r="1748" spans="1:40" x14ac:dyDescent="0.3">
      <c r="A1748" t="s">
        <v>380</v>
      </c>
      <c r="B1748" t="s">
        <v>643</v>
      </c>
      <c r="C1748" t="s">
        <v>10</v>
      </c>
      <c r="D1748" t="s">
        <v>11</v>
      </c>
      <c r="E1748">
        <v>202602</v>
      </c>
      <c r="F1748" t="s">
        <v>435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0</v>
      </c>
      <c r="AN1748">
        <v>1</v>
      </c>
    </row>
    <row r="1749" spans="1:40" x14ac:dyDescent="0.3">
      <c r="A1749" t="s">
        <v>380</v>
      </c>
      <c r="B1749" t="s">
        <v>643</v>
      </c>
      <c r="C1749" t="s">
        <v>10</v>
      </c>
      <c r="D1749" t="s">
        <v>11</v>
      </c>
      <c r="E1749">
        <v>202602</v>
      </c>
      <c r="F1749" t="s">
        <v>562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1</v>
      </c>
      <c r="AM1749">
        <v>0</v>
      </c>
      <c r="AN1749">
        <v>1</v>
      </c>
    </row>
    <row r="1750" spans="1:40" x14ac:dyDescent="0.3">
      <c r="A1750" t="s">
        <v>380</v>
      </c>
      <c r="B1750" t="s">
        <v>643</v>
      </c>
      <c r="C1750" t="s">
        <v>10</v>
      </c>
      <c r="D1750" t="s">
        <v>11</v>
      </c>
      <c r="E1750">
        <v>202602</v>
      </c>
      <c r="F1750" t="s">
        <v>135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1</v>
      </c>
      <c r="AA1750">
        <v>0</v>
      </c>
      <c r="AB1750">
        <v>0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4</v>
      </c>
      <c r="AM1750">
        <v>0.66666666666666663</v>
      </c>
      <c r="AN1750">
        <v>7.3593372454261221</v>
      </c>
    </row>
    <row r="1751" spans="1:40" x14ac:dyDescent="0.3">
      <c r="A1751" t="s">
        <v>380</v>
      </c>
      <c r="B1751" t="s">
        <v>643</v>
      </c>
      <c r="C1751" t="s">
        <v>10</v>
      </c>
      <c r="D1751" t="s">
        <v>11</v>
      </c>
      <c r="E1751">
        <v>202602</v>
      </c>
      <c r="F1751" t="s">
        <v>127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2</v>
      </c>
      <c r="AM1751">
        <v>0.33333333333333331</v>
      </c>
      <c r="AN1751">
        <v>3.6796686227130611</v>
      </c>
    </row>
    <row r="1752" spans="1:40" x14ac:dyDescent="0.3">
      <c r="A1752" t="s">
        <v>380</v>
      </c>
      <c r="B1752" t="s">
        <v>643</v>
      </c>
      <c r="C1752" t="s">
        <v>10</v>
      </c>
      <c r="D1752" t="s">
        <v>11</v>
      </c>
      <c r="E1752">
        <v>202602</v>
      </c>
      <c r="F1752" t="s">
        <v>226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</v>
      </c>
      <c r="AN1752">
        <v>1</v>
      </c>
    </row>
    <row r="1753" spans="1:40" x14ac:dyDescent="0.3">
      <c r="A1753" t="s">
        <v>380</v>
      </c>
      <c r="B1753" t="s">
        <v>643</v>
      </c>
      <c r="C1753" t="s">
        <v>10</v>
      </c>
      <c r="D1753" t="s">
        <v>11</v>
      </c>
      <c r="E1753">
        <v>202602</v>
      </c>
      <c r="F1753" t="s">
        <v>436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</v>
      </c>
      <c r="AM1753">
        <v>0</v>
      </c>
      <c r="AN1753">
        <v>1</v>
      </c>
    </row>
    <row r="1754" spans="1:40" x14ac:dyDescent="0.3">
      <c r="A1754" t="s">
        <v>380</v>
      </c>
      <c r="B1754" t="s">
        <v>643</v>
      </c>
      <c r="C1754" t="s">
        <v>10</v>
      </c>
      <c r="D1754" t="s">
        <v>11</v>
      </c>
      <c r="E1754">
        <v>202602</v>
      </c>
      <c r="F1754" t="s">
        <v>433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2</v>
      </c>
      <c r="AM1754">
        <v>0.33333333333333331</v>
      </c>
      <c r="AN1754">
        <v>3.6796686227130611</v>
      </c>
    </row>
    <row r="1755" spans="1:40" x14ac:dyDescent="0.3">
      <c r="A1755" t="s">
        <v>380</v>
      </c>
      <c r="B1755" t="s">
        <v>643</v>
      </c>
      <c r="C1755" t="s">
        <v>10</v>
      </c>
      <c r="D1755" t="s">
        <v>14</v>
      </c>
      <c r="E1755">
        <v>202602</v>
      </c>
      <c r="F1755" t="s">
        <v>56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3</v>
      </c>
      <c r="AM1755">
        <v>0</v>
      </c>
      <c r="AN1755">
        <v>3</v>
      </c>
    </row>
    <row r="1756" spans="1:40" x14ac:dyDescent="0.3">
      <c r="A1756" t="s">
        <v>380</v>
      </c>
      <c r="B1756" t="s">
        <v>643</v>
      </c>
      <c r="C1756" t="s">
        <v>10</v>
      </c>
      <c r="D1756" t="s">
        <v>14</v>
      </c>
      <c r="E1756">
        <v>202602</v>
      </c>
      <c r="F1756" t="s">
        <v>110</v>
      </c>
      <c r="G1756">
        <v>0</v>
      </c>
      <c r="H1756">
        <v>1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3</v>
      </c>
      <c r="AM1756">
        <v>0</v>
      </c>
      <c r="AN1756">
        <v>3</v>
      </c>
    </row>
    <row r="1757" spans="1:40" x14ac:dyDescent="0.3">
      <c r="A1757" t="s">
        <v>380</v>
      </c>
      <c r="B1757" t="s">
        <v>643</v>
      </c>
      <c r="C1757" t="s">
        <v>10</v>
      </c>
      <c r="D1757" t="s">
        <v>14</v>
      </c>
      <c r="E1757">
        <v>202602</v>
      </c>
      <c r="F1757" t="s">
        <v>111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3</v>
      </c>
      <c r="AM1757">
        <v>0.33333333333333331</v>
      </c>
      <c r="AN1757">
        <v>4.4342414279002504</v>
      </c>
    </row>
    <row r="1758" spans="1:40" x14ac:dyDescent="0.3">
      <c r="A1758" t="s">
        <v>380</v>
      </c>
      <c r="B1758" t="s">
        <v>643</v>
      </c>
      <c r="C1758" t="s">
        <v>10</v>
      </c>
      <c r="D1758" t="s">
        <v>14</v>
      </c>
      <c r="E1758">
        <v>202602</v>
      </c>
      <c r="F1758" t="s">
        <v>61</v>
      </c>
      <c r="G1758">
        <v>0</v>
      </c>
      <c r="H1758">
        <v>0</v>
      </c>
      <c r="I1758">
        <v>2</v>
      </c>
      <c r="J1758">
        <v>1</v>
      </c>
      <c r="K1758">
        <v>0</v>
      </c>
      <c r="L1758">
        <v>2</v>
      </c>
      <c r="M1758">
        <v>0</v>
      </c>
      <c r="N1758">
        <v>0</v>
      </c>
      <c r="O1758">
        <v>0</v>
      </c>
      <c r="P1758">
        <v>2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1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11</v>
      </c>
      <c r="AM1758">
        <v>0.33333333333333331</v>
      </c>
      <c r="AN1758">
        <v>12.43424142790025</v>
      </c>
    </row>
    <row r="1759" spans="1:40" x14ac:dyDescent="0.3">
      <c r="A1759" t="s">
        <v>380</v>
      </c>
      <c r="B1759" t="s">
        <v>643</v>
      </c>
      <c r="C1759" t="s">
        <v>10</v>
      </c>
      <c r="D1759" t="s">
        <v>14</v>
      </c>
      <c r="E1759">
        <v>202602</v>
      </c>
      <c r="F1759" t="s">
        <v>112</v>
      </c>
      <c r="G1759">
        <v>0</v>
      </c>
      <c r="H1759">
        <v>2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8</v>
      </c>
      <c r="AM1759">
        <v>0.66666666666666663</v>
      </c>
      <c r="AN1759">
        <v>10.868482855800501</v>
      </c>
    </row>
    <row r="1760" spans="1:40" x14ac:dyDescent="0.3">
      <c r="A1760" t="s">
        <v>380</v>
      </c>
      <c r="B1760" t="s">
        <v>643</v>
      </c>
      <c r="C1760" t="s">
        <v>10</v>
      </c>
      <c r="D1760" t="s">
        <v>14</v>
      </c>
      <c r="E1760">
        <v>202602</v>
      </c>
      <c r="F1760" t="s">
        <v>278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3</v>
      </c>
      <c r="AM1760">
        <v>0.33333333333333331</v>
      </c>
      <c r="AN1760">
        <v>4.4342414279002504</v>
      </c>
    </row>
    <row r="1761" spans="1:40" x14ac:dyDescent="0.3">
      <c r="A1761" t="s">
        <v>380</v>
      </c>
      <c r="B1761" t="s">
        <v>643</v>
      </c>
      <c r="C1761" t="s">
        <v>10</v>
      </c>
      <c r="D1761" t="s">
        <v>14</v>
      </c>
      <c r="E1761">
        <v>202602</v>
      </c>
      <c r="F1761" t="s">
        <v>114</v>
      </c>
      <c r="G1761">
        <v>0</v>
      </c>
      <c r="H1761">
        <v>5</v>
      </c>
      <c r="I1761">
        <v>2</v>
      </c>
      <c r="J1761">
        <v>4</v>
      </c>
      <c r="K1761">
        <v>3</v>
      </c>
      <c r="L1761">
        <v>2</v>
      </c>
      <c r="M1761">
        <v>1</v>
      </c>
      <c r="N1761">
        <v>0</v>
      </c>
      <c r="O1761">
        <v>0</v>
      </c>
      <c r="P1761">
        <v>2</v>
      </c>
      <c r="Q1761">
        <v>0</v>
      </c>
      <c r="R1761">
        <v>3</v>
      </c>
      <c r="S1761">
        <v>4</v>
      </c>
      <c r="T1761">
        <v>0</v>
      </c>
      <c r="U1761">
        <v>0</v>
      </c>
      <c r="V1761">
        <v>2</v>
      </c>
      <c r="W1761">
        <v>2</v>
      </c>
      <c r="X1761">
        <v>3</v>
      </c>
      <c r="Y1761">
        <v>0</v>
      </c>
      <c r="Z1761">
        <v>4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37</v>
      </c>
      <c r="AM1761">
        <v>1.3333333333333333</v>
      </c>
      <c r="AN1761">
        <v>42.736965711601002</v>
      </c>
    </row>
    <row r="1762" spans="1:40" x14ac:dyDescent="0.3">
      <c r="A1762" t="s">
        <v>380</v>
      </c>
      <c r="B1762" t="s">
        <v>643</v>
      </c>
      <c r="C1762" t="s">
        <v>10</v>
      </c>
      <c r="D1762" t="s">
        <v>14</v>
      </c>
      <c r="E1762">
        <v>202602</v>
      </c>
      <c r="F1762" t="s">
        <v>129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</v>
      </c>
      <c r="AN1762">
        <v>1</v>
      </c>
    </row>
    <row r="1763" spans="1:40" x14ac:dyDescent="0.3">
      <c r="A1763" t="s">
        <v>380</v>
      </c>
      <c r="B1763" t="s">
        <v>643</v>
      </c>
      <c r="C1763" t="s">
        <v>10</v>
      </c>
      <c r="D1763" t="s">
        <v>14</v>
      </c>
      <c r="E1763">
        <v>202602</v>
      </c>
      <c r="F1763" t="s">
        <v>115</v>
      </c>
      <c r="G1763">
        <v>0</v>
      </c>
      <c r="H1763">
        <v>1</v>
      </c>
      <c r="I1763">
        <v>0</v>
      </c>
      <c r="J1763">
        <v>1</v>
      </c>
      <c r="K1763">
        <v>4</v>
      </c>
      <c r="L1763">
        <v>1</v>
      </c>
      <c r="M1763">
        <v>0</v>
      </c>
      <c r="N1763">
        <v>0</v>
      </c>
      <c r="O1763">
        <v>1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9</v>
      </c>
      <c r="AM1763">
        <v>0</v>
      </c>
      <c r="AN1763">
        <v>9</v>
      </c>
    </row>
    <row r="1764" spans="1:40" x14ac:dyDescent="0.3">
      <c r="A1764" t="s">
        <v>380</v>
      </c>
      <c r="B1764" t="s">
        <v>643</v>
      </c>
      <c r="C1764" t="s">
        <v>10</v>
      </c>
      <c r="D1764" t="s">
        <v>14</v>
      </c>
      <c r="E1764">
        <v>202602</v>
      </c>
      <c r="F1764" t="s">
        <v>116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3</v>
      </c>
      <c r="AM1764">
        <v>0.33333333333333331</v>
      </c>
      <c r="AN1764">
        <v>4.4342414279002504</v>
      </c>
    </row>
    <row r="1765" spans="1:40" x14ac:dyDescent="0.3">
      <c r="A1765" t="s">
        <v>380</v>
      </c>
      <c r="B1765" t="s">
        <v>643</v>
      </c>
      <c r="C1765" t="s">
        <v>10</v>
      </c>
      <c r="D1765" t="s">
        <v>14</v>
      </c>
      <c r="E1765">
        <v>202602</v>
      </c>
      <c r="F1765" t="s">
        <v>130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1</v>
      </c>
      <c r="N1765">
        <v>0</v>
      </c>
      <c r="O1765">
        <v>1</v>
      </c>
      <c r="P1765">
        <v>1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6</v>
      </c>
      <c r="AM1765">
        <v>0.33333333333333331</v>
      </c>
      <c r="AN1765">
        <v>7.4342414279002504</v>
      </c>
    </row>
    <row r="1766" spans="1:40" x14ac:dyDescent="0.3">
      <c r="A1766" t="s">
        <v>380</v>
      </c>
      <c r="B1766" t="s">
        <v>643</v>
      </c>
      <c r="C1766" t="s">
        <v>10</v>
      </c>
      <c r="D1766" t="s">
        <v>14</v>
      </c>
      <c r="E1766">
        <v>202602</v>
      </c>
      <c r="F1766" t="s">
        <v>317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</v>
      </c>
      <c r="AM1766">
        <v>0</v>
      </c>
      <c r="AN1766">
        <v>1</v>
      </c>
    </row>
    <row r="1767" spans="1:40" x14ac:dyDescent="0.3">
      <c r="A1767" t="s">
        <v>380</v>
      </c>
      <c r="B1767" t="s">
        <v>643</v>
      </c>
      <c r="C1767" t="s">
        <v>10</v>
      </c>
      <c r="D1767" t="s">
        <v>14</v>
      </c>
      <c r="E1767">
        <v>202602</v>
      </c>
      <c r="F1767" t="s">
        <v>117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0</v>
      </c>
      <c r="X1767">
        <v>1</v>
      </c>
      <c r="Y1767">
        <v>1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6</v>
      </c>
      <c r="AM1767">
        <v>0.66666666666666663</v>
      </c>
      <c r="AN1767">
        <v>8.8684828558005009</v>
      </c>
    </row>
    <row r="1768" spans="1:40" x14ac:dyDescent="0.3">
      <c r="A1768" t="s">
        <v>380</v>
      </c>
      <c r="B1768" t="s">
        <v>643</v>
      </c>
      <c r="C1768" t="s">
        <v>10</v>
      </c>
      <c r="D1768" t="s">
        <v>14</v>
      </c>
      <c r="E1768">
        <v>202602</v>
      </c>
      <c r="F1768" t="s">
        <v>118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2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2</v>
      </c>
      <c r="Y1768">
        <v>3</v>
      </c>
      <c r="Z1768">
        <v>0</v>
      </c>
      <c r="AA1768">
        <v>0</v>
      </c>
      <c r="AB1768">
        <v>0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16</v>
      </c>
      <c r="AM1768">
        <v>1.3333333333333333</v>
      </c>
      <c r="AN1768">
        <v>21.736965711601002</v>
      </c>
    </row>
    <row r="1769" spans="1:40" x14ac:dyDescent="0.3">
      <c r="A1769" t="s">
        <v>380</v>
      </c>
      <c r="B1769" t="s">
        <v>643</v>
      </c>
      <c r="C1769" t="s">
        <v>10</v>
      </c>
      <c r="D1769" t="s">
        <v>14</v>
      </c>
      <c r="E1769">
        <v>202602</v>
      </c>
      <c r="F1769" t="s">
        <v>131</v>
      </c>
      <c r="G1769">
        <v>0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1</v>
      </c>
    </row>
    <row r="1770" spans="1:40" x14ac:dyDescent="0.3">
      <c r="A1770" t="s">
        <v>380</v>
      </c>
      <c r="B1770" t="s">
        <v>643</v>
      </c>
      <c r="C1770" t="s">
        <v>10</v>
      </c>
      <c r="D1770" t="s">
        <v>14</v>
      </c>
      <c r="E1770">
        <v>202602</v>
      </c>
      <c r="F1770" t="s">
        <v>320</v>
      </c>
      <c r="G1770">
        <v>0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1</v>
      </c>
    </row>
    <row r="1771" spans="1:40" x14ac:dyDescent="0.3">
      <c r="A1771" t="s">
        <v>380</v>
      </c>
      <c r="B1771" t="s">
        <v>643</v>
      </c>
      <c r="C1771" t="s">
        <v>10</v>
      </c>
      <c r="D1771" t="s">
        <v>14</v>
      </c>
      <c r="E1771">
        <v>202602</v>
      </c>
      <c r="F1771" t="s">
        <v>434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2</v>
      </c>
      <c r="AM1771">
        <v>0</v>
      </c>
      <c r="AN1771">
        <v>2</v>
      </c>
    </row>
    <row r="1772" spans="1:40" x14ac:dyDescent="0.3">
      <c r="A1772" t="s">
        <v>380</v>
      </c>
      <c r="B1772" t="s">
        <v>643</v>
      </c>
      <c r="C1772" t="s">
        <v>10</v>
      </c>
      <c r="D1772" t="s">
        <v>14</v>
      </c>
      <c r="E1772">
        <v>202602</v>
      </c>
      <c r="F1772" t="s">
        <v>132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</v>
      </c>
      <c r="AM1772">
        <v>0</v>
      </c>
      <c r="AN1772">
        <v>1</v>
      </c>
    </row>
    <row r="1773" spans="1:40" x14ac:dyDescent="0.3">
      <c r="A1773" t="s">
        <v>380</v>
      </c>
      <c r="B1773" t="s">
        <v>643</v>
      </c>
      <c r="C1773" t="s">
        <v>10</v>
      </c>
      <c r="D1773" t="s">
        <v>14</v>
      </c>
      <c r="E1773">
        <v>202602</v>
      </c>
      <c r="F1773" t="s">
        <v>223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2</v>
      </c>
      <c r="S1773">
        <v>2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7</v>
      </c>
      <c r="AM1773">
        <v>0.66666666666666663</v>
      </c>
      <c r="AN1773">
        <v>9.8684828558005009</v>
      </c>
    </row>
    <row r="1774" spans="1:40" x14ac:dyDescent="0.3">
      <c r="A1774" t="s">
        <v>380</v>
      </c>
      <c r="B1774" t="s">
        <v>643</v>
      </c>
      <c r="C1774" t="s">
        <v>10</v>
      </c>
      <c r="D1774" t="s">
        <v>14</v>
      </c>
      <c r="E1774">
        <v>202602</v>
      </c>
      <c r="F1774" t="s">
        <v>133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</v>
      </c>
      <c r="AM1774">
        <v>0</v>
      </c>
      <c r="AN1774">
        <v>1</v>
      </c>
    </row>
    <row r="1775" spans="1:40" x14ac:dyDescent="0.3">
      <c r="A1775" t="s">
        <v>380</v>
      </c>
      <c r="B1775" t="s">
        <v>643</v>
      </c>
      <c r="C1775" t="s">
        <v>10</v>
      </c>
      <c r="D1775" t="s">
        <v>14</v>
      </c>
      <c r="E1775">
        <v>202602</v>
      </c>
      <c r="F1775" t="s">
        <v>119</v>
      </c>
      <c r="G1775">
        <v>0</v>
      </c>
      <c r="H1775">
        <v>1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2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7</v>
      </c>
      <c r="AM1775">
        <v>1</v>
      </c>
      <c r="AN1775">
        <v>11.302724283700751</v>
      </c>
    </row>
    <row r="1776" spans="1:40" x14ac:dyDescent="0.3">
      <c r="A1776" t="s">
        <v>380</v>
      </c>
      <c r="B1776" t="s">
        <v>643</v>
      </c>
      <c r="C1776" t="s">
        <v>10</v>
      </c>
      <c r="D1776" t="s">
        <v>14</v>
      </c>
      <c r="E1776">
        <v>202602</v>
      </c>
      <c r="F1776" t="s">
        <v>121</v>
      </c>
      <c r="G1776">
        <v>0</v>
      </c>
      <c r="H1776">
        <v>0</v>
      </c>
      <c r="I1776">
        <v>2</v>
      </c>
      <c r="J1776">
        <v>1</v>
      </c>
      <c r="K1776">
        <v>3</v>
      </c>
      <c r="L1776">
        <v>1</v>
      </c>
      <c r="M1776">
        <v>4</v>
      </c>
      <c r="N1776">
        <v>0</v>
      </c>
      <c r="O1776">
        <v>0</v>
      </c>
      <c r="P1776">
        <v>0</v>
      </c>
      <c r="Q1776">
        <v>0</v>
      </c>
      <c r="R1776">
        <v>2</v>
      </c>
      <c r="S1776">
        <v>4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4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23</v>
      </c>
      <c r="AM1776">
        <v>1.3333333333333333</v>
      </c>
      <c r="AN1776">
        <v>28.736965711601002</v>
      </c>
    </row>
    <row r="1777" spans="1:40" x14ac:dyDescent="0.3">
      <c r="A1777" t="s">
        <v>380</v>
      </c>
      <c r="B1777" t="s">
        <v>643</v>
      </c>
      <c r="C1777" t="s">
        <v>10</v>
      </c>
      <c r="D1777" t="s">
        <v>14</v>
      </c>
      <c r="E1777">
        <v>202602</v>
      </c>
      <c r="F1777" t="s">
        <v>134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2</v>
      </c>
      <c r="AM1777">
        <v>0</v>
      </c>
      <c r="AN1777">
        <v>2</v>
      </c>
    </row>
    <row r="1778" spans="1:40" x14ac:dyDescent="0.3">
      <c r="A1778" t="s">
        <v>380</v>
      </c>
      <c r="B1778" t="s">
        <v>643</v>
      </c>
      <c r="C1778" t="s">
        <v>10</v>
      </c>
      <c r="D1778" t="s">
        <v>14</v>
      </c>
      <c r="E1778">
        <v>202602</v>
      </c>
      <c r="F1778" t="s">
        <v>321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2</v>
      </c>
      <c r="AM1778">
        <v>0</v>
      </c>
      <c r="AN1778">
        <v>2</v>
      </c>
    </row>
    <row r="1779" spans="1:40" x14ac:dyDescent="0.3">
      <c r="A1779" t="s">
        <v>380</v>
      </c>
      <c r="B1779" t="s">
        <v>643</v>
      </c>
      <c r="C1779" t="s">
        <v>10</v>
      </c>
      <c r="D1779" t="s">
        <v>14</v>
      </c>
      <c r="E1779">
        <v>202602</v>
      </c>
      <c r="F1779" t="s">
        <v>122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5</v>
      </c>
      <c r="AM1779">
        <v>0.33333333333333331</v>
      </c>
      <c r="AN1779">
        <v>6.4342414279002504</v>
      </c>
    </row>
    <row r="1780" spans="1:40" x14ac:dyDescent="0.3">
      <c r="A1780" t="s">
        <v>380</v>
      </c>
      <c r="B1780" t="s">
        <v>643</v>
      </c>
      <c r="C1780" t="s">
        <v>10</v>
      </c>
      <c r="D1780" t="s">
        <v>14</v>
      </c>
      <c r="E1780">
        <v>202602</v>
      </c>
      <c r="F1780" t="s">
        <v>123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0</v>
      </c>
      <c r="AN1780">
        <v>1</v>
      </c>
    </row>
    <row r="1781" spans="1:40" x14ac:dyDescent="0.3">
      <c r="A1781" t="s">
        <v>380</v>
      </c>
      <c r="B1781" t="s">
        <v>643</v>
      </c>
      <c r="C1781" t="s">
        <v>10</v>
      </c>
      <c r="D1781" t="s">
        <v>14</v>
      </c>
      <c r="E1781">
        <v>202602</v>
      </c>
      <c r="F1781" t="s">
        <v>124</v>
      </c>
      <c r="G1781">
        <v>0</v>
      </c>
      <c r="H1781">
        <v>1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7</v>
      </c>
      <c r="AM1781">
        <v>0.33333333333333331</v>
      </c>
      <c r="AN1781">
        <v>8.4342414279002504</v>
      </c>
    </row>
    <row r="1782" spans="1:40" x14ac:dyDescent="0.3">
      <c r="A1782" t="s">
        <v>380</v>
      </c>
      <c r="B1782" t="s">
        <v>643</v>
      </c>
      <c r="C1782" t="s">
        <v>10</v>
      </c>
      <c r="D1782" t="s">
        <v>14</v>
      </c>
      <c r="E1782">
        <v>202602</v>
      </c>
      <c r="F1782" t="s">
        <v>435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1</v>
      </c>
      <c r="AM1782">
        <v>0</v>
      </c>
      <c r="AN1782">
        <v>1</v>
      </c>
    </row>
    <row r="1783" spans="1:40" x14ac:dyDescent="0.3">
      <c r="A1783" t="s">
        <v>380</v>
      </c>
      <c r="B1783" t="s">
        <v>643</v>
      </c>
      <c r="C1783" t="s">
        <v>10</v>
      </c>
      <c r="D1783" t="s">
        <v>14</v>
      </c>
      <c r="E1783">
        <v>202602</v>
      </c>
      <c r="F1783" t="s">
        <v>562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0</v>
      </c>
      <c r="AN1783">
        <v>1</v>
      </c>
    </row>
    <row r="1784" spans="1:40" x14ac:dyDescent="0.3">
      <c r="A1784" t="s">
        <v>380</v>
      </c>
      <c r="B1784" t="s">
        <v>643</v>
      </c>
      <c r="C1784" t="s">
        <v>10</v>
      </c>
      <c r="D1784" t="s">
        <v>14</v>
      </c>
      <c r="E1784">
        <v>202602</v>
      </c>
      <c r="F1784" t="s">
        <v>135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2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4</v>
      </c>
      <c r="AM1784">
        <v>0.33333333333333331</v>
      </c>
      <c r="AN1784">
        <v>5.4342414279002504</v>
      </c>
    </row>
    <row r="1785" spans="1:40" x14ac:dyDescent="0.3">
      <c r="A1785" t="s">
        <v>380</v>
      </c>
      <c r="B1785" t="s">
        <v>643</v>
      </c>
      <c r="C1785" t="s">
        <v>10</v>
      </c>
      <c r="D1785" t="s">
        <v>14</v>
      </c>
      <c r="E1785">
        <v>202602</v>
      </c>
      <c r="F1785" t="s">
        <v>127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4</v>
      </c>
      <c r="AM1785">
        <v>0.33333333333333331</v>
      </c>
      <c r="AN1785">
        <v>5.4342414279002504</v>
      </c>
    </row>
    <row r="1786" spans="1:40" x14ac:dyDescent="0.3">
      <c r="A1786" t="s">
        <v>380</v>
      </c>
      <c r="B1786" t="s">
        <v>643</v>
      </c>
      <c r="C1786" t="s">
        <v>10</v>
      </c>
      <c r="D1786" t="s">
        <v>14</v>
      </c>
      <c r="E1786">
        <v>202602</v>
      </c>
      <c r="F1786" t="s">
        <v>319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1</v>
      </c>
      <c r="AM1786">
        <v>0</v>
      </c>
      <c r="AN1786">
        <v>1</v>
      </c>
    </row>
    <row r="1787" spans="1:40" x14ac:dyDescent="0.3">
      <c r="A1787" t="s">
        <v>380</v>
      </c>
      <c r="B1787" t="s">
        <v>643</v>
      </c>
      <c r="C1787" t="s">
        <v>10</v>
      </c>
      <c r="D1787" t="s">
        <v>14</v>
      </c>
      <c r="E1787">
        <v>202602</v>
      </c>
      <c r="F1787" t="s">
        <v>226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2</v>
      </c>
      <c r="AM1787">
        <v>0</v>
      </c>
      <c r="AN1787">
        <v>2</v>
      </c>
    </row>
    <row r="1788" spans="1:40" x14ac:dyDescent="0.3">
      <c r="A1788" t="s">
        <v>380</v>
      </c>
      <c r="B1788" t="s">
        <v>643</v>
      </c>
      <c r="C1788" t="s">
        <v>10</v>
      </c>
      <c r="D1788" t="s">
        <v>14</v>
      </c>
      <c r="E1788">
        <v>202602</v>
      </c>
      <c r="F1788" t="s">
        <v>128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1</v>
      </c>
      <c r="AM1788">
        <v>0</v>
      </c>
      <c r="AN1788">
        <v>1</v>
      </c>
    </row>
    <row r="1789" spans="1:40" x14ac:dyDescent="0.3">
      <c r="A1789" t="s">
        <v>380</v>
      </c>
      <c r="B1789" t="s">
        <v>643</v>
      </c>
      <c r="C1789" t="s">
        <v>10</v>
      </c>
      <c r="D1789" t="s">
        <v>14</v>
      </c>
      <c r="E1789">
        <v>202602</v>
      </c>
      <c r="F1789" t="s">
        <v>436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5</v>
      </c>
      <c r="AM1789">
        <v>0.33333333333333331</v>
      </c>
      <c r="AN1789">
        <v>6.4342414279002504</v>
      </c>
    </row>
    <row r="1790" spans="1:40" x14ac:dyDescent="0.3">
      <c r="A1790" t="s">
        <v>380</v>
      </c>
      <c r="B1790" t="s">
        <v>643</v>
      </c>
      <c r="C1790" t="s">
        <v>10</v>
      </c>
      <c r="D1790" t="s">
        <v>14</v>
      </c>
      <c r="E1790">
        <v>202602</v>
      </c>
      <c r="F1790" t="s">
        <v>433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2</v>
      </c>
      <c r="AM1790">
        <v>0.33333333333333331</v>
      </c>
      <c r="AN1790">
        <v>3.43424142790025</v>
      </c>
    </row>
    <row r="1791" spans="1:40" x14ac:dyDescent="0.3">
      <c r="A1791" t="s">
        <v>380</v>
      </c>
      <c r="B1791" t="s">
        <v>643</v>
      </c>
      <c r="C1791" t="s">
        <v>16</v>
      </c>
      <c r="D1791" t="s">
        <v>14</v>
      </c>
      <c r="E1791">
        <v>202602</v>
      </c>
      <c r="F1791" t="s">
        <v>112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0</v>
      </c>
      <c r="AN1791">
        <v>1</v>
      </c>
    </row>
    <row r="1792" spans="1:40" x14ac:dyDescent="0.3">
      <c r="A1792" t="s">
        <v>380</v>
      </c>
      <c r="B1792" t="s">
        <v>643</v>
      </c>
      <c r="C1792" t="s">
        <v>16</v>
      </c>
      <c r="D1792" t="s">
        <v>14</v>
      </c>
      <c r="E1792">
        <v>202602</v>
      </c>
      <c r="F1792" t="s">
        <v>117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1</v>
      </c>
    </row>
    <row r="1793" spans="1:40" x14ac:dyDescent="0.3">
      <c r="A1793" t="s">
        <v>380</v>
      </c>
      <c r="B1793" t="s">
        <v>643</v>
      </c>
      <c r="C1793" t="s">
        <v>16</v>
      </c>
      <c r="D1793" t="s">
        <v>14</v>
      </c>
      <c r="E1793">
        <v>202602</v>
      </c>
      <c r="F1793" t="s">
        <v>119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</v>
      </c>
      <c r="AM1793">
        <v>0</v>
      </c>
      <c r="AN1793">
        <v>1</v>
      </c>
    </row>
    <row r="1794" spans="1:40" x14ac:dyDescent="0.3">
      <c r="A1794" t="s">
        <v>380</v>
      </c>
      <c r="B1794" t="s">
        <v>643</v>
      </c>
      <c r="C1794" t="s">
        <v>16</v>
      </c>
      <c r="D1794" t="s">
        <v>14</v>
      </c>
      <c r="E1794">
        <v>202602</v>
      </c>
      <c r="F1794" t="s">
        <v>319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</v>
      </c>
      <c r="AM1794">
        <v>0</v>
      </c>
      <c r="AN1794">
        <v>1</v>
      </c>
    </row>
    <row r="1795" spans="1:40" x14ac:dyDescent="0.3">
      <c r="A1795" t="s">
        <v>380</v>
      </c>
      <c r="B1795" t="s">
        <v>136</v>
      </c>
      <c r="C1795" t="s">
        <v>10</v>
      </c>
      <c r="D1795" t="s">
        <v>11</v>
      </c>
      <c r="E1795">
        <v>202602</v>
      </c>
      <c r="F1795" t="s">
        <v>42</v>
      </c>
      <c r="G1795">
        <v>0</v>
      </c>
      <c r="H1795">
        <v>2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1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8</v>
      </c>
      <c r="AM1795">
        <v>0.66666666666666663</v>
      </c>
      <c r="AN1795">
        <v>11.359337245426122</v>
      </c>
    </row>
    <row r="1796" spans="1:40" x14ac:dyDescent="0.3">
      <c r="A1796" t="s">
        <v>380</v>
      </c>
      <c r="B1796" t="s">
        <v>136</v>
      </c>
      <c r="C1796" t="s">
        <v>10</v>
      </c>
      <c r="D1796" t="s">
        <v>11</v>
      </c>
      <c r="E1796">
        <v>202602</v>
      </c>
      <c r="F1796" t="s">
        <v>102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</v>
      </c>
      <c r="AM1796">
        <v>0.33333333333333331</v>
      </c>
      <c r="AN1796">
        <v>2.6796686227130611</v>
      </c>
    </row>
    <row r="1797" spans="1:40" x14ac:dyDescent="0.3">
      <c r="A1797" t="s">
        <v>380</v>
      </c>
      <c r="B1797" t="s">
        <v>136</v>
      </c>
      <c r="C1797" t="s">
        <v>10</v>
      </c>
      <c r="D1797" t="s">
        <v>14</v>
      </c>
      <c r="E1797">
        <v>202602</v>
      </c>
      <c r="F1797" t="s">
        <v>42</v>
      </c>
      <c r="G1797">
        <v>0</v>
      </c>
      <c r="H1797">
        <v>1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2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9</v>
      </c>
      <c r="AM1797">
        <v>0.66666666666666663</v>
      </c>
      <c r="AN1797">
        <v>11.868482855800501</v>
      </c>
    </row>
    <row r="1798" spans="1:40" x14ac:dyDescent="0.3">
      <c r="A1798" t="s">
        <v>380</v>
      </c>
      <c r="B1798" t="s">
        <v>136</v>
      </c>
      <c r="C1798" t="s">
        <v>10</v>
      </c>
      <c r="D1798" t="s">
        <v>14</v>
      </c>
      <c r="E1798">
        <v>202602</v>
      </c>
      <c r="F1798" t="s">
        <v>102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3</v>
      </c>
      <c r="AM1798">
        <v>0.33333333333333331</v>
      </c>
      <c r="AN1798">
        <v>4.4342414279002504</v>
      </c>
    </row>
    <row r="1799" spans="1:40" x14ac:dyDescent="0.3">
      <c r="A1799" t="s">
        <v>380</v>
      </c>
      <c r="B1799" t="s">
        <v>644</v>
      </c>
      <c r="C1799" t="s">
        <v>10</v>
      </c>
      <c r="D1799" t="s">
        <v>11</v>
      </c>
      <c r="E1799">
        <v>202602</v>
      </c>
      <c r="F1799" t="s">
        <v>101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5</v>
      </c>
      <c r="AM1799">
        <v>0.33333333333333331</v>
      </c>
      <c r="AN1799">
        <v>6.6796686227130611</v>
      </c>
    </row>
    <row r="1800" spans="1:40" x14ac:dyDescent="0.3">
      <c r="A1800" t="s">
        <v>380</v>
      </c>
      <c r="B1800" t="s">
        <v>644</v>
      </c>
      <c r="C1800" t="s">
        <v>10</v>
      </c>
      <c r="D1800" t="s">
        <v>11</v>
      </c>
      <c r="E1800">
        <v>202602</v>
      </c>
      <c r="F1800" t="s">
        <v>138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3</v>
      </c>
      <c r="AM1800">
        <v>0</v>
      </c>
      <c r="AN1800">
        <v>3</v>
      </c>
    </row>
    <row r="1801" spans="1:40" x14ac:dyDescent="0.3">
      <c r="A1801" t="s">
        <v>380</v>
      </c>
      <c r="B1801" t="s">
        <v>644</v>
      </c>
      <c r="C1801" t="s">
        <v>10</v>
      </c>
      <c r="D1801" t="s">
        <v>14</v>
      </c>
      <c r="E1801">
        <v>202602</v>
      </c>
      <c r="F1801" t="s">
        <v>101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2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1</v>
      </c>
      <c r="S1801">
        <v>2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9</v>
      </c>
      <c r="AM1801">
        <v>0.33333333333333331</v>
      </c>
      <c r="AN1801">
        <v>10.43424142790025</v>
      </c>
    </row>
    <row r="1802" spans="1:40" x14ac:dyDescent="0.3">
      <c r="A1802" t="s">
        <v>380</v>
      </c>
      <c r="B1802" t="s">
        <v>644</v>
      </c>
      <c r="C1802" t="s">
        <v>10</v>
      </c>
      <c r="D1802" t="s">
        <v>14</v>
      </c>
      <c r="E1802">
        <v>202602</v>
      </c>
      <c r="F1802" t="s">
        <v>138</v>
      </c>
      <c r="G1802">
        <v>0</v>
      </c>
      <c r="H1802">
        <v>0</v>
      </c>
      <c r="I1802">
        <v>1</v>
      </c>
      <c r="J1802">
        <v>0</v>
      </c>
      <c r="K1802">
        <v>1</v>
      </c>
      <c r="L1802">
        <v>2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5</v>
      </c>
      <c r="AM1802">
        <v>0.33333333333333331</v>
      </c>
      <c r="AN1802">
        <v>6.4342414279002504</v>
      </c>
    </row>
    <row r="1803" spans="1:40" x14ac:dyDescent="0.3">
      <c r="A1803" t="s">
        <v>380</v>
      </c>
      <c r="B1803" t="s">
        <v>139</v>
      </c>
      <c r="C1803" t="s">
        <v>10</v>
      </c>
      <c r="D1803" t="s">
        <v>11</v>
      </c>
      <c r="E1803">
        <v>202602</v>
      </c>
      <c r="F1803" t="s">
        <v>441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2</v>
      </c>
      <c r="AM1803">
        <v>0</v>
      </c>
      <c r="AN1803">
        <v>2</v>
      </c>
    </row>
    <row r="1804" spans="1:40" x14ac:dyDescent="0.3">
      <c r="A1804" t="s">
        <v>380</v>
      </c>
      <c r="B1804" t="s">
        <v>139</v>
      </c>
      <c r="C1804" t="s">
        <v>10</v>
      </c>
      <c r="D1804" t="s">
        <v>11</v>
      </c>
      <c r="E1804">
        <v>202602</v>
      </c>
      <c r="F1804" t="s">
        <v>442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</v>
      </c>
      <c r="AM1804">
        <v>0.33333333333333331</v>
      </c>
      <c r="AN1804">
        <v>2.6796686227130611</v>
      </c>
    </row>
    <row r="1805" spans="1:40" x14ac:dyDescent="0.3">
      <c r="A1805" t="s">
        <v>380</v>
      </c>
      <c r="B1805" t="s">
        <v>139</v>
      </c>
      <c r="C1805" t="s">
        <v>10</v>
      </c>
      <c r="D1805" t="s">
        <v>11</v>
      </c>
      <c r="E1805">
        <v>202602</v>
      </c>
      <c r="F1805" t="s">
        <v>437</v>
      </c>
      <c r="G1805">
        <v>0</v>
      </c>
      <c r="H1805">
        <v>2</v>
      </c>
      <c r="I1805">
        <v>0</v>
      </c>
      <c r="J1805">
        <v>3</v>
      </c>
      <c r="K1805">
        <v>0</v>
      </c>
      <c r="L1805">
        <v>0</v>
      </c>
      <c r="M1805">
        <v>0</v>
      </c>
      <c r="N1805">
        <v>0</v>
      </c>
      <c r="O1805">
        <v>4</v>
      </c>
      <c r="P1805">
        <v>0</v>
      </c>
      <c r="Q1805">
        <v>1</v>
      </c>
      <c r="R1805">
        <v>1</v>
      </c>
      <c r="S1805">
        <v>1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1</v>
      </c>
      <c r="Z1805">
        <v>1</v>
      </c>
      <c r="AA1805">
        <v>0</v>
      </c>
      <c r="AB1805">
        <v>0</v>
      </c>
      <c r="AC1805">
        <v>3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18</v>
      </c>
      <c r="AM1805">
        <v>1.6666666666666667</v>
      </c>
      <c r="AN1805">
        <v>26.398343113565303</v>
      </c>
    </row>
    <row r="1806" spans="1:40" x14ac:dyDescent="0.3">
      <c r="A1806" t="s">
        <v>380</v>
      </c>
      <c r="B1806" t="s">
        <v>139</v>
      </c>
      <c r="C1806" t="s">
        <v>10</v>
      </c>
      <c r="D1806" t="s">
        <v>11</v>
      </c>
      <c r="E1806">
        <v>202602</v>
      </c>
      <c r="F1806" t="s">
        <v>282</v>
      </c>
      <c r="G1806">
        <v>0</v>
      </c>
      <c r="H1806">
        <v>0</v>
      </c>
      <c r="I1806">
        <v>0</v>
      </c>
      <c r="J1806">
        <v>2</v>
      </c>
      <c r="K1806">
        <v>1</v>
      </c>
      <c r="L1806">
        <v>1</v>
      </c>
      <c r="M1806">
        <v>1</v>
      </c>
      <c r="N1806">
        <v>1</v>
      </c>
      <c r="O1806">
        <v>2</v>
      </c>
      <c r="P1806">
        <v>0</v>
      </c>
      <c r="Q1806">
        <v>6</v>
      </c>
      <c r="R1806">
        <v>1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2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19</v>
      </c>
      <c r="AM1806">
        <v>1</v>
      </c>
      <c r="AN1806">
        <v>24.039005868139181</v>
      </c>
    </row>
    <row r="1807" spans="1:40" x14ac:dyDescent="0.3">
      <c r="A1807" t="s">
        <v>380</v>
      </c>
      <c r="B1807" t="s">
        <v>139</v>
      </c>
      <c r="C1807" t="s">
        <v>10</v>
      </c>
      <c r="D1807" t="s">
        <v>11</v>
      </c>
      <c r="E1807">
        <v>202602</v>
      </c>
      <c r="F1807" t="s">
        <v>438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1</v>
      </c>
      <c r="P1807">
        <v>0</v>
      </c>
      <c r="Q1807">
        <v>2</v>
      </c>
      <c r="R1807">
        <v>2</v>
      </c>
      <c r="S1807">
        <v>2</v>
      </c>
      <c r="T1807">
        <v>1</v>
      </c>
      <c r="U1807">
        <v>0</v>
      </c>
      <c r="V1807">
        <v>1</v>
      </c>
      <c r="W1807">
        <v>0</v>
      </c>
      <c r="X1807">
        <v>1</v>
      </c>
      <c r="Y1807">
        <v>1</v>
      </c>
      <c r="Z1807">
        <v>0</v>
      </c>
      <c r="AA1807">
        <v>2</v>
      </c>
      <c r="AB1807">
        <v>0</v>
      </c>
      <c r="AC1807">
        <v>3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17</v>
      </c>
      <c r="AM1807">
        <v>1.3333333333333333</v>
      </c>
      <c r="AN1807">
        <v>23.718674490852244</v>
      </c>
    </row>
    <row r="1808" spans="1:40" x14ac:dyDescent="0.3">
      <c r="A1808" t="s">
        <v>380</v>
      </c>
      <c r="B1808" t="s">
        <v>139</v>
      </c>
      <c r="C1808" t="s">
        <v>10</v>
      </c>
      <c r="D1808" t="s">
        <v>11</v>
      </c>
      <c r="E1808">
        <v>202602</v>
      </c>
      <c r="F1808" t="s">
        <v>414</v>
      </c>
      <c r="G1808">
        <v>0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2</v>
      </c>
      <c r="AM1808">
        <v>0</v>
      </c>
      <c r="AN1808">
        <v>2</v>
      </c>
    </row>
    <row r="1809" spans="1:40" x14ac:dyDescent="0.3">
      <c r="A1809" t="s">
        <v>380</v>
      </c>
      <c r="B1809" t="s">
        <v>139</v>
      </c>
      <c r="C1809" t="s">
        <v>10</v>
      </c>
      <c r="D1809" t="s">
        <v>11</v>
      </c>
      <c r="E1809">
        <v>202602</v>
      </c>
      <c r="F1809" t="s">
        <v>439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3</v>
      </c>
      <c r="AM1809">
        <v>0.33333333333333331</v>
      </c>
      <c r="AN1809">
        <v>4.6796686227130611</v>
      </c>
    </row>
    <row r="1810" spans="1:40" x14ac:dyDescent="0.3">
      <c r="A1810" t="s">
        <v>380</v>
      </c>
      <c r="B1810" t="s">
        <v>139</v>
      </c>
      <c r="C1810" t="s">
        <v>10</v>
      </c>
      <c r="D1810" t="s">
        <v>11</v>
      </c>
      <c r="E1810">
        <v>202602</v>
      </c>
      <c r="F1810" t="s">
        <v>148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</v>
      </c>
      <c r="AM1810">
        <v>0</v>
      </c>
      <c r="AN1810">
        <v>1</v>
      </c>
    </row>
    <row r="1811" spans="1:40" x14ac:dyDescent="0.3">
      <c r="A1811" t="s">
        <v>380</v>
      </c>
      <c r="B1811" t="s">
        <v>139</v>
      </c>
      <c r="C1811" t="s">
        <v>10</v>
      </c>
      <c r="D1811" t="s">
        <v>11</v>
      </c>
      <c r="E1811">
        <v>202602</v>
      </c>
      <c r="F1811" t="s">
        <v>727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</v>
      </c>
      <c r="AM1811">
        <v>0</v>
      </c>
      <c r="AN1811">
        <v>1</v>
      </c>
    </row>
    <row r="1812" spans="1:40" x14ac:dyDescent="0.3">
      <c r="A1812" t="s">
        <v>380</v>
      </c>
      <c r="B1812" t="s">
        <v>139</v>
      </c>
      <c r="C1812" t="s">
        <v>10</v>
      </c>
      <c r="D1812" t="s">
        <v>11</v>
      </c>
      <c r="E1812">
        <v>202602</v>
      </c>
      <c r="F1812" t="s">
        <v>726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1</v>
      </c>
      <c r="AM1812">
        <v>0</v>
      </c>
      <c r="AN1812">
        <v>1</v>
      </c>
    </row>
    <row r="1813" spans="1:40" x14ac:dyDescent="0.3">
      <c r="A1813" t="s">
        <v>380</v>
      </c>
      <c r="B1813" t="s">
        <v>139</v>
      </c>
      <c r="C1813" t="s">
        <v>10</v>
      </c>
      <c r="D1813" t="s">
        <v>11</v>
      </c>
      <c r="E1813">
        <v>202602</v>
      </c>
      <c r="F1813" t="s">
        <v>443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</v>
      </c>
      <c r="AM1813">
        <v>0</v>
      </c>
      <c r="AN1813">
        <v>1</v>
      </c>
    </row>
    <row r="1814" spans="1:40" x14ac:dyDescent="0.3">
      <c r="A1814" t="s">
        <v>380</v>
      </c>
      <c r="B1814" t="s">
        <v>139</v>
      </c>
      <c r="C1814" t="s">
        <v>10</v>
      </c>
      <c r="D1814" t="s">
        <v>11</v>
      </c>
      <c r="E1814">
        <v>202602</v>
      </c>
      <c r="F1814" t="s">
        <v>440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2</v>
      </c>
      <c r="AM1814">
        <v>0</v>
      </c>
      <c r="AN1814">
        <v>2</v>
      </c>
    </row>
    <row r="1815" spans="1:40" x14ac:dyDescent="0.3">
      <c r="A1815" t="s">
        <v>380</v>
      </c>
      <c r="B1815" t="s">
        <v>139</v>
      </c>
      <c r="C1815" t="s">
        <v>10</v>
      </c>
      <c r="D1815" t="s">
        <v>11</v>
      </c>
      <c r="E1815">
        <v>202602</v>
      </c>
      <c r="F1815" t="s">
        <v>745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1</v>
      </c>
      <c r="AM1815">
        <v>0</v>
      </c>
      <c r="AN1815">
        <v>1</v>
      </c>
    </row>
    <row r="1816" spans="1:40" x14ac:dyDescent="0.3">
      <c r="A1816" t="s">
        <v>380</v>
      </c>
      <c r="B1816" t="s">
        <v>139</v>
      </c>
      <c r="C1816" t="s">
        <v>10</v>
      </c>
      <c r="D1816" t="s">
        <v>11</v>
      </c>
      <c r="E1816">
        <v>202602</v>
      </c>
      <c r="F1816" t="s">
        <v>237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1</v>
      </c>
    </row>
    <row r="1817" spans="1:40" x14ac:dyDescent="0.3">
      <c r="A1817" t="s">
        <v>380</v>
      </c>
      <c r="B1817" t="s">
        <v>139</v>
      </c>
      <c r="C1817" t="s">
        <v>10</v>
      </c>
      <c r="D1817" t="s">
        <v>11</v>
      </c>
      <c r="E1817">
        <v>202602</v>
      </c>
      <c r="F1817" t="s">
        <v>162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2</v>
      </c>
      <c r="AM1817">
        <v>0</v>
      </c>
      <c r="AN1817">
        <v>2</v>
      </c>
    </row>
    <row r="1818" spans="1:40" x14ac:dyDescent="0.3">
      <c r="A1818" t="s">
        <v>380</v>
      </c>
      <c r="B1818" t="s">
        <v>139</v>
      </c>
      <c r="C1818" t="s">
        <v>10</v>
      </c>
      <c r="D1818" t="s">
        <v>11</v>
      </c>
      <c r="E1818">
        <v>202602</v>
      </c>
      <c r="F1818" t="s">
        <v>445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2</v>
      </c>
      <c r="AM1818">
        <v>0.33333333333333331</v>
      </c>
      <c r="AN1818">
        <v>3.6796686227130611</v>
      </c>
    </row>
    <row r="1819" spans="1:40" x14ac:dyDescent="0.3">
      <c r="A1819" t="s">
        <v>380</v>
      </c>
      <c r="B1819" t="s">
        <v>139</v>
      </c>
      <c r="C1819" t="s">
        <v>10</v>
      </c>
      <c r="D1819" t="s">
        <v>11</v>
      </c>
      <c r="E1819">
        <v>202602</v>
      </c>
      <c r="F1819" t="s">
        <v>730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0.33333333333333331</v>
      </c>
      <c r="AN1819">
        <v>2.6796686227130611</v>
      </c>
    </row>
    <row r="1820" spans="1:40" x14ac:dyDescent="0.3">
      <c r="A1820" t="s">
        <v>380</v>
      </c>
      <c r="B1820" t="s">
        <v>139</v>
      </c>
      <c r="C1820" t="s">
        <v>10</v>
      </c>
      <c r="D1820" t="s">
        <v>14</v>
      </c>
      <c r="E1820">
        <v>202602</v>
      </c>
      <c r="F1820" t="s">
        <v>441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3</v>
      </c>
      <c r="AM1820">
        <v>0</v>
      </c>
      <c r="AN1820">
        <v>3</v>
      </c>
    </row>
    <row r="1821" spans="1:40" x14ac:dyDescent="0.3">
      <c r="A1821" t="s">
        <v>380</v>
      </c>
      <c r="B1821" t="s">
        <v>139</v>
      </c>
      <c r="C1821" t="s">
        <v>10</v>
      </c>
      <c r="D1821" t="s">
        <v>14</v>
      </c>
      <c r="E1821">
        <v>202602</v>
      </c>
      <c r="F1821" t="s">
        <v>442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4</v>
      </c>
      <c r="AM1821">
        <v>0.66666666666666663</v>
      </c>
      <c r="AN1821">
        <v>6.8684828558005</v>
      </c>
    </row>
    <row r="1822" spans="1:40" x14ac:dyDescent="0.3">
      <c r="A1822" t="s">
        <v>380</v>
      </c>
      <c r="B1822" t="s">
        <v>139</v>
      </c>
      <c r="C1822" t="s">
        <v>10</v>
      </c>
      <c r="D1822" t="s">
        <v>14</v>
      </c>
      <c r="E1822">
        <v>202602</v>
      </c>
      <c r="F1822" t="s">
        <v>437</v>
      </c>
      <c r="G1822">
        <v>0</v>
      </c>
      <c r="H1822">
        <v>0</v>
      </c>
      <c r="I1822">
        <v>1</v>
      </c>
      <c r="J1822">
        <v>1</v>
      </c>
      <c r="K1822">
        <v>3</v>
      </c>
      <c r="L1822">
        <v>2</v>
      </c>
      <c r="M1822">
        <v>2</v>
      </c>
      <c r="N1822">
        <v>0</v>
      </c>
      <c r="O1822">
        <v>1</v>
      </c>
      <c r="P1822">
        <v>0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1</v>
      </c>
      <c r="W1822">
        <v>0</v>
      </c>
      <c r="X1822">
        <v>1</v>
      </c>
      <c r="Y1822">
        <v>1</v>
      </c>
      <c r="Z1822">
        <v>3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19</v>
      </c>
      <c r="AM1822">
        <v>1.6666666666666667</v>
      </c>
      <c r="AN1822">
        <v>26.171207139501249</v>
      </c>
    </row>
    <row r="1823" spans="1:40" x14ac:dyDescent="0.3">
      <c r="A1823" t="s">
        <v>380</v>
      </c>
      <c r="B1823" t="s">
        <v>139</v>
      </c>
      <c r="C1823" t="s">
        <v>10</v>
      </c>
      <c r="D1823" t="s">
        <v>14</v>
      </c>
      <c r="E1823">
        <v>202602</v>
      </c>
      <c r="F1823" t="s">
        <v>282</v>
      </c>
      <c r="G1823">
        <v>0</v>
      </c>
      <c r="H1823">
        <v>2</v>
      </c>
      <c r="I1823">
        <v>3</v>
      </c>
      <c r="J1823">
        <v>3</v>
      </c>
      <c r="K1823">
        <v>2</v>
      </c>
      <c r="L1823">
        <v>3</v>
      </c>
      <c r="M1823">
        <v>1</v>
      </c>
      <c r="N1823">
        <v>0</v>
      </c>
      <c r="O1823">
        <v>2</v>
      </c>
      <c r="P1823">
        <v>0</v>
      </c>
      <c r="Q1823">
        <v>2</v>
      </c>
      <c r="R1823">
        <v>1</v>
      </c>
      <c r="S1823">
        <v>0</v>
      </c>
      <c r="T1823">
        <v>0</v>
      </c>
      <c r="U1823">
        <v>0</v>
      </c>
      <c r="V1823">
        <v>1</v>
      </c>
      <c r="W1823">
        <v>0</v>
      </c>
      <c r="X1823">
        <v>2</v>
      </c>
      <c r="Y1823">
        <v>2</v>
      </c>
      <c r="Z1823">
        <v>1</v>
      </c>
      <c r="AA1823">
        <v>0</v>
      </c>
      <c r="AB1823">
        <v>0</v>
      </c>
      <c r="AC1823">
        <v>2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27</v>
      </c>
      <c r="AM1823">
        <v>1.6666666666666667</v>
      </c>
      <c r="AN1823">
        <v>34.171207139501249</v>
      </c>
    </row>
    <row r="1824" spans="1:40" x14ac:dyDescent="0.3">
      <c r="A1824" t="s">
        <v>380</v>
      </c>
      <c r="B1824" t="s">
        <v>139</v>
      </c>
      <c r="C1824" t="s">
        <v>10</v>
      </c>
      <c r="D1824" t="s">
        <v>14</v>
      </c>
      <c r="E1824">
        <v>202602</v>
      </c>
      <c r="F1824" t="s">
        <v>438</v>
      </c>
      <c r="G1824">
        <v>0</v>
      </c>
      <c r="H1824">
        <v>0</v>
      </c>
      <c r="I1824">
        <v>1</v>
      </c>
      <c r="J1824">
        <v>3</v>
      </c>
      <c r="K1824">
        <v>1</v>
      </c>
      <c r="L1824">
        <v>0</v>
      </c>
      <c r="M1824">
        <v>0</v>
      </c>
      <c r="N1824">
        <v>0</v>
      </c>
      <c r="O1824">
        <v>1</v>
      </c>
      <c r="P1824">
        <v>3</v>
      </c>
      <c r="Q1824">
        <v>2</v>
      </c>
      <c r="R1824">
        <v>1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0</v>
      </c>
      <c r="Y1824">
        <v>4</v>
      </c>
      <c r="Z1824">
        <v>2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20</v>
      </c>
      <c r="AM1824">
        <v>2</v>
      </c>
      <c r="AN1824">
        <v>28.605448567401503</v>
      </c>
    </row>
    <row r="1825" spans="1:40" x14ac:dyDescent="0.3">
      <c r="A1825" t="s">
        <v>380</v>
      </c>
      <c r="B1825" t="s">
        <v>139</v>
      </c>
      <c r="C1825" t="s">
        <v>10</v>
      </c>
      <c r="D1825" t="s">
        <v>14</v>
      </c>
      <c r="E1825">
        <v>202602</v>
      </c>
      <c r="F1825" t="s">
        <v>143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>
        <v>1</v>
      </c>
    </row>
    <row r="1826" spans="1:40" x14ac:dyDescent="0.3">
      <c r="A1826" t="s">
        <v>380</v>
      </c>
      <c r="B1826" t="s">
        <v>139</v>
      </c>
      <c r="C1826" t="s">
        <v>10</v>
      </c>
      <c r="D1826" t="s">
        <v>14</v>
      </c>
      <c r="E1826">
        <v>202602</v>
      </c>
      <c r="F1826" t="s">
        <v>414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2</v>
      </c>
      <c r="AM1826">
        <v>0</v>
      </c>
      <c r="AN1826">
        <v>2</v>
      </c>
    </row>
    <row r="1827" spans="1:40" x14ac:dyDescent="0.3">
      <c r="A1827" t="s">
        <v>380</v>
      </c>
      <c r="B1827" t="s">
        <v>139</v>
      </c>
      <c r="C1827" t="s">
        <v>10</v>
      </c>
      <c r="D1827" t="s">
        <v>14</v>
      </c>
      <c r="E1827">
        <v>202602</v>
      </c>
      <c r="F1827" t="s">
        <v>439</v>
      </c>
      <c r="G1827">
        <v>0</v>
      </c>
      <c r="H1827">
        <v>0</v>
      </c>
      <c r="I1827">
        <v>2</v>
      </c>
      <c r="J1827">
        <v>0</v>
      </c>
      <c r="K1827">
        <v>2</v>
      </c>
      <c r="L1827">
        <v>0</v>
      </c>
      <c r="M1827">
        <v>0</v>
      </c>
      <c r="N1827">
        <v>0</v>
      </c>
      <c r="O1827">
        <v>0</v>
      </c>
      <c r="P1827">
        <v>2</v>
      </c>
      <c r="Q1827">
        <v>1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11</v>
      </c>
      <c r="AM1827">
        <v>0</v>
      </c>
      <c r="AN1827">
        <v>11</v>
      </c>
    </row>
    <row r="1828" spans="1:40" x14ac:dyDescent="0.3">
      <c r="A1828" t="s">
        <v>380</v>
      </c>
      <c r="B1828" t="s">
        <v>139</v>
      </c>
      <c r="C1828" t="s">
        <v>10</v>
      </c>
      <c r="D1828" t="s">
        <v>14</v>
      </c>
      <c r="E1828">
        <v>202602</v>
      </c>
      <c r="F1828" t="s">
        <v>148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3</v>
      </c>
      <c r="AM1828">
        <v>0</v>
      </c>
      <c r="AN1828">
        <v>3</v>
      </c>
    </row>
    <row r="1829" spans="1:40" x14ac:dyDescent="0.3">
      <c r="A1829" t="s">
        <v>380</v>
      </c>
      <c r="B1829" t="s">
        <v>139</v>
      </c>
      <c r="C1829" t="s">
        <v>10</v>
      </c>
      <c r="D1829" t="s">
        <v>14</v>
      </c>
      <c r="E1829">
        <v>202602</v>
      </c>
      <c r="F1829" t="s">
        <v>727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1</v>
      </c>
    </row>
    <row r="1830" spans="1:40" x14ac:dyDescent="0.3">
      <c r="A1830" t="s">
        <v>380</v>
      </c>
      <c r="B1830" t="s">
        <v>139</v>
      </c>
      <c r="C1830" t="s">
        <v>10</v>
      </c>
      <c r="D1830" t="s">
        <v>14</v>
      </c>
      <c r="E1830">
        <v>202602</v>
      </c>
      <c r="F1830" t="s">
        <v>726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</v>
      </c>
      <c r="AM1830">
        <v>0</v>
      </c>
      <c r="AN1830">
        <v>1</v>
      </c>
    </row>
    <row r="1831" spans="1:40" x14ac:dyDescent="0.3">
      <c r="A1831" t="s">
        <v>380</v>
      </c>
      <c r="B1831" t="s">
        <v>139</v>
      </c>
      <c r="C1831" t="s">
        <v>10</v>
      </c>
      <c r="D1831" t="s">
        <v>14</v>
      </c>
      <c r="E1831">
        <v>202602</v>
      </c>
      <c r="F1831" t="s">
        <v>153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</v>
      </c>
      <c r="AM1831">
        <v>0</v>
      </c>
      <c r="AN1831">
        <v>1</v>
      </c>
    </row>
    <row r="1832" spans="1:40" x14ac:dyDescent="0.3">
      <c r="A1832" t="s">
        <v>380</v>
      </c>
      <c r="B1832" t="s">
        <v>139</v>
      </c>
      <c r="C1832" t="s">
        <v>10</v>
      </c>
      <c r="D1832" t="s">
        <v>14</v>
      </c>
      <c r="E1832">
        <v>202602</v>
      </c>
      <c r="F1832" t="s">
        <v>728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1</v>
      </c>
      <c r="AM1832">
        <v>0</v>
      </c>
      <c r="AN1832">
        <v>1</v>
      </c>
    </row>
    <row r="1833" spans="1:40" x14ac:dyDescent="0.3">
      <c r="A1833" t="s">
        <v>380</v>
      </c>
      <c r="B1833" t="s">
        <v>139</v>
      </c>
      <c r="C1833" t="s">
        <v>10</v>
      </c>
      <c r="D1833" t="s">
        <v>14</v>
      </c>
      <c r="E1833">
        <v>202602</v>
      </c>
      <c r="F1833" t="s">
        <v>443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2</v>
      </c>
      <c r="AM1833">
        <v>0</v>
      </c>
      <c r="AN1833">
        <v>2</v>
      </c>
    </row>
    <row r="1834" spans="1:40" x14ac:dyDescent="0.3">
      <c r="A1834" t="s">
        <v>380</v>
      </c>
      <c r="B1834" t="s">
        <v>139</v>
      </c>
      <c r="C1834" t="s">
        <v>10</v>
      </c>
      <c r="D1834" t="s">
        <v>14</v>
      </c>
      <c r="E1834">
        <v>202602</v>
      </c>
      <c r="F1834" t="s">
        <v>440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2</v>
      </c>
      <c r="AM1834">
        <v>0</v>
      </c>
      <c r="AN1834">
        <v>2</v>
      </c>
    </row>
    <row r="1835" spans="1:40" x14ac:dyDescent="0.3">
      <c r="A1835" t="s">
        <v>380</v>
      </c>
      <c r="B1835" t="s">
        <v>139</v>
      </c>
      <c r="C1835" t="s">
        <v>10</v>
      </c>
      <c r="D1835" t="s">
        <v>14</v>
      </c>
      <c r="E1835">
        <v>202602</v>
      </c>
      <c r="F1835" t="s">
        <v>745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2</v>
      </c>
      <c r="AM1835">
        <v>0.66666666666666663</v>
      </c>
      <c r="AN1835">
        <v>4.8684828558005</v>
      </c>
    </row>
    <row r="1836" spans="1:40" x14ac:dyDescent="0.3">
      <c r="A1836" t="s">
        <v>380</v>
      </c>
      <c r="B1836" t="s">
        <v>139</v>
      </c>
      <c r="C1836" t="s">
        <v>10</v>
      </c>
      <c r="D1836" t="s">
        <v>14</v>
      </c>
      <c r="E1836">
        <v>202602</v>
      </c>
      <c r="F1836" t="s">
        <v>444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1</v>
      </c>
    </row>
    <row r="1837" spans="1:40" x14ac:dyDescent="0.3">
      <c r="A1837" t="s">
        <v>380</v>
      </c>
      <c r="B1837" t="s">
        <v>139</v>
      </c>
      <c r="C1837" t="s">
        <v>10</v>
      </c>
      <c r="D1837" t="s">
        <v>14</v>
      </c>
      <c r="E1837">
        <v>202602</v>
      </c>
      <c r="F1837" t="s">
        <v>237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</v>
      </c>
      <c r="AN1837">
        <v>1</v>
      </c>
    </row>
    <row r="1838" spans="1:40" x14ac:dyDescent="0.3">
      <c r="A1838" t="s">
        <v>380</v>
      </c>
      <c r="B1838" t="s">
        <v>139</v>
      </c>
      <c r="C1838" t="s">
        <v>10</v>
      </c>
      <c r="D1838" t="s">
        <v>14</v>
      </c>
      <c r="E1838">
        <v>202602</v>
      </c>
      <c r="F1838" t="s">
        <v>162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2</v>
      </c>
      <c r="AM1838">
        <v>0</v>
      </c>
      <c r="AN1838">
        <v>2</v>
      </c>
    </row>
    <row r="1839" spans="1:40" x14ac:dyDescent="0.3">
      <c r="A1839" t="s">
        <v>380</v>
      </c>
      <c r="B1839" t="s">
        <v>139</v>
      </c>
      <c r="C1839" t="s">
        <v>10</v>
      </c>
      <c r="D1839" t="s">
        <v>14</v>
      </c>
      <c r="E1839">
        <v>202602</v>
      </c>
      <c r="F1839" t="s">
        <v>445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3</v>
      </c>
      <c r="AM1839">
        <v>0.33333333333333331</v>
      </c>
      <c r="AN1839">
        <v>4.4342414279002504</v>
      </c>
    </row>
    <row r="1840" spans="1:40" x14ac:dyDescent="0.3">
      <c r="A1840" t="s">
        <v>380</v>
      </c>
      <c r="B1840" t="s">
        <v>139</v>
      </c>
      <c r="C1840" t="s">
        <v>10</v>
      </c>
      <c r="D1840" t="s">
        <v>14</v>
      </c>
      <c r="E1840">
        <v>202602</v>
      </c>
      <c r="F1840" t="s">
        <v>729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2</v>
      </c>
      <c r="AM1840">
        <v>0.33333333333333331</v>
      </c>
      <c r="AN1840">
        <v>3.43424142790025</v>
      </c>
    </row>
    <row r="1841" spans="1:40" x14ac:dyDescent="0.3">
      <c r="A1841" t="s">
        <v>380</v>
      </c>
      <c r="B1841" t="s">
        <v>139</v>
      </c>
      <c r="C1841" t="s">
        <v>10</v>
      </c>
      <c r="D1841" t="s">
        <v>14</v>
      </c>
      <c r="E1841">
        <v>202602</v>
      </c>
      <c r="F1841" t="s">
        <v>730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</v>
      </c>
      <c r="AM1841">
        <v>0</v>
      </c>
      <c r="AN1841">
        <v>1</v>
      </c>
    </row>
    <row r="1842" spans="1:40" x14ac:dyDescent="0.3">
      <c r="A1842" t="s">
        <v>380</v>
      </c>
      <c r="B1842" t="s">
        <v>139</v>
      </c>
      <c r="C1842" t="s">
        <v>16</v>
      </c>
      <c r="D1842" t="s">
        <v>11</v>
      </c>
      <c r="E1842">
        <v>202602</v>
      </c>
      <c r="F1842" t="s">
        <v>437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</v>
      </c>
      <c r="AM1842">
        <v>0.33333333333333331</v>
      </c>
      <c r="AN1842">
        <v>2.6796686227130611</v>
      </c>
    </row>
    <row r="1843" spans="1:40" x14ac:dyDescent="0.3">
      <c r="A1843" t="s">
        <v>380</v>
      </c>
      <c r="B1843" t="s">
        <v>139</v>
      </c>
      <c r="C1843" t="s">
        <v>16</v>
      </c>
      <c r="D1843" t="s">
        <v>11</v>
      </c>
      <c r="E1843">
        <v>202602</v>
      </c>
      <c r="F1843" t="s">
        <v>282</v>
      </c>
      <c r="G1843">
        <v>0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3</v>
      </c>
      <c r="AM1843">
        <v>0.33333333333333331</v>
      </c>
      <c r="AN1843">
        <v>4.6796686227130611</v>
      </c>
    </row>
    <row r="1844" spans="1:40" x14ac:dyDescent="0.3">
      <c r="A1844" t="s">
        <v>380</v>
      </c>
      <c r="B1844" t="s">
        <v>139</v>
      </c>
      <c r="C1844" t="s">
        <v>16</v>
      </c>
      <c r="D1844" t="s">
        <v>11</v>
      </c>
      <c r="E1844">
        <v>202602</v>
      </c>
      <c r="F1844" t="s">
        <v>438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0</v>
      </c>
      <c r="AN1844">
        <v>1</v>
      </c>
    </row>
    <row r="1845" spans="1:40" x14ac:dyDescent="0.3">
      <c r="A1845" t="s">
        <v>380</v>
      </c>
      <c r="B1845" t="s">
        <v>139</v>
      </c>
      <c r="C1845" t="s">
        <v>16</v>
      </c>
      <c r="D1845" t="s">
        <v>14</v>
      </c>
      <c r="E1845">
        <v>202602</v>
      </c>
      <c r="F1845" t="s">
        <v>437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2</v>
      </c>
      <c r="AM1845">
        <v>0.33333333333333331</v>
      </c>
      <c r="AN1845">
        <v>3.43424142790025</v>
      </c>
    </row>
    <row r="1846" spans="1:40" x14ac:dyDescent="0.3">
      <c r="A1846" t="s">
        <v>380</v>
      </c>
      <c r="B1846" t="s">
        <v>139</v>
      </c>
      <c r="C1846" t="s">
        <v>16</v>
      </c>
      <c r="D1846" t="s">
        <v>14</v>
      </c>
      <c r="E1846">
        <v>202602</v>
      </c>
      <c r="F1846" t="s">
        <v>282</v>
      </c>
      <c r="G1846">
        <v>0</v>
      </c>
      <c r="H1846">
        <v>0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2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5</v>
      </c>
      <c r="AM1846">
        <v>0</v>
      </c>
      <c r="AN1846">
        <v>5</v>
      </c>
    </row>
    <row r="1847" spans="1:40" x14ac:dyDescent="0.3">
      <c r="A1847" t="s">
        <v>380</v>
      </c>
      <c r="B1847" t="s">
        <v>139</v>
      </c>
      <c r="C1847" t="s">
        <v>16</v>
      </c>
      <c r="D1847" t="s">
        <v>14</v>
      </c>
      <c r="E1847">
        <v>202602</v>
      </c>
      <c r="F1847" t="s">
        <v>438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3</v>
      </c>
      <c r="AM1847">
        <v>0.33333333333333331</v>
      </c>
      <c r="AN1847">
        <v>4.4342414279002504</v>
      </c>
    </row>
    <row r="1848" spans="1:40" x14ac:dyDescent="0.3">
      <c r="A1848" t="s">
        <v>380</v>
      </c>
      <c r="B1848" t="s">
        <v>238</v>
      </c>
      <c r="C1848" t="s">
        <v>10</v>
      </c>
      <c r="D1848" t="s">
        <v>11</v>
      </c>
      <c r="E1848">
        <v>202602</v>
      </c>
      <c r="F1848" t="s">
        <v>203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1</v>
      </c>
      <c r="R1848">
        <v>2</v>
      </c>
      <c r="S1848">
        <v>10</v>
      </c>
      <c r="T1848">
        <v>0</v>
      </c>
      <c r="U1848">
        <v>0</v>
      </c>
      <c r="V1848">
        <v>2</v>
      </c>
      <c r="W1848">
        <v>0</v>
      </c>
      <c r="X1848">
        <v>3</v>
      </c>
      <c r="Y1848">
        <v>0</v>
      </c>
      <c r="Z1848">
        <v>2</v>
      </c>
      <c r="AA1848">
        <v>0</v>
      </c>
      <c r="AB1848">
        <v>0</v>
      </c>
      <c r="AC1848">
        <v>2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24</v>
      </c>
      <c r="AM1848">
        <v>1.3333333333333333</v>
      </c>
      <c r="AN1848">
        <v>30.718674490852244</v>
      </c>
    </row>
    <row r="1849" spans="1:40" x14ac:dyDescent="0.3">
      <c r="A1849" t="s">
        <v>380</v>
      </c>
      <c r="B1849" t="s">
        <v>238</v>
      </c>
      <c r="C1849" t="s">
        <v>10</v>
      </c>
      <c r="D1849" t="s">
        <v>11</v>
      </c>
      <c r="E1849">
        <v>202602</v>
      </c>
      <c r="F1849" t="s">
        <v>746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2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2</v>
      </c>
      <c r="AM1849">
        <v>0.66666666666666663</v>
      </c>
      <c r="AN1849">
        <v>5.3593372454261221</v>
      </c>
    </row>
    <row r="1850" spans="1:40" x14ac:dyDescent="0.3">
      <c r="A1850" t="s">
        <v>380</v>
      </c>
      <c r="B1850" t="s">
        <v>238</v>
      </c>
      <c r="C1850" t="s">
        <v>10</v>
      </c>
      <c r="D1850" t="s">
        <v>14</v>
      </c>
      <c r="E1850">
        <v>202602</v>
      </c>
      <c r="F1850" t="s">
        <v>203</v>
      </c>
      <c r="G1850">
        <v>0</v>
      </c>
      <c r="H1850">
        <v>0</v>
      </c>
      <c r="I1850">
        <v>3</v>
      </c>
      <c r="J1850">
        <v>1</v>
      </c>
      <c r="K1850">
        <v>3</v>
      </c>
      <c r="L1850">
        <v>7</v>
      </c>
      <c r="M1850">
        <v>0</v>
      </c>
      <c r="N1850">
        <v>0</v>
      </c>
      <c r="O1850">
        <v>4</v>
      </c>
      <c r="P1850">
        <v>10</v>
      </c>
      <c r="Q1850">
        <v>0</v>
      </c>
      <c r="R1850">
        <v>0</v>
      </c>
      <c r="S1850">
        <v>2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11</v>
      </c>
      <c r="AA1850">
        <v>0</v>
      </c>
      <c r="AB1850">
        <v>0</v>
      </c>
      <c r="AC1850">
        <v>5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47</v>
      </c>
      <c r="AM1850">
        <v>5.666666666666667</v>
      </c>
      <c r="AN1850">
        <v>71.382104274304254</v>
      </c>
    </row>
    <row r="1851" spans="1:40" x14ac:dyDescent="0.3">
      <c r="A1851" t="s">
        <v>380</v>
      </c>
      <c r="B1851" t="s">
        <v>238</v>
      </c>
      <c r="C1851" t="s">
        <v>10</v>
      </c>
      <c r="D1851" t="s">
        <v>14</v>
      </c>
      <c r="E1851">
        <v>202602</v>
      </c>
      <c r="F1851" t="s">
        <v>746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2</v>
      </c>
      <c r="AM1851">
        <v>0.33333333333333331</v>
      </c>
      <c r="AN1851">
        <v>3.43424142790025</v>
      </c>
    </row>
    <row r="1852" spans="1:40" x14ac:dyDescent="0.3">
      <c r="A1852" t="s">
        <v>380</v>
      </c>
      <c r="B1852" t="s">
        <v>656</v>
      </c>
      <c r="C1852" t="s">
        <v>10</v>
      </c>
      <c r="D1852" t="s">
        <v>11</v>
      </c>
      <c r="E1852">
        <v>202602</v>
      </c>
      <c r="F1852" t="s">
        <v>171</v>
      </c>
      <c r="G1852">
        <v>0</v>
      </c>
      <c r="H1852">
        <v>1</v>
      </c>
      <c r="I1852">
        <v>2</v>
      </c>
      <c r="J1852">
        <v>3</v>
      </c>
      <c r="K1852">
        <v>6</v>
      </c>
      <c r="L1852">
        <v>6</v>
      </c>
      <c r="M1852">
        <v>2</v>
      </c>
      <c r="N1852">
        <v>0</v>
      </c>
      <c r="O1852">
        <v>3</v>
      </c>
      <c r="P1852">
        <v>1</v>
      </c>
      <c r="Q1852">
        <v>2</v>
      </c>
      <c r="R1852">
        <v>1</v>
      </c>
      <c r="S1852">
        <v>3</v>
      </c>
      <c r="T1852">
        <v>3</v>
      </c>
      <c r="U1852">
        <v>0</v>
      </c>
      <c r="V1852">
        <v>2</v>
      </c>
      <c r="W1852">
        <v>0</v>
      </c>
      <c r="X1852">
        <v>3</v>
      </c>
      <c r="Y1852">
        <v>7</v>
      </c>
      <c r="Z1852">
        <v>4</v>
      </c>
      <c r="AA1852">
        <v>1</v>
      </c>
      <c r="AB1852">
        <v>0</v>
      </c>
      <c r="AC1852">
        <v>5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55</v>
      </c>
      <c r="AM1852">
        <v>5.333333333333333</v>
      </c>
      <c r="AN1852">
        <v>81.874697963408977</v>
      </c>
    </row>
    <row r="1853" spans="1:40" x14ac:dyDescent="0.3">
      <c r="A1853" t="s">
        <v>380</v>
      </c>
      <c r="B1853" t="s">
        <v>656</v>
      </c>
      <c r="C1853" t="s">
        <v>10</v>
      </c>
      <c r="D1853" t="s">
        <v>14</v>
      </c>
      <c r="E1853">
        <v>202602</v>
      </c>
      <c r="F1853" t="s">
        <v>171</v>
      </c>
      <c r="G1853">
        <v>0</v>
      </c>
      <c r="H1853">
        <v>7</v>
      </c>
      <c r="I1853">
        <v>5</v>
      </c>
      <c r="J1853">
        <v>4</v>
      </c>
      <c r="K1853">
        <v>3</v>
      </c>
      <c r="L1853">
        <v>4</v>
      </c>
      <c r="M1853">
        <v>3</v>
      </c>
      <c r="N1853">
        <v>0</v>
      </c>
      <c r="O1853">
        <v>2</v>
      </c>
      <c r="P1853">
        <v>4</v>
      </c>
      <c r="Q1853">
        <v>5</v>
      </c>
      <c r="R1853">
        <v>2</v>
      </c>
      <c r="S1853">
        <v>4</v>
      </c>
      <c r="T1853">
        <v>1</v>
      </c>
      <c r="U1853">
        <v>0</v>
      </c>
      <c r="V1853">
        <v>3</v>
      </c>
      <c r="W1853">
        <v>3</v>
      </c>
      <c r="X1853">
        <v>5</v>
      </c>
      <c r="Y1853">
        <v>5</v>
      </c>
      <c r="Z1853">
        <v>4</v>
      </c>
      <c r="AA1853">
        <v>3</v>
      </c>
      <c r="AB1853">
        <v>0</v>
      </c>
      <c r="AC1853">
        <v>3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70</v>
      </c>
      <c r="AM1853">
        <v>4</v>
      </c>
      <c r="AN1853">
        <v>87.210897134803005</v>
      </c>
    </row>
    <row r="1854" spans="1:40" x14ac:dyDescent="0.3">
      <c r="A1854" t="s">
        <v>380</v>
      </c>
      <c r="B1854" t="s">
        <v>164</v>
      </c>
      <c r="C1854" t="s">
        <v>10</v>
      </c>
      <c r="D1854" t="s">
        <v>11</v>
      </c>
      <c r="E1854">
        <v>202602</v>
      </c>
      <c r="F1854" t="s">
        <v>18</v>
      </c>
      <c r="G1854">
        <v>0</v>
      </c>
      <c r="H1854">
        <v>2</v>
      </c>
      <c r="I1854">
        <v>5</v>
      </c>
      <c r="J1854">
        <v>2</v>
      </c>
      <c r="K1854">
        <v>5</v>
      </c>
      <c r="L1854">
        <v>2</v>
      </c>
      <c r="M1854">
        <v>2</v>
      </c>
      <c r="N1854">
        <v>0</v>
      </c>
      <c r="O1854">
        <v>5</v>
      </c>
      <c r="P1854">
        <v>4</v>
      </c>
      <c r="Q1854">
        <v>2</v>
      </c>
      <c r="R1854">
        <v>2</v>
      </c>
      <c r="S1854">
        <v>1</v>
      </c>
      <c r="T1854">
        <v>0</v>
      </c>
      <c r="U1854">
        <v>0</v>
      </c>
      <c r="V1854">
        <v>5</v>
      </c>
      <c r="W1854">
        <v>3</v>
      </c>
      <c r="X1854">
        <v>4</v>
      </c>
      <c r="Y1854">
        <v>5</v>
      </c>
      <c r="Z1854">
        <v>1</v>
      </c>
      <c r="AA1854">
        <v>1</v>
      </c>
      <c r="AB1854">
        <v>0</v>
      </c>
      <c r="AC1854">
        <v>4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55</v>
      </c>
      <c r="AM1854">
        <v>3.3333333333333335</v>
      </c>
      <c r="AN1854">
        <v>71.796686227130607</v>
      </c>
    </row>
    <row r="1855" spans="1:40" x14ac:dyDescent="0.3">
      <c r="A1855" t="s">
        <v>380</v>
      </c>
      <c r="B1855" t="s">
        <v>164</v>
      </c>
      <c r="C1855" t="s">
        <v>10</v>
      </c>
      <c r="D1855" t="s">
        <v>11</v>
      </c>
      <c r="E1855">
        <v>202602</v>
      </c>
      <c r="F1855" t="s">
        <v>138</v>
      </c>
      <c r="G1855">
        <v>0</v>
      </c>
      <c r="H1855">
        <v>5</v>
      </c>
      <c r="I1855">
        <v>1</v>
      </c>
      <c r="J1855">
        <v>1</v>
      </c>
      <c r="K1855">
        <v>7</v>
      </c>
      <c r="L1855">
        <v>5</v>
      </c>
      <c r="M1855">
        <v>0</v>
      </c>
      <c r="N1855">
        <v>0</v>
      </c>
      <c r="O1855">
        <v>3</v>
      </c>
      <c r="P1855">
        <v>5</v>
      </c>
      <c r="Q1855">
        <v>3</v>
      </c>
      <c r="R1855">
        <v>6</v>
      </c>
      <c r="S1855">
        <v>6</v>
      </c>
      <c r="T1855">
        <v>4</v>
      </c>
      <c r="U1855">
        <v>0</v>
      </c>
      <c r="V1855">
        <v>5</v>
      </c>
      <c r="W1855">
        <v>1</v>
      </c>
      <c r="X1855">
        <v>9</v>
      </c>
      <c r="Y1855">
        <v>8</v>
      </c>
      <c r="Z1855">
        <v>4</v>
      </c>
      <c r="AA1855">
        <v>2</v>
      </c>
      <c r="AB1855">
        <v>0</v>
      </c>
      <c r="AC1855">
        <v>5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80</v>
      </c>
      <c r="AM1855">
        <v>5.666666666666667</v>
      </c>
      <c r="AN1855">
        <v>108.55436658612203</v>
      </c>
    </row>
    <row r="1856" spans="1:40" x14ac:dyDescent="0.3">
      <c r="A1856" t="s">
        <v>380</v>
      </c>
      <c r="B1856" t="s">
        <v>164</v>
      </c>
      <c r="C1856" t="s">
        <v>10</v>
      </c>
      <c r="D1856" t="s">
        <v>14</v>
      </c>
      <c r="E1856">
        <v>202602</v>
      </c>
      <c r="F1856" t="s">
        <v>18</v>
      </c>
      <c r="G1856">
        <v>2</v>
      </c>
      <c r="H1856">
        <v>3</v>
      </c>
      <c r="I1856">
        <v>4</v>
      </c>
      <c r="J1856">
        <v>2</v>
      </c>
      <c r="K1856">
        <v>6</v>
      </c>
      <c r="L1856">
        <v>4</v>
      </c>
      <c r="M1856">
        <v>0</v>
      </c>
      <c r="N1856">
        <v>0</v>
      </c>
      <c r="O1856">
        <v>2</v>
      </c>
      <c r="P1856">
        <v>5</v>
      </c>
      <c r="Q1856">
        <v>6</v>
      </c>
      <c r="R1856">
        <v>2</v>
      </c>
      <c r="S1856">
        <v>2</v>
      </c>
      <c r="T1856">
        <v>4</v>
      </c>
      <c r="U1856">
        <v>2</v>
      </c>
      <c r="V1856">
        <v>3</v>
      </c>
      <c r="W1856">
        <v>3</v>
      </c>
      <c r="X1856">
        <v>2</v>
      </c>
      <c r="Y1856">
        <v>4</v>
      </c>
      <c r="Z1856">
        <v>4</v>
      </c>
      <c r="AA1856">
        <v>1</v>
      </c>
      <c r="AB1856">
        <v>1</v>
      </c>
      <c r="AC1856">
        <v>5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67</v>
      </c>
      <c r="AM1856">
        <v>4.333333333333333</v>
      </c>
      <c r="AN1856">
        <v>85.645138562703252</v>
      </c>
    </row>
    <row r="1857" spans="1:40" x14ac:dyDescent="0.3">
      <c r="A1857" t="s">
        <v>380</v>
      </c>
      <c r="B1857" t="s">
        <v>164</v>
      </c>
      <c r="C1857" t="s">
        <v>10</v>
      </c>
      <c r="D1857" t="s">
        <v>14</v>
      </c>
      <c r="E1857">
        <v>202602</v>
      </c>
      <c r="F1857" t="s">
        <v>138</v>
      </c>
      <c r="G1857">
        <v>0</v>
      </c>
      <c r="H1857">
        <v>2</v>
      </c>
      <c r="I1857">
        <v>5</v>
      </c>
      <c r="J1857">
        <v>4</v>
      </c>
      <c r="K1857">
        <v>8</v>
      </c>
      <c r="L1857">
        <v>4</v>
      </c>
      <c r="M1857">
        <v>7</v>
      </c>
      <c r="N1857">
        <v>0</v>
      </c>
      <c r="O1857">
        <v>12</v>
      </c>
      <c r="P1857">
        <v>7</v>
      </c>
      <c r="Q1857">
        <v>15</v>
      </c>
      <c r="R1857">
        <v>12</v>
      </c>
      <c r="S1857">
        <v>6</v>
      </c>
      <c r="T1857">
        <v>4</v>
      </c>
      <c r="U1857">
        <v>0</v>
      </c>
      <c r="V1857">
        <v>5</v>
      </c>
      <c r="W1857">
        <v>6</v>
      </c>
      <c r="X1857">
        <v>4</v>
      </c>
      <c r="Y1857">
        <v>8</v>
      </c>
      <c r="Z1857">
        <v>7</v>
      </c>
      <c r="AA1857">
        <v>3</v>
      </c>
      <c r="AB1857">
        <v>0</v>
      </c>
      <c r="AC1857">
        <v>9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128</v>
      </c>
      <c r="AM1857">
        <v>8</v>
      </c>
      <c r="AN1857">
        <v>162.42179426960601</v>
      </c>
    </row>
    <row r="1858" spans="1:40" x14ac:dyDescent="0.3">
      <c r="A1858" t="s">
        <v>380</v>
      </c>
      <c r="B1858" t="s">
        <v>164</v>
      </c>
      <c r="C1858" t="s">
        <v>16</v>
      </c>
      <c r="D1858" t="s">
        <v>11</v>
      </c>
      <c r="E1858">
        <v>202602</v>
      </c>
      <c r="F1858" t="s">
        <v>18</v>
      </c>
      <c r="G1858">
        <v>0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2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5</v>
      </c>
      <c r="AM1858">
        <v>0</v>
      </c>
      <c r="AN1858">
        <v>5</v>
      </c>
    </row>
    <row r="1859" spans="1:40" x14ac:dyDescent="0.3">
      <c r="A1859" t="s">
        <v>380</v>
      </c>
      <c r="B1859" t="s">
        <v>164</v>
      </c>
      <c r="C1859" t="s">
        <v>16</v>
      </c>
      <c r="D1859" t="s">
        <v>11</v>
      </c>
      <c r="E1859">
        <v>202602</v>
      </c>
      <c r="F1859" t="s">
        <v>138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2</v>
      </c>
      <c r="AM1859">
        <v>0</v>
      </c>
      <c r="AN1859">
        <v>2</v>
      </c>
    </row>
    <row r="1860" spans="1:40" x14ac:dyDescent="0.3">
      <c r="A1860" t="s">
        <v>380</v>
      </c>
      <c r="B1860" t="s">
        <v>164</v>
      </c>
      <c r="C1860" t="s">
        <v>16</v>
      </c>
      <c r="D1860" t="s">
        <v>14</v>
      </c>
      <c r="E1860">
        <v>202602</v>
      </c>
      <c r="F1860" t="s">
        <v>165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0.33333333333333331</v>
      </c>
      <c r="AN1860">
        <v>2.43424142790025</v>
      </c>
    </row>
    <row r="1861" spans="1:40" x14ac:dyDescent="0.3">
      <c r="A1861" t="s">
        <v>380</v>
      </c>
      <c r="B1861" t="s">
        <v>164</v>
      </c>
      <c r="C1861" t="s">
        <v>16</v>
      </c>
      <c r="D1861" t="s">
        <v>14</v>
      </c>
      <c r="E1861">
        <v>202602</v>
      </c>
      <c r="F1861" t="s">
        <v>18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1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2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6</v>
      </c>
      <c r="AM1861">
        <v>0</v>
      </c>
      <c r="AN1861">
        <v>6</v>
      </c>
    </row>
    <row r="1862" spans="1:40" x14ac:dyDescent="0.3">
      <c r="A1862" t="s">
        <v>380</v>
      </c>
      <c r="B1862" t="s">
        <v>164</v>
      </c>
      <c r="C1862" t="s">
        <v>16</v>
      </c>
      <c r="D1862" t="s">
        <v>14</v>
      </c>
      <c r="E1862">
        <v>202602</v>
      </c>
      <c r="F1862" t="s">
        <v>138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1</v>
      </c>
      <c r="M1862">
        <v>1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5</v>
      </c>
      <c r="AM1862">
        <v>0.33333333333333331</v>
      </c>
      <c r="AN1862">
        <v>6.4342414279002504</v>
      </c>
    </row>
    <row r="1863" spans="1:40" x14ac:dyDescent="0.3">
      <c r="A1863" t="s">
        <v>380</v>
      </c>
      <c r="B1863" t="s">
        <v>168</v>
      </c>
      <c r="C1863" t="s">
        <v>10</v>
      </c>
      <c r="D1863" t="s">
        <v>11</v>
      </c>
      <c r="E1863">
        <v>202602</v>
      </c>
      <c r="F1863" t="s">
        <v>169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2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8</v>
      </c>
      <c r="AM1863">
        <v>0</v>
      </c>
      <c r="AN1863">
        <v>8</v>
      </c>
    </row>
    <row r="1864" spans="1:40" x14ac:dyDescent="0.3">
      <c r="A1864" t="s">
        <v>380</v>
      </c>
      <c r="B1864" t="s">
        <v>168</v>
      </c>
      <c r="C1864" t="s">
        <v>10</v>
      </c>
      <c r="D1864" t="s">
        <v>14</v>
      </c>
      <c r="E1864">
        <v>202602</v>
      </c>
      <c r="F1864" t="s">
        <v>169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2</v>
      </c>
      <c r="Q1864">
        <v>1</v>
      </c>
      <c r="R1864">
        <v>2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10</v>
      </c>
      <c r="AM1864">
        <v>0.33333333333333331</v>
      </c>
      <c r="AN1864">
        <v>11.43424142790025</v>
      </c>
    </row>
    <row r="1865" spans="1:40" x14ac:dyDescent="0.3">
      <c r="A1865" t="s">
        <v>380</v>
      </c>
      <c r="B1865" t="s">
        <v>170</v>
      </c>
      <c r="C1865" t="s">
        <v>10</v>
      </c>
      <c r="D1865" t="s">
        <v>11</v>
      </c>
      <c r="E1865">
        <v>202602</v>
      </c>
      <c r="F1865" t="s">
        <v>50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4</v>
      </c>
      <c r="AM1865">
        <v>0</v>
      </c>
      <c r="AN1865">
        <v>4</v>
      </c>
    </row>
    <row r="1866" spans="1:40" x14ac:dyDescent="0.3">
      <c r="A1866" t="s">
        <v>380</v>
      </c>
      <c r="B1866" t="s">
        <v>170</v>
      </c>
      <c r="C1866" t="s">
        <v>10</v>
      </c>
      <c r="D1866" t="s">
        <v>14</v>
      </c>
      <c r="E1866">
        <v>202602</v>
      </c>
      <c r="F1866" t="s">
        <v>50</v>
      </c>
      <c r="G1866">
        <v>0</v>
      </c>
      <c r="H1866">
        <v>0</v>
      </c>
      <c r="I1866">
        <v>1</v>
      </c>
      <c r="J1866">
        <v>1</v>
      </c>
      <c r="K1866">
        <v>0</v>
      </c>
      <c r="L1866">
        <v>1</v>
      </c>
      <c r="M1866">
        <v>1</v>
      </c>
      <c r="N1866">
        <v>0</v>
      </c>
      <c r="O1866">
        <v>0</v>
      </c>
      <c r="P1866">
        <v>1</v>
      </c>
      <c r="Q1866">
        <v>0</v>
      </c>
      <c r="R1866">
        <v>3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9</v>
      </c>
      <c r="AM1866">
        <v>0</v>
      </c>
      <c r="AN1866">
        <v>9</v>
      </c>
    </row>
    <row r="1867" spans="1:40" x14ac:dyDescent="0.3">
      <c r="A1867" t="s">
        <v>380</v>
      </c>
      <c r="B1867" t="s">
        <v>172</v>
      </c>
      <c r="C1867" t="s">
        <v>10</v>
      </c>
      <c r="D1867" t="s">
        <v>11</v>
      </c>
      <c r="E1867">
        <v>202602</v>
      </c>
      <c r="F1867" t="s">
        <v>171</v>
      </c>
      <c r="G1867">
        <v>0</v>
      </c>
      <c r="H1867">
        <v>3</v>
      </c>
      <c r="I1867">
        <v>3</v>
      </c>
      <c r="J1867">
        <v>0</v>
      </c>
      <c r="K1867">
        <v>0</v>
      </c>
      <c r="L1867">
        <v>4</v>
      </c>
      <c r="M1867">
        <v>0</v>
      </c>
      <c r="N1867">
        <v>0</v>
      </c>
      <c r="O1867">
        <v>3</v>
      </c>
      <c r="P1867">
        <v>1</v>
      </c>
      <c r="Q1867">
        <v>1</v>
      </c>
      <c r="R1867">
        <v>2</v>
      </c>
      <c r="S1867">
        <v>1</v>
      </c>
      <c r="T1867">
        <v>2</v>
      </c>
      <c r="U1867">
        <v>0</v>
      </c>
      <c r="V1867">
        <v>3</v>
      </c>
      <c r="W1867">
        <v>2</v>
      </c>
      <c r="X1867">
        <v>1</v>
      </c>
      <c r="Y1867">
        <v>0</v>
      </c>
      <c r="Z1867">
        <v>1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28</v>
      </c>
      <c r="AM1867">
        <v>0.33333333333333331</v>
      </c>
      <c r="AN1867">
        <v>29.679668622713059</v>
      </c>
    </row>
    <row r="1868" spans="1:40" x14ac:dyDescent="0.3">
      <c r="A1868" t="s">
        <v>380</v>
      </c>
      <c r="B1868" t="s">
        <v>172</v>
      </c>
      <c r="C1868" t="s">
        <v>10</v>
      </c>
      <c r="D1868" t="s">
        <v>14</v>
      </c>
      <c r="E1868">
        <v>202602</v>
      </c>
      <c r="F1868" t="s">
        <v>171</v>
      </c>
      <c r="G1868">
        <v>0</v>
      </c>
      <c r="H1868">
        <v>0</v>
      </c>
      <c r="I1868">
        <v>1</v>
      </c>
      <c r="J1868">
        <v>6</v>
      </c>
      <c r="K1868">
        <v>3</v>
      </c>
      <c r="L1868">
        <v>4</v>
      </c>
      <c r="M1868">
        <v>0</v>
      </c>
      <c r="N1868">
        <v>0</v>
      </c>
      <c r="O1868">
        <v>0</v>
      </c>
      <c r="P1868">
        <v>2</v>
      </c>
      <c r="Q1868">
        <v>3</v>
      </c>
      <c r="R1868">
        <v>4</v>
      </c>
      <c r="S1868">
        <v>4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2</v>
      </c>
      <c r="Z1868">
        <v>0</v>
      </c>
      <c r="AA1868">
        <v>0</v>
      </c>
      <c r="AB1868">
        <v>0</v>
      </c>
      <c r="AC1868">
        <v>5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35</v>
      </c>
      <c r="AM1868">
        <v>2.3333333333333335</v>
      </c>
      <c r="AN1868">
        <v>45.03968999530175</v>
      </c>
    </row>
    <row r="1869" spans="1:40" x14ac:dyDescent="0.3">
      <c r="A1869" t="s">
        <v>380</v>
      </c>
      <c r="B1869" t="s">
        <v>172</v>
      </c>
      <c r="C1869" t="s">
        <v>16</v>
      </c>
      <c r="D1869" t="s">
        <v>11</v>
      </c>
      <c r="E1869">
        <v>202602</v>
      </c>
      <c r="F1869" t="s">
        <v>171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4</v>
      </c>
      <c r="AM1869">
        <v>0.33333333333333331</v>
      </c>
      <c r="AN1869">
        <v>5.6796686227130611</v>
      </c>
    </row>
    <row r="1870" spans="1:40" x14ac:dyDescent="0.3">
      <c r="A1870" t="s">
        <v>380</v>
      </c>
      <c r="B1870" t="s">
        <v>172</v>
      </c>
      <c r="C1870" t="s">
        <v>16</v>
      </c>
      <c r="D1870" t="s">
        <v>14</v>
      </c>
      <c r="E1870">
        <v>202602</v>
      </c>
      <c r="F1870" t="s">
        <v>171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2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4</v>
      </c>
      <c r="AM1870">
        <v>0</v>
      </c>
      <c r="AN1870">
        <v>4</v>
      </c>
    </row>
    <row r="1871" spans="1:40" x14ac:dyDescent="0.3">
      <c r="A1871" t="s">
        <v>446</v>
      </c>
      <c r="B1871" t="s">
        <v>9</v>
      </c>
      <c r="C1871" t="s">
        <v>10</v>
      </c>
      <c r="D1871" t="s">
        <v>11</v>
      </c>
      <c r="E1871">
        <v>202602</v>
      </c>
      <c r="F1871" t="s">
        <v>174</v>
      </c>
      <c r="G1871">
        <v>0</v>
      </c>
      <c r="H1871">
        <v>0</v>
      </c>
      <c r="I1871">
        <v>2</v>
      </c>
      <c r="J1871">
        <v>1</v>
      </c>
      <c r="K1871">
        <v>0</v>
      </c>
      <c r="L1871">
        <v>2</v>
      </c>
      <c r="M1871">
        <v>4</v>
      </c>
      <c r="N1871">
        <v>1</v>
      </c>
      <c r="O1871">
        <v>0</v>
      </c>
      <c r="P1871">
        <v>1</v>
      </c>
      <c r="Q1871">
        <v>3</v>
      </c>
      <c r="R1871">
        <v>2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18</v>
      </c>
      <c r="AM1871">
        <v>0.33333333333333331</v>
      </c>
      <c r="AN1871">
        <v>19.679668622713059</v>
      </c>
    </row>
    <row r="1872" spans="1:40" x14ac:dyDescent="0.3">
      <c r="A1872" t="s">
        <v>446</v>
      </c>
      <c r="B1872" t="s">
        <v>9</v>
      </c>
      <c r="C1872" t="s">
        <v>10</v>
      </c>
      <c r="D1872" t="s">
        <v>11</v>
      </c>
      <c r="E1872">
        <v>202602</v>
      </c>
      <c r="F1872" t="s">
        <v>177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2</v>
      </c>
      <c r="AM1872">
        <v>0</v>
      </c>
      <c r="AN1872">
        <v>2</v>
      </c>
    </row>
    <row r="1873" spans="1:40" x14ac:dyDescent="0.3">
      <c r="A1873" t="s">
        <v>446</v>
      </c>
      <c r="B1873" t="s">
        <v>9</v>
      </c>
      <c r="C1873" t="s">
        <v>10</v>
      </c>
      <c r="D1873" t="s">
        <v>14</v>
      </c>
      <c r="E1873">
        <v>202602</v>
      </c>
      <c r="F1873" t="s">
        <v>174</v>
      </c>
      <c r="G1873">
        <v>0</v>
      </c>
      <c r="H1873">
        <v>2</v>
      </c>
      <c r="I1873">
        <v>2</v>
      </c>
      <c r="J1873">
        <v>2</v>
      </c>
      <c r="K1873">
        <v>1</v>
      </c>
      <c r="L1873">
        <v>0</v>
      </c>
      <c r="M1873">
        <v>2</v>
      </c>
      <c r="N1873">
        <v>1</v>
      </c>
      <c r="O1873">
        <v>0</v>
      </c>
      <c r="P1873">
        <v>5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2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18</v>
      </c>
      <c r="AM1873">
        <v>0.66666666666666663</v>
      </c>
      <c r="AN1873">
        <v>20.868482855800501</v>
      </c>
    </row>
    <row r="1874" spans="1:40" x14ac:dyDescent="0.3">
      <c r="A1874" t="s">
        <v>446</v>
      </c>
      <c r="B1874" t="s">
        <v>9</v>
      </c>
      <c r="C1874" t="s">
        <v>10</v>
      </c>
      <c r="D1874" t="s">
        <v>14</v>
      </c>
      <c r="E1874">
        <v>202602</v>
      </c>
      <c r="F1874" t="s">
        <v>177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2</v>
      </c>
      <c r="AM1874">
        <v>0</v>
      </c>
      <c r="AN1874">
        <v>2</v>
      </c>
    </row>
    <row r="1875" spans="1:40" x14ac:dyDescent="0.3">
      <c r="A1875" t="s">
        <v>446</v>
      </c>
      <c r="B1875" t="s">
        <v>17</v>
      </c>
      <c r="C1875" t="s">
        <v>10</v>
      </c>
      <c r="D1875" t="s">
        <v>11</v>
      </c>
      <c r="E1875">
        <v>202602</v>
      </c>
      <c r="F1875" t="s">
        <v>18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3</v>
      </c>
      <c r="Q1875">
        <v>1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2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9</v>
      </c>
      <c r="AM1875">
        <v>1</v>
      </c>
      <c r="AN1875">
        <v>14.039005868139181</v>
      </c>
    </row>
    <row r="1876" spans="1:40" x14ac:dyDescent="0.3">
      <c r="A1876" t="s">
        <v>446</v>
      </c>
      <c r="B1876" t="s">
        <v>17</v>
      </c>
      <c r="C1876" t="s">
        <v>10</v>
      </c>
      <c r="D1876" t="s">
        <v>11</v>
      </c>
      <c r="E1876">
        <v>202602</v>
      </c>
      <c r="F1876" t="s">
        <v>447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2</v>
      </c>
      <c r="AM1876">
        <v>0.33333333333333331</v>
      </c>
      <c r="AN1876">
        <v>3.6796686227130611</v>
      </c>
    </row>
    <row r="1877" spans="1:40" x14ac:dyDescent="0.3">
      <c r="A1877" t="s">
        <v>446</v>
      </c>
      <c r="B1877" t="s">
        <v>17</v>
      </c>
      <c r="C1877" t="s">
        <v>10</v>
      </c>
      <c r="D1877" t="s">
        <v>11</v>
      </c>
      <c r="E1877">
        <v>202602</v>
      </c>
      <c r="F1877" t="s">
        <v>448</v>
      </c>
      <c r="G1877">
        <v>0</v>
      </c>
      <c r="H1877">
        <v>0</v>
      </c>
      <c r="I1877">
        <v>0</v>
      </c>
      <c r="J1877">
        <v>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2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7</v>
      </c>
      <c r="AM1877">
        <v>0.33333333333333331</v>
      </c>
      <c r="AN1877">
        <v>8.6796686227130611</v>
      </c>
    </row>
    <row r="1878" spans="1:40" x14ac:dyDescent="0.3">
      <c r="A1878" t="s">
        <v>446</v>
      </c>
      <c r="B1878" t="s">
        <v>17</v>
      </c>
      <c r="C1878" t="s">
        <v>10</v>
      </c>
      <c r="D1878" t="s">
        <v>11</v>
      </c>
      <c r="E1878">
        <v>202602</v>
      </c>
      <c r="F1878" t="s">
        <v>449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3</v>
      </c>
      <c r="AM1878">
        <v>0.33333333333333331</v>
      </c>
      <c r="AN1878">
        <v>4.6796686227130611</v>
      </c>
    </row>
    <row r="1879" spans="1:40" x14ac:dyDescent="0.3">
      <c r="A1879" t="s">
        <v>446</v>
      </c>
      <c r="B1879" t="s">
        <v>17</v>
      </c>
      <c r="C1879" t="s">
        <v>10</v>
      </c>
      <c r="D1879" t="s">
        <v>11</v>
      </c>
      <c r="E1879">
        <v>202602</v>
      </c>
      <c r="F1879" t="s">
        <v>450</v>
      </c>
      <c r="G1879">
        <v>0</v>
      </c>
      <c r="H1879">
        <v>1</v>
      </c>
      <c r="I1879">
        <v>1</v>
      </c>
      <c r="J1879">
        <v>0</v>
      </c>
      <c r="K1879">
        <v>1</v>
      </c>
      <c r="L1879">
        <v>2</v>
      </c>
      <c r="M1879">
        <v>1</v>
      </c>
      <c r="N1879">
        <v>0</v>
      </c>
      <c r="O1879">
        <v>1</v>
      </c>
      <c r="P1879">
        <v>2</v>
      </c>
      <c r="Q1879">
        <v>2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2</v>
      </c>
      <c r="AB1879">
        <v>0</v>
      </c>
      <c r="AC1879">
        <v>2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16</v>
      </c>
      <c r="AM1879">
        <v>0.66666666666666663</v>
      </c>
      <c r="AN1879">
        <v>19.359337245426122</v>
      </c>
    </row>
    <row r="1880" spans="1:40" x14ac:dyDescent="0.3">
      <c r="A1880" t="s">
        <v>446</v>
      </c>
      <c r="B1880" t="s">
        <v>17</v>
      </c>
      <c r="C1880" t="s">
        <v>10</v>
      </c>
      <c r="D1880" t="s">
        <v>11</v>
      </c>
      <c r="E1880">
        <v>202602</v>
      </c>
      <c r="F1880" t="s">
        <v>451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2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5</v>
      </c>
      <c r="AM1880">
        <v>0.66666666666666663</v>
      </c>
      <c r="AN1880">
        <v>8.3593372454261221</v>
      </c>
    </row>
    <row r="1881" spans="1:40" x14ac:dyDescent="0.3">
      <c r="A1881" t="s">
        <v>446</v>
      </c>
      <c r="B1881" t="s">
        <v>17</v>
      </c>
      <c r="C1881" t="s">
        <v>10</v>
      </c>
      <c r="D1881" t="s">
        <v>11</v>
      </c>
      <c r="E1881">
        <v>202602</v>
      </c>
      <c r="F1881" t="s">
        <v>452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2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1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7</v>
      </c>
      <c r="AM1881">
        <v>0.66666666666666663</v>
      </c>
      <c r="AN1881">
        <v>10.359337245426122</v>
      </c>
    </row>
    <row r="1882" spans="1:40" x14ac:dyDescent="0.3">
      <c r="A1882" t="s">
        <v>446</v>
      </c>
      <c r="B1882" t="s">
        <v>17</v>
      </c>
      <c r="C1882" t="s">
        <v>10</v>
      </c>
      <c r="D1882" t="s">
        <v>11</v>
      </c>
      <c r="E1882">
        <v>202602</v>
      </c>
      <c r="F1882" t="s">
        <v>453</v>
      </c>
      <c r="G1882">
        <v>0</v>
      </c>
      <c r="H1882">
        <v>0</v>
      </c>
      <c r="I1882">
        <v>3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v>1</v>
      </c>
      <c r="P1882">
        <v>0</v>
      </c>
      <c r="Q1882">
        <v>0</v>
      </c>
      <c r="R1882">
        <v>1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1</v>
      </c>
      <c r="AA1882">
        <v>1</v>
      </c>
      <c r="AB1882">
        <v>0</v>
      </c>
      <c r="AC1882">
        <v>2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12</v>
      </c>
      <c r="AM1882">
        <v>1.3333333333333333</v>
      </c>
      <c r="AN1882">
        <v>18.718674490852244</v>
      </c>
    </row>
    <row r="1883" spans="1:40" x14ac:dyDescent="0.3">
      <c r="A1883" t="s">
        <v>446</v>
      </c>
      <c r="B1883" t="s">
        <v>17</v>
      </c>
      <c r="C1883" t="s">
        <v>10</v>
      </c>
      <c r="D1883" t="s">
        <v>11</v>
      </c>
      <c r="E1883">
        <v>202602</v>
      </c>
      <c r="F1883" t="s">
        <v>454</v>
      </c>
      <c r="G1883">
        <v>0</v>
      </c>
      <c r="H1883">
        <v>1</v>
      </c>
      <c r="I1883">
        <v>2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1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2</v>
      </c>
      <c r="Y1883">
        <v>0</v>
      </c>
      <c r="Z1883">
        <v>1</v>
      </c>
      <c r="AA1883">
        <v>0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10</v>
      </c>
      <c r="AM1883">
        <v>0.66666666666666663</v>
      </c>
      <c r="AN1883">
        <v>13.359337245426122</v>
      </c>
    </row>
    <row r="1884" spans="1:40" x14ac:dyDescent="0.3">
      <c r="A1884" t="s">
        <v>446</v>
      </c>
      <c r="B1884" t="s">
        <v>17</v>
      </c>
      <c r="C1884" t="s">
        <v>10</v>
      </c>
      <c r="D1884" t="s">
        <v>11</v>
      </c>
      <c r="E1884">
        <v>202602</v>
      </c>
      <c r="F1884" t="s">
        <v>455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4</v>
      </c>
      <c r="AM1884">
        <v>0.33333333333333331</v>
      </c>
      <c r="AN1884">
        <v>5.6796686227130611</v>
      </c>
    </row>
    <row r="1885" spans="1:40" x14ac:dyDescent="0.3">
      <c r="A1885" t="s">
        <v>446</v>
      </c>
      <c r="B1885" t="s">
        <v>17</v>
      </c>
      <c r="C1885" t="s">
        <v>10</v>
      </c>
      <c r="D1885" t="s">
        <v>11</v>
      </c>
      <c r="E1885">
        <v>202602</v>
      </c>
      <c r="F1885" t="s">
        <v>456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2</v>
      </c>
      <c r="AM1885">
        <v>0</v>
      </c>
      <c r="AN1885">
        <v>2</v>
      </c>
    </row>
    <row r="1886" spans="1:40" x14ac:dyDescent="0.3">
      <c r="A1886" t="s">
        <v>446</v>
      </c>
      <c r="B1886" t="s">
        <v>17</v>
      </c>
      <c r="C1886" t="s">
        <v>10</v>
      </c>
      <c r="D1886" t="s">
        <v>11</v>
      </c>
      <c r="E1886">
        <v>202602</v>
      </c>
      <c r="F1886" t="s">
        <v>457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2</v>
      </c>
      <c r="AM1886">
        <v>0.33333333333333331</v>
      </c>
      <c r="AN1886">
        <v>3.6796686227130611</v>
      </c>
    </row>
    <row r="1887" spans="1:40" x14ac:dyDescent="0.3">
      <c r="A1887" t="s">
        <v>446</v>
      </c>
      <c r="B1887" t="s">
        <v>17</v>
      </c>
      <c r="C1887" t="s">
        <v>10</v>
      </c>
      <c r="D1887" t="s">
        <v>11</v>
      </c>
      <c r="E1887">
        <v>202602</v>
      </c>
      <c r="F1887" t="s">
        <v>458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4</v>
      </c>
      <c r="AM1887">
        <v>0.33333333333333331</v>
      </c>
      <c r="AN1887">
        <v>5.6796686227130611</v>
      </c>
    </row>
    <row r="1888" spans="1:40" x14ac:dyDescent="0.3">
      <c r="A1888" t="s">
        <v>446</v>
      </c>
      <c r="B1888" t="s">
        <v>17</v>
      </c>
      <c r="C1888" t="s">
        <v>10</v>
      </c>
      <c r="D1888" t="s">
        <v>11</v>
      </c>
      <c r="E1888">
        <v>202602</v>
      </c>
      <c r="F1888" t="s">
        <v>459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2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5</v>
      </c>
      <c r="AM1888">
        <v>0.33333333333333331</v>
      </c>
      <c r="AN1888">
        <v>6.6796686227130611</v>
      </c>
    </row>
    <row r="1889" spans="1:40" x14ac:dyDescent="0.3">
      <c r="A1889" t="s">
        <v>446</v>
      </c>
      <c r="B1889" t="s">
        <v>17</v>
      </c>
      <c r="C1889" t="s">
        <v>10</v>
      </c>
      <c r="D1889" t="s">
        <v>11</v>
      </c>
      <c r="E1889">
        <v>202602</v>
      </c>
      <c r="F1889" t="s">
        <v>460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1</v>
      </c>
      <c r="AM1889">
        <v>0</v>
      </c>
      <c r="AN1889">
        <v>1</v>
      </c>
    </row>
    <row r="1890" spans="1:40" x14ac:dyDescent="0.3">
      <c r="A1890" t="s">
        <v>446</v>
      </c>
      <c r="B1890" t="s">
        <v>17</v>
      </c>
      <c r="C1890" t="s">
        <v>10</v>
      </c>
      <c r="D1890" t="s">
        <v>11</v>
      </c>
      <c r="E1890">
        <v>202602</v>
      </c>
      <c r="F1890" t="s">
        <v>461</v>
      </c>
      <c r="G1890">
        <v>0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4</v>
      </c>
      <c r="AM1890">
        <v>0</v>
      </c>
      <c r="AN1890">
        <v>4</v>
      </c>
    </row>
    <row r="1891" spans="1:40" x14ac:dyDescent="0.3">
      <c r="A1891" t="s">
        <v>446</v>
      </c>
      <c r="B1891" t="s">
        <v>17</v>
      </c>
      <c r="C1891" t="s">
        <v>10</v>
      </c>
      <c r="D1891" t="s">
        <v>11</v>
      </c>
      <c r="E1891">
        <v>202602</v>
      </c>
      <c r="F1891" t="s">
        <v>462</v>
      </c>
      <c r="G1891">
        <v>0</v>
      </c>
      <c r="H1891">
        <v>0</v>
      </c>
      <c r="I1891">
        <v>0</v>
      </c>
      <c r="J1891">
        <v>0</v>
      </c>
      <c r="K1891">
        <v>2</v>
      </c>
      <c r="L1891">
        <v>1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4</v>
      </c>
      <c r="AM1891">
        <v>0</v>
      </c>
      <c r="AN1891">
        <v>4</v>
      </c>
    </row>
    <row r="1892" spans="1:40" x14ac:dyDescent="0.3">
      <c r="A1892" t="s">
        <v>446</v>
      </c>
      <c r="B1892" t="s">
        <v>17</v>
      </c>
      <c r="C1892" t="s">
        <v>10</v>
      </c>
      <c r="D1892" t="s">
        <v>11</v>
      </c>
      <c r="E1892">
        <v>202602</v>
      </c>
      <c r="F1892" t="s">
        <v>731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2</v>
      </c>
      <c r="AM1892">
        <v>0.33333333333333331</v>
      </c>
      <c r="AN1892">
        <v>3.6796686227130611</v>
      </c>
    </row>
    <row r="1893" spans="1:40" x14ac:dyDescent="0.3">
      <c r="A1893" t="s">
        <v>446</v>
      </c>
      <c r="B1893" t="s">
        <v>17</v>
      </c>
      <c r="C1893" t="s">
        <v>10</v>
      </c>
      <c r="D1893" t="s">
        <v>14</v>
      </c>
      <c r="E1893">
        <v>202602</v>
      </c>
      <c r="F1893" t="s">
        <v>18</v>
      </c>
      <c r="G1893">
        <v>0</v>
      </c>
      <c r="H1893">
        <v>0</v>
      </c>
      <c r="I1893">
        <v>0</v>
      </c>
      <c r="J1893">
        <v>0</v>
      </c>
      <c r="K1893">
        <v>2</v>
      </c>
      <c r="L1893">
        <v>0</v>
      </c>
      <c r="M1893">
        <v>1</v>
      </c>
      <c r="N1893">
        <v>0</v>
      </c>
      <c r="O1893">
        <v>2</v>
      </c>
      <c r="P1893">
        <v>1</v>
      </c>
      <c r="Q1893">
        <v>0</v>
      </c>
      <c r="R1893">
        <v>2</v>
      </c>
      <c r="S1893">
        <v>1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2</v>
      </c>
      <c r="Z1893">
        <v>1</v>
      </c>
      <c r="AA1893">
        <v>3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16</v>
      </c>
      <c r="AM1893">
        <v>1</v>
      </c>
      <c r="AN1893">
        <v>20.302724283700751</v>
      </c>
    </row>
    <row r="1894" spans="1:40" x14ac:dyDescent="0.3">
      <c r="A1894" t="s">
        <v>446</v>
      </c>
      <c r="B1894" t="s">
        <v>17</v>
      </c>
      <c r="C1894" t="s">
        <v>10</v>
      </c>
      <c r="D1894" t="s">
        <v>14</v>
      </c>
      <c r="E1894">
        <v>202602</v>
      </c>
      <c r="F1894" t="s">
        <v>447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3</v>
      </c>
      <c r="AM1894">
        <v>0</v>
      </c>
      <c r="AN1894">
        <v>3</v>
      </c>
    </row>
    <row r="1895" spans="1:40" x14ac:dyDescent="0.3">
      <c r="A1895" t="s">
        <v>446</v>
      </c>
      <c r="B1895" t="s">
        <v>17</v>
      </c>
      <c r="C1895" t="s">
        <v>10</v>
      </c>
      <c r="D1895" t="s">
        <v>14</v>
      </c>
      <c r="E1895">
        <v>202602</v>
      </c>
      <c r="F1895" t="s">
        <v>448</v>
      </c>
      <c r="G1895">
        <v>0</v>
      </c>
      <c r="H1895">
        <v>0</v>
      </c>
      <c r="I1895">
        <v>2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3</v>
      </c>
      <c r="AA1895">
        <v>0</v>
      </c>
      <c r="AB1895">
        <v>0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8</v>
      </c>
      <c r="AM1895">
        <v>1.3333333333333333</v>
      </c>
      <c r="AN1895">
        <v>13.736965711601</v>
      </c>
    </row>
    <row r="1896" spans="1:40" x14ac:dyDescent="0.3">
      <c r="A1896" t="s">
        <v>446</v>
      </c>
      <c r="B1896" t="s">
        <v>17</v>
      </c>
      <c r="C1896" t="s">
        <v>10</v>
      </c>
      <c r="D1896" t="s">
        <v>14</v>
      </c>
      <c r="E1896">
        <v>202602</v>
      </c>
      <c r="F1896" t="s">
        <v>449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2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4</v>
      </c>
      <c r="AM1896">
        <v>0.66666666666666663</v>
      </c>
      <c r="AN1896">
        <v>6.8684828558005</v>
      </c>
    </row>
    <row r="1897" spans="1:40" x14ac:dyDescent="0.3">
      <c r="A1897" t="s">
        <v>446</v>
      </c>
      <c r="B1897" t="s">
        <v>17</v>
      </c>
      <c r="C1897" t="s">
        <v>10</v>
      </c>
      <c r="D1897" t="s">
        <v>14</v>
      </c>
      <c r="E1897">
        <v>202602</v>
      </c>
      <c r="F1897" t="s">
        <v>450</v>
      </c>
      <c r="G1897">
        <v>0</v>
      </c>
      <c r="H1897">
        <v>2</v>
      </c>
      <c r="I1897">
        <v>1</v>
      </c>
      <c r="J1897">
        <v>1</v>
      </c>
      <c r="K1897">
        <v>3</v>
      </c>
      <c r="L1897">
        <v>2</v>
      </c>
      <c r="M1897">
        <v>0</v>
      </c>
      <c r="N1897">
        <v>0</v>
      </c>
      <c r="O1897">
        <v>1</v>
      </c>
      <c r="P1897">
        <v>1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2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16</v>
      </c>
      <c r="AM1897">
        <v>1</v>
      </c>
      <c r="AN1897">
        <v>20.302724283700751</v>
      </c>
    </row>
    <row r="1898" spans="1:40" x14ac:dyDescent="0.3">
      <c r="A1898" t="s">
        <v>446</v>
      </c>
      <c r="B1898" t="s">
        <v>17</v>
      </c>
      <c r="C1898" t="s">
        <v>10</v>
      </c>
      <c r="D1898" t="s">
        <v>14</v>
      </c>
      <c r="E1898">
        <v>202602</v>
      </c>
      <c r="F1898" t="s">
        <v>451</v>
      </c>
      <c r="G1898">
        <v>0</v>
      </c>
      <c r="H1898">
        <v>1</v>
      </c>
      <c r="I1898">
        <v>0</v>
      </c>
      <c r="J1898">
        <v>1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2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5</v>
      </c>
      <c r="AM1898">
        <v>0</v>
      </c>
      <c r="AN1898">
        <v>5</v>
      </c>
    </row>
    <row r="1899" spans="1:40" x14ac:dyDescent="0.3">
      <c r="A1899" t="s">
        <v>446</v>
      </c>
      <c r="B1899" t="s">
        <v>17</v>
      </c>
      <c r="C1899" t="s">
        <v>10</v>
      </c>
      <c r="D1899" t="s">
        <v>14</v>
      </c>
      <c r="E1899">
        <v>202602</v>
      </c>
      <c r="F1899" t="s">
        <v>452</v>
      </c>
      <c r="G1899">
        <v>1</v>
      </c>
      <c r="H1899">
        <v>0</v>
      </c>
      <c r="I1899">
        <v>1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2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8</v>
      </c>
      <c r="AM1899">
        <v>0</v>
      </c>
      <c r="AN1899">
        <v>8</v>
      </c>
    </row>
    <row r="1900" spans="1:40" x14ac:dyDescent="0.3">
      <c r="A1900" t="s">
        <v>446</v>
      </c>
      <c r="B1900" t="s">
        <v>17</v>
      </c>
      <c r="C1900" t="s">
        <v>10</v>
      </c>
      <c r="D1900" t="s">
        <v>14</v>
      </c>
      <c r="E1900">
        <v>202602</v>
      </c>
      <c r="F1900" t="s">
        <v>453</v>
      </c>
      <c r="G1900">
        <v>2</v>
      </c>
      <c r="H1900">
        <v>0</v>
      </c>
      <c r="I1900">
        <v>1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1</v>
      </c>
      <c r="W1900">
        <v>0</v>
      </c>
      <c r="X1900">
        <v>0</v>
      </c>
      <c r="Y1900">
        <v>1</v>
      </c>
      <c r="Z1900">
        <v>2</v>
      </c>
      <c r="AA1900">
        <v>2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11</v>
      </c>
      <c r="AM1900">
        <v>1</v>
      </c>
      <c r="AN1900">
        <v>15.302724283700751</v>
      </c>
    </row>
    <row r="1901" spans="1:40" x14ac:dyDescent="0.3">
      <c r="A1901" t="s">
        <v>446</v>
      </c>
      <c r="B1901" t="s">
        <v>17</v>
      </c>
      <c r="C1901" t="s">
        <v>10</v>
      </c>
      <c r="D1901" t="s">
        <v>14</v>
      </c>
      <c r="E1901">
        <v>202602</v>
      </c>
      <c r="F1901" t="s">
        <v>454</v>
      </c>
      <c r="G1901">
        <v>1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1</v>
      </c>
      <c r="Z1901">
        <v>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8</v>
      </c>
      <c r="AM1901">
        <v>0.66666666666666663</v>
      </c>
      <c r="AN1901">
        <v>10.868482855800501</v>
      </c>
    </row>
    <row r="1902" spans="1:40" x14ac:dyDescent="0.3">
      <c r="A1902" t="s">
        <v>446</v>
      </c>
      <c r="B1902" t="s">
        <v>17</v>
      </c>
      <c r="C1902" t="s">
        <v>10</v>
      </c>
      <c r="D1902" t="s">
        <v>14</v>
      </c>
      <c r="E1902">
        <v>202602</v>
      </c>
      <c r="F1902" t="s">
        <v>455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3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4</v>
      </c>
      <c r="AM1902">
        <v>0.33333333333333331</v>
      </c>
      <c r="AN1902">
        <v>5.4342414279002504</v>
      </c>
    </row>
    <row r="1903" spans="1:40" x14ac:dyDescent="0.3">
      <c r="A1903" t="s">
        <v>446</v>
      </c>
      <c r="B1903" t="s">
        <v>17</v>
      </c>
      <c r="C1903" t="s">
        <v>10</v>
      </c>
      <c r="D1903" t="s">
        <v>14</v>
      </c>
      <c r="E1903">
        <v>202602</v>
      </c>
      <c r="F1903" t="s">
        <v>456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1</v>
      </c>
      <c r="AM1903">
        <v>0.33333333333333331</v>
      </c>
      <c r="AN1903">
        <v>2.43424142790025</v>
      </c>
    </row>
    <row r="1904" spans="1:40" x14ac:dyDescent="0.3">
      <c r="A1904" t="s">
        <v>446</v>
      </c>
      <c r="B1904" t="s">
        <v>17</v>
      </c>
      <c r="C1904" t="s">
        <v>10</v>
      </c>
      <c r="D1904" t="s">
        <v>14</v>
      </c>
      <c r="E1904">
        <v>202602</v>
      </c>
      <c r="F1904" t="s">
        <v>457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2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2</v>
      </c>
      <c r="AM1904">
        <v>0</v>
      </c>
      <c r="AN1904">
        <v>2</v>
      </c>
    </row>
    <row r="1905" spans="1:40" x14ac:dyDescent="0.3">
      <c r="A1905" t="s">
        <v>446</v>
      </c>
      <c r="B1905" t="s">
        <v>17</v>
      </c>
      <c r="C1905" t="s">
        <v>10</v>
      </c>
      <c r="D1905" t="s">
        <v>14</v>
      </c>
      <c r="E1905">
        <v>202602</v>
      </c>
      <c r="F1905" t="s">
        <v>458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2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4</v>
      </c>
      <c r="AM1905">
        <v>0.33333333333333331</v>
      </c>
      <c r="AN1905">
        <v>5.4342414279002504</v>
      </c>
    </row>
    <row r="1906" spans="1:40" x14ac:dyDescent="0.3">
      <c r="A1906" t="s">
        <v>446</v>
      </c>
      <c r="B1906" t="s">
        <v>17</v>
      </c>
      <c r="C1906" t="s">
        <v>10</v>
      </c>
      <c r="D1906" t="s">
        <v>14</v>
      </c>
      <c r="E1906">
        <v>202602</v>
      </c>
      <c r="F1906" t="s">
        <v>459</v>
      </c>
      <c r="G1906">
        <v>0</v>
      </c>
      <c r="H1906">
        <v>0</v>
      </c>
      <c r="I1906">
        <v>0</v>
      </c>
      <c r="J1906">
        <v>2</v>
      </c>
      <c r="K1906">
        <v>1</v>
      </c>
      <c r="L1906">
        <v>1</v>
      </c>
      <c r="M1906">
        <v>0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7</v>
      </c>
      <c r="AM1906">
        <v>0.33333333333333331</v>
      </c>
      <c r="AN1906">
        <v>8.4342414279002504</v>
      </c>
    </row>
    <row r="1907" spans="1:40" x14ac:dyDescent="0.3">
      <c r="A1907" t="s">
        <v>446</v>
      </c>
      <c r="B1907" t="s">
        <v>17</v>
      </c>
      <c r="C1907" t="s">
        <v>10</v>
      </c>
      <c r="D1907" t="s">
        <v>14</v>
      </c>
      <c r="E1907">
        <v>202602</v>
      </c>
      <c r="F1907" t="s">
        <v>461</v>
      </c>
      <c r="G1907">
        <v>0</v>
      </c>
      <c r="H1907">
        <v>2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5</v>
      </c>
      <c r="AM1907">
        <v>0.33333333333333331</v>
      </c>
      <c r="AN1907">
        <v>6.4342414279002504</v>
      </c>
    </row>
    <row r="1908" spans="1:40" x14ac:dyDescent="0.3">
      <c r="A1908" t="s">
        <v>446</v>
      </c>
      <c r="B1908" t="s">
        <v>17</v>
      </c>
      <c r="C1908" t="s">
        <v>10</v>
      </c>
      <c r="D1908" t="s">
        <v>14</v>
      </c>
      <c r="E1908">
        <v>202602</v>
      </c>
      <c r="F1908" t="s">
        <v>462</v>
      </c>
      <c r="G1908">
        <v>0</v>
      </c>
      <c r="H1908">
        <v>2</v>
      </c>
      <c r="I1908">
        <v>1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4</v>
      </c>
      <c r="AM1908">
        <v>0</v>
      </c>
      <c r="AN1908">
        <v>4</v>
      </c>
    </row>
    <row r="1909" spans="1:40" x14ac:dyDescent="0.3">
      <c r="A1909" t="s">
        <v>446</v>
      </c>
      <c r="B1909" t="s">
        <v>17</v>
      </c>
      <c r="C1909" t="s">
        <v>10</v>
      </c>
      <c r="D1909" t="s">
        <v>14</v>
      </c>
      <c r="E1909">
        <v>202602</v>
      </c>
      <c r="F1909" t="s">
        <v>731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2</v>
      </c>
      <c r="AM1909">
        <v>0.33333333333333331</v>
      </c>
      <c r="AN1909">
        <v>3.43424142790025</v>
      </c>
    </row>
    <row r="1910" spans="1:40" x14ac:dyDescent="0.3">
      <c r="A1910" t="s">
        <v>446</v>
      </c>
      <c r="B1910" t="s">
        <v>17</v>
      </c>
      <c r="C1910" t="s">
        <v>16</v>
      </c>
      <c r="D1910" t="s">
        <v>11</v>
      </c>
      <c r="E1910">
        <v>202602</v>
      </c>
      <c r="F1910" t="s">
        <v>18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7</v>
      </c>
      <c r="AM1910">
        <v>0</v>
      </c>
      <c r="AN1910">
        <v>7</v>
      </c>
    </row>
    <row r="1911" spans="1:40" x14ac:dyDescent="0.3">
      <c r="A1911" t="s">
        <v>446</v>
      </c>
      <c r="B1911" t="s">
        <v>17</v>
      </c>
      <c r="C1911" t="s">
        <v>16</v>
      </c>
      <c r="D1911" t="s">
        <v>11</v>
      </c>
      <c r="E1911">
        <v>202602</v>
      </c>
      <c r="F1911" t="s">
        <v>447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1</v>
      </c>
      <c r="AM1911">
        <v>0</v>
      </c>
      <c r="AN1911">
        <v>1</v>
      </c>
    </row>
    <row r="1912" spans="1:40" x14ac:dyDescent="0.3">
      <c r="A1912" t="s">
        <v>446</v>
      </c>
      <c r="B1912" t="s">
        <v>17</v>
      </c>
      <c r="C1912" t="s">
        <v>16</v>
      </c>
      <c r="D1912" t="s">
        <v>11</v>
      </c>
      <c r="E1912">
        <v>202602</v>
      </c>
      <c r="F1912" t="s">
        <v>450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3</v>
      </c>
      <c r="N1912">
        <v>0</v>
      </c>
      <c r="O1912">
        <v>0</v>
      </c>
      <c r="P1912">
        <v>1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5</v>
      </c>
      <c r="AM1912">
        <v>0</v>
      </c>
      <c r="AN1912">
        <v>5</v>
      </c>
    </row>
    <row r="1913" spans="1:40" x14ac:dyDescent="0.3">
      <c r="A1913" t="s">
        <v>446</v>
      </c>
      <c r="B1913" t="s">
        <v>17</v>
      </c>
      <c r="C1913" t="s">
        <v>16</v>
      </c>
      <c r="D1913" t="s">
        <v>11</v>
      </c>
      <c r="E1913">
        <v>202602</v>
      </c>
      <c r="F1913" t="s">
        <v>457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2</v>
      </c>
      <c r="AB1913">
        <v>0</v>
      </c>
      <c r="AC1913">
        <v>6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8</v>
      </c>
      <c r="AM1913">
        <v>2</v>
      </c>
      <c r="AN1913">
        <v>18.078011736278363</v>
      </c>
    </row>
    <row r="1914" spans="1:40" x14ac:dyDescent="0.3">
      <c r="A1914" t="s">
        <v>446</v>
      </c>
      <c r="B1914" t="s">
        <v>17</v>
      </c>
      <c r="C1914" t="s">
        <v>16</v>
      </c>
      <c r="D1914" t="s">
        <v>14</v>
      </c>
      <c r="E1914">
        <v>202602</v>
      </c>
      <c r="F1914" t="s">
        <v>18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1</v>
      </c>
      <c r="N1914">
        <v>0</v>
      </c>
      <c r="O1914">
        <v>1</v>
      </c>
      <c r="P1914">
        <v>2</v>
      </c>
      <c r="Q1914">
        <v>0</v>
      </c>
      <c r="R1914">
        <v>1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2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9</v>
      </c>
      <c r="AM1914">
        <v>0.66666666666666663</v>
      </c>
      <c r="AN1914">
        <v>11.868482855800501</v>
      </c>
    </row>
    <row r="1915" spans="1:40" x14ac:dyDescent="0.3">
      <c r="A1915" t="s">
        <v>446</v>
      </c>
      <c r="B1915" t="s">
        <v>17</v>
      </c>
      <c r="C1915" t="s">
        <v>16</v>
      </c>
      <c r="D1915" t="s">
        <v>14</v>
      </c>
      <c r="E1915">
        <v>202602</v>
      </c>
      <c r="F1915" t="s">
        <v>447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</v>
      </c>
      <c r="AM1915">
        <v>0</v>
      </c>
      <c r="AN1915">
        <v>1</v>
      </c>
    </row>
    <row r="1916" spans="1:40" x14ac:dyDescent="0.3">
      <c r="A1916" t="s">
        <v>446</v>
      </c>
      <c r="B1916" t="s">
        <v>17</v>
      </c>
      <c r="C1916" t="s">
        <v>16</v>
      </c>
      <c r="D1916" t="s">
        <v>14</v>
      </c>
      <c r="E1916">
        <v>202602</v>
      </c>
      <c r="F1916" t="s">
        <v>450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4</v>
      </c>
      <c r="N1916">
        <v>0</v>
      </c>
      <c r="O1916">
        <v>0</v>
      </c>
      <c r="P1916">
        <v>1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7</v>
      </c>
      <c r="AM1916">
        <v>0</v>
      </c>
      <c r="AN1916">
        <v>7</v>
      </c>
    </row>
    <row r="1917" spans="1:40" x14ac:dyDescent="0.3">
      <c r="A1917" t="s">
        <v>446</v>
      </c>
      <c r="B1917" t="s">
        <v>17</v>
      </c>
      <c r="C1917" t="s">
        <v>16</v>
      </c>
      <c r="D1917" t="s">
        <v>14</v>
      </c>
      <c r="E1917">
        <v>202602</v>
      </c>
      <c r="F1917" t="s">
        <v>457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5</v>
      </c>
      <c r="AB1917">
        <v>0</v>
      </c>
      <c r="AC1917">
        <v>7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12</v>
      </c>
      <c r="AM1917">
        <v>2.3333333333333335</v>
      </c>
      <c r="AN1917">
        <v>22.03968999530175</v>
      </c>
    </row>
    <row r="1918" spans="1:40" x14ac:dyDescent="0.3">
      <c r="A1918" t="s">
        <v>446</v>
      </c>
      <c r="B1918" t="s">
        <v>49</v>
      </c>
      <c r="C1918" t="s">
        <v>10</v>
      </c>
      <c r="D1918" t="s">
        <v>11</v>
      </c>
      <c r="E1918">
        <v>202602</v>
      </c>
      <c r="F1918" t="s">
        <v>51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</v>
      </c>
      <c r="AM1918">
        <v>0</v>
      </c>
      <c r="AN1918">
        <v>1</v>
      </c>
    </row>
    <row r="1919" spans="1:40" x14ac:dyDescent="0.3">
      <c r="A1919" t="s">
        <v>446</v>
      </c>
      <c r="B1919" t="s">
        <v>49</v>
      </c>
      <c r="C1919" t="s">
        <v>10</v>
      </c>
      <c r="D1919" t="s">
        <v>14</v>
      </c>
      <c r="E1919">
        <v>202602</v>
      </c>
      <c r="F1919" t="s">
        <v>50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1</v>
      </c>
      <c r="AM1919">
        <v>0</v>
      </c>
      <c r="AN1919">
        <v>1</v>
      </c>
    </row>
    <row r="1920" spans="1:40" x14ac:dyDescent="0.3">
      <c r="A1920" t="s">
        <v>446</v>
      </c>
      <c r="B1920" t="s">
        <v>49</v>
      </c>
      <c r="C1920" t="s">
        <v>10</v>
      </c>
      <c r="D1920" t="s">
        <v>14</v>
      </c>
      <c r="E1920">
        <v>202602</v>
      </c>
      <c r="F1920" t="s">
        <v>51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0</v>
      </c>
      <c r="AN1920">
        <v>1</v>
      </c>
    </row>
    <row r="1921" spans="1:40" x14ac:dyDescent="0.3">
      <c r="A1921" t="s">
        <v>446</v>
      </c>
      <c r="B1921" t="s">
        <v>49</v>
      </c>
      <c r="C1921" t="s">
        <v>16</v>
      </c>
      <c r="D1921" t="s">
        <v>11</v>
      </c>
      <c r="E1921">
        <v>202602</v>
      </c>
      <c r="F1921" t="s">
        <v>50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</v>
      </c>
      <c r="AM1921">
        <v>0.33333333333333331</v>
      </c>
      <c r="AN1921">
        <v>2.6796686227130611</v>
      </c>
    </row>
    <row r="1922" spans="1:40" x14ac:dyDescent="0.3">
      <c r="A1922" t="s">
        <v>446</v>
      </c>
      <c r="B1922" t="s">
        <v>49</v>
      </c>
      <c r="C1922" t="s">
        <v>16</v>
      </c>
      <c r="D1922" t="s">
        <v>14</v>
      </c>
      <c r="E1922">
        <v>202602</v>
      </c>
      <c r="F1922" t="s">
        <v>50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</v>
      </c>
      <c r="AM1922">
        <v>0.33333333333333331</v>
      </c>
      <c r="AN1922">
        <v>2.43424142790025</v>
      </c>
    </row>
    <row r="1923" spans="1:40" x14ac:dyDescent="0.3">
      <c r="A1923" t="s">
        <v>446</v>
      </c>
      <c r="B1923" t="s">
        <v>49</v>
      </c>
      <c r="C1923" t="s">
        <v>16</v>
      </c>
      <c r="D1923" t="s">
        <v>14</v>
      </c>
      <c r="E1923">
        <v>202602</v>
      </c>
      <c r="F1923" t="s">
        <v>51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1</v>
      </c>
      <c r="AM1923">
        <v>0</v>
      </c>
      <c r="AN1923">
        <v>1</v>
      </c>
    </row>
    <row r="1924" spans="1:40" x14ac:dyDescent="0.3">
      <c r="A1924" t="s">
        <v>446</v>
      </c>
      <c r="B1924" t="s">
        <v>54</v>
      </c>
      <c r="C1924" t="s">
        <v>10</v>
      </c>
      <c r="D1924" t="s">
        <v>11</v>
      </c>
      <c r="E1924">
        <v>202602</v>
      </c>
      <c r="F1924" t="s">
        <v>55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4</v>
      </c>
      <c r="AM1924">
        <v>0</v>
      </c>
      <c r="AN1924">
        <v>4</v>
      </c>
    </row>
    <row r="1925" spans="1:40" x14ac:dyDescent="0.3">
      <c r="A1925" t="s">
        <v>446</v>
      </c>
      <c r="B1925" t="s">
        <v>54</v>
      </c>
      <c r="C1925" t="s">
        <v>10</v>
      </c>
      <c r="D1925" t="s">
        <v>11</v>
      </c>
      <c r="E1925">
        <v>202602</v>
      </c>
      <c r="F1925" t="s">
        <v>56</v>
      </c>
      <c r="G1925">
        <v>0</v>
      </c>
      <c r="H1925">
        <v>2</v>
      </c>
      <c r="I1925">
        <v>3</v>
      </c>
      <c r="J1925">
        <v>3</v>
      </c>
      <c r="K1925">
        <v>5</v>
      </c>
      <c r="L1925">
        <v>2</v>
      </c>
      <c r="M1925">
        <v>0</v>
      </c>
      <c r="N1925">
        <v>0</v>
      </c>
      <c r="O1925">
        <v>3</v>
      </c>
      <c r="P1925">
        <v>2</v>
      </c>
      <c r="Q1925">
        <v>0</v>
      </c>
      <c r="R1925">
        <v>2</v>
      </c>
      <c r="S1925">
        <v>3</v>
      </c>
      <c r="T1925">
        <v>2</v>
      </c>
      <c r="U1925">
        <v>0</v>
      </c>
      <c r="V1925">
        <v>0</v>
      </c>
      <c r="W1925">
        <v>0</v>
      </c>
      <c r="X1925">
        <v>3</v>
      </c>
      <c r="Y1925">
        <v>2</v>
      </c>
      <c r="Z1925">
        <v>0</v>
      </c>
      <c r="AA1925">
        <v>1</v>
      </c>
      <c r="AB1925">
        <v>0</v>
      </c>
      <c r="AC1925">
        <v>2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35</v>
      </c>
      <c r="AM1925">
        <v>1.3333333333333333</v>
      </c>
      <c r="AN1925">
        <v>41.718674490852244</v>
      </c>
    </row>
    <row r="1926" spans="1:40" x14ac:dyDescent="0.3">
      <c r="A1926" t="s">
        <v>446</v>
      </c>
      <c r="B1926" t="s">
        <v>54</v>
      </c>
      <c r="C1926" t="s">
        <v>10</v>
      </c>
      <c r="D1926" t="s">
        <v>11</v>
      </c>
      <c r="E1926">
        <v>202602</v>
      </c>
      <c r="F1926" t="s">
        <v>57</v>
      </c>
      <c r="G1926">
        <v>0</v>
      </c>
      <c r="H1926">
        <v>0</v>
      </c>
      <c r="I1926">
        <v>0</v>
      </c>
      <c r="J1926">
        <v>1</v>
      </c>
      <c r="K1926">
        <v>2</v>
      </c>
      <c r="L1926">
        <v>1</v>
      </c>
      <c r="M1926">
        <v>1</v>
      </c>
      <c r="N1926">
        <v>0</v>
      </c>
      <c r="O1926">
        <v>1</v>
      </c>
      <c r="P1926">
        <v>1</v>
      </c>
      <c r="Q1926">
        <v>0</v>
      </c>
      <c r="R1926">
        <v>3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1</v>
      </c>
      <c r="AA1926">
        <v>2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16</v>
      </c>
      <c r="AM1926">
        <v>1</v>
      </c>
      <c r="AN1926">
        <v>21.039005868139181</v>
      </c>
    </row>
    <row r="1927" spans="1:40" x14ac:dyDescent="0.3">
      <c r="A1927" t="s">
        <v>446</v>
      </c>
      <c r="B1927" t="s">
        <v>54</v>
      </c>
      <c r="C1927" t="s">
        <v>10</v>
      </c>
      <c r="D1927" t="s">
        <v>11</v>
      </c>
      <c r="E1927">
        <v>202602</v>
      </c>
      <c r="F1927" t="s">
        <v>58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</v>
      </c>
      <c r="AM1927">
        <v>0</v>
      </c>
      <c r="AN1927">
        <v>1</v>
      </c>
    </row>
    <row r="1928" spans="1:40" x14ac:dyDescent="0.3">
      <c r="A1928" t="s">
        <v>446</v>
      </c>
      <c r="B1928" t="s">
        <v>54</v>
      </c>
      <c r="C1928" t="s">
        <v>10</v>
      </c>
      <c r="D1928" t="s">
        <v>14</v>
      </c>
      <c r="E1928">
        <v>202602</v>
      </c>
      <c r="F1928" t="s">
        <v>55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2</v>
      </c>
      <c r="Q1928">
        <v>1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5</v>
      </c>
      <c r="AM1928">
        <v>0.33333333333333331</v>
      </c>
      <c r="AN1928">
        <v>6.4342414279002504</v>
      </c>
    </row>
    <row r="1929" spans="1:40" x14ac:dyDescent="0.3">
      <c r="A1929" t="s">
        <v>446</v>
      </c>
      <c r="B1929" t="s">
        <v>54</v>
      </c>
      <c r="C1929" t="s">
        <v>10</v>
      </c>
      <c r="D1929" t="s">
        <v>14</v>
      </c>
      <c r="E1929">
        <v>202602</v>
      </c>
      <c r="F1929" t="s">
        <v>56</v>
      </c>
      <c r="G1929">
        <v>1</v>
      </c>
      <c r="H1929">
        <v>4</v>
      </c>
      <c r="I1929">
        <v>7</v>
      </c>
      <c r="J1929">
        <v>3</v>
      </c>
      <c r="K1929">
        <v>3</v>
      </c>
      <c r="L1929">
        <v>3</v>
      </c>
      <c r="M1929">
        <v>0</v>
      </c>
      <c r="N1929">
        <v>1</v>
      </c>
      <c r="O1929">
        <v>1</v>
      </c>
      <c r="P1929">
        <v>9</v>
      </c>
      <c r="Q1929">
        <v>7</v>
      </c>
      <c r="R1929">
        <v>4</v>
      </c>
      <c r="S1929">
        <v>1</v>
      </c>
      <c r="T1929">
        <v>0</v>
      </c>
      <c r="U1929">
        <v>0</v>
      </c>
      <c r="V1929">
        <v>0</v>
      </c>
      <c r="W1929">
        <v>3</v>
      </c>
      <c r="X1929">
        <v>2</v>
      </c>
      <c r="Y1929">
        <v>2</v>
      </c>
      <c r="Z1929">
        <v>4</v>
      </c>
      <c r="AA1929">
        <v>0</v>
      </c>
      <c r="AB1929">
        <v>1</v>
      </c>
      <c r="AC1929">
        <v>3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59</v>
      </c>
      <c r="AM1929">
        <v>3</v>
      </c>
      <c r="AN1929">
        <v>71.90817285110225</v>
      </c>
    </row>
    <row r="1930" spans="1:40" x14ac:dyDescent="0.3">
      <c r="A1930" t="s">
        <v>446</v>
      </c>
      <c r="B1930" t="s">
        <v>54</v>
      </c>
      <c r="C1930" t="s">
        <v>10</v>
      </c>
      <c r="D1930" t="s">
        <v>14</v>
      </c>
      <c r="E1930">
        <v>202602</v>
      </c>
      <c r="F1930" t="s">
        <v>57</v>
      </c>
      <c r="G1930">
        <v>0</v>
      </c>
      <c r="H1930">
        <v>1</v>
      </c>
      <c r="I1930">
        <v>3</v>
      </c>
      <c r="J1930">
        <v>3</v>
      </c>
      <c r="K1930">
        <v>2</v>
      </c>
      <c r="L1930">
        <v>0</v>
      </c>
      <c r="M1930">
        <v>1</v>
      </c>
      <c r="N1930">
        <v>0</v>
      </c>
      <c r="O1930">
        <v>1</v>
      </c>
      <c r="P1930">
        <v>2</v>
      </c>
      <c r="Q1930">
        <v>4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1</v>
      </c>
      <c r="Z1930">
        <v>3</v>
      </c>
      <c r="AA1930">
        <v>0</v>
      </c>
      <c r="AB1930">
        <v>0</v>
      </c>
      <c r="AC1930">
        <v>2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25</v>
      </c>
      <c r="AM1930">
        <v>2</v>
      </c>
      <c r="AN1930">
        <v>33.605448567401503</v>
      </c>
    </row>
    <row r="1931" spans="1:40" x14ac:dyDescent="0.3">
      <c r="A1931" t="s">
        <v>446</v>
      </c>
      <c r="B1931" t="s">
        <v>54</v>
      </c>
      <c r="C1931" t="s">
        <v>10</v>
      </c>
      <c r="D1931" t="s">
        <v>14</v>
      </c>
      <c r="E1931">
        <v>202602</v>
      </c>
      <c r="F1931" t="s">
        <v>58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</v>
      </c>
      <c r="AM1931">
        <v>0</v>
      </c>
      <c r="AN1931">
        <v>1</v>
      </c>
    </row>
    <row r="1932" spans="1:40" x14ac:dyDescent="0.3">
      <c r="A1932" t="s">
        <v>446</v>
      </c>
      <c r="B1932" t="s">
        <v>59</v>
      </c>
      <c r="C1932" t="s">
        <v>10</v>
      </c>
      <c r="D1932" t="s">
        <v>11</v>
      </c>
      <c r="E1932">
        <v>202602</v>
      </c>
      <c r="F1932" t="s">
        <v>463</v>
      </c>
      <c r="G1932">
        <v>0</v>
      </c>
      <c r="H1932">
        <v>0</v>
      </c>
      <c r="I1932">
        <v>0</v>
      </c>
      <c r="J1932">
        <v>2</v>
      </c>
      <c r="K1932">
        <v>5</v>
      </c>
      <c r="L1932">
        <v>0</v>
      </c>
      <c r="M1932">
        <v>0</v>
      </c>
      <c r="N1932">
        <v>0</v>
      </c>
      <c r="O1932">
        <v>4</v>
      </c>
      <c r="P1932">
        <v>0</v>
      </c>
      <c r="Q1932">
        <v>2</v>
      </c>
      <c r="R1932">
        <v>1</v>
      </c>
      <c r="S1932">
        <v>2</v>
      </c>
      <c r="T1932">
        <v>0</v>
      </c>
      <c r="U1932">
        <v>0</v>
      </c>
      <c r="V1932">
        <v>1</v>
      </c>
      <c r="W1932">
        <v>0</v>
      </c>
      <c r="X1932">
        <v>1</v>
      </c>
      <c r="Y1932">
        <v>0</v>
      </c>
      <c r="Z1932">
        <v>3</v>
      </c>
      <c r="AA1932">
        <v>2</v>
      </c>
      <c r="AB1932">
        <v>0</v>
      </c>
      <c r="AC1932">
        <v>3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26</v>
      </c>
      <c r="AM1932">
        <v>2</v>
      </c>
      <c r="AN1932">
        <v>36.078011736278363</v>
      </c>
    </row>
    <row r="1933" spans="1:40" x14ac:dyDescent="0.3">
      <c r="A1933" t="s">
        <v>446</v>
      </c>
      <c r="B1933" t="s">
        <v>59</v>
      </c>
      <c r="C1933" t="s">
        <v>10</v>
      </c>
      <c r="D1933" t="s">
        <v>11</v>
      </c>
      <c r="E1933">
        <v>202602</v>
      </c>
      <c r="F1933" t="s">
        <v>204</v>
      </c>
      <c r="G1933">
        <v>0</v>
      </c>
      <c r="H1933">
        <v>0</v>
      </c>
      <c r="I1933">
        <v>4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2</v>
      </c>
      <c r="P1933">
        <v>2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3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14</v>
      </c>
      <c r="AM1933">
        <v>1.3333333333333333</v>
      </c>
      <c r="AN1933">
        <v>20.718674490852244</v>
      </c>
    </row>
    <row r="1934" spans="1:40" x14ac:dyDescent="0.3">
      <c r="A1934" t="s">
        <v>446</v>
      </c>
      <c r="B1934" t="s">
        <v>59</v>
      </c>
      <c r="C1934" t="s">
        <v>10</v>
      </c>
      <c r="D1934" t="s">
        <v>11</v>
      </c>
      <c r="E1934">
        <v>202602</v>
      </c>
      <c r="F1934" t="s">
        <v>61</v>
      </c>
      <c r="G1934">
        <v>0</v>
      </c>
      <c r="H1934">
        <v>5</v>
      </c>
      <c r="I1934">
        <v>3</v>
      </c>
      <c r="J1934">
        <v>1</v>
      </c>
      <c r="K1934">
        <v>5</v>
      </c>
      <c r="L1934">
        <v>7</v>
      </c>
      <c r="M1934">
        <v>3</v>
      </c>
      <c r="N1934">
        <v>0</v>
      </c>
      <c r="O1934">
        <v>8</v>
      </c>
      <c r="P1934">
        <v>1</v>
      </c>
      <c r="Q1934">
        <v>2</v>
      </c>
      <c r="R1934">
        <v>4</v>
      </c>
      <c r="S1934">
        <v>6</v>
      </c>
      <c r="T1934">
        <v>1</v>
      </c>
      <c r="U1934">
        <v>0</v>
      </c>
      <c r="V1934">
        <v>2</v>
      </c>
      <c r="W1934">
        <v>0</v>
      </c>
      <c r="X1934">
        <v>4</v>
      </c>
      <c r="Y1934">
        <v>2</v>
      </c>
      <c r="Z1934">
        <v>2</v>
      </c>
      <c r="AA1934">
        <v>3</v>
      </c>
      <c r="AB1934">
        <v>0</v>
      </c>
      <c r="AC1934">
        <v>4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63</v>
      </c>
      <c r="AM1934">
        <v>2.6666666666666665</v>
      </c>
      <c r="AN1934">
        <v>76.437348981704488</v>
      </c>
    </row>
    <row r="1935" spans="1:40" x14ac:dyDescent="0.3">
      <c r="A1935" t="s">
        <v>446</v>
      </c>
      <c r="B1935" t="s">
        <v>59</v>
      </c>
      <c r="C1935" t="s">
        <v>10</v>
      </c>
      <c r="D1935" t="s">
        <v>11</v>
      </c>
      <c r="E1935">
        <v>202602</v>
      </c>
      <c r="F1935" t="s">
        <v>62</v>
      </c>
      <c r="G1935">
        <v>0</v>
      </c>
      <c r="H1935">
        <v>0</v>
      </c>
      <c r="I1935">
        <v>2</v>
      </c>
      <c r="J1935">
        <v>3</v>
      </c>
      <c r="K1935">
        <v>1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2</v>
      </c>
      <c r="T1935">
        <v>1</v>
      </c>
      <c r="U1935">
        <v>0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11</v>
      </c>
      <c r="AM1935">
        <v>0</v>
      </c>
      <c r="AN1935">
        <v>11</v>
      </c>
    </row>
    <row r="1936" spans="1:40" x14ac:dyDescent="0.3">
      <c r="A1936" t="s">
        <v>446</v>
      </c>
      <c r="B1936" t="s">
        <v>59</v>
      </c>
      <c r="C1936" t="s">
        <v>10</v>
      </c>
      <c r="D1936" t="s">
        <v>11</v>
      </c>
      <c r="E1936">
        <v>202602</v>
      </c>
      <c r="F1936" t="s">
        <v>464</v>
      </c>
      <c r="G1936">
        <v>0</v>
      </c>
      <c r="H1936">
        <v>0</v>
      </c>
      <c r="I1936">
        <v>1</v>
      </c>
      <c r="J1936">
        <v>0</v>
      </c>
      <c r="K1936">
        <v>2</v>
      </c>
      <c r="L1936">
        <v>1</v>
      </c>
      <c r="M1936">
        <v>2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3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11</v>
      </c>
      <c r="AM1936">
        <v>0</v>
      </c>
      <c r="AN1936">
        <v>11</v>
      </c>
    </row>
    <row r="1937" spans="1:40" x14ac:dyDescent="0.3">
      <c r="A1937" t="s">
        <v>446</v>
      </c>
      <c r="B1937" t="s">
        <v>59</v>
      </c>
      <c r="C1937" t="s">
        <v>10</v>
      </c>
      <c r="D1937" t="s">
        <v>11</v>
      </c>
      <c r="E1937">
        <v>202602</v>
      </c>
      <c r="F1937" t="s">
        <v>206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0</v>
      </c>
      <c r="AN1937">
        <v>1</v>
      </c>
    </row>
    <row r="1938" spans="1:40" x14ac:dyDescent="0.3">
      <c r="A1938" t="s">
        <v>446</v>
      </c>
      <c r="B1938" t="s">
        <v>59</v>
      </c>
      <c r="C1938" t="s">
        <v>10</v>
      </c>
      <c r="D1938" t="s">
        <v>11</v>
      </c>
      <c r="E1938">
        <v>202602</v>
      </c>
      <c r="F1938" t="s">
        <v>465</v>
      </c>
      <c r="G1938">
        <v>0</v>
      </c>
      <c r="H1938">
        <v>1</v>
      </c>
      <c r="I1938">
        <v>0</v>
      </c>
      <c r="J1938">
        <v>5</v>
      </c>
      <c r="K1938">
        <v>1</v>
      </c>
      <c r="L1938">
        <v>3</v>
      </c>
      <c r="M1938">
        <v>4</v>
      </c>
      <c r="N1938">
        <v>0</v>
      </c>
      <c r="O1938">
        <v>4</v>
      </c>
      <c r="P1938">
        <v>0</v>
      </c>
      <c r="Q1938">
        <v>3</v>
      </c>
      <c r="R1938">
        <v>2</v>
      </c>
      <c r="S1938">
        <v>4</v>
      </c>
      <c r="T1938">
        <v>1</v>
      </c>
      <c r="U1938">
        <v>0</v>
      </c>
      <c r="V1938">
        <v>1</v>
      </c>
      <c r="W1938">
        <v>0</v>
      </c>
      <c r="X1938">
        <v>1</v>
      </c>
      <c r="Y1938">
        <v>0</v>
      </c>
      <c r="Z1938">
        <v>1</v>
      </c>
      <c r="AA1938">
        <v>3</v>
      </c>
      <c r="AB1938">
        <v>0</v>
      </c>
      <c r="AC1938">
        <v>2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36</v>
      </c>
      <c r="AM1938">
        <v>1</v>
      </c>
      <c r="AN1938">
        <v>41.039005868139185</v>
      </c>
    </row>
    <row r="1939" spans="1:40" x14ac:dyDescent="0.3">
      <c r="A1939" t="s">
        <v>446</v>
      </c>
      <c r="B1939" t="s">
        <v>59</v>
      </c>
      <c r="C1939" t="s">
        <v>10</v>
      </c>
      <c r="D1939" t="s">
        <v>11</v>
      </c>
      <c r="E1939">
        <v>202602</v>
      </c>
      <c r="F1939" t="s">
        <v>64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1</v>
      </c>
      <c r="AM1939">
        <v>0.33333333333333331</v>
      </c>
      <c r="AN1939">
        <v>2.6796686227130611</v>
      </c>
    </row>
    <row r="1940" spans="1:40" x14ac:dyDescent="0.3">
      <c r="A1940" t="s">
        <v>446</v>
      </c>
      <c r="B1940" t="s">
        <v>59</v>
      </c>
      <c r="C1940" t="s">
        <v>10</v>
      </c>
      <c r="D1940" t="s">
        <v>11</v>
      </c>
      <c r="E1940">
        <v>202602</v>
      </c>
      <c r="F1940" t="s">
        <v>466</v>
      </c>
      <c r="G1940">
        <v>0</v>
      </c>
      <c r="H1940">
        <v>0</v>
      </c>
      <c r="I1940">
        <v>5</v>
      </c>
      <c r="J1940">
        <v>1</v>
      </c>
      <c r="K1940">
        <v>1</v>
      </c>
      <c r="L1940">
        <v>2</v>
      </c>
      <c r="M1940">
        <v>3</v>
      </c>
      <c r="N1940">
        <v>0</v>
      </c>
      <c r="O1940">
        <v>1</v>
      </c>
      <c r="P1940">
        <v>1</v>
      </c>
      <c r="Q1940">
        <v>0</v>
      </c>
      <c r="R1940">
        <v>2</v>
      </c>
      <c r="S1940">
        <v>7</v>
      </c>
      <c r="T1940">
        <v>2</v>
      </c>
      <c r="U1940">
        <v>0</v>
      </c>
      <c r="V1940">
        <v>3</v>
      </c>
      <c r="W1940">
        <v>0</v>
      </c>
      <c r="X1940">
        <v>1</v>
      </c>
      <c r="Y1940">
        <v>2</v>
      </c>
      <c r="Z1940">
        <v>3</v>
      </c>
      <c r="AA1940">
        <v>0</v>
      </c>
      <c r="AB1940">
        <v>0</v>
      </c>
      <c r="AC1940">
        <v>3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37</v>
      </c>
      <c r="AM1940">
        <v>2.6666666666666665</v>
      </c>
      <c r="AN1940">
        <v>50.437348981704488</v>
      </c>
    </row>
    <row r="1941" spans="1:40" x14ac:dyDescent="0.3">
      <c r="A1941" t="s">
        <v>446</v>
      </c>
      <c r="B1941" t="s">
        <v>59</v>
      </c>
      <c r="C1941" t="s">
        <v>10</v>
      </c>
      <c r="D1941" t="s">
        <v>11</v>
      </c>
      <c r="E1941">
        <v>202602</v>
      </c>
      <c r="F1941" t="s">
        <v>467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3</v>
      </c>
      <c r="S1941">
        <v>2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2</v>
      </c>
      <c r="AA1941">
        <v>1</v>
      </c>
      <c r="AB1941">
        <v>0</v>
      </c>
      <c r="AC1941">
        <v>2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11</v>
      </c>
      <c r="AM1941">
        <v>1.3333333333333333</v>
      </c>
      <c r="AN1941">
        <v>17.718674490852244</v>
      </c>
    </row>
    <row r="1942" spans="1:40" x14ac:dyDescent="0.3">
      <c r="A1942" t="s">
        <v>446</v>
      </c>
      <c r="B1942" t="s">
        <v>59</v>
      </c>
      <c r="C1942" t="s">
        <v>10</v>
      </c>
      <c r="D1942" t="s">
        <v>11</v>
      </c>
      <c r="E1942">
        <v>202602</v>
      </c>
      <c r="F1942" t="s">
        <v>468</v>
      </c>
      <c r="G1942">
        <v>0</v>
      </c>
      <c r="H1942">
        <v>0</v>
      </c>
      <c r="I1942">
        <v>1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3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5</v>
      </c>
      <c r="AM1942">
        <v>0</v>
      </c>
      <c r="AN1942">
        <v>5</v>
      </c>
    </row>
    <row r="1943" spans="1:40" x14ac:dyDescent="0.3">
      <c r="A1943" t="s">
        <v>446</v>
      </c>
      <c r="B1943" t="s">
        <v>59</v>
      </c>
      <c r="C1943" t="s">
        <v>10</v>
      </c>
      <c r="D1943" t="s">
        <v>11</v>
      </c>
      <c r="E1943">
        <v>202602</v>
      </c>
      <c r="F1943" t="s">
        <v>469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2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5</v>
      </c>
      <c r="AM1943">
        <v>0.33333333333333331</v>
      </c>
      <c r="AN1943">
        <v>6.6796686227130611</v>
      </c>
    </row>
    <row r="1944" spans="1:40" x14ac:dyDescent="0.3">
      <c r="A1944" t="s">
        <v>446</v>
      </c>
      <c r="B1944" t="s">
        <v>59</v>
      </c>
      <c r="C1944" t="s">
        <v>10</v>
      </c>
      <c r="D1944" t="s">
        <v>11</v>
      </c>
      <c r="E1944">
        <v>202602</v>
      </c>
      <c r="F1944" t="s">
        <v>69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1</v>
      </c>
      <c r="M1944">
        <v>1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6</v>
      </c>
      <c r="AM1944">
        <v>0</v>
      </c>
      <c r="AN1944">
        <v>6</v>
      </c>
    </row>
    <row r="1945" spans="1:40" x14ac:dyDescent="0.3">
      <c r="A1945" t="s">
        <v>446</v>
      </c>
      <c r="B1945" t="s">
        <v>59</v>
      </c>
      <c r="C1945" t="s">
        <v>10</v>
      </c>
      <c r="D1945" t="s">
        <v>11</v>
      </c>
      <c r="E1945">
        <v>202602</v>
      </c>
      <c r="F1945" t="s">
        <v>470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3</v>
      </c>
      <c r="AM1945">
        <v>0</v>
      </c>
      <c r="AN1945">
        <v>3</v>
      </c>
    </row>
    <row r="1946" spans="1:40" x14ac:dyDescent="0.3">
      <c r="A1946" t="s">
        <v>446</v>
      </c>
      <c r="B1946" t="s">
        <v>59</v>
      </c>
      <c r="C1946" t="s">
        <v>10</v>
      </c>
      <c r="D1946" t="s">
        <v>11</v>
      </c>
      <c r="E1946">
        <v>202602</v>
      </c>
      <c r="F1946" t="s">
        <v>471</v>
      </c>
      <c r="G1946">
        <v>0</v>
      </c>
      <c r="H1946">
        <v>0</v>
      </c>
      <c r="I1946">
        <v>1</v>
      </c>
      <c r="J1946">
        <v>0</v>
      </c>
      <c r="K1946">
        <v>1</v>
      </c>
      <c r="L1946">
        <v>1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2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8</v>
      </c>
      <c r="AM1946">
        <v>0.33333333333333331</v>
      </c>
      <c r="AN1946">
        <v>9.6796686227130611</v>
      </c>
    </row>
    <row r="1947" spans="1:40" x14ac:dyDescent="0.3">
      <c r="A1947" t="s">
        <v>446</v>
      </c>
      <c r="B1947" t="s">
        <v>59</v>
      </c>
      <c r="C1947" t="s">
        <v>10</v>
      </c>
      <c r="D1947" t="s">
        <v>11</v>
      </c>
      <c r="E1947">
        <v>202602</v>
      </c>
      <c r="F1947" t="s">
        <v>472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1</v>
      </c>
      <c r="S1947">
        <v>2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5</v>
      </c>
      <c r="AM1947">
        <v>0</v>
      </c>
      <c r="AN1947">
        <v>5</v>
      </c>
    </row>
    <row r="1948" spans="1:40" x14ac:dyDescent="0.3">
      <c r="A1948" t="s">
        <v>446</v>
      </c>
      <c r="B1948" t="s">
        <v>59</v>
      </c>
      <c r="C1948" t="s">
        <v>10</v>
      </c>
      <c r="D1948" t="s">
        <v>11</v>
      </c>
      <c r="E1948">
        <v>202602</v>
      </c>
      <c r="F1948" t="s">
        <v>473</v>
      </c>
      <c r="G1948">
        <v>0</v>
      </c>
      <c r="H1948">
        <v>2</v>
      </c>
      <c r="I1948">
        <v>1</v>
      </c>
      <c r="J1948">
        <v>2</v>
      </c>
      <c r="K1948">
        <v>4</v>
      </c>
      <c r="L1948">
        <v>4</v>
      </c>
      <c r="M1948">
        <v>5</v>
      </c>
      <c r="N1948">
        <v>0</v>
      </c>
      <c r="O1948">
        <v>1</v>
      </c>
      <c r="P1948">
        <v>3</v>
      </c>
      <c r="Q1948">
        <v>1</v>
      </c>
      <c r="R1948">
        <v>5</v>
      </c>
      <c r="S1948">
        <v>5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3</v>
      </c>
      <c r="Z1948">
        <v>0</v>
      </c>
      <c r="AA1948">
        <v>0</v>
      </c>
      <c r="AB1948">
        <v>0</v>
      </c>
      <c r="AC1948">
        <v>5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42</v>
      </c>
      <c r="AM1948">
        <v>2.6666666666666665</v>
      </c>
      <c r="AN1948">
        <v>55.437348981704488</v>
      </c>
    </row>
    <row r="1949" spans="1:40" x14ac:dyDescent="0.3">
      <c r="A1949" t="s">
        <v>446</v>
      </c>
      <c r="B1949" t="s">
        <v>59</v>
      </c>
      <c r="C1949" t="s">
        <v>10</v>
      </c>
      <c r="D1949" t="s">
        <v>11</v>
      </c>
      <c r="E1949">
        <v>202602</v>
      </c>
      <c r="F1949" t="s">
        <v>741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2</v>
      </c>
      <c r="AM1949">
        <v>0.33333333333333331</v>
      </c>
      <c r="AN1949">
        <v>3.6796686227130611</v>
      </c>
    </row>
    <row r="1950" spans="1:40" x14ac:dyDescent="0.3">
      <c r="A1950" t="s">
        <v>446</v>
      </c>
      <c r="B1950" t="s">
        <v>59</v>
      </c>
      <c r="C1950" t="s">
        <v>10</v>
      </c>
      <c r="D1950" t="s">
        <v>11</v>
      </c>
      <c r="E1950">
        <v>202602</v>
      </c>
      <c r="F1950" t="s">
        <v>476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2</v>
      </c>
      <c r="R1950">
        <v>0</v>
      </c>
      <c r="S1950">
        <v>0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4</v>
      </c>
      <c r="AM1950">
        <v>0</v>
      </c>
      <c r="AN1950">
        <v>4</v>
      </c>
    </row>
    <row r="1951" spans="1:40" x14ac:dyDescent="0.3">
      <c r="A1951" t="s">
        <v>446</v>
      </c>
      <c r="B1951" t="s">
        <v>59</v>
      </c>
      <c r="C1951" t="s">
        <v>10</v>
      </c>
      <c r="D1951" t="s">
        <v>11</v>
      </c>
      <c r="E1951">
        <v>202602</v>
      </c>
      <c r="F1951" t="s">
        <v>474</v>
      </c>
      <c r="G1951">
        <v>0</v>
      </c>
      <c r="H1951">
        <v>1</v>
      </c>
      <c r="I1951">
        <v>0</v>
      </c>
      <c r="J1951">
        <v>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7</v>
      </c>
      <c r="AM1951">
        <v>0.66666666666666663</v>
      </c>
      <c r="AN1951">
        <v>10.359337245426122</v>
      </c>
    </row>
    <row r="1952" spans="1:40" x14ac:dyDescent="0.3">
      <c r="A1952" t="s">
        <v>446</v>
      </c>
      <c r="B1952" t="s">
        <v>59</v>
      </c>
      <c r="C1952" t="s">
        <v>10</v>
      </c>
      <c r="D1952" t="s">
        <v>11</v>
      </c>
      <c r="E1952">
        <v>202602</v>
      </c>
      <c r="F1952" t="s">
        <v>475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2</v>
      </c>
      <c r="M1952">
        <v>1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6</v>
      </c>
      <c r="AM1952">
        <v>0.33333333333333331</v>
      </c>
      <c r="AN1952">
        <v>7.6796686227130611</v>
      </c>
    </row>
    <row r="1953" spans="1:40" x14ac:dyDescent="0.3">
      <c r="A1953" t="s">
        <v>446</v>
      </c>
      <c r="B1953" t="s">
        <v>59</v>
      </c>
      <c r="C1953" t="s">
        <v>10</v>
      </c>
      <c r="D1953" t="s">
        <v>14</v>
      </c>
      <c r="E1953">
        <v>202602</v>
      </c>
      <c r="F1953" t="s">
        <v>463</v>
      </c>
      <c r="G1953">
        <v>0</v>
      </c>
      <c r="H1953">
        <v>3</v>
      </c>
      <c r="I1953">
        <v>5</v>
      </c>
      <c r="J1953">
        <v>0</v>
      </c>
      <c r="K1953">
        <v>4</v>
      </c>
      <c r="L1953">
        <v>1</v>
      </c>
      <c r="M1953">
        <v>0</v>
      </c>
      <c r="N1953">
        <v>0</v>
      </c>
      <c r="O1953">
        <v>4</v>
      </c>
      <c r="P1953">
        <v>0</v>
      </c>
      <c r="Q1953">
        <v>3</v>
      </c>
      <c r="R1953">
        <v>4</v>
      </c>
      <c r="S1953">
        <v>4</v>
      </c>
      <c r="T1953">
        <v>0</v>
      </c>
      <c r="U1953">
        <v>0</v>
      </c>
      <c r="V1953">
        <v>0</v>
      </c>
      <c r="W1953">
        <v>0</v>
      </c>
      <c r="X1953">
        <v>2</v>
      </c>
      <c r="Y1953">
        <v>5</v>
      </c>
      <c r="Z1953">
        <v>1</v>
      </c>
      <c r="AA1953">
        <v>0</v>
      </c>
      <c r="AB1953">
        <v>0</v>
      </c>
      <c r="AC1953">
        <v>3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39</v>
      </c>
      <c r="AM1953">
        <v>3</v>
      </c>
      <c r="AN1953">
        <v>51.90817285110225</v>
      </c>
    </row>
    <row r="1954" spans="1:40" x14ac:dyDescent="0.3">
      <c r="A1954" t="s">
        <v>446</v>
      </c>
      <c r="B1954" t="s">
        <v>59</v>
      </c>
      <c r="C1954" t="s">
        <v>10</v>
      </c>
      <c r="D1954" t="s">
        <v>14</v>
      </c>
      <c r="E1954">
        <v>202602</v>
      </c>
      <c r="F1954" t="s">
        <v>204</v>
      </c>
      <c r="G1954">
        <v>0</v>
      </c>
      <c r="H1954">
        <v>0</v>
      </c>
      <c r="I1954">
        <v>2</v>
      </c>
      <c r="J1954">
        <v>1</v>
      </c>
      <c r="K1954">
        <v>2</v>
      </c>
      <c r="L1954">
        <v>2</v>
      </c>
      <c r="M1954">
        <v>0</v>
      </c>
      <c r="N1954">
        <v>0</v>
      </c>
      <c r="O1954">
        <v>2</v>
      </c>
      <c r="P1954">
        <v>3</v>
      </c>
      <c r="Q1954">
        <v>4</v>
      </c>
      <c r="R1954">
        <v>1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2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21</v>
      </c>
      <c r="AM1954">
        <v>1</v>
      </c>
      <c r="AN1954">
        <v>25.302724283700751</v>
      </c>
    </row>
    <row r="1955" spans="1:40" x14ac:dyDescent="0.3">
      <c r="A1955" t="s">
        <v>446</v>
      </c>
      <c r="B1955" t="s">
        <v>59</v>
      </c>
      <c r="C1955" t="s">
        <v>10</v>
      </c>
      <c r="D1955" t="s">
        <v>14</v>
      </c>
      <c r="E1955">
        <v>202602</v>
      </c>
      <c r="F1955" t="s">
        <v>61</v>
      </c>
      <c r="G1955">
        <v>0</v>
      </c>
      <c r="H1955">
        <v>4</v>
      </c>
      <c r="I1955">
        <v>5</v>
      </c>
      <c r="J1955">
        <v>9</v>
      </c>
      <c r="K1955">
        <v>4</v>
      </c>
      <c r="L1955">
        <v>9</v>
      </c>
      <c r="M1955">
        <v>0</v>
      </c>
      <c r="N1955">
        <v>0</v>
      </c>
      <c r="O1955">
        <v>3</v>
      </c>
      <c r="P1955">
        <v>9</v>
      </c>
      <c r="Q1955">
        <v>6</v>
      </c>
      <c r="R1955">
        <v>7</v>
      </c>
      <c r="S1955">
        <v>6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8</v>
      </c>
      <c r="Z1955">
        <v>6</v>
      </c>
      <c r="AA1955">
        <v>0</v>
      </c>
      <c r="AB1955">
        <v>0</v>
      </c>
      <c r="AC1955">
        <v>12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89</v>
      </c>
      <c r="AM1955">
        <v>8.6666666666666661</v>
      </c>
      <c r="AN1955">
        <v>126.2902771254065</v>
      </c>
    </row>
    <row r="1956" spans="1:40" x14ac:dyDescent="0.3">
      <c r="A1956" t="s">
        <v>446</v>
      </c>
      <c r="B1956" t="s">
        <v>59</v>
      </c>
      <c r="C1956" t="s">
        <v>10</v>
      </c>
      <c r="D1956" t="s">
        <v>14</v>
      </c>
      <c r="E1956">
        <v>202602</v>
      </c>
      <c r="F1956" t="s">
        <v>62</v>
      </c>
      <c r="G1956">
        <v>0</v>
      </c>
      <c r="H1956">
        <v>2</v>
      </c>
      <c r="I1956">
        <v>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1</v>
      </c>
      <c r="R1956">
        <v>1</v>
      </c>
      <c r="S1956">
        <v>2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1</v>
      </c>
      <c r="AA1956">
        <v>2</v>
      </c>
      <c r="AB1956">
        <v>0</v>
      </c>
      <c r="AC1956">
        <v>3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16</v>
      </c>
      <c r="AM1956">
        <v>1.6666666666666667</v>
      </c>
      <c r="AN1956">
        <v>23.171207139501249</v>
      </c>
    </row>
    <row r="1957" spans="1:40" x14ac:dyDescent="0.3">
      <c r="A1957" t="s">
        <v>446</v>
      </c>
      <c r="B1957" t="s">
        <v>59</v>
      </c>
      <c r="C1957" t="s">
        <v>10</v>
      </c>
      <c r="D1957" t="s">
        <v>14</v>
      </c>
      <c r="E1957">
        <v>202602</v>
      </c>
      <c r="F1957" t="s">
        <v>75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1</v>
      </c>
      <c r="AM1957">
        <v>0</v>
      </c>
      <c r="AN1957">
        <v>1</v>
      </c>
    </row>
    <row r="1958" spans="1:40" x14ac:dyDescent="0.3">
      <c r="A1958" t="s">
        <v>446</v>
      </c>
      <c r="B1958" t="s">
        <v>59</v>
      </c>
      <c r="C1958" t="s">
        <v>10</v>
      </c>
      <c r="D1958" t="s">
        <v>14</v>
      </c>
      <c r="E1958">
        <v>202602</v>
      </c>
      <c r="F1958" t="s">
        <v>464</v>
      </c>
      <c r="G1958">
        <v>0</v>
      </c>
      <c r="H1958">
        <v>2</v>
      </c>
      <c r="I1958">
        <v>0</v>
      </c>
      <c r="J1958">
        <v>4</v>
      </c>
      <c r="K1958">
        <v>2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3</v>
      </c>
      <c r="R1958">
        <v>3</v>
      </c>
      <c r="S1958">
        <v>2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17</v>
      </c>
      <c r="AM1958">
        <v>0</v>
      </c>
      <c r="AN1958">
        <v>17</v>
      </c>
    </row>
    <row r="1959" spans="1:40" x14ac:dyDescent="0.3">
      <c r="A1959" t="s">
        <v>446</v>
      </c>
      <c r="B1959" t="s">
        <v>59</v>
      </c>
      <c r="C1959" t="s">
        <v>10</v>
      </c>
      <c r="D1959" t="s">
        <v>14</v>
      </c>
      <c r="E1959">
        <v>202602</v>
      </c>
      <c r="F1959" t="s">
        <v>586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1</v>
      </c>
      <c r="AM1959">
        <v>0</v>
      </c>
      <c r="AN1959">
        <v>1</v>
      </c>
    </row>
    <row r="1960" spans="1:40" x14ac:dyDescent="0.3">
      <c r="A1960" t="s">
        <v>446</v>
      </c>
      <c r="B1960" t="s">
        <v>59</v>
      </c>
      <c r="C1960" t="s">
        <v>10</v>
      </c>
      <c r="D1960" t="s">
        <v>14</v>
      </c>
      <c r="E1960">
        <v>202602</v>
      </c>
      <c r="F1960" t="s">
        <v>206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1</v>
      </c>
      <c r="AM1960">
        <v>0</v>
      </c>
      <c r="AN1960">
        <v>1</v>
      </c>
    </row>
    <row r="1961" spans="1:40" x14ac:dyDescent="0.3">
      <c r="A1961" t="s">
        <v>446</v>
      </c>
      <c r="B1961" t="s">
        <v>59</v>
      </c>
      <c r="C1961" t="s">
        <v>10</v>
      </c>
      <c r="D1961" t="s">
        <v>14</v>
      </c>
      <c r="E1961">
        <v>202602</v>
      </c>
      <c r="F1961" t="s">
        <v>76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1</v>
      </c>
      <c r="AM1961">
        <v>0.33333333333333331</v>
      </c>
      <c r="AN1961">
        <v>2.43424142790025</v>
      </c>
    </row>
    <row r="1962" spans="1:40" x14ac:dyDescent="0.3">
      <c r="A1962" t="s">
        <v>446</v>
      </c>
      <c r="B1962" t="s">
        <v>59</v>
      </c>
      <c r="C1962" t="s">
        <v>10</v>
      </c>
      <c r="D1962" t="s">
        <v>14</v>
      </c>
      <c r="E1962">
        <v>202602</v>
      </c>
      <c r="F1962" t="s">
        <v>465</v>
      </c>
      <c r="G1962">
        <v>0</v>
      </c>
      <c r="H1962">
        <v>8</v>
      </c>
      <c r="I1962">
        <v>5</v>
      </c>
      <c r="J1962">
        <v>6</v>
      </c>
      <c r="K1962">
        <v>6</v>
      </c>
      <c r="L1962">
        <v>4</v>
      </c>
      <c r="M1962">
        <v>3</v>
      </c>
      <c r="N1962">
        <v>0</v>
      </c>
      <c r="O1962">
        <v>3</v>
      </c>
      <c r="P1962">
        <v>4</v>
      </c>
      <c r="Q1962">
        <v>4</v>
      </c>
      <c r="R1962">
        <v>1</v>
      </c>
      <c r="S1962">
        <v>3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4</v>
      </c>
      <c r="Z1962">
        <v>3</v>
      </c>
      <c r="AA1962">
        <v>4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59</v>
      </c>
      <c r="AM1962">
        <v>2.6666666666666665</v>
      </c>
      <c r="AN1962">
        <v>70.473931423202004</v>
      </c>
    </row>
    <row r="1963" spans="1:40" x14ac:dyDescent="0.3">
      <c r="A1963" t="s">
        <v>446</v>
      </c>
      <c r="B1963" t="s">
        <v>59</v>
      </c>
      <c r="C1963" t="s">
        <v>10</v>
      </c>
      <c r="D1963" t="s">
        <v>14</v>
      </c>
      <c r="E1963">
        <v>202602</v>
      </c>
      <c r="F1963" t="s">
        <v>64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</v>
      </c>
      <c r="AM1963">
        <v>0.33333333333333331</v>
      </c>
      <c r="AN1963">
        <v>2.43424142790025</v>
      </c>
    </row>
    <row r="1964" spans="1:40" x14ac:dyDescent="0.3">
      <c r="A1964" t="s">
        <v>446</v>
      </c>
      <c r="B1964" t="s">
        <v>59</v>
      </c>
      <c r="C1964" t="s">
        <v>10</v>
      </c>
      <c r="D1964" t="s">
        <v>14</v>
      </c>
      <c r="E1964">
        <v>202602</v>
      </c>
      <c r="F1964" t="s">
        <v>466</v>
      </c>
      <c r="G1964">
        <v>0</v>
      </c>
      <c r="H1964">
        <v>7</v>
      </c>
      <c r="I1964">
        <v>4</v>
      </c>
      <c r="J1964">
        <v>0</v>
      </c>
      <c r="K1964">
        <v>2</v>
      </c>
      <c r="L1964">
        <v>1</v>
      </c>
      <c r="M1964">
        <v>0</v>
      </c>
      <c r="N1964">
        <v>0</v>
      </c>
      <c r="O1964">
        <v>0</v>
      </c>
      <c r="P1964">
        <v>4</v>
      </c>
      <c r="Q1964">
        <v>8</v>
      </c>
      <c r="R1964">
        <v>2</v>
      </c>
      <c r="S1964">
        <v>2</v>
      </c>
      <c r="T1964">
        <v>0</v>
      </c>
      <c r="U1964">
        <v>0</v>
      </c>
      <c r="V1964">
        <v>5</v>
      </c>
      <c r="W1964">
        <v>0</v>
      </c>
      <c r="X1964">
        <v>5</v>
      </c>
      <c r="Y1964">
        <v>2</v>
      </c>
      <c r="Z1964">
        <v>1</v>
      </c>
      <c r="AA1964">
        <v>0</v>
      </c>
      <c r="AB1964">
        <v>0</v>
      </c>
      <c r="AC1964">
        <v>5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48</v>
      </c>
      <c r="AM1964">
        <v>2.6666666666666665</v>
      </c>
      <c r="AN1964">
        <v>59.473931423202004</v>
      </c>
    </row>
    <row r="1965" spans="1:40" x14ac:dyDescent="0.3">
      <c r="A1965" t="s">
        <v>446</v>
      </c>
      <c r="B1965" t="s">
        <v>59</v>
      </c>
      <c r="C1965" t="s">
        <v>10</v>
      </c>
      <c r="D1965" t="s">
        <v>14</v>
      </c>
      <c r="E1965">
        <v>202602</v>
      </c>
      <c r="F1965" t="s">
        <v>467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2</v>
      </c>
      <c r="P1965">
        <v>3</v>
      </c>
      <c r="Q1965">
        <v>2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3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13</v>
      </c>
      <c r="AM1965">
        <v>1.3333333333333333</v>
      </c>
      <c r="AN1965">
        <v>18.736965711601002</v>
      </c>
    </row>
    <row r="1966" spans="1:40" x14ac:dyDescent="0.3">
      <c r="A1966" t="s">
        <v>446</v>
      </c>
      <c r="B1966" t="s">
        <v>59</v>
      </c>
      <c r="C1966" t="s">
        <v>10</v>
      </c>
      <c r="D1966" t="s">
        <v>14</v>
      </c>
      <c r="E1966">
        <v>202602</v>
      </c>
      <c r="F1966" t="s">
        <v>468</v>
      </c>
      <c r="G1966">
        <v>0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5</v>
      </c>
      <c r="AM1966">
        <v>0</v>
      </c>
      <c r="AN1966">
        <v>5</v>
      </c>
    </row>
    <row r="1967" spans="1:40" x14ac:dyDescent="0.3">
      <c r="A1967" t="s">
        <v>446</v>
      </c>
      <c r="B1967" t="s">
        <v>59</v>
      </c>
      <c r="C1967" t="s">
        <v>10</v>
      </c>
      <c r="D1967" t="s">
        <v>14</v>
      </c>
      <c r="E1967">
        <v>202602</v>
      </c>
      <c r="F1967" t="s">
        <v>469</v>
      </c>
      <c r="G1967">
        <v>0</v>
      </c>
      <c r="H1967">
        <v>0</v>
      </c>
      <c r="I1967">
        <v>0</v>
      </c>
      <c r="J1967">
        <v>2</v>
      </c>
      <c r="K1967">
        <v>2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  <c r="Z1967">
        <v>2</v>
      </c>
      <c r="AA1967">
        <v>0</v>
      </c>
      <c r="AB1967">
        <v>0</v>
      </c>
      <c r="AC1967">
        <v>2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11</v>
      </c>
      <c r="AM1967">
        <v>1.6666666666666667</v>
      </c>
      <c r="AN1967">
        <v>18.171207139501249</v>
      </c>
    </row>
    <row r="1968" spans="1:40" x14ac:dyDescent="0.3">
      <c r="A1968" t="s">
        <v>446</v>
      </c>
      <c r="B1968" t="s">
        <v>59</v>
      </c>
      <c r="C1968" t="s">
        <v>10</v>
      </c>
      <c r="D1968" t="s">
        <v>14</v>
      </c>
      <c r="E1968">
        <v>202602</v>
      </c>
      <c r="F1968" t="s">
        <v>68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2</v>
      </c>
      <c r="AM1968">
        <v>0</v>
      </c>
      <c r="AN1968">
        <v>2</v>
      </c>
    </row>
    <row r="1969" spans="1:40" x14ac:dyDescent="0.3">
      <c r="A1969" t="s">
        <v>446</v>
      </c>
      <c r="B1969" t="s">
        <v>59</v>
      </c>
      <c r="C1969" t="s">
        <v>10</v>
      </c>
      <c r="D1969" t="s">
        <v>14</v>
      </c>
      <c r="E1969">
        <v>202602</v>
      </c>
      <c r="F1969" t="s">
        <v>69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2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7</v>
      </c>
      <c r="AM1969">
        <v>0.33333333333333331</v>
      </c>
      <c r="AN1969">
        <v>8.4342414279002504</v>
      </c>
    </row>
    <row r="1970" spans="1:40" x14ac:dyDescent="0.3">
      <c r="A1970" t="s">
        <v>446</v>
      </c>
      <c r="B1970" t="s">
        <v>59</v>
      </c>
      <c r="C1970" t="s">
        <v>10</v>
      </c>
      <c r="D1970" t="s">
        <v>14</v>
      </c>
      <c r="E1970">
        <v>202602</v>
      </c>
      <c r="F1970" t="s">
        <v>470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5</v>
      </c>
      <c r="AM1970">
        <v>0.33333333333333331</v>
      </c>
      <c r="AN1970">
        <v>6.4342414279002504</v>
      </c>
    </row>
    <row r="1971" spans="1:40" x14ac:dyDescent="0.3">
      <c r="A1971" t="s">
        <v>446</v>
      </c>
      <c r="B1971" t="s">
        <v>59</v>
      </c>
      <c r="C1971" t="s">
        <v>10</v>
      </c>
      <c r="D1971" t="s">
        <v>14</v>
      </c>
      <c r="E1971">
        <v>202602</v>
      </c>
      <c r="F1971" t="s">
        <v>471</v>
      </c>
      <c r="G1971">
        <v>0</v>
      </c>
      <c r="H1971">
        <v>1</v>
      </c>
      <c r="I1971">
        <v>0</v>
      </c>
      <c r="J1971">
        <v>1</v>
      </c>
      <c r="K1971">
        <v>1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3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2</v>
      </c>
      <c r="AA1971">
        <v>0</v>
      </c>
      <c r="AB1971">
        <v>0</v>
      </c>
      <c r="AC1971">
        <v>2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13</v>
      </c>
      <c r="AM1971">
        <v>1.6666666666666667</v>
      </c>
      <c r="AN1971">
        <v>20.171207139501249</v>
      </c>
    </row>
    <row r="1972" spans="1:40" x14ac:dyDescent="0.3">
      <c r="A1972" t="s">
        <v>446</v>
      </c>
      <c r="B1972" t="s">
        <v>59</v>
      </c>
      <c r="C1972" t="s">
        <v>10</v>
      </c>
      <c r="D1972" t="s">
        <v>14</v>
      </c>
      <c r="E1972">
        <v>202602</v>
      </c>
      <c r="F1972" t="s">
        <v>210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1</v>
      </c>
      <c r="AM1972">
        <v>0</v>
      </c>
      <c r="AN1972">
        <v>1</v>
      </c>
    </row>
    <row r="1973" spans="1:40" x14ac:dyDescent="0.3">
      <c r="A1973" t="s">
        <v>446</v>
      </c>
      <c r="B1973" t="s">
        <v>59</v>
      </c>
      <c r="C1973" t="s">
        <v>10</v>
      </c>
      <c r="D1973" t="s">
        <v>14</v>
      </c>
      <c r="E1973">
        <v>202602</v>
      </c>
      <c r="F1973" t="s">
        <v>472</v>
      </c>
      <c r="G1973">
        <v>0</v>
      </c>
      <c r="H1973">
        <v>0</v>
      </c>
      <c r="I1973">
        <v>3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2</v>
      </c>
      <c r="P1973">
        <v>0</v>
      </c>
      <c r="Q1973">
        <v>3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10</v>
      </c>
      <c r="AM1973">
        <v>0</v>
      </c>
      <c r="AN1973">
        <v>10</v>
      </c>
    </row>
    <row r="1974" spans="1:40" x14ac:dyDescent="0.3">
      <c r="A1974" t="s">
        <v>446</v>
      </c>
      <c r="B1974" t="s">
        <v>59</v>
      </c>
      <c r="C1974" t="s">
        <v>10</v>
      </c>
      <c r="D1974" t="s">
        <v>14</v>
      </c>
      <c r="E1974">
        <v>202602</v>
      </c>
      <c r="F1974" t="s">
        <v>473</v>
      </c>
      <c r="G1974">
        <v>0</v>
      </c>
      <c r="H1974">
        <v>4</v>
      </c>
      <c r="I1974">
        <v>6</v>
      </c>
      <c r="J1974">
        <v>5</v>
      </c>
      <c r="K1974">
        <v>7</v>
      </c>
      <c r="L1974">
        <v>4</v>
      </c>
      <c r="M1974">
        <v>0</v>
      </c>
      <c r="N1974">
        <v>0</v>
      </c>
      <c r="O1974">
        <v>7</v>
      </c>
      <c r="P1974">
        <v>5</v>
      </c>
      <c r="Q1974">
        <v>4</v>
      </c>
      <c r="R1974">
        <v>2</v>
      </c>
      <c r="S1974">
        <v>3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5</v>
      </c>
      <c r="Z1974">
        <v>8</v>
      </c>
      <c r="AA1974">
        <v>0</v>
      </c>
      <c r="AB1974">
        <v>0</v>
      </c>
      <c r="AC1974">
        <v>10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70</v>
      </c>
      <c r="AM1974">
        <v>7.666666666666667</v>
      </c>
      <c r="AN1974">
        <v>102.98755284170576</v>
      </c>
    </row>
    <row r="1975" spans="1:40" x14ac:dyDescent="0.3">
      <c r="A1975" t="s">
        <v>446</v>
      </c>
      <c r="B1975" t="s">
        <v>59</v>
      </c>
      <c r="C1975" t="s">
        <v>10</v>
      </c>
      <c r="D1975" t="s">
        <v>14</v>
      </c>
      <c r="E1975">
        <v>202602</v>
      </c>
      <c r="F1975" t="s">
        <v>264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1</v>
      </c>
      <c r="AM1975">
        <v>0.33333333333333331</v>
      </c>
      <c r="AN1975">
        <v>2.43424142790025</v>
      </c>
    </row>
    <row r="1976" spans="1:40" x14ac:dyDescent="0.3">
      <c r="A1976" t="s">
        <v>446</v>
      </c>
      <c r="B1976" t="s">
        <v>59</v>
      </c>
      <c r="C1976" t="s">
        <v>10</v>
      </c>
      <c r="D1976" t="s">
        <v>14</v>
      </c>
      <c r="E1976">
        <v>202602</v>
      </c>
      <c r="F1976" t="s">
        <v>757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</v>
      </c>
      <c r="AM1976">
        <v>0</v>
      </c>
      <c r="AN1976">
        <v>1</v>
      </c>
    </row>
    <row r="1977" spans="1:40" x14ac:dyDescent="0.3">
      <c r="A1977" t="s">
        <v>446</v>
      </c>
      <c r="B1977" t="s">
        <v>59</v>
      </c>
      <c r="C1977" t="s">
        <v>10</v>
      </c>
      <c r="D1977" t="s">
        <v>14</v>
      </c>
      <c r="E1977">
        <v>202602</v>
      </c>
      <c r="F1977" t="s">
        <v>741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2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2</v>
      </c>
      <c r="AM1977">
        <v>0.66666666666666663</v>
      </c>
      <c r="AN1977">
        <v>4.8684828558005</v>
      </c>
    </row>
    <row r="1978" spans="1:40" x14ac:dyDescent="0.3">
      <c r="A1978" t="s">
        <v>446</v>
      </c>
      <c r="B1978" t="s">
        <v>59</v>
      </c>
      <c r="C1978" t="s">
        <v>10</v>
      </c>
      <c r="D1978" t="s">
        <v>14</v>
      </c>
      <c r="E1978">
        <v>202602</v>
      </c>
      <c r="F1978" t="s">
        <v>476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1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2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6</v>
      </c>
      <c r="AM1978">
        <v>0.66666666666666663</v>
      </c>
      <c r="AN1978">
        <v>8.8684828558005009</v>
      </c>
    </row>
    <row r="1979" spans="1:40" x14ac:dyDescent="0.3">
      <c r="A1979" t="s">
        <v>446</v>
      </c>
      <c r="B1979" t="s">
        <v>59</v>
      </c>
      <c r="C1979" t="s">
        <v>10</v>
      </c>
      <c r="D1979" t="s">
        <v>14</v>
      </c>
      <c r="E1979">
        <v>202602</v>
      </c>
      <c r="F1979" t="s">
        <v>474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1</v>
      </c>
      <c r="P1979">
        <v>1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1</v>
      </c>
      <c r="AA1979">
        <v>0</v>
      </c>
      <c r="AB1979">
        <v>0</v>
      </c>
      <c r="AC1979">
        <v>2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9</v>
      </c>
      <c r="AM1979">
        <v>1.3333333333333333</v>
      </c>
      <c r="AN1979">
        <v>14.736965711601</v>
      </c>
    </row>
    <row r="1980" spans="1:40" x14ac:dyDescent="0.3">
      <c r="A1980" t="s">
        <v>446</v>
      </c>
      <c r="B1980" t="s">
        <v>59</v>
      </c>
      <c r="C1980" t="s">
        <v>10</v>
      </c>
      <c r="D1980" t="s">
        <v>14</v>
      </c>
      <c r="E1980">
        <v>202602</v>
      </c>
      <c r="F1980" t="s">
        <v>475</v>
      </c>
      <c r="G1980">
        <v>0</v>
      </c>
      <c r="H1980">
        <v>0</v>
      </c>
      <c r="I1980">
        <v>1</v>
      </c>
      <c r="J1980">
        <v>0</v>
      </c>
      <c r="K1980">
        <v>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6</v>
      </c>
      <c r="AM1980">
        <v>0.33333333333333331</v>
      </c>
      <c r="AN1980">
        <v>7.4342414279002504</v>
      </c>
    </row>
    <row r="1981" spans="1:40" x14ac:dyDescent="0.3">
      <c r="A1981" t="s">
        <v>446</v>
      </c>
      <c r="B1981" t="s">
        <v>59</v>
      </c>
      <c r="C1981" t="s">
        <v>10</v>
      </c>
      <c r="D1981" t="s">
        <v>14</v>
      </c>
      <c r="E1981">
        <v>202602</v>
      </c>
      <c r="F1981" t="s">
        <v>79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</v>
      </c>
      <c r="AM1981">
        <v>0.33333333333333331</v>
      </c>
      <c r="AN1981">
        <v>2.43424142790025</v>
      </c>
    </row>
    <row r="1982" spans="1:40" x14ac:dyDescent="0.3">
      <c r="A1982" t="s">
        <v>446</v>
      </c>
      <c r="B1982" t="s">
        <v>81</v>
      </c>
      <c r="C1982" t="s">
        <v>10</v>
      </c>
      <c r="D1982" t="s">
        <v>11</v>
      </c>
      <c r="E1982">
        <v>202602</v>
      </c>
      <c r="F1982" t="s">
        <v>477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3</v>
      </c>
      <c r="P1982">
        <v>1</v>
      </c>
      <c r="Q1982">
        <v>2</v>
      </c>
      <c r="R1982">
        <v>2</v>
      </c>
      <c r="S1982">
        <v>3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2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15</v>
      </c>
      <c r="AM1982">
        <v>1</v>
      </c>
      <c r="AN1982">
        <v>20.039005868139181</v>
      </c>
    </row>
    <row r="1983" spans="1:40" x14ac:dyDescent="0.3">
      <c r="A1983" t="s">
        <v>446</v>
      </c>
      <c r="B1983" t="s">
        <v>81</v>
      </c>
      <c r="C1983" t="s">
        <v>10</v>
      </c>
      <c r="D1983" t="s">
        <v>11</v>
      </c>
      <c r="E1983">
        <v>202602</v>
      </c>
      <c r="F1983" t="s">
        <v>478</v>
      </c>
      <c r="G1983">
        <v>0</v>
      </c>
      <c r="H1983">
        <v>1</v>
      </c>
      <c r="I1983">
        <v>1</v>
      </c>
      <c r="J1983">
        <v>0</v>
      </c>
      <c r="K1983">
        <v>0</v>
      </c>
      <c r="L1983">
        <v>0</v>
      </c>
      <c r="M1983">
        <v>2</v>
      </c>
      <c r="N1983">
        <v>0</v>
      </c>
      <c r="O1983">
        <v>1</v>
      </c>
      <c r="P1983">
        <v>0</v>
      </c>
      <c r="Q1983">
        <v>2</v>
      </c>
      <c r="R1983">
        <v>3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1</v>
      </c>
      <c r="Z1983">
        <v>1</v>
      </c>
      <c r="AA1983">
        <v>0</v>
      </c>
      <c r="AB1983">
        <v>0</v>
      </c>
      <c r="AC1983">
        <v>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15</v>
      </c>
      <c r="AM1983">
        <v>1</v>
      </c>
      <c r="AN1983">
        <v>20.039005868139181</v>
      </c>
    </row>
    <row r="1984" spans="1:40" x14ac:dyDescent="0.3">
      <c r="A1984" t="s">
        <v>446</v>
      </c>
      <c r="B1984" t="s">
        <v>81</v>
      </c>
      <c r="C1984" t="s">
        <v>10</v>
      </c>
      <c r="D1984" t="s">
        <v>11</v>
      </c>
      <c r="E1984">
        <v>202602</v>
      </c>
      <c r="F1984" t="s">
        <v>479</v>
      </c>
      <c r="G1984">
        <v>0</v>
      </c>
      <c r="H1984">
        <v>5</v>
      </c>
      <c r="I1984">
        <v>1</v>
      </c>
      <c r="J1984">
        <v>3</v>
      </c>
      <c r="K1984">
        <v>9</v>
      </c>
      <c r="L1984">
        <v>4</v>
      </c>
      <c r="M1984">
        <v>3</v>
      </c>
      <c r="N1984">
        <v>0</v>
      </c>
      <c r="O1984">
        <v>5</v>
      </c>
      <c r="P1984">
        <v>7</v>
      </c>
      <c r="Q1984">
        <v>6</v>
      </c>
      <c r="R1984">
        <v>4</v>
      </c>
      <c r="S1984">
        <v>5</v>
      </c>
      <c r="T1984">
        <v>5</v>
      </c>
      <c r="U1984">
        <v>0</v>
      </c>
      <c r="V1984">
        <v>0</v>
      </c>
      <c r="W1984">
        <v>1</v>
      </c>
      <c r="X1984">
        <v>0</v>
      </c>
      <c r="Y1984">
        <v>2</v>
      </c>
      <c r="Z1984">
        <v>13</v>
      </c>
      <c r="AA1984">
        <v>3</v>
      </c>
      <c r="AB1984">
        <v>0</v>
      </c>
      <c r="AC1984">
        <v>7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83</v>
      </c>
      <c r="AM1984">
        <v>7.333333333333333</v>
      </c>
      <c r="AN1984">
        <v>119.95270969968733</v>
      </c>
    </row>
    <row r="1985" spans="1:40" x14ac:dyDescent="0.3">
      <c r="A1985" t="s">
        <v>446</v>
      </c>
      <c r="B1985" t="s">
        <v>81</v>
      </c>
      <c r="C1985" t="s">
        <v>10</v>
      </c>
      <c r="D1985" t="s">
        <v>11</v>
      </c>
      <c r="E1985">
        <v>202602</v>
      </c>
      <c r="F1985" t="s">
        <v>493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1</v>
      </c>
      <c r="AM1985">
        <v>0</v>
      </c>
      <c r="AN1985">
        <v>1</v>
      </c>
    </row>
    <row r="1986" spans="1:40" x14ac:dyDescent="0.3">
      <c r="A1986" t="s">
        <v>446</v>
      </c>
      <c r="B1986" t="s">
        <v>81</v>
      </c>
      <c r="C1986" t="s">
        <v>10</v>
      </c>
      <c r="D1986" t="s">
        <v>11</v>
      </c>
      <c r="E1986">
        <v>202602</v>
      </c>
      <c r="F1986" t="s">
        <v>480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2</v>
      </c>
      <c r="M1986">
        <v>0</v>
      </c>
      <c r="N1986">
        <v>0</v>
      </c>
      <c r="O1986">
        <v>1</v>
      </c>
      <c r="P1986">
        <v>0</v>
      </c>
      <c r="Q1986">
        <v>2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1</v>
      </c>
      <c r="AA1986">
        <v>4</v>
      </c>
      <c r="AB1986">
        <v>0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14</v>
      </c>
      <c r="AM1986">
        <v>1</v>
      </c>
      <c r="AN1986">
        <v>19.039005868139181</v>
      </c>
    </row>
    <row r="1987" spans="1:40" x14ac:dyDescent="0.3">
      <c r="A1987" t="s">
        <v>446</v>
      </c>
      <c r="B1987" t="s">
        <v>81</v>
      </c>
      <c r="C1987" t="s">
        <v>10</v>
      </c>
      <c r="D1987" t="s">
        <v>11</v>
      </c>
      <c r="E1987">
        <v>202602</v>
      </c>
      <c r="F1987" t="s">
        <v>747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2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2</v>
      </c>
      <c r="AM1987">
        <v>0.66666666666666663</v>
      </c>
      <c r="AN1987">
        <v>5.3593372454261221</v>
      </c>
    </row>
    <row r="1988" spans="1:40" x14ac:dyDescent="0.3">
      <c r="A1988" t="s">
        <v>446</v>
      </c>
      <c r="B1988" t="s">
        <v>81</v>
      </c>
      <c r="C1988" t="s">
        <v>10</v>
      </c>
      <c r="D1988" t="s">
        <v>11</v>
      </c>
      <c r="E1988">
        <v>202602</v>
      </c>
      <c r="F1988" t="s">
        <v>83</v>
      </c>
      <c r="G1988">
        <v>0</v>
      </c>
      <c r="H1988">
        <v>0</v>
      </c>
      <c r="I1988">
        <v>0</v>
      </c>
      <c r="J1988">
        <v>1</v>
      </c>
      <c r="K1988">
        <v>1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1</v>
      </c>
      <c r="S1988">
        <v>2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8</v>
      </c>
      <c r="AM1988">
        <v>0.33333333333333331</v>
      </c>
      <c r="AN1988">
        <v>9.6796686227130611</v>
      </c>
    </row>
    <row r="1989" spans="1:40" x14ac:dyDescent="0.3">
      <c r="A1989" t="s">
        <v>446</v>
      </c>
      <c r="B1989" t="s">
        <v>81</v>
      </c>
      <c r="C1989" t="s">
        <v>10</v>
      </c>
      <c r="D1989" t="s">
        <v>11</v>
      </c>
      <c r="E1989">
        <v>202602</v>
      </c>
      <c r="F1989" t="s">
        <v>481</v>
      </c>
      <c r="G1989">
        <v>0</v>
      </c>
      <c r="H1989">
        <v>0</v>
      </c>
      <c r="I1989">
        <v>2</v>
      </c>
      <c r="J1989">
        <v>1</v>
      </c>
      <c r="K1989">
        <v>4</v>
      </c>
      <c r="L1989">
        <v>4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15</v>
      </c>
      <c r="AM1989">
        <v>0</v>
      </c>
      <c r="AN1989">
        <v>15</v>
      </c>
    </row>
    <row r="1990" spans="1:40" x14ac:dyDescent="0.3">
      <c r="A1990" t="s">
        <v>446</v>
      </c>
      <c r="B1990" t="s">
        <v>81</v>
      </c>
      <c r="C1990" t="s">
        <v>10</v>
      </c>
      <c r="D1990" t="s">
        <v>11</v>
      </c>
      <c r="E1990">
        <v>202602</v>
      </c>
      <c r="F1990" t="s">
        <v>482</v>
      </c>
      <c r="G1990">
        <v>0</v>
      </c>
      <c r="H1990">
        <v>1</v>
      </c>
      <c r="I1990">
        <v>0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3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7</v>
      </c>
      <c r="AM1990">
        <v>1</v>
      </c>
      <c r="AN1990">
        <v>12.039005868139181</v>
      </c>
    </row>
    <row r="1991" spans="1:40" x14ac:dyDescent="0.3">
      <c r="A1991" t="s">
        <v>446</v>
      </c>
      <c r="B1991" t="s">
        <v>81</v>
      </c>
      <c r="C1991" t="s">
        <v>10</v>
      </c>
      <c r="D1991" t="s">
        <v>11</v>
      </c>
      <c r="E1991">
        <v>202602</v>
      </c>
      <c r="F1991" t="s">
        <v>483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2</v>
      </c>
      <c r="AM1991">
        <v>0.33333333333333331</v>
      </c>
      <c r="AN1991">
        <v>3.6796686227130611</v>
      </c>
    </row>
    <row r="1992" spans="1:40" x14ac:dyDescent="0.3">
      <c r="A1992" t="s">
        <v>446</v>
      </c>
      <c r="B1992" t="s">
        <v>81</v>
      </c>
      <c r="C1992" t="s">
        <v>10</v>
      </c>
      <c r="D1992" t="s">
        <v>11</v>
      </c>
      <c r="E1992">
        <v>202602</v>
      </c>
      <c r="F1992" t="s">
        <v>494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1</v>
      </c>
      <c r="AM1992">
        <v>0</v>
      </c>
      <c r="AN1992">
        <v>1</v>
      </c>
    </row>
    <row r="1993" spans="1:40" x14ac:dyDescent="0.3">
      <c r="A1993" t="s">
        <v>446</v>
      </c>
      <c r="B1993" t="s">
        <v>81</v>
      </c>
      <c r="C1993" t="s">
        <v>10</v>
      </c>
      <c r="D1993" t="s">
        <v>11</v>
      </c>
      <c r="E1993">
        <v>202602</v>
      </c>
      <c r="F1993" t="s">
        <v>484</v>
      </c>
      <c r="G1993">
        <v>0</v>
      </c>
      <c r="H1993">
        <v>0</v>
      </c>
      <c r="I1993">
        <v>1</v>
      </c>
      <c r="J1993">
        <v>2</v>
      </c>
      <c r="K1993">
        <v>1</v>
      </c>
      <c r="L1993">
        <v>0</v>
      </c>
      <c r="M1993">
        <v>1</v>
      </c>
      <c r="N1993">
        <v>0</v>
      </c>
      <c r="O1993">
        <v>3</v>
      </c>
      <c r="P1993">
        <v>1</v>
      </c>
      <c r="Q1993">
        <v>0</v>
      </c>
      <c r="R1993">
        <v>2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1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14</v>
      </c>
      <c r="AM1993">
        <v>0.66666666666666663</v>
      </c>
      <c r="AN1993">
        <v>17.359337245426122</v>
      </c>
    </row>
    <row r="1994" spans="1:40" x14ac:dyDescent="0.3">
      <c r="A1994" t="s">
        <v>446</v>
      </c>
      <c r="B1994" t="s">
        <v>81</v>
      </c>
      <c r="C1994" t="s">
        <v>10</v>
      </c>
      <c r="D1994" t="s">
        <v>11</v>
      </c>
      <c r="E1994">
        <v>202602</v>
      </c>
      <c r="F1994" t="s">
        <v>485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1</v>
      </c>
      <c r="AM1994">
        <v>0</v>
      </c>
      <c r="AN1994">
        <v>1</v>
      </c>
    </row>
    <row r="1995" spans="1:40" x14ac:dyDescent="0.3">
      <c r="A1995" t="s">
        <v>446</v>
      </c>
      <c r="B1995" t="s">
        <v>81</v>
      </c>
      <c r="C1995" t="s">
        <v>10</v>
      </c>
      <c r="D1995" t="s">
        <v>11</v>
      </c>
      <c r="E1995">
        <v>202602</v>
      </c>
      <c r="F1995" t="s">
        <v>486</v>
      </c>
      <c r="G1995">
        <v>0</v>
      </c>
      <c r="H1995">
        <v>0</v>
      </c>
      <c r="I1995">
        <v>1</v>
      </c>
      <c r="J1995">
        <v>1</v>
      </c>
      <c r="K1995">
        <v>0</v>
      </c>
      <c r="L1995">
        <v>1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4</v>
      </c>
      <c r="AM1995">
        <v>0</v>
      </c>
      <c r="AN1995">
        <v>4</v>
      </c>
    </row>
    <row r="1996" spans="1:40" x14ac:dyDescent="0.3">
      <c r="A1996" t="s">
        <v>446</v>
      </c>
      <c r="B1996" t="s">
        <v>81</v>
      </c>
      <c r="C1996" t="s">
        <v>10</v>
      </c>
      <c r="D1996" t="s">
        <v>11</v>
      </c>
      <c r="E1996">
        <v>202602</v>
      </c>
      <c r="F1996" t="s">
        <v>487</v>
      </c>
      <c r="G1996">
        <v>0</v>
      </c>
      <c r="H1996">
        <v>0</v>
      </c>
      <c r="I1996">
        <v>1</v>
      </c>
      <c r="J1996">
        <v>2</v>
      </c>
      <c r="K1996">
        <v>1</v>
      </c>
      <c r="L1996">
        <v>1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2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10</v>
      </c>
      <c r="AM1996">
        <v>0.66666666666666663</v>
      </c>
      <c r="AN1996">
        <v>13.359337245426122</v>
      </c>
    </row>
    <row r="1997" spans="1:40" x14ac:dyDescent="0.3">
      <c r="A1997" t="s">
        <v>446</v>
      </c>
      <c r="B1997" t="s">
        <v>81</v>
      </c>
      <c r="C1997" t="s">
        <v>10</v>
      </c>
      <c r="D1997" t="s">
        <v>11</v>
      </c>
      <c r="E1997">
        <v>202602</v>
      </c>
      <c r="F1997" t="s">
        <v>488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2</v>
      </c>
      <c r="AM1997">
        <v>0</v>
      </c>
      <c r="AN1997">
        <v>2</v>
      </c>
    </row>
    <row r="1998" spans="1:40" x14ac:dyDescent="0.3">
      <c r="A1998" t="s">
        <v>446</v>
      </c>
      <c r="B1998" t="s">
        <v>81</v>
      </c>
      <c r="C1998" t="s">
        <v>10</v>
      </c>
      <c r="D1998" t="s">
        <v>11</v>
      </c>
      <c r="E1998">
        <v>202602</v>
      </c>
      <c r="F1998" t="s">
        <v>489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2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6</v>
      </c>
      <c r="AM1998">
        <v>0.33333333333333331</v>
      </c>
      <c r="AN1998">
        <v>7.6796686227130611</v>
      </c>
    </row>
    <row r="1999" spans="1:40" x14ac:dyDescent="0.3">
      <c r="A1999" t="s">
        <v>446</v>
      </c>
      <c r="B1999" t="s">
        <v>81</v>
      </c>
      <c r="C1999" t="s">
        <v>10</v>
      </c>
      <c r="D1999" t="s">
        <v>11</v>
      </c>
      <c r="E1999">
        <v>202602</v>
      </c>
      <c r="F1999" t="s">
        <v>490</v>
      </c>
      <c r="G1999">
        <v>0</v>
      </c>
      <c r="H1999">
        <v>0</v>
      </c>
      <c r="I1999">
        <v>0</v>
      </c>
      <c r="J1999">
        <v>2</v>
      </c>
      <c r="K1999">
        <v>0</v>
      </c>
      <c r="L1999">
        <v>3</v>
      </c>
      <c r="M1999">
        <v>1</v>
      </c>
      <c r="N1999">
        <v>0</v>
      </c>
      <c r="O1999">
        <v>0</v>
      </c>
      <c r="P1999">
        <v>0</v>
      </c>
      <c r="Q1999">
        <v>1</v>
      </c>
      <c r="R1999">
        <v>1</v>
      </c>
      <c r="S1999">
        <v>2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11</v>
      </c>
      <c r="AM1999">
        <v>0</v>
      </c>
      <c r="AN1999">
        <v>11</v>
      </c>
    </row>
    <row r="2000" spans="1:40" x14ac:dyDescent="0.3">
      <c r="A2000" t="s">
        <v>446</v>
      </c>
      <c r="B2000" t="s">
        <v>81</v>
      </c>
      <c r="C2000" t="s">
        <v>10</v>
      </c>
      <c r="D2000" t="s">
        <v>11</v>
      </c>
      <c r="E2000">
        <v>202602</v>
      </c>
      <c r="F2000" t="s">
        <v>495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1</v>
      </c>
      <c r="AM2000">
        <v>0</v>
      </c>
      <c r="AN2000">
        <v>1</v>
      </c>
    </row>
    <row r="2001" spans="1:40" x14ac:dyDescent="0.3">
      <c r="A2001" t="s">
        <v>446</v>
      </c>
      <c r="B2001" t="s">
        <v>81</v>
      </c>
      <c r="C2001" t="s">
        <v>10</v>
      </c>
      <c r="D2001" t="s">
        <v>11</v>
      </c>
      <c r="E2001">
        <v>202602</v>
      </c>
      <c r="F2001" t="s">
        <v>732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</v>
      </c>
      <c r="AM2001">
        <v>0</v>
      </c>
      <c r="AN2001">
        <v>1</v>
      </c>
    </row>
    <row r="2002" spans="1:40" x14ac:dyDescent="0.3">
      <c r="A2002" t="s">
        <v>446</v>
      </c>
      <c r="B2002" t="s">
        <v>81</v>
      </c>
      <c r="C2002" t="s">
        <v>10</v>
      </c>
      <c r="D2002" t="s">
        <v>11</v>
      </c>
      <c r="E2002">
        <v>202602</v>
      </c>
      <c r="F2002" t="s">
        <v>491</v>
      </c>
      <c r="G2002">
        <v>0</v>
      </c>
      <c r="H2002">
        <v>0</v>
      </c>
      <c r="I2002">
        <v>0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0</v>
      </c>
      <c r="X2002">
        <v>1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6</v>
      </c>
      <c r="AM2002">
        <v>0.33333333333333331</v>
      </c>
      <c r="AN2002">
        <v>7.6796686227130611</v>
      </c>
    </row>
    <row r="2003" spans="1:40" x14ac:dyDescent="0.3">
      <c r="A2003" t="s">
        <v>446</v>
      </c>
      <c r="B2003" t="s">
        <v>81</v>
      </c>
      <c r="C2003" t="s">
        <v>10</v>
      </c>
      <c r="D2003" t="s">
        <v>11</v>
      </c>
      <c r="E2003">
        <v>202602</v>
      </c>
      <c r="F2003" t="s">
        <v>492</v>
      </c>
      <c r="G2003">
        <v>0</v>
      </c>
      <c r="H2003">
        <v>0</v>
      </c>
      <c r="I2003">
        <v>1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2</v>
      </c>
      <c r="AM2003">
        <v>0</v>
      </c>
      <c r="AN2003">
        <v>2</v>
      </c>
    </row>
    <row r="2004" spans="1:40" x14ac:dyDescent="0.3">
      <c r="A2004" t="s">
        <v>446</v>
      </c>
      <c r="B2004" t="s">
        <v>81</v>
      </c>
      <c r="C2004" t="s">
        <v>10</v>
      </c>
      <c r="D2004" t="s">
        <v>14</v>
      </c>
      <c r="E2004">
        <v>202602</v>
      </c>
      <c r="F2004" t="s">
        <v>477</v>
      </c>
      <c r="G2004">
        <v>0</v>
      </c>
      <c r="H2004">
        <v>0</v>
      </c>
      <c r="I2004">
        <v>0</v>
      </c>
      <c r="J2004">
        <v>0</v>
      </c>
      <c r="K2004">
        <v>3</v>
      </c>
      <c r="L2004">
        <v>4</v>
      </c>
      <c r="M2004">
        <v>2</v>
      </c>
      <c r="N2004">
        <v>0</v>
      </c>
      <c r="O2004">
        <v>1</v>
      </c>
      <c r="P2004">
        <v>6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5</v>
      </c>
      <c r="AA2004">
        <v>4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27</v>
      </c>
      <c r="AM2004">
        <v>2</v>
      </c>
      <c r="AN2004">
        <v>35.605448567401503</v>
      </c>
    </row>
    <row r="2005" spans="1:40" x14ac:dyDescent="0.3">
      <c r="A2005" t="s">
        <v>446</v>
      </c>
      <c r="B2005" t="s">
        <v>81</v>
      </c>
      <c r="C2005" t="s">
        <v>10</v>
      </c>
      <c r="D2005" t="s">
        <v>14</v>
      </c>
      <c r="E2005">
        <v>202602</v>
      </c>
      <c r="F2005" t="s">
        <v>478</v>
      </c>
      <c r="G2005">
        <v>0</v>
      </c>
      <c r="H2005">
        <v>1</v>
      </c>
      <c r="I2005">
        <v>1</v>
      </c>
      <c r="J2005">
        <v>0</v>
      </c>
      <c r="K2005">
        <v>3</v>
      </c>
      <c r="L2005">
        <v>1</v>
      </c>
      <c r="M2005">
        <v>0</v>
      </c>
      <c r="N2005">
        <v>0</v>
      </c>
      <c r="O2005">
        <v>0</v>
      </c>
      <c r="P2005">
        <v>2</v>
      </c>
      <c r="Q2005">
        <v>2</v>
      </c>
      <c r="R2005">
        <v>3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3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17</v>
      </c>
      <c r="AM2005">
        <v>1.3333333333333333</v>
      </c>
      <c r="AN2005">
        <v>22.736965711601002</v>
      </c>
    </row>
    <row r="2006" spans="1:40" x14ac:dyDescent="0.3">
      <c r="A2006" t="s">
        <v>446</v>
      </c>
      <c r="B2006" t="s">
        <v>81</v>
      </c>
      <c r="C2006" t="s">
        <v>10</v>
      </c>
      <c r="D2006" t="s">
        <v>14</v>
      </c>
      <c r="E2006">
        <v>202602</v>
      </c>
      <c r="F2006" t="s">
        <v>479</v>
      </c>
      <c r="G2006">
        <v>0</v>
      </c>
      <c r="H2006">
        <v>3</v>
      </c>
      <c r="I2006">
        <v>5</v>
      </c>
      <c r="J2006">
        <v>14</v>
      </c>
      <c r="K2006">
        <v>7</v>
      </c>
      <c r="L2006">
        <v>8</v>
      </c>
      <c r="M2006">
        <v>7</v>
      </c>
      <c r="N2006">
        <v>0</v>
      </c>
      <c r="O2006">
        <v>7</v>
      </c>
      <c r="P2006">
        <v>7</v>
      </c>
      <c r="Q2006">
        <v>6</v>
      </c>
      <c r="R2006">
        <v>8</v>
      </c>
      <c r="S2006">
        <v>15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9</v>
      </c>
      <c r="Z2006">
        <v>6</v>
      </c>
      <c r="AA2006">
        <v>12</v>
      </c>
      <c r="AB2006">
        <v>0</v>
      </c>
      <c r="AC2006">
        <v>7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121</v>
      </c>
      <c r="AM2006">
        <v>7.333333333333333</v>
      </c>
      <c r="AN2006">
        <v>152.55331141380549</v>
      </c>
    </row>
    <row r="2007" spans="1:40" x14ac:dyDescent="0.3">
      <c r="A2007" t="s">
        <v>446</v>
      </c>
      <c r="B2007" t="s">
        <v>81</v>
      </c>
      <c r="C2007" t="s">
        <v>10</v>
      </c>
      <c r="D2007" t="s">
        <v>14</v>
      </c>
      <c r="E2007">
        <v>202602</v>
      </c>
      <c r="F2007" t="s">
        <v>493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1</v>
      </c>
      <c r="AM2007">
        <v>0</v>
      </c>
      <c r="AN2007">
        <v>1</v>
      </c>
    </row>
    <row r="2008" spans="1:40" x14ac:dyDescent="0.3">
      <c r="A2008" t="s">
        <v>446</v>
      </c>
      <c r="B2008" t="s">
        <v>81</v>
      </c>
      <c r="C2008" t="s">
        <v>10</v>
      </c>
      <c r="D2008" t="s">
        <v>14</v>
      </c>
      <c r="E2008">
        <v>202602</v>
      </c>
      <c r="F2008" t="s">
        <v>480</v>
      </c>
      <c r="G2008">
        <v>0</v>
      </c>
      <c r="H2008">
        <v>1</v>
      </c>
      <c r="I2008">
        <v>0</v>
      </c>
      <c r="J2008">
        <v>0</v>
      </c>
      <c r="K2008">
        <v>3</v>
      </c>
      <c r="L2008">
        <v>1</v>
      </c>
      <c r="M2008">
        <v>0</v>
      </c>
      <c r="N2008">
        <v>0</v>
      </c>
      <c r="O2008">
        <v>2</v>
      </c>
      <c r="P2008">
        <v>1</v>
      </c>
      <c r="Q2008">
        <v>1</v>
      </c>
      <c r="R2008">
        <v>0</v>
      </c>
      <c r="S2008">
        <v>4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  <c r="Z2008">
        <v>6</v>
      </c>
      <c r="AA2008">
        <v>2</v>
      </c>
      <c r="AB2008">
        <v>0</v>
      </c>
      <c r="AC2008">
        <v>2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24</v>
      </c>
      <c r="AM2008">
        <v>3</v>
      </c>
      <c r="AN2008">
        <v>36.90817285110225</v>
      </c>
    </row>
    <row r="2009" spans="1:40" x14ac:dyDescent="0.3">
      <c r="A2009" t="s">
        <v>446</v>
      </c>
      <c r="B2009" t="s">
        <v>81</v>
      </c>
      <c r="C2009" t="s">
        <v>10</v>
      </c>
      <c r="D2009" t="s">
        <v>14</v>
      </c>
      <c r="E2009">
        <v>202602</v>
      </c>
      <c r="F2009" t="s">
        <v>747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2</v>
      </c>
      <c r="Z2009">
        <v>0</v>
      </c>
      <c r="AA2009">
        <v>0</v>
      </c>
      <c r="AB2009">
        <v>0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3</v>
      </c>
      <c r="AM2009">
        <v>1</v>
      </c>
      <c r="AN2009">
        <v>7.3027242837007504</v>
      </c>
    </row>
    <row r="2010" spans="1:40" x14ac:dyDescent="0.3">
      <c r="A2010" t="s">
        <v>446</v>
      </c>
      <c r="B2010" t="s">
        <v>81</v>
      </c>
      <c r="C2010" t="s">
        <v>10</v>
      </c>
      <c r="D2010" t="s">
        <v>14</v>
      </c>
      <c r="E2010">
        <v>202602</v>
      </c>
      <c r="F2010" t="s">
        <v>83</v>
      </c>
      <c r="G2010">
        <v>0</v>
      </c>
      <c r="H2010">
        <v>0</v>
      </c>
      <c r="I2010">
        <v>1</v>
      </c>
      <c r="J2010">
        <v>1</v>
      </c>
      <c r="K2010">
        <v>0</v>
      </c>
      <c r="L2010">
        <v>1</v>
      </c>
      <c r="M2010">
        <v>0</v>
      </c>
      <c r="N2010">
        <v>0</v>
      </c>
      <c r="O2010">
        <v>2</v>
      </c>
      <c r="P2010">
        <v>3</v>
      </c>
      <c r="Q2010">
        <v>1</v>
      </c>
      <c r="R2010">
        <v>2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1</v>
      </c>
      <c r="AA2010">
        <v>2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15</v>
      </c>
      <c r="AM2010">
        <v>0.33333333333333331</v>
      </c>
      <c r="AN2010">
        <v>16.43424142790025</v>
      </c>
    </row>
    <row r="2011" spans="1:40" x14ac:dyDescent="0.3">
      <c r="A2011" t="s">
        <v>446</v>
      </c>
      <c r="B2011" t="s">
        <v>81</v>
      </c>
      <c r="C2011" t="s">
        <v>10</v>
      </c>
      <c r="D2011" t="s">
        <v>14</v>
      </c>
      <c r="E2011">
        <v>202602</v>
      </c>
      <c r="F2011" t="s">
        <v>481</v>
      </c>
      <c r="G2011">
        <v>0</v>
      </c>
      <c r="H2011">
        <v>3</v>
      </c>
      <c r="I2011">
        <v>2</v>
      </c>
      <c r="J2011">
        <v>5</v>
      </c>
      <c r="K2011">
        <v>1</v>
      </c>
      <c r="L2011">
        <v>3</v>
      </c>
      <c r="M2011">
        <v>0</v>
      </c>
      <c r="N2011">
        <v>0</v>
      </c>
      <c r="O2011">
        <v>1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17</v>
      </c>
      <c r="AM2011">
        <v>0.33333333333333331</v>
      </c>
      <c r="AN2011">
        <v>18.43424142790025</v>
      </c>
    </row>
    <row r="2012" spans="1:40" x14ac:dyDescent="0.3">
      <c r="A2012" t="s">
        <v>446</v>
      </c>
      <c r="B2012" t="s">
        <v>81</v>
      </c>
      <c r="C2012" t="s">
        <v>10</v>
      </c>
      <c r="D2012" t="s">
        <v>14</v>
      </c>
      <c r="E2012">
        <v>202602</v>
      </c>
      <c r="F2012" t="s">
        <v>482</v>
      </c>
      <c r="G2012">
        <v>0</v>
      </c>
      <c r="H2012">
        <v>0</v>
      </c>
      <c r="I2012">
        <v>1</v>
      </c>
      <c r="J2012">
        <v>2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2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8</v>
      </c>
      <c r="AM2012">
        <v>0.33333333333333331</v>
      </c>
      <c r="AN2012">
        <v>9.4342414279002504</v>
      </c>
    </row>
    <row r="2013" spans="1:40" x14ac:dyDescent="0.3">
      <c r="A2013" t="s">
        <v>446</v>
      </c>
      <c r="B2013" t="s">
        <v>81</v>
      </c>
      <c r="C2013" t="s">
        <v>10</v>
      </c>
      <c r="D2013" t="s">
        <v>14</v>
      </c>
      <c r="E2013">
        <v>202602</v>
      </c>
      <c r="F2013" t="s">
        <v>764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0.33333333333333331</v>
      </c>
      <c r="AN2013">
        <v>2.43424142790025</v>
      </c>
    </row>
    <row r="2014" spans="1:40" x14ac:dyDescent="0.3">
      <c r="A2014" t="s">
        <v>446</v>
      </c>
      <c r="B2014" t="s">
        <v>81</v>
      </c>
      <c r="C2014" t="s">
        <v>10</v>
      </c>
      <c r="D2014" t="s">
        <v>14</v>
      </c>
      <c r="E2014">
        <v>202602</v>
      </c>
      <c r="F2014" t="s">
        <v>268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1</v>
      </c>
      <c r="AM2014">
        <v>0.33333333333333331</v>
      </c>
      <c r="AN2014">
        <v>2.43424142790025</v>
      </c>
    </row>
    <row r="2015" spans="1:40" x14ac:dyDescent="0.3">
      <c r="A2015" t="s">
        <v>446</v>
      </c>
      <c r="B2015" t="s">
        <v>81</v>
      </c>
      <c r="C2015" t="s">
        <v>10</v>
      </c>
      <c r="D2015" t="s">
        <v>14</v>
      </c>
      <c r="E2015">
        <v>202602</v>
      </c>
      <c r="F2015" t="s">
        <v>483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</v>
      </c>
      <c r="AM2015">
        <v>0</v>
      </c>
      <c r="AN2015">
        <v>1</v>
      </c>
    </row>
    <row r="2016" spans="1:40" x14ac:dyDescent="0.3">
      <c r="A2016" t="s">
        <v>446</v>
      </c>
      <c r="B2016" t="s">
        <v>81</v>
      </c>
      <c r="C2016" t="s">
        <v>10</v>
      </c>
      <c r="D2016" t="s">
        <v>14</v>
      </c>
      <c r="E2016">
        <v>202602</v>
      </c>
      <c r="F2016" t="s">
        <v>494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2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3</v>
      </c>
      <c r="AA2016">
        <v>16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23</v>
      </c>
      <c r="AM2016">
        <v>1</v>
      </c>
      <c r="AN2016">
        <v>27.302724283700751</v>
      </c>
    </row>
    <row r="2017" spans="1:40" x14ac:dyDescent="0.3">
      <c r="A2017" t="s">
        <v>446</v>
      </c>
      <c r="B2017" t="s">
        <v>81</v>
      </c>
      <c r="C2017" t="s">
        <v>10</v>
      </c>
      <c r="D2017" t="s">
        <v>14</v>
      </c>
      <c r="E2017">
        <v>202602</v>
      </c>
      <c r="F2017" t="s">
        <v>484</v>
      </c>
      <c r="G2017">
        <v>0</v>
      </c>
      <c r="H2017">
        <v>3</v>
      </c>
      <c r="I2017">
        <v>1</v>
      </c>
      <c r="J2017">
        <v>3</v>
      </c>
      <c r="K2017">
        <v>2</v>
      </c>
      <c r="L2017">
        <v>3</v>
      </c>
      <c r="M2017">
        <v>1</v>
      </c>
      <c r="N2017">
        <v>0</v>
      </c>
      <c r="O2017">
        <v>0</v>
      </c>
      <c r="P2017">
        <v>1</v>
      </c>
      <c r="Q2017">
        <v>2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2</v>
      </c>
      <c r="Z2017">
        <v>2</v>
      </c>
      <c r="AA2017">
        <v>1</v>
      </c>
      <c r="AB2017">
        <v>0</v>
      </c>
      <c r="AC2017">
        <v>3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24</v>
      </c>
      <c r="AM2017">
        <v>2.3333333333333335</v>
      </c>
      <c r="AN2017">
        <v>34.03968999530175</v>
      </c>
    </row>
    <row r="2018" spans="1:40" x14ac:dyDescent="0.3">
      <c r="A2018" t="s">
        <v>446</v>
      </c>
      <c r="B2018" t="s">
        <v>81</v>
      </c>
      <c r="C2018" t="s">
        <v>10</v>
      </c>
      <c r="D2018" t="s">
        <v>14</v>
      </c>
      <c r="E2018">
        <v>202602</v>
      </c>
      <c r="F2018" t="s">
        <v>485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2</v>
      </c>
      <c r="AM2018">
        <v>0</v>
      </c>
      <c r="AN2018">
        <v>2</v>
      </c>
    </row>
    <row r="2019" spans="1:40" x14ac:dyDescent="0.3">
      <c r="A2019" t="s">
        <v>446</v>
      </c>
      <c r="B2019" t="s">
        <v>81</v>
      </c>
      <c r="C2019" t="s">
        <v>10</v>
      </c>
      <c r="D2019" t="s">
        <v>14</v>
      </c>
      <c r="E2019">
        <v>202602</v>
      </c>
      <c r="F2019" t="s">
        <v>486</v>
      </c>
      <c r="G2019">
        <v>0</v>
      </c>
      <c r="H2019">
        <v>0</v>
      </c>
      <c r="I2019">
        <v>2</v>
      </c>
      <c r="J2019">
        <v>0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5</v>
      </c>
      <c r="AM2019">
        <v>0.33333333333333331</v>
      </c>
      <c r="AN2019">
        <v>6.4342414279002504</v>
      </c>
    </row>
    <row r="2020" spans="1:40" x14ac:dyDescent="0.3">
      <c r="A2020" t="s">
        <v>446</v>
      </c>
      <c r="B2020" t="s">
        <v>81</v>
      </c>
      <c r="C2020" t="s">
        <v>10</v>
      </c>
      <c r="D2020" t="s">
        <v>14</v>
      </c>
      <c r="E2020">
        <v>202602</v>
      </c>
      <c r="F2020" t="s">
        <v>487</v>
      </c>
      <c r="G2020">
        <v>0</v>
      </c>
      <c r="H2020">
        <v>1</v>
      </c>
      <c r="I2020">
        <v>3</v>
      </c>
      <c r="J2020">
        <v>1</v>
      </c>
      <c r="K2020">
        <v>1</v>
      </c>
      <c r="L2020">
        <v>0</v>
      </c>
      <c r="M2020">
        <v>0</v>
      </c>
      <c r="N2020">
        <v>0</v>
      </c>
      <c r="O2020">
        <v>3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2</v>
      </c>
      <c r="AB2020">
        <v>0</v>
      </c>
      <c r="AC2020">
        <v>2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15</v>
      </c>
      <c r="AM2020">
        <v>1</v>
      </c>
      <c r="AN2020">
        <v>19.302724283700751</v>
      </c>
    </row>
    <row r="2021" spans="1:40" x14ac:dyDescent="0.3">
      <c r="A2021" t="s">
        <v>446</v>
      </c>
      <c r="B2021" t="s">
        <v>81</v>
      </c>
      <c r="C2021" t="s">
        <v>10</v>
      </c>
      <c r="D2021" t="s">
        <v>14</v>
      </c>
      <c r="E2021">
        <v>202602</v>
      </c>
      <c r="F2021" t="s">
        <v>488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3</v>
      </c>
      <c r="AM2021">
        <v>0.33333333333333331</v>
      </c>
      <c r="AN2021">
        <v>4.4342414279002504</v>
      </c>
    </row>
    <row r="2022" spans="1:40" x14ac:dyDescent="0.3">
      <c r="A2022" t="s">
        <v>446</v>
      </c>
      <c r="B2022" t="s">
        <v>81</v>
      </c>
      <c r="C2022" t="s">
        <v>10</v>
      </c>
      <c r="D2022" t="s">
        <v>14</v>
      </c>
      <c r="E2022">
        <v>202602</v>
      </c>
      <c r="F2022" t="s">
        <v>489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2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7</v>
      </c>
      <c r="AM2022">
        <v>0.66666666666666663</v>
      </c>
      <c r="AN2022">
        <v>9.8684828558005009</v>
      </c>
    </row>
    <row r="2023" spans="1:40" x14ac:dyDescent="0.3">
      <c r="A2023" t="s">
        <v>446</v>
      </c>
      <c r="B2023" t="s">
        <v>81</v>
      </c>
      <c r="C2023" t="s">
        <v>10</v>
      </c>
      <c r="D2023" t="s">
        <v>14</v>
      </c>
      <c r="E2023">
        <v>202602</v>
      </c>
      <c r="F2023" t="s">
        <v>490</v>
      </c>
      <c r="G2023">
        <v>0</v>
      </c>
      <c r="H2023">
        <v>0</v>
      </c>
      <c r="I2023">
        <v>2</v>
      </c>
      <c r="J2023">
        <v>0</v>
      </c>
      <c r="K2023">
        <v>4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1</v>
      </c>
      <c r="R2023">
        <v>2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14</v>
      </c>
      <c r="AM2023">
        <v>0.66666666666666663</v>
      </c>
      <c r="AN2023">
        <v>16.868482855800501</v>
      </c>
    </row>
    <row r="2024" spans="1:40" x14ac:dyDescent="0.3">
      <c r="A2024" t="s">
        <v>446</v>
      </c>
      <c r="B2024" t="s">
        <v>81</v>
      </c>
      <c r="C2024" t="s">
        <v>10</v>
      </c>
      <c r="D2024" t="s">
        <v>14</v>
      </c>
      <c r="E2024">
        <v>202602</v>
      </c>
      <c r="F2024" t="s">
        <v>748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1</v>
      </c>
      <c r="AM2024">
        <v>0.33333333333333331</v>
      </c>
      <c r="AN2024">
        <v>2.43424142790025</v>
      </c>
    </row>
    <row r="2025" spans="1:40" x14ac:dyDescent="0.3">
      <c r="A2025" t="s">
        <v>446</v>
      </c>
      <c r="B2025" t="s">
        <v>81</v>
      </c>
      <c r="C2025" t="s">
        <v>10</v>
      </c>
      <c r="D2025" t="s">
        <v>14</v>
      </c>
      <c r="E2025">
        <v>202602</v>
      </c>
      <c r="F2025" t="s">
        <v>495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1</v>
      </c>
      <c r="AM2025">
        <v>0</v>
      </c>
      <c r="AN2025">
        <v>1</v>
      </c>
    </row>
    <row r="2026" spans="1:40" x14ac:dyDescent="0.3">
      <c r="A2026" t="s">
        <v>446</v>
      </c>
      <c r="B2026" t="s">
        <v>81</v>
      </c>
      <c r="C2026" t="s">
        <v>10</v>
      </c>
      <c r="D2026" t="s">
        <v>14</v>
      </c>
      <c r="E2026">
        <v>202602</v>
      </c>
      <c r="F2026" t="s">
        <v>732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2</v>
      </c>
      <c r="AM2026">
        <v>0.33333333333333331</v>
      </c>
      <c r="AN2026">
        <v>3.43424142790025</v>
      </c>
    </row>
    <row r="2027" spans="1:40" x14ac:dyDescent="0.3">
      <c r="A2027" t="s">
        <v>446</v>
      </c>
      <c r="B2027" t="s">
        <v>81</v>
      </c>
      <c r="C2027" t="s">
        <v>10</v>
      </c>
      <c r="D2027" t="s">
        <v>14</v>
      </c>
      <c r="E2027">
        <v>202602</v>
      </c>
      <c r="F2027" t="s">
        <v>491</v>
      </c>
      <c r="G2027">
        <v>0</v>
      </c>
      <c r="H2027">
        <v>1</v>
      </c>
      <c r="I2027">
        <v>0</v>
      </c>
      <c r="J2027">
        <v>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4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2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10</v>
      </c>
      <c r="AM2027">
        <v>0.66666666666666663</v>
      </c>
      <c r="AN2027">
        <v>12.868482855800501</v>
      </c>
    </row>
    <row r="2028" spans="1:40" x14ac:dyDescent="0.3">
      <c r="A2028" t="s">
        <v>446</v>
      </c>
      <c r="B2028" t="s">
        <v>81</v>
      </c>
      <c r="C2028" t="s">
        <v>10</v>
      </c>
      <c r="D2028" t="s">
        <v>14</v>
      </c>
      <c r="E2028">
        <v>202602</v>
      </c>
      <c r="F2028" t="s">
        <v>492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2</v>
      </c>
      <c r="AM2028">
        <v>0</v>
      </c>
      <c r="AN2028">
        <v>2</v>
      </c>
    </row>
    <row r="2029" spans="1:40" x14ac:dyDescent="0.3">
      <c r="A2029" t="s">
        <v>446</v>
      </c>
      <c r="B2029" t="s">
        <v>81</v>
      </c>
      <c r="C2029" t="s">
        <v>16</v>
      </c>
      <c r="D2029" t="s">
        <v>11</v>
      </c>
      <c r="E2029">
        <v>202602</v>
      </c>
      <c r="F2029" t="s">
        <v>477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</v>
      </c>
      <c r="AM2029">
        <v>0</v>
      </c>
      <c r="AN2029">
        <v>1</v>
      </c>
    </row>
    <row r="2030" spans="1:40" x14ac:dyDescent="0.3">
      <c r="A2030" t="s">
        <v>446</v>
      </c>
      <c r="B2030" t="s">
        <v>81</v>
      </c>
      <c r="C2030" t="s">
        <v>16</v>
      </c>
      <c r="D2030" t="s">
        <v>11</v>
      </c>
      <c r="E2030">
        <v>202602</v>
      </c>
      <c r="F2030" t="s">
        <v>479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</v>
      </c>
      <c r="AM2030">
        <v>0</v>
      </c>
      <c r="AN2030">
        <v>1</v>
      </c>
    </row>
    <row r="2031" spans="1:40" x14ac:dyDescent="0.3">
      <c r="A2031" t="s">
        <v>446</v>
      </c>
      <c r="B2031" t="s">
        <v>81</v>
      </c>
      <c r="C2031" t="s">
        <v>16</v>
      </c>
      <c r="D2031" t="s">
        <v>11</v>
      </c>
      <c r="E2031">
        <v>202602</v>
      </c>
      <c r="F2031" t="s">
        <v>480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1</v>
      </c>
      <c r="AM2031">
        <v>0.33333333333333331</v>
      </c>
      <c r="AN2031">
        <v>2.6796686227130611</v>
      </c>
    </row>
    <row r="2032" spans="1:40" x14ac:dyDescent="0.3">
      <c r="A2032" t="s">
        <v>446</v>
      </c>
      <c r="B2032" t="s">
        <v>81</v>
      </c>
      <c r="C2032" t="s">
        <v>16</v>
      </c>
      <c r="D2032" t="s">
        <v>11</v>
      </c>
      <c r="E2032">
        <v>202602</v>
      </c>
      <c r="F2032" t="s">
        <v>482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>
        <v>1</v>
      </c>
    </row>
    <row r="2033" spans="1:40" x14ac:dyDescent="0.3">
      <c r="A2033" t="s">
        <v>446</v>
      </c>
      <c r="B2033" t="s">
        <v>81</v>
      </c>
      <c r="C2033" t="s">
        <v>16</v>
      </c>
      <c r="D2033" t="s">
        <v>14</v>
      </c>
      <c r="E2033">
        <v>202602</v>
      </c>
      <c r="F2033" t="s">
        <v>477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1</v>
      </c>
      <c r="AM2033">
        <v>0</v>
      </c>
      <c r="AN2033">
        <v>1</v>
      </c>
    </row>
    <row r="2034" spans="1:40" x14ac:dyDescent="0.3">
      <c r="A2034" t="s">
        <v>446</v>
      </c>
      <c r="B2034" t="s">
        <v>81</v>
      </c>
      <c r="C2034" t="s">
        <v>16</v>
      </c>
      <c r="D2034" t="s">
        <v>14</v>
      </c>
      <c r="E2034">
        <v>202602</v>
      </c>
      <c r="F2034" t="s">
        <v>496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</v>
      </c>
      <c r="AM2034">
        <v>0</v>
      </c>
      <c r="AN2034">
        <v>1</v>
      </c>
    </row>
    <row r="2035" spans="1:40" x14ac:dyDescent="0.3">
      <c r="A2035" t="s">
        <v>446</v>
      </c>
      <c r="B2035" t="s">
        <v>81</v>
      </c>
      <c r="C2035" t="s">
        <v>16</v>
      </c>
      <c r="D2035" t="s">
        <v>14</v>
      </c>
      <c r="E2035">
        <v>202602</v>
      </c>
      <c r="F2035" t="s">
        <v>479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1</v>
      </c>
      <c r="AM2035">
        <v>0</v>
      </c>
      <c r="AN2035">
        <v>1</v>
      </c>
    </row>
    <row r="2036" spans="1:40" x14ac:dyDescent="0.3">
      <c r="A2036" t="s">
        <v>446</v>
      </c>
      <c r="B2036" t="s">
        <v>81</v>
      </c>
      <c r="C2036" t="s">
        <v>16</v>
      </c>
      <c r="D2036" t="s">
        <v>14</v>
      </c>
      <c r="E2036">
        <v>202602</v>
      </c>
      <c r="F2036" t="s">
        <v>480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0</v>
      </c>
      <c r="AN2036">
        <v>1</v>
      </c>
    </row>
    <row r="2037" spans="1:40" x14ac:dyDescent="0.3">
      <c r="A2037" t="s">
        <v>446</v>
      </c>
      <c r="B2037" t="s">
        <v>81</v>
      </c>
      <c r="C2037" t="s">
        <v>16</v>
      </c>
      <c r="D2037" t="s">
        <v>14</v>
      </c>
      <c r="E2037">
        <v>202602</v>
      </c>
      <c r="F2037" t="s">
        <v>481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1</v>
      </c>
      <c r="AM2037">
        <v>0</v>
      </c>
      <c r="AN2037">
        <v>1</v>
      </c>
    </row>
    <row r="2038" spans="1:40" x14ac:dyDescent="0.3">
      <c r="A2038" t="s">
        <v>446</v>
      </c>
      <c r="B2038" t="s">
        <v>81</v>
      </c>
      <c r="C2038" t="s">
        <v>16</v>
      </c>
      <c r="D2038" t="s">
        <v>14</v>
      </c>
      <c r="E2038">
        <v>202602</v>
      </c>
      <c r="F2038" t="s">
        <v>482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>
        <v>0</v>
      </c>
      <c r="AN2038">
        <v>1</v>
      </c>
    </row>
    <row r="2039" spans="1:40" x14ac:dyDescent="0.3">
      <c r="A2039" t="s">
        <v>446</v>
      </c>
      <c r="B2039" t="s">
        <v>100</v>
      </c>
      <c r="C2039" t="s">
        <v>10</v>
      </c>
      <c r="D2039" t="s">
        <v>11</v>
      </c>
      <c r="E2039">
        <v>202602</v>
      </c>
      <c r="F2039" t="s">
        <v>42</v>
      </c>
      <c r="G2039">
        <v>0</v>
      </c>
      <c r="H2039">
        <v>2</v>
      </c>
      <c r="I2039">
        <v>3</v>
      </c>
      <c r="J2039">
        <v>5</v>
      </c>
      <c r="K2039">
        <v>2</v>
      </c>
      <c r="L2039">
        <v>4</v>
      </c>
      <c r="M2039">
        <v>4</v>
      </c>
      <c r="N2039">
        <v>0</v>
      </c>
      <c r="O2039">
        <v>7</v>
      </c>
      <c r="P2039">
        <v>4</v>
      </c>
      <c r="Q2039">
        <v>8</v>
      </c>
      <c r="R2039">
        <v>5</v>
      </c>
      <c r="S2039">
        <v>2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4</v>
      </c>
      <c r="Z2039">
        <v>11</v>
      </c>
      <c r="AA2039">
        <v>8</v>
      </c>
      <c r="AB2039">
        <v>0</v>
      </c>
      <c r="AC2039">
        <v>6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78</v>
      </c>
      <c r="AM2039">
        <v>7</v>
      </c>
      <c r="AN2039">
        <v>113.27304107697428</v>
      </c>
    </row>
    <row r="2040" spans="1:40" x14ac:dyDescent="0.3">
      <c r="A2040" t="s">
        <v>446</v>
      </c>
      <c r="B2040" t="s">
        <v>100</v>
      </c>
      <c r="C2040" t="s">
        <v>10</v>
      </c>
      <c r="D2040" t="s">
        <v>11</v>
      </c>
      <c r="E2040">
        <v>202602</v>
      </c>
      <c r="F2040" t="s">
        <v>101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</v>
      </c>
      <c r="AM2040">
        <v>0</v>
      </c>
      <c r="AN2040">
        <v>1</v>
      </c>
    </row>
    <row r="2041" spans="1:40" x14ac:dyDescent="0.3">
      <c r="A2041" t="s">
        <v>446</v>
      </c>
      <c r="B2041" t="s">
        <v>100</v>
      </c>
      <c r="C2041" t="s">
        <v>10</v>
      </c>
      <c r="D2041" t="s">
        <v>14</v>
      </c>
      <c r="E2041">
        <v>202602</v>
      </c>
      <c r="F2041" t="s">
        <v>42</v>
      </c>
      <c r="G2041">
        <v>0</v>
      </c>
      <c r="H2041">
        <v>4</v>
      </c>
      <c r="I2041">
        <v>11</v>
      </c>
      <c r="J2041">
        <v>9</v>
      </c>
      <c r="K2041">
        <v>3</v>
      </c>
      <c r="L2041">
        <v>7</v>
      </c>
      <c r="M2041">
        <v>5</v>
      </c>
      <c r="N2041">
        <v>0</v>
      </c>
      <c r="O2041">
        <v>12</v>
      </c>
      <c r="P2041">
        <v>8</v>
      </c>
      <c r="Q2041">
        <v>8</v>
      </c>
      <c r="R2041">
        <v>8</v>
      </c>
      <c r="S2041">
        <v>4</v>
      </c>
      <c r="T2041">
        <v>0</v>
      </c>
      <c r="U2041">
        <v>0</v>
      </c>
      <c r="V2041">
        <v>0</v>
      </c>
      <c r="W2041">
        <v>0</v>
      </c>
      <c r="X2041">
        <v>5</v>
      </c>
      <c r="Y2041">
        <v>16</v>
      </c>
      <c r="Z2041">
        <v>14</v>
      </c>
      <c r="AA2041">
        <v>5</v>
      </c>
      <c r="AB2041">
        <v>0</v>
      </c>
      <c r="AC2041">
        <v>12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131</v>
      </c>
      <c r="AM2041">
        <v>14</v>
      </c>
      <c r="AN2041">
        <v>191.23813997181051</v>
      </c>
    </row>
    <row r="2042" spans="1:40" x14ac:dyDescent="0.3">
      <c r="A2042" t="s">
        <v>446</v>
      </c>
      <c r="B2042" t="s">
        <v>100</v>
      </c>
      <c r="C2042" t="s">
        <v>10</v>
      </c>
      <c r="D2042" t="s">
        <v>14</v>
      </c>
      <c r="E2042">
        <v>202602</v>
      </c>
      <c r="F2042" t="s">
        <v>101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</v>
      </c>
      <c r="AM2042">
        <v>0</v>
      </c>
      <c r="AN2042">
        <v>1</v>
      </c>
    </row>
    <row r="2043" spans="1:40" x14ac:dyDescent="0.3">
      <c r="A2043" t="s">
        <v>446</v>
      </c>
      <c r="B2043" t="s">
        <v>100</v>
      </c>
      <c r="C2043" t="s">
        <v>16</v>
      </c>
      <c r="D2043" t="s">
        <v>11</v>
      </c>
      <c r="E2043">
        <v>202602</v>
      </c>
      <c r="F2043" t="s">
        <v>42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4</v>
      </c>
      <c r="AM2043">
        <v>0.33333333333333331</v>
      </c>
      <c r="AN2043">
        <v>5.6796686227130611</v>
      </c>
    </row>
    <row r="2044" spans="1:40" x14ac:dyDescent="0.3">
      <c r="A2044" t="s">
        <v>446</v>
      </c>
      <c r="B2044" t="s">
        <v>100</v>
      </c>
      <c r="C2044" t="s">
        <v>16</v>
      </c>
      <c r="D2044" t="s">
        <v>14</v>
      </c>
      <c r="E2044">
        <v>202602</v>
      </c>
      <c r="F2044" t="s">
        <v>42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3</v>
      </c>
      <c r="AM2044">
        <v>0.33333333333333331</v>
      </c>
      <c r="AN2044">
        <v>4.4342414279002504</v>
      </c>
    </row>
    <row r="2045" spans="1:40" x14ac:dyDescent="0.3">
      <c r="A2045" t="s">
        <v>446</v>
      </c>
      <c r="B2045" t="s">
        <v>103</v>
      </c>
      <c r="C2045" t="s">
        <v>10</v>
      </c>
      <c r="D2045" t="s">
        <v>11</v>
      </c>
      <c r="E2045">
        <v>202602</v>
      </c>
      <c r="F2045" t="s">
        <v>497</v>
      </c>
      <c r="G2045">
        <v>0</v>
      </c>
      <c r="H2045">
        <v>0</v>
      </c>
      <c r="I2045">
        <v>0</v>
      </c>
      <c r="J2045">
        <v>0</v>
      </c>
      <c r="K2045">
        <v>1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2</v>
      </c>
      <c r="AM2045">
        <v>0</v>
      </c>
      <c r="AN2045">
        <v>2</v>
      </c>
    </row>
    <row r="2046" spans="1:40" x14ac:dyDescent="0.3">
      <c r="A2046" t="s">
        <v>446</v>
      </c>
      <c r="B2046" t="s">
        <v>103</v>
      </c>
      <c r="C2046" t="s">
        <v>10</v>
      </c>
      <c r="D2046" t="s">
        <v>14</v>
      </c>
      <c r="E2046">
        <v>202602</v>
      </c>
      <c r="F2046" t="s">
        <v>497</v>
      </c>
      <c r="G2046">
        <v>0</v>
      </c>
      <c r="H2046">
        <v>0</v>
      </c>
      <c r="I2046">
        <v>1</v>
      </c>
      <c r="J2046">
        <v>0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3</v>
      </c>
      <c r="AM2046">
        <v>0</v>
      </c>
      <c r="AN2046">
        <v>3</v>
      </c>
    </row>
    <row r="2047" spans="1:40" x14ac:dyDescent="0.3">
      <c r="A2047" t="s">
        <v>446</v>
      </c>
      <c r="B2047" t="s">
        <v>643</v>
      </c>
      <c r="C2047" t="s">
        <v>10</v>
      </c>
      <c r="D2047" t="s">
        <v>11</v>
      </c>
      <c r="E2047">
        <v>202602</v>
      </c>
      <c r="F2047" t="s">
        <v>56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</v>
      </c>
      <c r="AM2047">
        <v>0</v>
      </c>
      <c r="AN2047">
        <v>1</v>
      </c>
    </row>
    <row r="2048" spans="1:40" x14ac:dyDescent="0.3">
      <c r="A2048" t="s">
        <v>446</v>
      </c>
      <c r="B2048" t="s">
        <v>643</v>
      </c>
      <c r="C2048" t="s">
        <v>10</v>
      </c>
      <c r="D2048" t="s">
        <v>11</v>
      </c>
      <c r="E2048">
        <v>202602</v>
      </c>
      <c r="F2048" t="s">
        <v>110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2</v>
      </c>
      <c r="AM2048">
        <v>0.33333333333333331</v>
      </c>
      <c r="AN2048">
        <v>3.6796686227130611</v>
      </c>
    </row>
    <row r="2049" spans="1:40" x14ac:dyDescent="0.3">
      <c r="A2049" t="s">
        <v>446</v>
      </c>
      <c r="B2049" t="s">
        <v>643</v>
      </c>
      <c r="C2049" t="s">
        <v>10</v>
      </c>
      <c r="D2049" t="s">
        <v>11</v>
      </c>
      <c r="E2049">
        <v>202602</v>
      </c>
      <c r="F2049" t="s">
        <v>61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</v>
      </c>
      <c r="AM2049">
        <v>0</v>
      </c>
      <c r="AN2049">
        <v>1</v>
      </c>
    </row>
    <row r="2050" spans="1:40" x14ac:dyDescent="0.3">
      <c r="A2050" t="s">
        <v>446</v>
      </c>
      <c r="B2050" t="s">
        <v>643</v>
      </c>
      <c r="C2050" t="s">
        <v>10</v>
      </c>
      <c r="D2050" t="s">
        <v>11</v>
      </c>
      <c r="E2050">
        <v>202602</v>
      </c>
      <c r="F2050" t="s">
        <v>112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4</v>
      </c>
      <c r="AM2050">
        <v>0.33333333333333331</v>
      </c>
      <c r="AN2050">
        <v>5.6796686227130611</v>
      </c>
    </row>
    <row r="2051" spans="1:40" x14ac:dyDescent="0.3">
      <c r="A2051" t="s">
        <v>446</v>
      </c>
      <c r="B2051" t="s">
        <v>643</v>
      </c>
      <c r="C2051" t="s">
        <v>10</v>
      </c>
      <c r="D2051" t="s">
        <v>11</v>
      </c>
      <c r="E2051">
        <v>202602</v>
      </c>
      <c r="F2051" t="s">
        <v>114</v>
      </c>
      <c r="G2051">
        <v>0</v>
      </c>
      <c r="H2051">
        <v>1</v>
      </c>
      <c r="I2051">
        <v>0</v>
      </c>
      <c r="J2051">
        <v>0</v>
      </c>
      <c r="K2051">
        <v>1</v>
      </c>
      <c r="L2051">
        <v>1</v>
      </c>
      <c r="M2051">
        <v>1</v>
      </c>
      <c r="N2051">
        <v>0</v>
      </c>
      <c r="O2051">
        <v>3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8</v>
      </c>
      <c r="AM2051">
        <v>0</v>
      </c>
      <c r="AN2051">
        <v>8</v>
      </c>
    </row>
    <row r="2052" spans="1:40" x14ac:dyDescent="0.3">
      <c r="A2052" t="s">
        <v>446</v>
      </c>
      <c r="B2052" t="s">
        <v>643</v>
      </c>
      <c r="C2052" t="s">
        <v>10</v>
      </c>
      <c r="D2052" t="s">
        <v>11</v>
      </c>
      <c r="E2052">
        <v>202602</v>
      </c>
      <c r="F2052" t="s">
        <v>115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1</v>
      </c>
      <c r="AM2052">
        <v>0</v>
      </c>
      <c r="AN2052">
        <v>1</v>
      </c>
    </row>
    <row r="2053" spans="1:40" x14ac:dyDescent="0.3">
      <c r="A2053" t="s">
        <v>446</v>
      </c>
      <c r="B2053" t="s">
        <v>643</v>
      </c>
      <c r="C2053" t="s">
        <v>10</v>
      </c>
      <c r="D2053" t="s">
        <v>11</v>
      </c>
      <c r="E2053">
        <v>202602</v>
      </c>
      <c r="F2053" t="s">
        <v>116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3</v>
      </c>
      <c r="AM2053">
        <v>0.66666666666666663</v>
      </c>
      <c r="AN2053">
        <v>6.3593372454261221</v>
      </c>
    </row>
    <row r="2054" spans="1:40" x14ac:dyDescent="0.3">
      <c r="A2054" t="s">
        <v>446</v>
      </c>
      <c r="B2054" t="s">
        <v>643</v>
      </c>
      <c r="C2054" t="s">
        <v>10</v>
      </c>
      <c r="D2054" t="s">
        <v>11</v>
      </c>
      <c r="E2054">
        <v>202602</v>
      </c>
      <c r="F2054" t="s">
        <v>130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</v>
      </c>
      <c r="P2054">
        <v>1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5</v>
      </c>
      <c r="AM2054">
        <v>0.33333333333333331</v>
      </c>
      <c r="AN2054">
        <v>6.6796686227130611</v>
      </c>
    </row>
    <row r="2055" spans="1:40" x14ac:dyDescent="0.3">
      <c r="A2055" t="s">
        <v>446</v>
      </c>
      <c r="B2055" t="s">
        <v>643</v>
      </c>
      <c r="C2055" t="s">
        <v>10</v>
      </c>
      <c r="D2055" t="s">
        <v>11</v>
      </c>
      <c r="E2055">
        <v>202602</v>
      </c>
      <c r="F2055" t="s">
        <v>317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0</v>
      </c>
      <c r="AN2055">
        <v>1</v>
      </c>
    </row>
    <row r="2056" spans="1:40" x14ac:dyDescent="0.3">
      <c r="A2056" t="s">
        <v>446</v>
      </c>
      <c r="B2056" t="s">
        <v>643</v>
      </c>
      <c r="C2056" t="s">
        <v>10</v>
      </c>
      <c r="D2056" t="s">
        <v>11</v>
      </c>
      <c r="E2056">
        <v>202602</v>
      </c>
      <c r="F2056" t="s">
        <v>117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1</v>
      </c>
      <c r="AM2056">
        <v>0</v>
      </c>
      <c r="AN2056">
        <v>1</v>
      </c>
    </row>
    <row r="2057" spans="1:40" x14ac:dyDescent="0.3">
      <c r="A2057" t="s">
        <v>446</v>
      </c>
      <c r="B2057" t="s">
        <v>643</v>
      </c>
      <c r="C2057" t="s">
        <v>10</v>
      </c>
      <c r="D2057" t="s">
        <v>11</v>
      </c>
      <c r="E2057">
        <v>202602</v>
      </c>
      <c r="F2057" t="s">
        <v>118</v>
      </c>
      <c r="G2057">
        <v>0</v>
      </c>
      <c r="H2057">
        <v>0</v>
      </c>
      <c r="I2057">
        <v>0</v>
      </c>
      <c r="J2057">
        <v>2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7</v>
      </c>
      <c r="AM2057">
        <v>0</v>
      </c>
      <c r="AN2057">
        <v>7</v>
      </c>
    </row>
    <row r="2058" spans="1:40" x14ac:dyDescent="0.3">
      <c r="A2058" t="s">
        <v>446</v>
      </c>
      <c r="B2058" t="s">
        <v>643</v>
      </c>
      <c r="C2058" t="s">
        <v>10</v>
      </c>
      <c r="D2058" t="s">
        <v>11</v>
      </c>
      <c r="E2058">
        <v>202602</v>
      </c>
      <c r="F2058" t="s">
        <v>132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1</v>
      </c>
      <c r="AM2058">
        <v>0</v>
      </c>
      <c r="AN2058">
        <v>1</v>
      </c>
    </row>
    <row r="2059" spans="1:40" x14ac:dyDescent="0.3">
      <c r="A2059" t="s">
        <v>446</v>
      </c>
      <c r="B2059" t="s">
        <v>643</v>
      </c>
      <c r="C2059" t="s">
        <v>10</v>
      </c>
      <c r="D2059" t="s">
        <v>11</v>
      </c>
      <c r="E2059">
        <v>202602</v>
      </c>
      <c r="F2059" t="s">
        <v>121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1</v>
      </c>
      <c r="AM2059">
        <v>0</v>
      </c>
      <c r="AN2059">
        <v>1</v>
      </c>
    </row>
    <row r="2060" spans="1:40" x14ac:dyDescent="0.3">
      <c r="A2060" t="s">
        <v>446</v>
      </c>
      <c r="B2060" t="s">
        <v>643</v>
      </c>
      <c r="C2060" t="s">
        <v>10</v>
      </c>
      <c r="D2060" t="s">
        <v>11</v>
      </c>
      <c r="E2060">
        <v>202602</v>
      </c>
      <c r="F2060" t="s">
        <v>124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1</v>
      </c>
      <c r="AM2060">
        <v>0.33333333333333331</v>
      </c>
      <c r="AN2060">
        <v>2.6796686227130611</v>
      </c>
    </row>
    <row r="2061" spans="1:40" x14ac:dyDescent="0.3">
      <c r="A2061" t="s">
        <v>446</v>
      </c>
      <c r="B2061" t="s">
        <v>643</v>
      </c>
      <c r="C2061" t="s">
        <v>10</v>
      </c>
      <c r="D2061" t="s">
        <v>11</v>
      </c>
      <c r="E2061">
        <v>202602</v>
      </c>
      <c r="F2061" t="s">
        <v>319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1</v>
      </c>
      <c r="AM2061">
        <v>0</v>
      </c>
      <c r="AN2061">
        <v>1</v>
      </c>
    </row>
    <row r="2062" spans="1:40" x14ac:dyDescent="0.3">
      <c r="A2062" t="s">
        <v>446</v>
      </c>
      <c r="B2062" t="s">
        <v>643</v>
      </c>
      <c r="C2062" t="s">
        <v>10</v>
      </c>
      <c r="D2062" t="s">
        <v>14</v>
      </c>
      <c r="E2062">
        <v>202602</v>
      </c>
      <c r="F2062" t="s">
        <v>110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2</v>
      </c>
      <c r="AM2062">
        <v>0</v>
      </c>
      <c r="AN2062">
        <v>2</v>
      </c>
    </row>
    <row r="2063" spans="1:40" x14ac:dyDescent="0.3">
      <c r="A2063" t="s">
        <v>446</v>
      </c>
      <c r="B2063" t="s">
        <v>643</v>
      </c>
      <c r="C2063" t="s">
        <v>10</v>
      </c>
      <c r="D2063" t="s">
        <v>14</v>
      </c>
      <c r="E2063">
        <v>202602</v>
      </c>
      <c r="F2063" t="s">
        <v>111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2</v>
      </c>
      <c r="AM2063">
        <v>0.33333333333333331</v>
      </c>
      <c r="AN2063">
        <v>3.43424142790025</v>
      </c>
    </row>
    <row r="2064" spans="1:40" x14ac:dyDescent="0.3">
      <c r="A2064" t="s">
        <v>446</v>
      </c>
      <c r="B2064" t="s">
        <v>643</v>
      </c>
      <c r="C2064" t="s">
        <v>10</v>
      </c>
      <c r="D2064" t="s">
        <v>14</v>
      </c>
      <c r="E2064">
        <v>202602</v>
      </c>
      <c r="F2064" t="s">
        <v>61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1</v>
      </c>
      <c r="AM2064">
        <v>0</v>
      </c>
      <c r="AN2064">
        <v>1</v>
      </c>
    </row>
    <row r="2065" spans="1:40" x14ac:dyDescent="0.3">
      <c r="A2065" t="s">
        <v>446</v>
      </c>
      <c r="B2065" t="s">
        <v>643</v>
      </c>
      <c r="C2065" t="s">
        <v>10</v>
      </c>
      <c r="D2065" t="s">
        <v>14</v>
      </c>
      <c r="E2065">
        <v>202602</v>
      </c>
      <c r="F2065" t="s">
        <v>112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4</v>
      </c>
      <c r="AM2065">
        <v>0</v>
      </c>
      <c r="AN2065">
        <v>4</v>
      </c>
    </row>
    <row r="2066" spans="1:40" x14ac:dyDescent="0.3">
      <c r="A2066" t="s">
        <v>446</v>
      </c>
      <c r="B2066" t="s">
        <v>643</v>
      </c>
      <c r="C2066" t="s">
        <v>10</v>
      </c>
      <c r="D2066" t="s">
        <v>14</v>
      </c>
      <c r="E2066">
        <v>202602</v>
      </c>
      <c r="F2066" t="s">
        <v>365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1</v>
      </c>
      <c r="AM2066">
        <v>0.33333333333333331</v>
      </c>
      <c r="AN2066">
        <v>2.43424142790025</v>
      </c>
    </row>
    <row r="2067" spans="1:40" x14ac:dyDescent="0.3">
      <c r="A2067" t="s">
        <v>446</v>
      </c>
      <c r="B2067" t="s">
        <v>643</v>
      </c>
      <c r="C2067" t="s">
        <v>10</v>
      </c>
      <c r="D2067" t="s">
        <v>14</v>
      </c>
      <c r="E2067">
        <v>202602</v>
      </c>
      <c r="F2067" t="s">
        <v>114</v>
      </c>
      <c r="G2067">
        <v>0</v>
      </c>
      <c r="H2067">
        <v>1</v>
      </c>
      <c r="I2067">
        <v>0</v>
      </c>
      <c r="J2067">
        <v>2</v>
      </c>
      <c r="K2067">
        <v>3</v>
      </c>
      <c r="L2067">
        <v>2</v>
      </c>
      <c r="M2067">
        <v>0</v>
      </c>
      <c r="N2067">
        <v>0</v>
      </c>
      <c r="O2067">
        <v>3</v>
      </c>
      <c r="P2067">
        <v>0</v>
      </c>
      <c r="Q2067">
        <v>3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16</v>
      </c>
      <c r="AM2067">
        <v>0.33333333333333331</v>
      </c>
      <c r="AN2067">
        <v>17.43424142790025</v>
      </c>
    </row>
    <row r="2068" spans="1:40" x14ac:dyDescent="0.3">
      <c r="A2068" t="s">
        <v>446</v>
      </c>
      <c r="B2068" t="s">
        <v>643</v>
      </c>
      <c r="C2068" t="s">
        <v>10</v>
      </c>
      <c r="D2068" t="s">
        <v>14</v>
      </c>
      <c r="E2068">
        <v>202602</v>
      </c>
      <c r="F2068" t="s">
        <v>115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2</v>
      </c>
      <c r="AM2068">
        <v>0</v>
      </c>
      <c r="AN2068">
        <v>2</v>
      </c>
    </row>
    <row r="2069" spans="1:40" x14ac:dyDescent="0.3">
      <c r="A2069" t="s">
        <v>446</v>
      </c>
      <c r="B2069" t="s">
        <v>643</v>
      </c>
      <c r="C2069" t="s">
        <v>10</v>
      </c>
      <c r="D2069" t="s">
        <v>14</v>
      </c>
      <c r="E2069">
        <v>202602</v>
      </c>
      <c r="F2069" t="s">
        <v>116</v>
      </c>
      <c r="G2069">
        <v>0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4</v>
      </c>
      <c r="AM2069">
        <v>0.66666666666666663</v>
      </c>
      <c r="AN2069">
        <v>6.8684828558005</v>
      </c>
    </row>
    <row r="2070" spans="1:40" x14ac:dyDescent="0.3">
      <c r="A2070" t="s">
        <v>446</v>
      </c>
      <c r="B2070" t="s">
        <v>643</v>
      </c>
      <c r="C2070" t="s">
        <v>10</v>
      </c>
      <c r="D2070" t="s">
        <v>14</v>
      </c>
      <c r="E2070">
        <v>202602</v>
      </c>
      <c r="F2070" t="s">
        <v>130</v>
      </c>
      <c r="G2070">
        <v>0</v>
      </c>
      <c r="H2070">
        <v>0</v>
      </c>
      <c r="I2070">
        <v>1</v>
      </c>
      <c r="J2070">
        <v>2</v>
      </c>
      <c r="K2070">
        <v>1</v>
      </c>
      <c r="L2070">
        <v>0</v>
      </c>
      <c r="M2070">
        <v>2</v>
      </c>
      <c r="N2070">
        <v>0</v>
      </c>
      <c r="O2070">
        <v>1</v>
      </c>
      <c r="P2070">
        <v>0</v>
      </c>
      <c r="Q2070">
        <v>1</v>
      </c>
      <c r="R2070">
        <v>0</v>
      </c>
      <c r="S2070">
        <v>2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2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12</v>
      </c>
      <c r="AM2070">
        <v>0.66666666666666663</v>
      </c>
      <c r="AN2070">
        <v>14.868482855800501</v>
      </c>
    </row>
    <row r="2071" spans="1:40" x14ac:dyDescent="0.3">
      <c r="A2071" t="s">
        <v>446</v>
      </c>
      <c r="B2071" t="s">
        <v>643</v>
      </c>
      <c r="C2071" t="s">
        <v>10</v>
      </c>
      <c r="D2071" t="s">
        <v>14</v>
      </c>
      <c r="E2071">
        <v>202602</v>
      </c>
      <c r="F2071" t="s">
        <v>317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1</v>
      </c>
      <c r="AM2071">
        <v>0</v>
      </c>
      <c r="AN2071">
        <v>1</v>
      </c>
    </row>
    <row r="2072" spans="1:40" x14ac:dyDescent="0.3">
      <c r="A2072" t="s">
        <v>446</v>
      </c>
      <c r="B2072" t="s">
        <v>643</v>
      </c>
      <c r="C2072" t="s">
        <v>10</v>
      </c>
      <c r="D2072" t="s">
        <v>14</v>
      </c>
      <c r="E2072">
        <v>202602</v>
      </c>
      <c r="F2072" t="s">
        <v>117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1</v>
      </c>
      <c r="AM2072">
        <v>0</v>
      </c>
      <c r="AN2072">
        <v>1</v>
      </c>
    </row>
    <row r="2073" spans="1:40" x14ac:dyDescent="0.3">
      <c r="A2073" t="s">
        <v>446</v>
      </c>
      <c r="B2073" t="s">
        <v>643</v>
      </c>
      <c r="C2073" t="s">
        <v>10</v>
      </c>
      <c r="D2073" t="s">
        <v>14</v>
      </c>
      <c r="E2073">
        <v>202602</v>
      </c>
      <c r="F2073" t="s">
        <v>118</v>
      </c>
      <c r="G2073">
        <v>0</v>
      </c>
      <c r="H2073">
        <v>1</v>
      </c>
      <c r="I2073">
        <v>2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</v>
      </c>
      <c r="P2073">
        <v>0</v>
      </c>
      <c r="Q2073">
        <v>2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7</v>
      </c>
      <c r="AM2073">
        <v>0</v>
      </c>
      <c r="AN2073">
        <v>7</v>
      </c>
    </row>
    <row r="2074" spans="1:40" x14ac:dyDescent="0.3">
      <c r="A2074" t="s">
        <v>446</v>
      </c>
      <c r="B2074" t="s">
        <v>643</v>
      </c>
      <c r="C2074" t="s">
        <v>10</v>
      </c>
      <c r="D2074" t="s">
        <v>14</v>
      </c>
      <c r="E2074">
        <v>202602</v>
      </c>
      <c r="F2074" t="s">
        <v>132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0</v>
      </c>
      <c r="AN2074">
        <v>1</v>
      </c>
    </row>
    <row r="2075" spans="1:40" x14ac:dyDescent="0.3">
      <c r="A2075" t="s">
        <v>446</v>
      </c>
      <c r="B2075" t="s">
        <v>643</v>
      </c>
      <c r="C2075" t="s">
        <v>10</v>
      </c>
      <c r="D2075" t="s">
        <v>14</v>
      </c>
      <c r="E2075">
        <v>202602</v>
      </c>
      <c r="F2075" t="s">
        <v>121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1</v>
      </c>
      <c r="AM2075">
        <v>0</v>
      </c>
      <c r="AN2075">
        <v>1</v>
      </c>
    </row>
    <row r="2076" spans="1:40" x14ac:dyDescent="0.3">
      <c r="A2076" t="s">
        <v>446</v>
      </c>
      <c r="B2076" t="s">
        <v>643</v>
      </c>
      <c r="C2076" t="s">
        <v>10</v>
      </c>
      <c r="D2076" t="s">
        <v>14</v>
      </c>
      <c r="E2076">
        <v>202602</v>
      </c>
      <c r="F2076" t="s">
        <v>124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1</v>
      </c>
      <c r="AM2076">
        <v>0</v>
      </c>
      <c r="AN2076">
        <v>1</v>
      </c>
    </row>
    <row r="2077" spans="1:40" x14ac:dyDescent="0.3">
      <c r="A2077" t="s">
        <v>446</v>
      </c>
      <c r="B2077" t="s">
        <v>643</v>
      </c>
      <c r="C2077" t="s">
        <v>10</v>
      </c>
      <c r="D2077" t="s">
        <v>14</v>
      </c>
      <c r="E2077">
        <v>202602</v>
      </c>
      <c r="F2077" t="s">
        <v>435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</v>
      </c>
      <c r="AM2077">
        <v>0.33333333333333331</v>
      </c>
      <c r="AN2077">
        <v>2.43424142790025</v>
      </c>
    </row>
    <row r="2078" spans="1:40" x14ac:dyDescent="0.3">
      <c r="A2078" t="s">
        <v>446</v>
      </c>
      <c r="B2078" t="s">
        <v>643</v>
      </c>
      <c r="C2078" t="s">
        <v>10</v>
      </c>
      <c r="D2078" t="s">
        <v>14</v>
      </c>
      <c r="E2078">
        <v>202602</v>
      </c>
      <c r="F2078" t="s">
        <v>279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</v>
      </c>
      <c r="AM2078">
        <v>0</v>
      </c>
      <c r="AN2078">
        <v>1</v>
      </c>
    </row>
    <row r="2079" spans="1:40" x14ac:dyDescent="0.3">
      <c r="A2079" t="s">
        <v>446</v>
      </c>
      <c r="B2079" t="s">
        <v>643</v>
      </c>
      <c r="C2079" t="s">
        <v>10</v>
      </c>
      <c r="D2079" t="s">
        <v>14</v>
      </c>
      <c r="E2079">
        <v>202602</v>
      </c>
      <c r="F2079" t="s">
        <v>319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2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3</v>
      </c>
      <c r="AM2079">
        <v>0.66666666666666663</v>
      </c>
      <c r="AN2079">
        <v>5.8684828558005</v>
      </c>
    </row>
    <row r="2080" spans="1:40" x14ac:dyDescent="0.3">
      <c r="A2080" t="s">
        <v>446</v>
      </c>
      <c r="B2080" t="s">
        <v>643</v>
      </c>
      <c r="C2080" t="s">
        <v>10</v>
      </c>
      <c r="D2080" t="s">
        <v>14</v>
      </c>
      <c r="E2080">
        <v>202602</v>
      </c>
      <c r="F2080" t="s">
        <v>226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1</v>
      </c>
      <c r="AM2080">
        <v>0</v>
      </c>
      <c r="AN2080">
        <v>1</v>
      </c>
    </row>
    <row r="2081" spans="1:40" x14ac:dyDescent="0.3">
      <c r="A2081" t="s">
        <v>446</v>
      </c>
      <c r="B2081" t="s">
        <v>136</v>
      </c>
      <c r="C2081" t="s">
        <v>10</v>
      </c>
      <c r="D2081" t="s">
        <v>11</v>
      </c>
      <c r="E2081">
        <v>202602</v>
      </c>
      <c r="F2081" t="s">
        <v>42</v>
      </c>
      <c r="G2081">
        <v>0</v>
      </c>
      <c r="H2081">
        <v>1</v>
      </c>
      <c r="I2081">
        <v>2</v>
      </c>
      <c r="J2081">
        <v>4</v>
      </c>
      <c r="K2081">
        <v>2</v>
      </c>
      <c r="L2081">
        <v>1</v>
      </c>
      <c r="M2081">
        <v>3</v>
      </c>
      <c r="N2081">
        <v>0</v>
      </c>
      <c r="O2081">
        <v>2</v>
      </c>
      <c r="P2081">
        <v>0</v>
      </c>
      <c r="Q2081">
        <v>0</v>
      </c>
      <c r="R2081">
        <v>3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21</v>
      </c>
      <c r="AM2081">
        <v>0.33333333333333331</v>
      </c>
      <c r="AN2081">
        <v>22.679668622713059</v>
      </c>
    </row>
    <row r="2082" spans="1:40" x14ac:dyDescent="0.3">
      <c r="A2082" t="s">
        <v>446</v>
      </c>
      <c r="B2082" t="s">
        <v>136</v>
      </c>
      <c r="C2082" t="s">
        <v>10</v>
      </c>
      <c r="D2082" t="s">
        <v>14</v>
      </c>
      <c r="E2082">
        <v>202602</v>
      </c>
      <c r="F2082" t="s">
        <v>42</v>
      </c>
      <c r="G2082">
        <v>0</v>
      </c>
      <c r="H2082">
        <v>2</v>
      </c>
      <c r="I2082">
        <v>3</v>
      </c>
      <c r="J2082">
        <v>2</v>
      </c>
      <c r="K2082">
        <v>2</v>
      </c>
      <c r="L2082">
        <v>3</v>
      </c>
      <c r="M2082">
        <v>0</v>
      </c>
      <c r="N2082">
        <v>0</v>
      </c>
      <c r="O2082">
        <v>0</v>
      </c>
      <c r="P2082">
        <v>2</v>
      </c>
      <c r="Q2082">
        <v>1</v>
      </c>
      <c r="R2082">
        <v>2</v>
      </c>
      <c r="S2082">
        <v>3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3</v>
      </c>
      <c r="Z2082">
        <v>0</v>
      </c>
      <c r="AA2082">
        <v>0</v>
      </c>
      <c r="AB2082">
        <v>0</v>
      </c>
      <c r="AC2082">
        <v>3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26</v>
      </c>
      <c r="AM2082">
        <v>2</v>
      </c>
      <c r="AN2082">
        <v>34.605448567401503</v>
      </c>
    </row>
    <row r="2083" spans="1:40" x14ac:dyDescent="0.3">
      <c r="A2083" t="s">
        <v>446</v>
      </c>
      <c r="B2083" t="s">
        <v>644</v>
      </c>
      <c r="C2083" t="s">
        <v>10</v>
      </c>
      <c r="D2083" t="s">
        <v>11</v>
      </c>
      <c r="E2083">
        <v>202602</v>
      </c>
      <c r="F2083" t="s">
        <v>138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1</v>
      </c>
      <c r="AM2083">
        <v>0</v>
      </c>
      <c r="AN2083">
        <v>1</v>
      </c>
    </row>
    <row r="2084" spans="1:40" x14ac:dyDescent="0.3">
      <c r="A2084" t="s">
        <v>446</v>
      </c>
      <c r="B2084" t="s">
        <v>644</v>
      </c>
      <c r="C2084" t="s">
        <v>10</v>
      </c>
      <c r="D2084" t="s">
        <v>14</v>
      </c>
      <c r="E2084">
        <v>202602</v>
      </c>
      <c r="F2084" t="s">
        <v>101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1</v>
      </c>
    </row>
    <row r="2085" spans="1:40" x14ac:dyDescent="0.3">
      <c r="A2085" t="s">
        <v>446</v>
      </c>
      <c r="B2085" t="s">
        <v>644</v>
      </c>
      <c r="C2085" t="s">
        <v>10</v>
      </c>
      <c r="D2085" t="s">
        <v>14</v>
      </c>
      <c r="E2085">
        <v>202602</v>
      </c>
      <c r="F2085" t="s">
        <v>138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>
        <v>0</v>
      </c>
      <c r="AN2085">
        <v>1</v>
      </c>
    </row>
    <row r="2086" spans="1:40" x14ac:dyDescent="0.3">
      <c r="A2086" t="s">
        <v>446</v>
      </c>
      <c r="B2086" t="s">
        <v>139</v>
      </c>
      <c r="C2086" t="s">
        <v>10</v>
      </c>
      <c r="D2086" t="s">
        <v>11</v>
      </c>
      <c r="E2086">
        <v>202602</v>
      </c>
      <c r="F2086" t="s">
        <v>498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1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2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6</v>
      </c>
      <c r="AM2086">
        <v>0.66666666666666663</v>
      </c>
      <c r="AN2086">
        <v>9.3593372454261221</v>
      </c>
    </row>
    <row r="2087" spans="1:40" x14ac:dyDescent="0.3">
      <c r="A2087" t="s">
        <v>446</v>
      </c>
      <c r="B2087" t="s">
        <v>139</v>
      </c>
      <c r="C2087" t="s">
        <v>10</v>
      </c>
      <c r="D2087" t="s">
        <v>11</v>
      </c>
      <c r="E2087">
        <v>202602</v>
      </c>
      <c r="F2087" t="s">
        <v>499</v>
      </c>
      <c r="G2087">
        <v>0</v>
      </c>
      <c r="H2087">
        <v>1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2</v>
      </c>
      <c r="AM2087">
        <v>0</v>
      </c>
      <c r="AN2087">
        <v>2</v>
      </c>
    </row>
    <row r="2088" spans="1:40" x14ac:dyDescent="0.3">
      <c r="A2088" t="s">
        <v>446</v>
      </c>
      <c r="B2088" t="s">
        <v>139</v>
      </c>
      <c r="C2088" t="s">
        <v>10</v>
      </c>
      <c r="D2088" t="s">
        <v>11</v>
      </c>
      <c r="E2088">
        <v>202602</v>
      </c>
      <c r="F2088" t="s">
        <v>500</v>
      </c>
      <c r="G2088">
        <v>0</v>
      </c>
      <c r="H2088">
        <v>1</v>
      </c>
      <c r="I2088">
        <v>0</v>
      </c>
      <c r="J2088">
        <v>0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4</v>
      </c>
      <c r="AM2088">
        <v>0.33333333333333331</v>
      </c>
      <c r="AN2088">
        <v>5.6796686227130611</v>
      </c>
    </row>
    <row r="2089" spans="1:40" x14ac:dyDescent="0.3">
      <c r="A2089" t="s">
        <v>446</v>
      </c>
      <c r="B2089" t="s">
        <v>139</v>
      </c>
      <c r="C2089" t="s">
        <v>10</v>
      </c>
      <c r="D2089" t="s">
        <v>11</v>
      </c>
      <c r="E2089">
        <v>202602</v>
      </c>
      <c r="F2089" t="s">
        <v>511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>
        <v>0</v>
      </c>
      <c r="AN2089">
        <v>1</v>
      </c>
    </row>
    <row r="2090" spans="1:40" x14ac:dyDescent="0.3">
      <c r="A2090" t="s">
        <v>446</v>
      </c>
      <c r="B2090" t="s">
        <v>139</v>
      </c>
      <c r="C2090" t="s">
        <v>10</v>
      </c>
      <c r="D2090" t="s">
        <v>11</v>
      </c>
      <c r="E2090">
        <v>202602</v>
      </c>
      <c r="F2090" t="s">
        <v>501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3</v>
      </c>
      <c r="AM2090">
        <v>0</v>
      </c>
      <c r="AN2090">
        <v>3</v>
      </c>
    </row>
    <row r="2091" spans="1:40" x14ac:dyDescent="0.3">
      <c r="A2091" t="s">
        <v>446</v>
      </c>
      <c r="B2091" t="s">
        <v>139</v>
      </c>
      <c r="C2091" t="s">
        <v>10</v>
      </c>
      <c r="D2091" t="s">
        <v>11</v>
      </c>
      <c r="E2091">
        <v>202602</v>
      </c>
      <c r="F2091" t="s">
        <v>148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2</v>
      </c>
      <c r="AM2091">
        <v>0</v>
      </c>
      <c r="AN2091">
        <v>2</v>
      </c>
    </row>
    <row r="2092" spans="1:40" x14ac:dyDescent="0.3">
      <c r="A2092" t="s">
        <v>446</v>
      </c>
      <c r="B2092" t="s">
        <v>139</v>
      </c>
      <c r="C2092" t="s">
        <v>10</v>
      </c>
      <c r="D2092" t="s">
        <v>11</v>
      </c>
      <c r="E2092">
        <v>202602</v>
      </c>
      <c r="F2092" t="s">
        <v>502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2</v>
      </c>
      <c r="AM2092">
        <v>0.33333333333333331</v>
      </c>
      <c r="AN2092">
        <v>3.6796686227130611</v>
      </c>
    </row>
    <row r="2093" spans="1:40" x14ac:dyDescent="0.3">
      <c r="A2093" t="s">
        <v>446</v>
      </c>
      <c r="B2093" t="s">
        <v>139</v>
      </c>
      <c r="C2093" t="s">
        <v>10</v>
      </c>
      <c r="D2093" t="s">
        <v>11</v>
      </c>
      <c r="E2093">
        <v>202602</v>
      </c>
      <c r="F2093" t="s">
        <v>503</v>
      </c>
      <c r="G2093">
        <v>0</v>
      </c>
      <c r="H2093">
        <v>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2</v>
      </c>
      <c r="AM2093">
        <v>0</v>
      </c>
      <c r="AN2093">
        <v>2</v>
      </c>
    </row>
    <row r="2094" spans="1:40" x14ac:dyDescent="0.3">
      <c r="A2094" t="s">
        <v>446</v>
      </c>
      <c r="B2094" t="s">
        <v>139</v>
      </c>
      <c r="C2094" t="s">
        <v>10</v>
      </c>
      <c r="D2094" t="s">
        <v>11</v>
      </c>
      <c r="E2094">
        <v>202602</v>
      </c>
      <c r="F2094" t="s">
        <v>504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0</v>
      </c>
      <c r="AN2094">
        <v>1</v>
      </c>
    </row>
    <row r="2095" spans="1:40" x14ac:dyDescent="0.3">
      <c r="A2095" t="s">
        <v>446</v>
      </c>
      <c r="B2095" t="s">
        <v>139</v>
      </c>
      <c r="C2095" t="s">
        <v>10</v>
      </c>
      <c r="D2095" t="s">
        <v>11</v>
      </c>
      <c r="E2095">
        <v>202602</v>
      </c>
      <c r="F2095" t="s">
        <v>505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</v>
      </c>
      <c r="AM2095">
        <v>0</v>
      </c>
      <c r="AN2095">
        <v>1</v>
      </c>
    </row>
    <row r="2096" spans="1:40" x14ac:dyDescent="0.3">
      <c r="A2096" t="s">
        <v>446</v>
      </c>
      <c r="B2096" t="s">
        <v>139</v>
      </c>
      <c r="C2096" t="s">
        <v>10</v>
      </c>
      <c r="D2096" t="s">
        <v>11</v>
      </c>
      <c r="E2096">
        <v>202602</v>
      </c>
      <c r="F2096" t="s">
        <v>506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2</v>
      </c>
      <c r="AM2096">
        <v>0</v>
      </c>
      <c r="AN2096">
        <v>2</v>
      </c>
    </row>
    <row r="2097" spans="1:40" x14ac:dyDescent="0.3">
      <c r="A2097" t="s">
        <v>446</v>
      </c>
      <c r="B2097" t="s">
        <v>139</v>
      </c>
      <c r="C2097" t="s">
        <v>10</v>
      </c>
      <c r="D2097" t="s">
        <v>11</v>
      </c>
      <c r="E2097">
        <v>202602</v>
      </c>
      <c r="F2097" t="s">
        <v>507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1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4</v>
      </c>
      <c r="AM2097">
        <v>0</v>
      </c>
      <c r="AN2097">
        <v>4</v>
      </c>
    </row>
    <row r="2098" spans="1:40" x14ac:dyDescent="0.3">
      <c r="A2098" t="s">
        <v>446</v>
      </c>
      <c r="B2098" t="s">
        <v>139</v>
      </c>
      <c r="C2098" t="s">
        <v>10</v>
      </c>
      <c r="D2098" t="s">
        <v>11</v>
      </c>
      <c r="E2098">
        <v>202602</v>
      </c>
      <c r="F2098" t="s">
        <v>513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</v>
      </c>
      <c r="AN2098">
        <v>1</v>
      </c>
    </row>
    <row r="2099" spans="1:40" x14ac:dyDescent="0.3">
      <c r="A2099" t="s">
        <v>446</v>
      </c>
      <c r="B2099" t="s">
        <v>139</v>
      </c>
      <c r="C2099" t="s">
        <v>10</v>
      </c>
      <c r="D2099" t="s">
        <v>11</v>
      </c>
      <c r="E2099">
        <v>202602</v>
      </c>
      <c r="F2099" t="s">
        <v>508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3</v>
      </c>
      <c r="AM2099">
        <v>0.33333333333333331</v>
      </c>
      <c r="AN2099">
        <v>4.6796686227130611</v>
      </c>
    </row>
    <row r="2100" spans="1:40" x14ac:dyDescent="0.3">
      <c r="A2100" t="s">
        <v>446</v>
      </c>
      <c r="B2100" t="s">
        <v>139</v>
      </c>
      <c r="C2100" t="s">
        <v>10</v>
      </c>
      <c r="D2100" t="s">
        <v>11</v>
      </c>
      <c r="E2100">
        <v>202602</v>
      </c>
      <c r="F2100" t="s">
        <v>509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2</v>
      </c>
      <c r="AM2100">
        <v>0.33333333333333331</v>
      </c>
      <c r="AN2100">
        <v>3.6796686227130611</v>
      </c>
    </row>
    <row r="2101" spans="1:40" x14ac:dyDescent="0.3">
      <c r="A2101" t="s">
        <v>446</v>
      </c>
      <c r="B2101" t="s">
        <v>139</v>
      </c>
      <c r="C2101" t="s">
        <v>10</v>
      </c>
      <c r="D2101" t="s">
        <v>11</v>
      </c>
      <c r="E2101">
        <v>202602</v>
      </c>
      <c r="F2101" t="s">
        <v>692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1</v>
      </c>
      <c r="AM2101">
        <v>0</v>
      </c>
      <c r="AN2101">
        <v>1</v>
      </c>
    </row>
    <row r="2102" spans="1:40" x14ac:dyDescent="0.3">
      <c r="A2102" t="s">
        <v>446</v>
      </c>
      <c r="B2102" t="s">
        <v>139</v>
      </c>
      <c r="C2102" t="s">
        <v>10</v>
      </c>
      <c r="D2102" t="s">
        <v>11</v>
      </c>
      <c r="E2102">
        <v>202602</v>
      </c>
      <c r="F2102" t="s">
        <v>514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1</v>
      </c>
      <c r="AM2102">
        <v>0</v>
      </c>
      <c r="AN2102">
        <v>1</v>
      </c>
    </row>
    <row r="2103" spans="1:40" x14ac:dyDescent="0.3">
      <c r="A2103" t="s">
        <v>446</v>
      </c>
      <c r="B2103" t="s">
        <v>139</v>
      </c>
      <c r="C2103" t="s">
        <v>10</v>
      </c>
      <c r="D2103" t="s">
        <v>11</v>
      </c>
      <c r="E2103">
        <v>202602</v>
      </c>
      <c r="F2103" t="s">
        <v>510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1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3</v>
      </c>
      <c r="AM2103">
        <v>0</v>
      </c>
      <c r="AN2103">
        <v>3</v>
      </c>
    </row>
    <row r="2104" spans="1:40" x14ac:dyDescent="0.3">
      <c r="A2104" t="s">
        <v>446</v>
      </c>
      <c r="B2104" t="s">
        <v>139</v>
      </c>
      <c r="C2104" t="s">
        <v>10</v>
      </c>
      <c r="D2104" t="s">
        <v>14</v>
      </c>
      <c r="E2104">
        <v>202602</v>
      </c>
      <c r="F2104" t="s">
        <v>498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0</v>
      </c>
      <c r="O2104">
        <v>0</v>
      </c>
      <c r="P2104">
        <v>2</v>
      </c>
      <c r="Q2104">
        <v>0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2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6</v>
      </c>
      <c r="AM2104">
        <v>0</v>
      </c>
      <c r="AN2104">
        <v>6</v>
      </c>
    </row>
    <row r="2105" spans="1:40" x14ac:dyDescent="0.3">
      <c r="A2105" t="s">
        <v>446</v>
      </c>
      <c r="B2105" t="s">
        <v>139</v>
      </c>
      <c r="C2105" t="s">
        <v>10</v>
      </c>
      <c r="D2105" t="s">
        <v>14</v>
      </c>
      <c r="E2105">
        <v>202602</v>
      </c>
      <c r="F2105" t="s">
        <v>499</v>
      </c>
      <c r="G2105">
        <v>0</v>
      </c>
      <c r="H2105">
        <v>0</v>
      </c>
      <c r="I2105">
        <v>1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4</v>
      </c>
      <c r="AM2105">
        <v>0.33333333333333331</v>
      </c>
      <c r="AN2105">
        <v>5.4342414279002504</v>
      </c>
    </row>
    <row r="2106" spans="1:40" x14ac:dyDescent="0.3">
      <c r="A2106" t="s">
        <v>446</v>
      </c>
      <c r="B2106" t="s">
        <v>139</v>
      </c>
      <c r="C2106" t="s">
        <v>10</v>
      </c>
      <c r="D2106" t="s">
        <v>14</v>
      </c>
      <c r="E2106">
        <v>202602</v>
      </c>
      <c r="F2106" t="s">
        <v>500</v>
      </c>
      <c r="G2106">
        <v>0</v>
      </c>
      <c r="H2106">
        <v>1</v>
      </c>
      <c r="I2106">
        <v>1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2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5</v>
      </c>
      <c r="AM2106">
        <v>0</v>
      </c>
      <c r="AN2106">
        <v>5</v>
      </c>
    </row>
    <row r="2107" spans="1:40" x14ac:dyDescent="0.3">
      <c r="A2107" t="s">
        <v>446</v>
      </c>
      <c r="B2107" t="s">
        <v>139</v>
      </c>
      <c r="C2107" t="s">
        <v>10</v>
      </c>
      <c r="D2107" t="s">
        <v>14</v>
      </c>
      <c r="E2107">
        <v>202602</v>
      </c>
      <c r="F2107" t="s">
        <v>511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1</v>
      </c>
      <c r="AM2107">
        <v>0</v>
      </c>
      <c r="AN2107">
        <v>1</v>
      </c>
    </row>
    <row r="2108" spans="1:40" x14ac:dyDescent="0.3">
      <c r="A2108" t="s">
        <v>446</v>
      </c>
      <c r="B2108" t="s">
        <v>139</v>
      </c>
      <c r="C2108" t="s">
        <v>10</v>
      </c>
      <c r="D2108" t="s">
        <v>14</v>
      </c>
      <c r="E2108">
        <v>202602</v>
      </c>
      <c r="F2108" t="s">
        <v>501</v>
      </c>
      <c r="G2108">
        <v>0</v>
      </c>
      <c r="H2108">
        <v>0</v>
      </c>
      <c r="I2108">
        <v>1</v>
      </c>
      <c r="J2108">
        <v>0</v>
      </c>
      <c r="K2108">
        <v>2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5</v>
      </c>
      <c r="AM2108">
        <v>0.33333333333333331</v>
      </c>
      <c r="AN2108">
        <v>6.4342414279002504</v>
      </c>
    </row>
    <row r="2109" spans="1:40" x14ac:dyDescent="0.3">
      <c r="A2109" t="s">
        <v>446</v>
      </c>
      <c r="B2109" t="s">
        <v>139</v>
      </c>
      <c r="C2109" t="s">
        <v>10</v>
      </c>
      <c r="D2109" t="s">
        <v>14</v>
      </c>
      <c r="E2109">
        <v>202602</v>
      </c>
      <c r="F2109" t="s">
        <v>512</v>
      </c>
      <c r="G2109">
        <v>0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1</v>
      </c>
      <c r="AM2109">
        <v>0</v>
      </c>
      <c r="AN2109">
        <v>1</v>
      </c>
    </row>
    <row r="2110" spans="1:40" x14ac:dyDescent="0.3">
      <c r="A2110" t="s">
        <v>446</v>
      </c>
      <c r="B2110" t="s">
        <v>139</v>
      </c>
      <c r="C2110" t="s">
        <v>10</v>
      </c>
      <c r="D2110" t="s">
        <v>14</v>
      </c>
      <c r="E2110">
        <v>202602</v>
      </c>
      <c r="F2110" t="s">
        <v>148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3</v>
      </c>
      <c r="AM2110">
        <v>0.33333333333333331</v>
      </c>
      <c r="AN2110">
        <v>4.4342414279002504</v>
      </c>
    </row>
    <row r="2111" spans="1:40" x14ac:dyDescent="0.3">
      <c r="A2111" t="s">
        <v>446</v>
      </c>
      <c r="B2111" t="s">
        <v>139</v>
      </c>
      <c r="C2111" t="s">
        <v>10</v>
      </c>
      <c r="D2111" t="s">
        <v>14</v>
      </c>
      <c r="E2111">
        <v>202602</v>
      </c>
      <c r="F2111" t="s">
        <v>502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1</v>
      </c>
      <c r="AM2111">
        <v>0.33333333333333331</v>
      </c>
      <c r="AN2111">
        <v>2.43424142790025</v>
      </c>
    </row>
    <row r="2112" spans="1:40" x14ac:dyDescent="0.3">
      <c r="A2112" t="s">
        <v>446</v>
      </c>
      <c r="B2112" t="s">
        <v>139</v>
      </c>
      <c r="C2112" t="s">
        <v>10</v>
      </c>
      <c r="D2112" t="s">
        <v>14</v>
      </c>
      <c r="E2112">
        <v>202602</v>
      </c>
      <c r="F2112" t="s">
        <v>504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1</v>
      </c>
      <c r="AM2112">
        <v>0</v>
      </c>
      <c r="AN2112">
        <v>1</v>
      </c>
    </row>
    <row r="2113" spans="1:40" x14ac:dyDescent="0.3">
      <c r="A2113" t="s">
        <v>446</v>
      </c>
      <c r="B2113" t="s">
        <v>139</v>
      </c>
      <c r="C2113" t="s">
        <v>10</v>
      </c>
      <c r="D2113" t="s">
        <v>14</v>
      </c>
      <c r="E2113">
        <v>202602</v>
      </c>
      <c r="F2113" t="s">
        <v>506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2</v>
      </c>
      <c r="AM2113">
        <v>0</v>
      </c>
      <c r="AN2113">
        <v>2</v>
      </c>
    </row>
    <row r="2114" spans="1:40" x14ac:dyDescent="0.3">
      <c r="A2114" t="s">
        <v>446</v>
      </c>
      <c r="B2114" t="s">
        <v>139</v>
      </c>
      <c r="C2114" t="s">
        <v>10</v>
      </c>
      <c r="D2114" t="s">
        <v>14</v>
      </c>
      <c r="E2114">
        <v>202602</v>
      </c>
      <c r="F2114" t="s">
        <v>507</v>
      </c>
      <c r="G2114">
        <v>0</v>
      </c>
      <c r="H2114">
        <v>1</v>
      </c>
      <c r="I2114">
        <v>0</v>
      </c>
      <c r="J2114">
        <v>0</v>
      </c>
      <c r="K2114">
        <v>2</v>
      </c>
      <c r="L2114">
        <v>0</v>
      </c>
      <c r="M2114">
        <v>0</v>
      </c>
      <c r="N2114">
        <v>0</v>
      </c>
      <c r="O2114">
        <v>1</v>
      </c>
      <c r="P2114">
        <v>1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7</v>
      </c>
      <c r="AM2114">
        <v>0.33333333333333331</v>
      </c>
      <c r="AN2114">
        <v>8.4342414279002504</v>
      </c>
    </row>
    <row r="2115" spans="1:40" x14ac:dyDescent="0.3">
      <c r="A2115" t="s">
        <v>446</v>
      </c>
      <c r="B2115" t="s">
        <v>139</v>
      </c>
      <c r="C2115" t="s">
        <v>10</v>
      </c>
      <c r="D2115" t="s">
        <v>14</v>
      </c>
      <c r="E2115">
        <v>202602</v>
      </c>
      <c r="F2115" t="s">
        <v>513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2</v>
      </c>
      <c r="AM2115">
        <v>0</v>
      </c>
      <c r="AN2115">
        <v>2</v>
      </c>
    </row>
    <row r="2116" spans="1:40" x14ac:dyDescent="0.3">
      <c r="A2116" t="s">
        <v>446</v>
      </c>
      <c r="B2116" t="s">
        <v>139</v>
      </c>
      <c r="C2116" t="s">
        <v>10</v>
      </c>
      <c r="D2116" t="s">
        <v>14</v>
      </c>
      <c r="E2116">
        <v>202602</v>
      </c>
      <c r="F2116" t="s">
        <v>508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2</v>
      </c>
      <c r="N2116">
        <v>0</v>
      </c>
      <c r="O2116">
        <v>2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8</v>
      </c>
      <c r="AM2116">
        <v>0.66666666666666663</v>
      </c>
      <c r="AN2116">
        <v>10.868482855800501</v>
      </c>
    </row>
    <row r="2117" spans="1:40" x14ac:dyDescent="0.3">
      <c r="A2117" t="s">
        <v>446</v>
      </c>
      <c r="B2117" t="s">
        <v>139</v>
      </c>
      <c r="C2117" t="s">
        <v>10</v>
      </c>
      <c r="D2117" t="s">
        <v>14</v>
      </c>
      <c r="E2117">
        <v>202602</v>
      </c>
      <c r="F2117" t="s">
        <v>509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1</v>
      </c>
      <c r="AM2117">
        <v>0.33333333333333331</v>
      </c>
      <c r="AN2117">
        <v>2.43424142790025</v>
      </c>
    </row>
    <row r="2118" spans="1:40" x14ac:dyDescent="0.3">
      <c r="A2118" t="s">
        <v>446</v>
      </c>
      <c r="B2118" t="s">
        <v>139</v>
      </c>
      <c r="C2118" t="s">
        <v>10</v>
      </c>
      <c r="D2118" t="s">
        <v>14</v>
      </c>
      <c r="E2118">
        <v>202602</v>
      </c>
      <c r="F2118" t="s">
        <v>692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1</v>
      </c>
      <c r="AM2118">
        <v>0</v>
      </c>
      <c r="AN2118">
        <v>1</v>
      </c>
    </row>
    <row r="2119" spans="1:40" x14ac:dyDescent="0.3">
      <c r="A2119" t="s">
        <v>446</v>
      </c>
      <c r="B2119" t="s">
        <v>139</v>
      </c>
      <c r="C2119" t="s">
        <v>10</v>
      </c>
      <c r="D2119" t="s">
        <v>14</v>
      </c>
      <c r="E2119">
        <v>202602</v>
      </c>
      <c r="F2119" t="s">
        <v>514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3</v>
      </c>
      <c r="AM2119">
        <v>0</v>
      </c>
      <c r="AN2119">
        <v>3</v>
      </c>
    </row>
    <row r="2120" spans="1:40" x14ac:dyDescent="0.3">
      <c r="A2120" t="s">
        <v>446</v>
      </c>
      <c r="B2120" t="s">
        <v>139</v>
      </c>
      <c r="C2120" t="s">
        <v>10</v>
      </c>
      <c r="D2120" t="s">
        <v>14</v>
      </c>
      <c r="E2120">
        <v>202602</v>
      </c>
      <c r="F2120" t="s">
        <v>515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1</v>
      </c>
    </row>
    <row r="2121" spans="1:40" x14ac:dyDescent="0.3">
      <c r="A2121" t="s">
        <v>446</v>
      </c>
      <c r="B2121" t="s">
        <v>139</v>
      </c>
      <c r="C2121" t="s">
        <v>10</v>
      </c>
      <c r="D2121" t="s">
        <v>14</v>
      </c>
      <c r="E2121">
        <v>202602</v>
      </c>
      <c r="F2121" t="s">
        <v>510</v>
      </c>
      <c r="G2121">
        <v>0</v>
      </c>
      <c r="H2121">
        <v>0</v>
      </c>
      <c r="I2121">
        <v>0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5</v>
      </c>
      <c r="AM2121">
        <v>0.33333333333333331</v>
      </c>
      <c r="AN2121">
        <v>6.4342414279002504</v>
      </c>
    </row>
    <row r="2122" spans="1:40" x14ac:dyDescent="0.3">
      <c r="A2122" t="s">
        <v>446</v>
      </c>
      <c r="B2122" t="s">
        <v>139</v>
      </c>
      <c r="C2122" t="s">
        <v>10</v>
      </c>
      <c r="D2122" t="s">
        <v>14</v>
      </c>
      <c r="E2122">
        <v>202602</v>
      </c>
      <c r="F2122" t="s">
        <v>765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1</v>
      </c>
      <c r="AM2122">
        <v>0.33333333333333331</v>
      </c>
      <c r="AN2122">
        <v>2.43424142790025</v>
      </c>
    </row>
    <row r="2123" spans="1:40" x14ac:dyDescent="0.3">
      <c r="A2123" t="s">
        <v>446</v>
      </c>
      <c r="B2123" t="s">
        <v>139</v>
      </c>
      <c r="C2123" t="s">
        <v>16</v>
      </c>
      <c r="D2123" t="s">
        <v>11</v>
      </c>
      <c r="E2123">
        <v>202602</v>
      </c>
      <c r="F2123" t="s">
        <v>515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</v>
      </c>
      <c r="AM2123">
        <v>0</v>
      </c>
      <c r="AN2123">
        <v>1</v>
      </c>
    </row>
    <row r="2124" spans="1:40" x14ac:dyDescent="0.3">
      <c r="A2124" t="s">
        <v>446</v>
      </c>
      <c r="B2124" t="s">
        <v>139</v>
      </c>
      <c r="C2124" t="s">
        <v>16</v>
      </c>
      <c r="D2124" t="s">
        <v>14</v>
      </c>
      <c r="E2124">
        <v>202602</v>
      </c>
      <c r="F2124" t="s">
        <v>507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1</v>
      </c>
      <c r="AM2124">
        <v>0.33333333333333331</v>
      </c>
      <c r="AN2124">
        <v>2.43424142790025</v>
      </c>
    </row>
    <row r="2125" spans="1:40" x14ac:dyDescent="0.3">
      <c r="A2125" t="s">
        <v>446</v>
      </c>
      <c r="B2125" t="s">
        <v>139</v>
      </c>
      <c r="C2125" t="s">
        <v>16</v>
      </c>
      <c r="D2125" t="s">
        <v>14</v>
      </c>
      <c r="E2125">
        <v>202602</v>
      </c>
      <c r="F2125" t="s">
        <v>515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1</v>
      </c>
      <c r="AM2125">
        <v>0</v>
      </c>
      <c r="AN2125">
        <v>1</v>
      </c>
    </row>
    <row r="2126" spans="1:40" x14ac:dyDescent="0.3">
      <c r="A2126" t="s">
        <v>446</v>
      </c>
      <c r="B2126" t="s">
        <v>238</v>
      </c>
      <c r="C2126" t="s">
        <v>10</v>
      </c>
      <c r="D2126" t="s">
        <v>11</v>
      </c>
      <c r="E2126">
        <v>202602</v>
      </c>
      <c r="F2126" t="s">
        <v>203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3</v>
      </c>
      <c r="AM2126">
        <v>0.33333333333333331</v>
      </c>
      <c r="AN2126">
        <v>4.6796686227130611</v>
      </c>
    </row>
    <row r="2127" spans="1:40" x14ac:dyDescent="0.3">
      <c r="A2127" t="s">
        <v>446</v>
      </c>
      <c r="B2127" t="s">
        <v>238</v>
      </c>
      <c r="C2127" t="s">
        <v>10</v>
      </c>
      <c r="D2127" t="s">
        <v>14</v>
      </c>
      <c r="E2127">
        <v>202602</v>
      </c>
      <c r="F2127" t="s">
        <v>203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1</v>
      </c>
      <c r="AM2127">
        <v>0</v>
      </c>
      <c r="AN2127">
        <v>1</v>
      </c>
    </row>
    <row r="2128" spans="1:40" x14ac:dyDescent="0.3">
      <c r="A2128" t="s">
        <v>446</v>
      </c>
      <c r="B2128" t="s">
        <v>656</v>
      </c>
      <c r="C2128" t="s">
        <v>10</v>
      </c>
      <c r="D2128" t="s">
        <v>11</v>
      </c>
      <c r="E2128">
        <v>202602</v>
      </c>
      <c r="F2128" t="s">
        <v>171</v>
      </c>
      <c r="G2128">
        <v>0</v>
      </c>
      <c r="H2128">
        <v>4</v>
      </c>
      <c r="I2128">
        <v>3</v>
      </c>
      <c r="J2128">
        <v>4</v>
      </c>
      <c r="K2128">
        <v>1</v>
      </c>
      <c r="L2128">
        <v>4</v>
      </c>
      <c r="M2128">
        <v>1</v>
      </c>
      <c r="N2128">
        <v>1</v>
      </c>
      <c r="O2128">
        <v>4</v>
      </c>
      <c r="P2128">
        <v>4</v>
      </c>
      <c r="Q2128">
        <v>5</v>
      </c>
      <c r="R2128">
        <v>5</v>
      </c>
      <c r="S2128">
        <v>5</v>
      </c>
      <c r="T2128">
        <v>2</v>
      </c>
      <c r="U2128">
        <v>0</v>
      </c>
      <c r="V2128">
        <v>3</v>
      </c>
      <c r="W2128">
        <v>0</v>
      </c>
      <c r="X2128">
        <v>3</v>
      </c>
      <c r="Y2128">
        <v>7</v>
      </c>
      <c r="Z2128">
        <v>6</v>
      </c>
      <c r="AA2128">
        <v>2</v>
      </c>
      <c r="AB2128">
        <v>0</v>
      </c>
      <c r="AC2128">
        <v>4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68</v>
      </c>
      <c r="AM2128">
        <v>5.666666666666667</v>
      </c>
      <c r="AN2128">
        <v>96.554366586122029</v>
      </c>
    </row>
    <row r="2129" spans="1:40" x14ac:dyDescent="0.3">
      <c r="A2129" t="s">
        <v>446</v>
      </c>
      <c r="B2129" t="s">
        <v>656</v>
      </c>
      <c r="C2129" t="s">
        <v>10</v>
      </c>
      <c r="D2129" t="s">
        <v>14</v>
      </c>
      <c r="E2129">
        <v>202602</v>
      </c>
      <c r="F2129" t="s">
        <v>171</v>
      </c>
      <c r="G2129">
        <v>0</v>
      </c>
      <c r="H2129">
        <v>3</v>
      </c>
      <c r="I2129">
        <v>8</v>
      </c>
      <c r="J2129">
        <v>5</v>
      </c>
      <c r="K2129">
        <v>7</v>
      </c>
      <c r="L2129">
        <v>5</v>
      </c>
      <c r="M2129">
        <v>5</v>
      </c>
      <c r="N2129">
        <v>0</v>
      </c>
      <c r="O2129">
        <v>5</v>
      </c>
      <c r="P2129">
        <v>4</v>
      </c>
      <c r="Q2129">
        <v>12</v>
      </c>
      <c r="R2129">
        <v>4</v>
      </c>
      <c r="S2129">
        <v>10</v>
      </c>
      <c r="T2129">
        <v>2</v>
      </c>
      <c r="U2129">
        <v>0</v>
      </c>
      <c r="V2129">
        <v>0</v>
      </c>
      <c r="W2129">
        <v>0</v>
      </c>
      <c r="X2129">
        <v>3</v>
      </c>
      <c r="Y2129">
        <v>3</v>
      </c>
      <c r="Z2129">
        <v>4</v>
      </c>
      <c r="AA2129">
        <v>4</v>
      </c>
      <c r="AB2129">
        <v>0</v>
      </c>
      <c r="AC2129">
        <v>6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90</v>
      </c>
      <c r="AM2129">
        <v>4.333333333333333</v>
      </c>
      <c r="AN2129">
        <v>108.64513856270325</v>
      </c>
    </row>
    <row r="2130" spans="1:40" x14ac:dyDescent="0.3">
      <c r="A2130" t="s">
        <v>446</v>
      </c>
      <c r="B2130" t="s">
        <v>656</v>
      </c>
      <c r="C2130" t="s">
        <v>16</v>
      </c>
      <c r="D2130" t="s">
        <v>11</v>
      </c>
      <c r="E2130">
        <v>202602</v>
      </c>
      <c r="F2130" t="s">
        <v>171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0</v>
      </c>
      <c r="AN2130">
        <v>1</v>
      </c>
    </row>
    <row r="2131" spans="1:40" x14ac:dyDescent="0.3">
      <c r="A2131" t="s">
        <v>446</v>
      </c>
      <c r="B2131" t="s">
        <v>656</v>
      </c>
      <c r="C2131" t="s">
        <v>16</v>
      </c>
      <c r="D2131" t="s">
        <v>14</v>
      </c>
      <c r="E2131">
        <v>202602</v>
      </c>
      <c r="F2131" t="s">
        <v>171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1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3</v>
      </c>
      <c r="AM2131">
        <v>0.33333333333333331</v>
      </c>
      <c r="AN2131">
        <v>4.4342414279002504</v>
      </c>
    </row>
    <row r="2132" spans="1:40" x14ac:dyDescent="0.3">
      <c r="A2132" t="s">
        <v>446</v>
      </c>
      <c r="B2132" t="s">
        <v>164</v>
      </c>
      <c r="C2132" t="s">
        <v>10</v>
      </c>
      <c r="D2132" t="s">
        <v>11</v>
      </c>
      <c r="E2132">
        <v>202602</v>
      </c>
      <c r="F2132" t="s">
        <v>18</v>
      </c>
      <c r="G2132">
        <v>0</v>
      </c>
      <c r="H2132">
        <v>3</v>
      </c>
      <c r="I2132">
        <v>2</v>
      </c>
      <c r="J2132">
        <v>2</v>
      </c>
      <c r="K2132">
        <v>3</v>
      </c>
      <c r="L2132">
        <v>0</v>
      </c>
      <c r="M2132">
        <v>1</v>
      </c>
      <c r="N2132">
        <v>0</v>
      </c>
      <c r="O2132">
        <v>0</v>
      </c>
      <c r="P2132">
        <v>2</v>
      </c>
      <c r="Q2132">
        <v>2</v>
      </c>
      <c r="R2132">
        <v>3</v>
      </c>
      <c r="S2132">
        <v>2</v>
      </c>
      <c r="T2132">
        <v>3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1</v>
      </c>
      <c r="AB2132">
        <v>0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27</v>
      </c>
      <c r="AM2132">
        <v>0.33333333333333331</v>
      </c>
      <c r="AN2132">
        <v>28.679668622713059</v>
      </c>
    </row>
    <row r="2133" spans="1:40" x14ac:dyDescent="0.3">
      <c r="A2133" t="s">
        <v>446</v>
      </c>
      <c r="B2133" t="s">
        <v>164</v>
      </c>
      <c r="C2133" t="s">
        <v>10</v>
      </c>
      <c r="D2133" t="s">
        <v>11</v>
      </c>
      <c r="E2133">
        <v>202602</v>
      </c>
      <c r="F2133" t="s">
        <v>138</v>
      </c>
      <c r="G2133">
        <v>0</v>
      </c>
      <c r="H2133">
        <v>5</v>
      </c>
      <c r="I2133">
        <v>2</v>
      </c>
      <c r="J2133">
        <v>4</v>
      </c>
      <c r="K2133">
        <v>1</v>
      </c>
      <c r="L2133">
        <v>0</v>
      </c>
      <c r="M2133">
        <v>0</v>
      </c>
      <c r="N2133">
        <v>0</v>
      </c>
      <c r="O2133">
        <v>3</v>
      </c>
      <c r="P2133">
        <v>3</v>
      </c>
      <c r="Q2133">
        <v>0</v>
      </c>
      <c r="R2133">
        <v>1</v>
      </c>
      <c r="S2133">
        <v>1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2</v>
      </c>
      <c r="Z2133">
        <v>1</v>
      </c>
      <c r="AA2133">
        <v>2</v>
      </c>
      <c r="AB2133">
        <v>0</v>
      </c>
      <c r="AC2133">
        <v>5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31</v>
      </c>
      <c r="AM2133">
        <v>2.6666666666666665</v>
      </c>
      <c r="AN2133">
        <v>44.437348981704488</v>
      </c>
    </row>
    <row r="2134" spans="1:40" x14ac:dyDescent="0.3">
      <c r="A2134" t="s">
        <v>446</v>
      </c>
      <c r="B2134" t="s">
        <v>164</v>
      </c>
      <c r="C2134" t="s">
        <v>10</v>
      </c>
      <c r="D2134" t="s">
        <v>14</v>
      </c>
      <c r="E2134">
        <v>202602</v>
      </c>
      <c r="F2134" t="s">
        <v>18</v>
      </c>
      <c r="G2134">
        <v>2</v>
      </c>
      <c r="H2134">
        <v>2</v>
      </c>
      <c r="I2134">
        <v>3</v>
      </c>
      <c r="J2134">
        <v>3</v>
      </c>
      <c r="K2134">
        <v>0</v>
      </c>
      <c r="L2134">
        <v>1</v>
      </c>
      <c r="M2134">
        <v>0</v>
      </c>
      <c r="N2134">
        <v>0</v>
      </c>
      <c r="O2134">
        <v>3</v>
      </c>
      <c r="P2134">
        <v>2</v>
      </c>
      <c r="Q2134">
        <v>6</v>
      </c>
      <c r="R2134">
        <v>1</v>
      </c>
      <c r="S2134">
        <v>2</v>
      </c>
      <c r="T2134">
        <v>2</v>
      </c>
      <c r="U2134">
        <v>0</v>
      </c>
      <c r="V2134">
        <v>1</v>
      </c>
      <c r="W2134">
        <v>0</v>
      </c>
      <c r="X2134">
        <v>1</v>
      </c>
      <c r="Y2134">
        <v>2</v>
      </c>
      <c r="Z2134">
        <v>1</v>
      </c>
      <c r="AA2134">
        <v>2</v>
      </c>
      <c r="AB2134">
        <v>1</v>
      </c>
      <c r="AC2134">
        <v>2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37</v>
      </c>
      <c r="AM2134">
        <v>1.6666666666666667</v>
      </c>
      <c r="AN2134">
        <v>44.171207139501249</v>
      </c>
    </row>
    <row r="2135" spans="1:40" x14ac:dyDescent="0.3">
      <c r="A2135" t="s">
        <v>446</v>
      </c>
      <c r="B2135" t="s">
        <v>164</v>
      </c>
      <c r="C2135" t="s">
        <v>10</v>
      </c>
      <c r="D2135" t="s">
        <v>14</v>
      </c>
      <c r="E2135">
        <v>202602</v>
      </c>
      <c r="F2135" t="s">
        <v>138</v>
      </c>
      <c r="G2135">
        <v>0</v>
      </c>
      <c r="H2135">
        <v>2</v>
      </c>
      <c r="I2135">
        <v>7</v>
      </c>
      <c r="J2135">
        <v>1</v>
      </c>
      <c r="K2135">
        <v>4</v>
      </c>
      <c r="L2135">
        <v>7</v>
      </c>
      <c r="M2135">
        <v>2</v>
      </c>
      <c r="N2135">
        <v>0</v>
      </c>
      <c r="O2135">
        <v>2</v>
      </c>
      <c r="P2135">
        <v>1</v>
      </c>
      <c r="Q2135">
        <v>3</v>
      </c>
      <c r="R2135">
        <v>5</v>
      </c>
      <c r="S2135">
        <v>2</v>
      </c>
      <c r="T2135">
        <v>1</v>
      </c>
      <c r="U2135">
        <v>0</v>
      </c>
      <c r="V2135">
        <v>1</v>
      </c>
      <c r="W2135">
        <v>1</v>
      </c>
      <c r="X2135">
        <v>2</v>
      </c>
      <c r="Y2135">
        <v>5</v>
      </c>
      <c r="Z2135">
        <v>7</v>
      </c>
      <c r="AA2135">
        <v>1</v>
      </c>
      <c r="AB2135">
        <v>0</v>
      </c>
      <c r="AC2135">
        <v>4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58</v>
      </c>
      <c r="AM2135">
        <v>5.333333333333333</v>
      </c>
      <c r="AN2135">
        <v>80.947862846404007</v>
      </c>
    </row>
    <row r="2136" spans="1:40" x14ac:dyDescent="0.3">
      <c r="A2136" t="s">
        <v>446</v>
      </c>
      <c r="B2136" t="s">
        <v>164</v>
      </c>
      <c r="C2136" t="s">
        <v>16</v>
      </c>
      <c r="D2136" t="s">
        <v>11</v>
      </c>
      <c r="E2136">
        <v>202602</v>
      </c>
      <c r="F2136" t="s">
        <v>18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</v>
      </c>
      <c r="AM2136">
        <v>0</v>
      </c>
      <c r="AN2136">
        <v>1</v>
      </c>
    </row>
    <row r="2137" spans="1:40" x14ac:dyDescent="0.3">
      <c r="A2137" t="s">
        <v>446</v>
      </c>
      <c r="B2137" t="s">
        <v>164</v>
      </c>
      <c r="C2137" t="s">
        <v>16</v>
      </c>
      <c r="D2137" t="s">
        <v>11</v>
      </c>
      <c r="E2137">
        <v>202602</v>
      </c>
      <c r="F2137" t="s">
        <v>138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2</v>
      </c>
      <c r="AM2137">
        <v>0.33333333333333331</v>
      </c>
      <c r="AN2137">
        <v>3.6796686227130611</v>
      </c>
    </row>
    <row r="2138" spans="1:40" x14ac:dyDescent="0.3">
      <c r="A2138" t="s">
        <v>446</v>
      </c>
      <c r="B2138" t="s">
        <v>164</v>
      </c>
      <c r="C2138" t="s">
        <v>16</v>
      </c>
      <c r="D2138" t="s">
        <v>14</v>
      </c>
      <c r="E2138">
        <v>202602</v>
      </c>
      <c r="F2138" t="s">
        <v>18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2</v>
      </c>
      <c r="AM2138">
        <v>0.33333333333333331</v>
      </c>
      <c r="AN2138">
        <v>3.43424142790025</v>
      </c>
    </row>
    <row r="2139" spans="1:40" x14ac:dyDescent="0.3">
      <c r="A2139" t="s">
        <v>446</v>
      </c>
      <c r="B2139" t="s">
        <v>164</v>
      </c>
      <c r="C2139" t="s">
        <v>16</v>
      </c>
      <c r="D2139" t="s">
        <v>14</v>
      </c>
      <c r="E2139">
        <v>202602</v>
      </c>
      <c r="F2139" t="s">
        <v>138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3</v>
      </c>
      <c r="AM2139">
        <v>0</v>
      </c>
      <c r="AN2139">
        <v>3</v>
      </c>
    </row>
    <row r="2140" spans="1:40" x14ac:dyDescent="0.3">
      <c r="A2140" t="s">
        <v>446</v>
      </c>
      <c r="B2140" t="s">
        <v>168</v>
      </c>
      <c r="C2140" t="s">
        <v>10</v>
      </c>
      <c r="D2140" t="s">
        <v>14</v>
      </c>
      <c r="E2140">
        <v>202602</v>
      </c>
      <c r="F2140" t="s">
        <v>169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</v>
      </c>
      <c r="AM2140">
        <v>0</v>
      </c>
      <c r="AN2140">
        <v>1</v>
      </c>
    </row>
    <row r="2141" spans="1:40" x14ac:dyDescent="0.3">
      <c r="A2141" t="s">
        <v>446</v>
      </c>
      <c r="B2141" t="s">
        <v>170</v>
      </c>
      <c r="C2141" t="s">
        <v>10</v>
      </c>
      <c r="D2141" t="s">
        <v>11</v>
      </c>
      <c r="E2141">
        <v>202602</v>
      </c>
      <c r="F2141" t="s">
        <v>50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0</v>
      </c>
      <c r="AN2141">
        <v>1</v>
      </c>
    </row>
    <row r="2142" spans="1:40" x14ac:dyDescent="0.3">
      <c r="A2142" t="s">
        <v>446</v>
      </c>
      <c r="B2142" t="s">
        <v>170</v>
      </c>
      <c r="C2142" t="s">
        <v>10</v>
      </c>
      <c r="D2142" t="s">
        <v>14</v>
      </c>
      <c r="E2142">
        <v>202602</v>
      </c>
      <c r="F2142" t="s">
        <v>50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1</v>
      </c>
      <c r="AA2142">
        <v>0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3</v>
      </c>
      <c r="AM2142">
        <v>0.66666666666666663</v>
      </c>
      <c r="AN2142">
        <v>5.8684828558005</v>
      </c>
    </row>
    <row r="2143" spans="1:40" x14ac:dyDescent="0.3">
      <c r="A2143" t="s">
        <v>446</v>
      </c>
      <c r="B2143" t="s">
        <v>172</v>
      </c>
      <c r="C2143" t="s">
        <v>10</v>
      </c>
      <c r="D2143" t="s">
        <v>11</v>
      </c>
      <c r="E2143">
        <v>202602</v>
      </c>
      <c r="F2143" t="s">
        <v>171</v>
      </c>
      <c r="G2143">
        <v>0</v>
      </c>
      <c r="H2143">
        <v>1</v>
      </c>
      <c r="I2143">
        <v>0</v>
      </c>
      <c r="J2143">
        <v>1</v>
      </c>
      <c r="K2143">
        <v>1</v>
      </c>
      <c r="L2143">
        <v>1</v>
      </c>
      <c r="M2143">
        <v>0</v>
      </c>
      <c r="N2143">
        <v>0</v>
      </c>
      <c r="O2143">
        <v>1</v>
      </c>
      <c r="P2143">
        <v>2</v>
      </c>
      <c r="Q2143">
        <v>0</v>
      </c>
      <c r="R2143">
        <v>1</v>
      </c>
      <c r="S2143">
        <v>2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3</v>
      </c>
      <c r="Z2143">
        <v>1</v>
      </c>
      <c r="AA2143">
        <v>1</v>
      </c>
      <c r="AB2143">
        <v>0</v>
      </c>
      <c r="AC2143">
        <v>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17</v>
      </c>
      <c r="AM2143">
        <v>1.6666666666666667</v>
      </c>
      <c r="AN2143">
        <v>25.398343113565303</v>
      </c>
    </row>
    <row r="2144" spans="1:40" x14ac:dyDescent="0.3">
      <c r="A2144" t="s">
        <v>446</v>
      </c>
      <c r="B2144" t="s">
        <v>172</v>
      </c>
      <c r="C2144" t="s">
        <v>10</v>
      </c>
      <c r="D2144" t="s">
        <v>14</v>
      </c>
      <c r="E2144">
        <v>202602</v>
      </c>
      <c r="F2144" t="s">
        <v>171</v>
      </c>
      <c r="G2144">
        <v>0</v>
      </c>
      <c r="H2144">
        <v>2</v>
      </c>
      <c r="I2144">
        <v>1</v>
      </c>
      <c r="J2144">
        <v>3</v>
      </c>
      <c r="K2144">
        <v>0</v>
      </c>
      <c r="L2144">
        <v>5</v>
      </c>
      <c r="M2144">
        <v>1</v>
      </c>
      <c r="N2144">
        <v>0</v>
      </c>
      <c r="O2144">
        <v>2</v>
      </c>
      <c r="P2144">
        <v>2</v>
      </c>
      <c r="Q2144">
        <v>3</v>
      </c>
      <c r="R2144">
        <v>2</v>
      </c>
      <c r="S2144">
        <v>1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4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28</v>
      </c>
      <c r="AM2144">
        <v>1.6666666666666667</v>
      </c>
      <c r="AN2144">
        <v>35.171207139501249</v>
      </c>
    </row>
    <row r="2145" spans="1:40" x14ac:dyDescent="0.3">
      <c r="A2145" t="s">
        <v>516</v>
      </c>
      <c r="B2145" t="s">
        <v>9</v>
      </c>
      <c r="C2145" t="s">
        <v>10</v>
      </c>
      <c r="D2145" t="s">
        <v>11</v>
      </c>
      <c r="E2145">
        <v>202602</v>
      </c>
      <c r="F2145" t="s">
        <v>12</v>
      </c>
      <c r="G2145">
        <v>0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3</v>
      </c>
      <c r="Q2145">
        <v>0</v>
      </c>
      <c r="R2145">
        <v>0</v>
      </c>
      <c r="S2145">
        <v>1</v>
      </c>
      <c r="T2145">
        <v>1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2</v>
      </c>
      <c r="AB2145">
        <v>0</v>
      </c>
      <c r="AC2145">
        <v>1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10</v>
      </c>
      <c r="AM2145">
        <v>0.33333333333333331</v>
      </c>
      <c r="AN2145">
        <v>11.679668622713061</v>
      </c>
    </row>
    <row r="2146" spans="1:40" x14ac:dyDescent="0.3">
      <c r="A2146" t="s">
        <v>516</v>
      </c>
      <c r="B2146" t="s">
        <v>9</v>
      </c>
      <c r="C2146" t="s">
        <v>10</v>
      </c>
      <c r="D2146" t="s">
        <v>11</v>
      </c>
      <c r="E2146">
        <v>202602</v>
      </c>
      <c r="F2146" t="s">
        <v>13</v>
      </c>
      <c r="G2146">
        <v>0</v>
      </c>
      <c r="H2146">
        <v>1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1</v>
      </c>
      <c r="R2146">
        <v>1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8</v>
      </c>
      <c r="AM2146">
        <v>0.66666666666666663</v>
      </c>
      <c r="AN2146">
        <v>11.359337245426122</v>
      </c>
    </row>
    <row r="2147" spans="1:40" x14ac:dyDescent="0.3">
      <c r="A2147" t="s">
        <v>516</v>
      </c>
      <c r="B2147" t="s">
        <v>9</v>
      </c>
      <c r="C2147" t="s">
        <v>10</v>
      </c>
      <c r="D2147" t="s">
        <v>11</v>
      </c>
      <c r="E2147">
        <v>202602</v>
      </c>
      <c r="F2147" t="s">
        <v>15</v>
      </c>
      <c r="G2147">
        <v>0</v>
      </c>
      <c r="H2147">
        <v>22</v>
      </c>
      <c r="I2147">
        <v>17</v>
      </c>
      <c r="J2147">
        <v>11</v>
      </c>
      <c r="K2147">
        <v>21</v>
      </c>
      <c r="L2147">
        <v>10</v>
      </c>
      <c r="M2147">
        <v>4</v>
      </c>
      <c r="N2147">
        <v>2</v>
      </c>
      <c r="O2147">
        <v>25</v>
      </c>
      <c r="P2147">
        <v>17</v>
      </c>
      <c r="Q2147">
        <v>14</v>
      </c>
      <c r="R2147">
        <v>19</v>
      </c>
      <c r="S2147">
        <v>21</v>
      </c>
      <c r="T2147">
        <v>3</v>
      </c>
      <c r="U2147">
        <v>0</v>
      </c>
      <c r="V2147">
        <v>15</v>
      </c>
      <c r="W2147">
        <v>7</v>
      </c>
      <c r="X2147">
        <v>11</v>
      </c>
      <c r="Y2147">
        <v>15</v>
      </c>
      <c r="Z2147">
        <v>14</v>
      </c>
      <c r="AA2147">
        <v>5</v>
      </c>
      <c r="AB2147">
        <v>1</v>
      </c>
      <c r="AC2147">
        <v>21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275</v>
      </c>
      <c r="AM2147">
        <v>16.666666666666668</v>
      </c>
      <c r="AN2147">
        <v>358.98343113565306</v>
      </c>
    </row>
    <row r="2148" spans="1:40" x14ac:dyDescent="0.3">
      <c r="A2148" t="s">
        <v>516</v>
      </c>
      <c r="B2148" t="s">
        <v>9</v>
      </c>
      <c r="C2148" t="s">
        <v>10</v>
      </c>
      <c r="D2148" t="s">
        <v>14</v>
      </c>
      <c r="E2148">
        <v>202602</v>
      </c>
      <c r="F2148" t="s">
        <v>606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1</v>
      </c>
      <c r="AM2148">
        <v>0.33333333333333331</v>
      </c>
      <c r="AN2148">
        <v>2.43424142790025</v>
      </c>
    </row>
    <row r="2149" spans="1:40" x14ac:dyDescent="0.3">
      <c r="A2149" t="s">
        <v>516</v>
      </c>
      <c r="B2149" t="s">
        <v>9</v>
      </c>
      <c r="C2149" t="s">
        <v>10</v>
      </c>
      <c r="D2149" t="s">
        <v>14</v>
      </c>
      <c r="E2149">
        <v>202602</v>
      </c>
      <c r="F2149" t="s">
        <v>12</v>
      </c>
      <c r="G2149">
        <v>0</v>
      </c>
      <c r="H2149">
        <v>0</v>
      </c>
      <c r="I2149">
        <v>1</v>
      </c>
      <c r="J2149">
        <v>1</v>
      </c>
      <c r="K2149">
        <v>1</v>
      </c>
      <c r="L2149">
        <v>1</v>
      </c>
      <c r="M2149">
        <v>4</v>
      </c>
      <c r="N2149">
        <v>0</v>
      </c>
      <c r="O2149">
        <v>0</v>
      </c>
      <c r="P2149">
        <v>1</v>
      </c>
      <c r="Q2149">
        <v>0</v>
      </c>
      <c r="R2149">
        <v>1</v>
      </c>
      <c r="S2149">
        <v>2</v>
      </c>
      <c r="T2149">
        <v>0</v>
      </c>
      <c r="U2149">
        <v>0</v>
      </c>
      <c r="V2149">
        <v>0</v>
      </c>
      <c r="W2149">
        <v>0</v>
      </c>
      <c r="X2149">
        <v>2</v>
      </c>
      <c r="Y2149">
        <v>1</v>
      </c>
      <c r="Z2149">
        <v>2</v>
      </c>
      <c r="AA2149">
        <v>2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20</v>
      </c>
      <c r="AM2149">
        <v>1.3333333333333333</v>
      </c>
      <c r="AN2149">
        <v>25.736965711601002</v>
      </c>
    </row>
    <row r="2150" spans="1:40" x14ac:dyDescent="0.3">
      <c r="A2150" t="s">
        <v>516</v>
      </c>
      <c r="B2150" t="s">
        <v>9</v>
      </c>
      <c r="C2150" t="s">
        <v>10</v>
      </c>
      <c r="D2150" t="s">
        <v>14</v>
      </c>
      <c r="E2150">
        <v>202602</v>
      </c>
      <c r="F2150" t="s">
        <v>13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1</v>
      </c>
      <c r="N2150">
        <v>0</v>
      </c>
      <c r="O2150">
        <v>0</v>
      </c>
      <c r="P2150">
        <v>1</v>
      </c>
      <c r="Q2150">
        <v>1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7</v>
      </c>
      <c r="AM2150">
        <v>0.33333333333333331</v>
      </c>
      <c r="AN2150">
        <v>8.4342414279002504</v>
      </c>
    </row>
    <row r="2151" spans="1:40" x14ac:dyDescent="0.3">
      <c r="A2151" t="s">
        <v>516</v>
      </c>
      <c r="B2151" t="s">
        <v>9</v>
      </c>
      <c r="C2151" t="s">
        <v>10</v>
      </c>
      <c r="D2151" t="s">
        <v>14</v>
      </c>
      <c r="E2151">
        <v>202602</v>
      </c>
      <c r="F2151" t="s">
        <v>15</v>
      </c>
      <c r="G2151">
        <v>1</v>
      </c>
      <c r="H2151">
        <v>27</v>
      </c>
      <c r="I2151">
        <v>19</v>
      </c>
      <c r="J2151">
        <v>17</v>
      </c>
      <c r="K2151">
        <v>23</v>
      </c>
      <c r="L2151">
        <v>20</v>
      </c>
      <c r="M2151">
        <v>10</v>
      </c>
      <c r="N2151">
        <v>0</v>
      </c>
      <c r="O2151">
        <v>21</v>
      </c>
      <c r="P2151">
        <v>36</v>
      </c>
      <c r="Q2151">
        <v>20</v>
      </c>
      <c r="R2151">
        <v>21</v>
      </c>
      <c r="S2151">
        <v>10</v>
      </c>
      <c r="T2151">
        <v>2</v>
      </c>
      <c r="U2151">
        <v>0</v>
      </c>
      <c r="V2151">
        <v>16</v>
      </c>
      <c r="W2151">
        <v>1</v>
      </c>
      <c r="X2151">
        <v>16</v>
      </c>
      <c r="Y2151">
        <v>27</v>
      </c>
      <c r="Z2151">
        <v>27</v>
      </c>
      <c r="AA2151">
        <v>6</v>
      </c>
      <c r="AB2151">
        <v>0</v>
      </c>
      <c r="AC2151">
        <v>20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340</v>
      </c>
      <c r="AM2151">
        <v>24.666666666666668</v>
      </c>
      <c r="AN2151">
        <v>446.1338656646185</v>
      </c>
    </row>
    <row r="2152" spans="1:40" x14ac:dyDescent="0.3">
      <c r="A2152" t="s">
        <v>516</v>
      </c>
      <c r="B2152" t="s">
        <v>9</v>
      </c>
      <c r="C2152" t="s">
        <v>16</v>
      </c>
      <c r="D2152" t="s">
        <v>11</v>
      </c>
      <c r="E2152">
        <v>202602</v>
      </c>
      <c r="F2152" t="s">
        <v>12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1</v>
      </c>
      <c r="AM2152">
        <v>0</v>
      </c>
      <c r="AN2152">
        <v>1</v>
      </c>
    </row>
    <row r="2153" spans="1:40" x14ac:dyDescent="0.3">
      <c r="A2153" t="s">
        <v>516</v>
      </c>
      <c r="B2153" t="s">
        <v>9</v>
      </c>
      <c r="C2153" t="s">
        <v>16</v>
      </c>
      <c r="D2153" t="s">
        <v>11</v>
      </c>
      <c r="E2153">
        <v>202602</v>
      </c>
      <c r="F2153" t="s">
        <v>381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0</v>
      </c>
      <c r="AN2153">
        <v>1</v>
      </c>
    </row>
    <row r="2154" spans="1:40" x14ac:dyDescent="0.3">
      <c r="A2154" t="s">
        <v>516</v>
      </c>
      <c r="B2154" t="s">
        <v>9</v>
      </c>
      <c r="C2154" t="s">
        <v>16</v>
      </c>
      <c r="D2154" t="s">
        <v>11</v>
      </c>
      <c r="E2154">
        <v>202602</v>
      </c>
      <c r="F2154" t="s">
        <v>15</v>
      </c>
      <c r="G2154">
        <v>0</v>
      </c>
      <c r="H2154">
        <v>0</v>
      </c>
      <c r="I2154">
        <v>2</v>
      </c>
      <c r="J2154">
        <v>1</v>
      </c>
      <c r="K2154">
        <v>0</v>
      </c>
      <c r="L2154">
        <v>0</v>
      </c>
      <c r="M2154">
        <v>2</v>
      </c>
      <c r="N2154">
        <v>0</v>
      </c>
      <c r="O2154">
        <v>1</v>
      </c>
      <c r="P2154">
        <v>0</v>
      </c>
      <c r="Q2154">
        <v>2</v>
      </c>
      <c r="R2154">
        <v>1</v>
      </c>
      <c r="S2154">
        <v>4</v>
      </c>
      <c r="T2154">
        <v>2</v>
      </c>
      <c r="U2154">
        <v>0</v>
      </c>
      <c r="V2154">
        <v>0</v>
      </c>
      <c r="W2154">
        <v>0</v>
      </c>
      <c r="X2154">
        <v>4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20</v>
      </c>
      <c r="AM2154">
        <v>0.33333333333333331</v>
      </c>
      <c r="AN2154">
        <v>21.679668622713059</v>
      </c>
    </row>
    <row r="2155" spans="1:40" x14ac:dyDescent="0.3">
      <c r="A2155" t="s">
        <v>516</v>
      </c>
      <c r="B2155" t="s">
        <v>9</v>
      </c>
      <c r="C2155" t="s">
        <v>16</v>
      </c>
      <c r="D2155" t="s">
        <v>14</v>
      </c>
      <c r="E2155">
        <v>202602</v>
      </c>
      <c r="F2155" t="s">
        <v>12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2</v>
      </c>
      <c r="AM2155">
        <v>0</v>
      </c>
      <c r="AN2155">
        <v>2</v>
      </c>
    </row>
    <row r="2156" spans="1:40" x14ac:dyDescent="0.3">
      <c r="A2156" t="s">
        <v>516</v>
      </c>
      <c r="B2156" t="s">
        <v>9</v>
      </c>
      <c r="C2156" t="s">
        <v>16</v>
      </c>
      <c r="D2156" t="s">
        <v>14</v>
      </c>
      <c r="E2156">
        <v>202602</v>
      </c>
      <c r="F2156" t="s">
        <v>15</v>
      </c>
      <c r="G2156">
        <v>0</v>
      </c>
      <c r="H2156">
        <v>1</v>
      </c>
      <c r="I2156">
        <v>0</v>
      </c>
      <c r="J2156">
        <v>2</v>
      </c>
      <c r="K2156">
        <v>1</v>
      </c>
      <c r="L2156">
        <v>1</v>
      </c>
      <c r="M2156">
        <v>2</v>
      </c>
      <c r="N2156">
        <v>0</v>
      </c>
      <c r="O2156">
        <v>1</v>
      </c>
      <c r="P2156">
        <v>1</v>
      </c>
      <c r="Q2156">
        <v>2</v>
      </c>
      <c r="R2156">
        <v>5</v>
      </c>
      <c r="S2156">
        <v>4</v>
      </c>
      <c r="T2156">
        <v>0</v>
      </c>
      <c r="U2156">
        <v>0</v>
      </c>
      <c r="V2156">
        <v>1</v>
      </c>
      <c r="W2156">
        <v>0</v>
      </c>
      <c r="X2156">
        <v>2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23</v>
      </c>
      <c r="AM2156">
        <v>0</v>
      </c>
      <c r="AN2156">
        <v>23</v>
      </c>
    </row>
    <row r="2157" spans="1:40" x14ac:dyDescent="0.3">
      <c r="A2157" t="s">
        <v>516</v>
      </c>
      <c r="B2157" t="s">
        <v>17</v>
      </c>
      <c r="C2157" t="s">
        <v>10</v>
      </c>
      <c r="D2157" t="s">
        <v>11</v>
      </c>
      <c r="E2157">
        <v>202602</v>
      </c>
      <c r="F2157" t="s">
        <v>517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4</v>
      </c>
      <c r="AM2157">
        <v>0</v>
      </c>
      <c r="AN2157">
        <v>4</v>
      </c>
    </row>
    <row r="2158" spans="1:40" x14ac:dyDescent="0.3">
      <c r="A2158" t="s">
        <v>516</v>
      </c>
      <c r="B2158" t="s">
        <v>17</v>
      </c>
      <c r="C2158" t="s">
        <v>10</v>
      </c>
      <c r="D2158" t="s">
        <v>11</v>
      </c>
      <c r="E2158">
        <v>202602</v>
      </c>
      <c r="F2158" t="s">
        <v>18</v>
      </c>
      <c r="G2158">
        <v>0</v>
      </c>
      <c r="H2158">
        <v>1</v>
      </c>
      <c r="I2158">
        <v>3</v>
      </c>
      <c r="J2158">
        <v>1</v>
      </c>
      <c r="K2158">
        <v>2</v>
      </c>
      <c r="L2158">
        <v>0</v>
      </c>
      <c r="M2158">
        <v>1</v>
      </c>
      <c r="N2158">
        <v>0</v>
      </c>
      <c r="O2158">
        <v>1</v>
      </c>
      <c r="P2158">
        <v>3</v>
      </c>
      <c r="Q2158">
        <v>0</v>
      </c>
      <c r="R2158">
        <v>1</v>
      </c>
      <c r="S2158">
        <v>0</v>
      </c>
      <c r="T2158">
        <v>1</v>
      </c>
      <c r="U2158">
        <v>0</v>
      </c>
      <c r="V2158">
        <v>1</v>
      </c>
      <c r="W2158">
        <v>0</v>
      </c>
      <c r="X2158">
        <v>3</v>
      </c>
      <c r="Y2158">
        <v>2</v>
      </c>
      <c r="Z2158">
        <v>1</v>
      </c>
      <c r="AA2158">
        <v>1</v>
      </c>
      <c r="AB2158">
        <v>1</v>
      </c>
      <c r="AC2158">
        <v>4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27</v>
      </c>
      <c r="AM2158">
        <v>2.3333333333333335</v>
      </c>
      <c r="AN2158">
        <v>38.757680358991422</v>
      </c>
    </row>
    <row r="2159" spans="1:40" x14ac:dyDescent="0.3">
      <c r="A2159" t="s">
        <v>516</v>
      </c>
      <c r="B2159" t="s">
        <v>17</v>
      </c>
      <c r="C2159" t="s">
        <v>10</v>
      </c>
      <c r="D2159" t="s">
        <v>11</v>
      </c>
      <c r="E2159">
        <v>202602</v>
      </c>
      <c r="F2159" t="s">
        <v>518</v>
      </c>
      <c r="G2159">
        <v>0</v>
      </c>
      <c r="H2159">
        <v>4</v>
      </c>
      <c r="I2159">
        <v>0</v>
      </c>
      <c r="J2159">
        <v>1</v>
      </c>
      <c r="K2159">
        <v>6</v>
      </c>
      <c r="L2159">
        <v>0</v>
      </c>
      <c r="M2159">
        <v>0</v>
      </c>
      <c r="N2159">
        <v>1</v>
      </c>
      <c r="O2159">
        <v>0</v>
      </c>
      <c r="P2159">
        <v>3</v>
      </c>
      <c r="Q2159">
        <v>0</v>
      </c>
      <c r="R2159">
        <v>0</v>
      </c>
      <c r="S2159">
        <v>1</v>
      </c>
      <c r="T2159">
        <v>2</v>
      </c>
      <c r="U2159">
        <v>0</v>
      </c>
      <c r="V2159">
        <v>2</v>
      </c>
      <c r="W2159">
        <v>2</v>
      </c>
      <c r="X2159">
        <v>4</v>
      </c>
      <c r="Y2159">
        <v>1</v>
      </c>
      <c r="Z2159">
        <v>1</v>
      </c>
      <c r="AA2159">
        <v>0</v>
      </c>
      <c r="AB2159">
        <v>0</v>
      </c>
      <c r="AC2159">
        <v>6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34</v>
      </c>
      <c r="AM2159">
        <v>2.6666666666666665</v>
      </c>
      <c r="AN2159">
        <v>47.437348981704488</v>
      </c>
    </row>
    <row r="2160" spans="1:40" x14ac:dyDescent="0.3">
      <c r="A2160" t="s">
        <v>516</v>
      </c>
      <c r="B2160" t="s">
        <v>17</v>
      </c>
      <c r="C2160" t="s">
        <v>10</v>
      </c>
      <c r="D2160" t="s">
        <v>11</v>
      </c>
      <c r="E2160">
        <v>202602</v>
      </c>
      <c r="F2160" t="s">
        <v>519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2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4</v>
      </c>
      <c r="AM2160">
        <v>0</v>
      </c>
      <c r="AN2160">
        <v>4</v>
      </c>
    </row>
    <row r="2161" spans="1:40" x14ac:dyDescent="0.3">
      <c r="A2161" t="s">
        <v>516</v>
      </c>
      <c r="B2161" t="s">
        <v>17</v>
      </c>
      <c r="C2161" t="s">
        <v>10</v>
      </c>
      <c r="D2161" t="s">
        <v>11</v>
      </c>
      <c r="E2161">
        <v>202602</v>
      </c>
      <c r="F2161" t="s">
        <v>537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1</v>
      </c>
      <c r="AM2161">
        <v>0</v>
      </c>
      <c r="AN2161">
        <v>1</v>
      </c>
    </row>
    <row r="2162" spans="1:40" x14ac:dyDescent="0.3">
      <c r="A2162" t="s">
        <v>516</v>
      </c>
      <c r="B2162" t="s">
        <v>17</v>
      </c>
      <c r="C2162" t="s">
        <v>10</v>
      </c>
      <c r="D2162" t="s">
        <v>11</v>
      </c>
      <c r="E2162">
        <v>202602</v>
      </c>
      <c r="F2162" t="s">
        <v>28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</v>
      </c>
      <c r="O2162">
        <v>1</v>
      </c>
      <c r="P2162">
        <v>0</v>
      </c>
      <c r="Q2162">
        <v>2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1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8</v>
      </c>
      <c r="AM2162">
        <v>0.33333333333333331</v>
      </c>
      <c r="AN2162">
        <v>9.6796686227130611</v>
      </c>
    </row>
    <row r="2163" spans="1:40" x14ac:dyDescent="0.3">
      <c r="A2163" t="s">
        <v>516</v>
      </c>
      <c r="B2163" t="s">
        <v>17</v>
      </c>
      <c r="C2163" t="s">
        <v>10</v>
      </c>
      <c r="D2163" t="s">
        <v>11</v>
      </c>
      <c r="E2163">
        <v>202602</v>
      </c>
      <c r="F2163" t="s">
        <v>520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2</v>
      </c>
      <c r="AM2163">
        <v>0</v>
      </c>
      <c r="AN2163">
        <v>2</v>
      </c>
    </row>
    <row r="2164" spans="1:40" x14ac:dyDescent="0.3">
      <c r="A2164" t="s">
        <v>516</v>
      </c>
      <c r="B2164" t="s">
        <v>17</v>
      </c>
      <c r="C2164" t="s">
        <v>10</v>
      </c>
      <c r="D2164" t="s">
        <v>11</v>
      </c>
      <c r="E2164">
        <v>202602</v>
      </c>
      <c r="F2164" t="s">
        <v>521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</v>
      </c>
      <c r="AM2164">
        <v>0</v>
      </c>
      <c r="AN2164">
        <v>1</v>
      </c>
    </row>
    <row r="2165" spans="1:40" x14ac:dyDescent="0.3">
      <c r="A2165" t="s">
        <v>516</v>
      </c>
      <c r="B2165" t="s">
        <v>17</v>
      </c>
      <c r="C2165" t="s">
        <v>10</v>
      </c>
      <c r="D2165" t="s">
        <v>11</v>
      </c>
      <c r="E2165">
        <v>202602</v>
      </c>
      <c r="F2165" t="s">
        <v>31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</v>
      </c>
      <c r="AM2165">
        <v>0</v>
      </c>
      <c r="AN2165">
        <v>1</v>
      </c>
    </row>
    <row r="2166" spans="1:40" x14ac:dyDescent="0.3">
      <c r="A2166" t="s">
        <v>516</v>
      </c>
      <c r="B2166" t="s">
        <v>17</v>
      </c>
      <c r="C2166" t="s">
        <v>10</v>
      </c>
      <c r="D2166" t="s">
        <v>11</v>
      </c>
      <c r="E2166">
        <v>202602</v>
      </c>
      <c r="F2166" t="s">
        <v>538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0</v>
      </c>
      <c r="AN2166">
        <v>1</v>
      </c>
    </row>
    <row r="2167" spans="1:40" x14ac:dyDescent="0.3">
      <c r="A2167" t="s">
        <v>516</v>
      </c>
      <c r="B2167" t="s">
        <v>17</v>
      </c>
      <c r="C2167" t="s">
        <v>10</v>
      </c>
      <c r="D2167" t="s">
        <v>11</v>
      </c>
      <c r="E2167">
        <v>202602</v>
      </c>
      <c r="F2167" t="s">
        <v>522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2</v>
      </c>
      <c r="AM2167">
        <v>0</v>
      </c>
      <c r="AN2167">
        <v>2</v>
      </c>
    </row>
    <row r="2168" spans="1:40" x14ac:dyDescent="0.3">
      <c r="A2168" t="s">
        <v>516</v>
      </c>
      <c r="B2168" t="s">
        <v>17</v>
      </c>
      <c r="C2168" t="s">
        <v>10</v>
      </c>
      <c r="D2168" t="s">
        <v>11</v>
      </c>
      <c r="E2168">
        <v>202602</v>
      </c>
      <c r="F2168" t="s">
        <v>539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2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4</v>
      </c>
      <c r="AM2168">
        <v>0</v>
      </c>
      <c r="AN2168">
        <v>4</v>
      </c>
    </row>
    <row r="2169" spans="1:40" x14ac:dyDescent="0.3">
      <c r="A2169" t="s">
        <v>516</v>
      </c>
      <c r="B2169" t="s">
        <v>17</v>
      </c>
      <c r="C2169" t="s">
        <v>10</v>
      </c>
      <c r="D2169" t="s">
        <v>11</v>
      </c>
      <c r="E2169">
        <v>202602</v>
      </c>
      <c r="F2169" t="s">
        <v>523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2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5</v>
      </c>
      <c r="AM2169">
        <v>0.66666666666666663</v>
      </c>
      <c r="AN2169">
        <v>8.3593372454261221</v>
      </c>
    </row>
    <row r="2170" spans="1:40" x14ac:dyDescent="0.3">
      <c r="A2170" t="s">
        <v>516</v>
      </c>
      <c r="B2170" t="s">
        <v>17</v>
      </c>
      <c r="C2170" t="s">
        <v>10</v>
      </c>
      <c r="D2170" t="s">
        <v>11</v>
      </c>
      <c r="E2170">
        <v>202602</v>
      </c>
      <c r="F2170" t="s">
        <v>524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1</v>
      </c>
      <c r="M2170">
        <v>0</v>
      </c>
      <c r="N2170">
        <v>1</v>
      </c>
      <c r="O2170">
        <v>1</v>
      </c>
      <c r="P2170">
        <v>1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8</v>
      </c>
      <c r="AM2170">
        <v>0.33333333333333331</v>
      </c>
      <c r="AN2170">
        <v>9.6796686227130611</v>
      </c>
    </row>
    <row r="2171" spans="1:40" x14ac:dyDescent="0.3">
      <c r="A2171" t="s">
        <v>516</v>
      </c>
      <c r="B2171" t="s">
        <v>17</v>
      </c>
      <c r="C2171" t="s">
        <v>10</v>
      </c>
      <c r="D2171" t="s">
        <v>11</v>
      </c>
      <c r="E2171">
        <v>202602</v>
      </c>
      <c r="F2171" t="s">
        <v>525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1</v>
      </c>
      <c r="AM2171">
        <v>0</v>
      </c>
      <c r="AN2171">
        <v>1</v>
      </c>
    </row>
    <row r="2172" spans="1:40" x14ac:dyDescent="0.3">
      <c r="A2172" t="s">
        <v>516</v>
      </c>
      <c r="B2172" t="s">
        <v>17</v>
      </c>
      <c r="C2172" t="s">
        <v>10</v>
      </c>
      <c r="D2172" t="s">
        <v>11</v>
      </c>
      <c r="E2172">
        <v>202602</v>
      </c>
      <c r="F2172" t="s">
        <v>526</v>
      </c>
      <c r="G2172">
        <v>0</v>
      </c>
      <c r="H2172">
        <v>0</v>
      </c>
      <c r="I2172">
        <v>2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5</v>
      </c>
      <c r="AM2172">
        <v>0.33333333333333331</v>
      </c>
      <c r="AN2172">
        <v>6.6796686227130611</v>
      </c>
    </row>
    <row r="2173" spans="1:40" x14ac:dyDescent="0.3">
      <c r="A2173" t="s">
        <v>516</v>
      </c>
      <c r="B2173" t="s">
        <v>17</v>
      </c>
      <c r="C2173" t="s">
        <v>10</v>
      </c>
      <c r="D2173" t="s">
        <v>11</v>
      </c>
      <c r="E2173">
        <v>202602</v>
      </c>
      <c r="F2173" t="s">
        <v>527</v>
      </c>
      <c r="G2173">
        <v>0</v>
      </c>
      <c r="H2173">
        <v>0</v>
      </c>
      <c r="I2173">
        <v>1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4</v>
      </c>
      <c r="AM2173">
        <v>0</v>
      </c>
      <c r="AN2173">
        <v>4</v>
      </c>
    </row>
    <row r="2174" spans="1:40" x14ac:dyDescent="0.3">
      <c r="A2174" t="s">
        <v>516</v>
      </c>
      <c r="B2174" t="s">
        <v>17</v>
      </c>
      <c r="C2174" t="s">
        <v>10</v>
      </c>
      <c r="D2174" t="s">
        <v>11</v>
      </c>
      <c r="E2174">
        <v>202602</v>
      </c>
      <c r="F2174" t="s">
        <v>540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0</v>
      </c>
      <c r="AN2174">
        <v>1</v>
      </c>
    </row>
    <row r="2175" spans="1:40" x14ac:dyDescent="0.3">
      <c r="A2175" t="s">
        <v>516</v>
      </c>
      <c r="B2175" t="s">
        <v>17</v>
      </c>
      <c r="C2175" t="s">
        <v>10</v>
      </c>
      <c r="D2175" t="s">
        <v>11</v>
      </c>
      <c r="E2175">
        <v>202602</v>
      </c>
      <c r="F2175" t="s">
        <v>46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2</v>
      </c>
      <c r="AM2175">
        <v>0.33333333333333331</v>
      </c>
      <c r="AN2175">
        <v>3.6796686227130611</v>
      </c>
    </row>
    <row r="2176" spans="1:40" x14ac:dyDescent="0.3">
      <c r="A2176" t="s">
        <v>516</v>
      </c>
      <c r="B2176" t="s">
        <v>17</v>
      </c>
      <c r="C2176" t="s">
        <v>10</v>
      </c>
      <c r="D2176" t="s">
        <v>11</v>
      </c>
      <c r="E2176">
        <v>202602</v>
      </c>
      <c r="F2176" t="s">
        <v>733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2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2</v>
      </c>
      <c r="AM2176">
        <v>0.66666666666666663</v>
      </c>
      <c r="AN2176">
        <v>5.3593372454261221</v>
      </c>
    </row>
    <row r="2177" spans="1:40" x14ac:dyDescent="0.3">
      <c r="A2177" t="s">
        <v>516</v>
      </c>
      <c r="B2177" t="s">
        <v>17</v>
      </c>
      <c r="C2177" t="s">
        <v>10</v>
      </c>
      <c r="D2177" t="s">
        <v>11</v>
      </c>
      <c r="E2177">
        <v>202602</v>
      </c>
      <c r="F2177" t="s">
        <v>541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3</v>
      </c>
      <c r="AM2177">
        <v>0</v>
      </c>
      <c r="AN2177">
        <v>3</v>
      </c>
    </row>
    <row r="2178" spans="1:40" x14ac:dyDescent="0.3">
      <c r="A2178" t="s">
        <v>516</v>
      </c>
      <c r="B2178" t="s">
        <v>17</v>
      </c>
      <c r="C2178" t="s">
        <v>10</v>
      </c>
      <c r="D2178" t="s">
        <v>11</v>
      </c>
      <c r="E2178">
        <v>202602</v>
      </c>
      <c r="F2178" t="s">
        <v>543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3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4</v>
      </c>
      <c r="AM2178">
        <v>0.33333333333333331</v>
      </c>
      <c r="AN2178">
        <v>5.6796686227130611</v>
      </c>
    </row>
    <row r="2179" spans="1:40" x14ac:dyDescent="0.3">
      <c r="A2179" t="s">
        <v>516</v>
      </c>
      <c r="B2179" t="s">
        <v>17</v>
      </c>
      <c r="C2179" t="s">
        <v>10</v>
      </c>
      <c r="D2179" t="s">
        <v>11</v>
      </c>
      <c r="E2179">
        <v>202602</v>
      </c>
      <c r="F2179" t="s">
        <v>544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1</v>
      </c>
      <c r="AM2179">
        <v>0</v>
      </c>
      <c r="AN2179">
        <v>1</v>
      </c>
    </row>
    <row r="2180" spans="1:40" x14ac:dyDescent="0.3">
      <c r="A2180" t="s">
        <v>516</v>
      </c>
      <c r="B2180" t="s">
        <v>17</v>
      </c>
      <c r="C2180" t="s">
        <v>10</v>
      </c>
      <c r="D2180" t="s">
        <v>11</v>
      </c>
      <c r="E2180">
        <v>202602</v>
      </c>
      <c r="F2180" t="s">
        <v>528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3</v>
      </c>
      <c r="AM2180">
        <v>0.33333333333333331</v>
      </c>
      <c r="AN2180">
        <v>4.6796686227130611</v>
      </c>
    </row>
    <row r="2181" spans="1:40" x14ac:dyDescent="0.3">
      <c r="A2181" t="s">
        <v>516</v>
      </c>
      <c r="B2181" t="s">
        <v>17</v>
      </c>
      <c r="C2181" t="s">
        <v>10</v>
      </c>
      <c r="D2181" t="s">
        <v>11</v>
      </c>
      <c r="E2181">
        <v>202602</v>
      </c>
      <c r="F2181" t="s">
        <v>529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2</v>
      </c>
      <c r="AM2181">
        <v>0.33333333333333331</v>
      </c>
      <c r="AN2181">
        <v>3.6796686227130611</v>
      </c>
    </row>
    <row r="2182" spans="1:40" x14ac:dyDescent="0.3">
      <c r="A2182" t="s">
        <v>516</v>
      </c>
      <c r="B2182" t="s">
        <v>17</v>
      </c>
      <c r="C2182" t="s">
        <v>10</v>
      </c>
      <c r="D2182" t="s">
        <v>11</v>
      </c>
      <c r="E2182">
        <v>202602</v>
      </c>
      <c r="F2182" t="s">
        <v>530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</v>
      </c>
      <c r="AM2182">
        <v>0</v>
      </c>
      <c r="AN2182">
        <v>1</v>
      </c>
    </row>
    <row r="2183" spans="1:40" x14ac:dyDescent="0.3">
      <c r="A2183" t="s">
        <v>516</v>
      </c>
      <c r="B2183" t="s">
        <v>17</v>
      </c>
      <c r="C2183" t="s">
        <v>10</v>
      </c>
      <c r="D2183" t="s">
        <v>11</v>
      </c>
      <c r="E2183">
        <v>202602</v>
      </c>
      <c r="F2183" t="s">
        <v>531</v>
      </c>
      <c r="G2183">
        <v>0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3</v>
      </c>
      <c r="AM2183">
        <v>0</v>
      </c>
      <c r="AN2183">
        <v>3</v>
      </c>
    </row>
    <row r="2184" spans="1:40" x14ac:dyDescent="0.3">
      <c r="A2184" t="s">
        <v>516</v>
      </c>
      <c r="B2184" t="s">
        <v>17</v>
      </c>
      <c r="C2184" t="s">
        <v>10</v>
      </c>
      <c r="D2184" t="s">
        <v>11</v>
      </c>
      <c r="E2184">
        <v>202602</v>
      </c>
      <c r="F2184" t="s">
        <v>545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2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4</v>
      </c>
      <c r="AM2184">
        <v>0</v>
      </c>
      <c r="AN2184">
        <v>4</v>
      </c>
    </row>
    <row r="2185" spans="1:40" x14ac:dyDescent="0.3">
      <c r="A2185" t="s">
        <v>516</v>
      </c>
      <c r="B2185" t="s">
        <v>17</v>
      </c>
      <c r="C2185" t="s">
        <v>10</v>
      </c>
      <c r="D2185" t="s">
        <v>11</v>
      </c>
      <c r="E2185">
        <v>202602</v>
      </c>
      <c r="F2185" t="s">
        <v>299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</v>
      </c>
      <c r="AM2185">
        <v>0</v>
      </c>
      <c r="AN2185">
        <v>1</v>
      </c>
    </row>
    <row r="2186" spans="1:40" x14ac:dyDescent="0.3">
      <c r="A2186" t="s">
        <v>516</v>
      </c>
      <c r="B2186" t="s">
        <v>17</v>
      </c>
      <c r="C2186" t="s">
        <v>10</v>
      </c>
      <c r="D2186" t="s">
        <v>11</v>
      </c>
      <c r="E2186">
        <v>202602</v>
      </c>
      <c r="F2186" t="s">
        <v>532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0</v>
      </c>
      <c r="O2186">
        <v>0</v>
      </c>
      <c r="P2186">
        <v>1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4</v>
      </c>
      <c r="AM2186">
        <v>0.33333333333333331</v>
      </c>
      <c r="AN2186">
        <v>5.6796686227130611</v>
      </c>
    </row>
    <row r="2187" spans="1:40" x14ac:dyDescent="0.3">
      <c r="A2187" t="s">
        <v>516</v>
      </c>
      <c r="B2187" t="s">
        <v>17</v>
      </c>
      <c r="C2187" t="s">
        <v>10</v>
      </c>
      <c r="D2187" t="s">
        <v>11</v>
      </c>
      <c r="E2187">
        <v>202602</v>
      </c>
      <c r="F2187" t="s">
        <v>546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2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3</v>
      </c>
      <c r="AM2187">
        <v>0</v>
      </c>
      <c r="AN2187">
        <v>3</v>
      </c>
    </row>
    <row r="2188" spans="1:40" x14ac:dyDescent="0.3">
      <c r="A2188" t="s">
        <v>516</v>
      </c>
      <c r="B2188" t="s">
        <v>17</v>
      </c>
      <c r="C2188" t="s">
        <v>10</v>
      </c>
      <c r="D2188" t="s">
        <v>11</v>
      </c>
      <c r="E2188">
        <v>202602</v>
      </c>
      <c r="F2188" t="s">
        <v>533</v>
      </c>
      <c r="G2188">
        <v>0</v>
      </c>
      <c r="H2188">
        <v>1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3</v>
      </c>
      <c r="AM2188">
        <v>0</v>
      </c>
      <c r="AN2188">
        <v>3</v>
      </c>
    </row>
    <row r="2189" spans="1:40" x14ac:dyDescent="0.3">
      <c r="A2189" t="s">
        <v>516</v>
      </c>
      <c r="B2189" t="s">
        <v>17</v>
      </c>
      <c r="C2189" t="s">
        <v>10</v>
      </c>
      <c r="D2189" t="s">
        <v>11</v>
      </c>
      <c r="E2189">
        <v>202602</v>
      </c>
      <c r="F2189" t="s">
        <v>693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1</v>
      </c>
      <c r="AB2189">
        <v>0</v>
      </c>
      <c r="AC2189">
        <v>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3</v>
      </c>
      <c r="AM2189">
        <v>0.33333333333333331</v>
      </c>
      <c r="AN2189">
        <v>4.6796686227130611</v>
      </c>
    </row>
    <row r="2190" spans="1:40" x14ac:dyDescent="0.3">
      <c r="A2190" t="s">
        <v>516</v>
      </c>
      <c r="B2190" t="s">
        <v>17</v>
      </c>
      <c r="C2190" t="s">
        <v>10</v>
      </c>
      <c r="D2190" t="s">
        <v>11</v>
      </c>
      <c r="E2190">
        <v>202602</v>
      </c>
      <c r="F2190" t="s">
        <v>534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3</v>
      </c>
      <c r="AM2190">
        <v>0.33333333333333331</v>
      </c>
      <c r="AN2190">
        <v>4.6796686227130611</v>
      </c>
    </row>
    <row r="2191" spans="1:40" x14ac:dyDescent="0.3">
      <c r="A2191" t="s">
        <v>516</v>
      </c>
      <c r="B2191" t="s">
        <v>17</v>
      </c>
      <c r="C2191" t="s">
        <v>10</v>
      </c>
      <c r="D2191" t="s">
        <v>11</v>
      </c>
      <c r="E2191">
        <v>202602</v>
      </c>
      <c r="F2191" t="s">
        <v>547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2</v>
      </c>
      <c r="AM2191">
        <v>0.33333333333333331</v>
      </c>
      <c r="AN2191">
        <v>3.6796686227130611</v>
      </c>
    </row>
    <row r="2192" spans="1:40" x14ac:dyDescent="0.3">
      <c r="A2192" t="s">
        <v>516</v>
      </c>
      <c r="B2192" t="s">
        <v>17</v>
      </c>
      <c r="C2192" t="s">
        <v>10</v>
      </c>
      <c r="D2192" t="s">
        <v>11</v>
      </c>
      <c r="E2192">
        <v>202602</v>
      </c>
      <c r="F2192" t="s">
        <v>535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  <c r="N2192">
        <v>0</v>
      </c>
      <c r="O2192">
        <v>1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3</v>
      </c>
      <c r="AM2192">
        <v>0</v>
      </c>
      <c r="AN2192">
        <v>3</v>
      </c>
    </row>
    <row r="2193" spans="1:40" x14ac:dyDescent="0.3">
      <c r="A2193" t="s">
        <v>516</v>
      </c>
      <c r="B2193" t="s">
        <v>17</v>
      </c>
      <c r="C2193" t="s">
        <v>10</v>
      </c>
      <c r="D2193" t="s">
        <v>11</v>
      </c>
      <c r="E2193">
        <v>202602</v>
      </c>
      <c r="F2193" t="s">
        <v>536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2</v>
      </c>
      <c r="AM2193">
        <v>0</v>
      </c>
      <c r="AN2193">
        <v>2</v>
      </c>
    </row>
    <row r="2194" spans="1:40" x14ac:dyDescent="0.3">
      <c r="A2194" t="s">
        <v>516</v>
      </c>
      <c r="B2194" t="s">
        <v>17</v>
      </c>
      <c r="C2194" t="s">
        <v>10</v>
      </c>
      <c r="D2194" t="s">
        <v>11</v>
      </c>
      <c r="E2194">
        <v>202602</v>
      </c>
      <c r="F2194" t="s">
        <v>41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2</v>
      </c>
      <c r="AM2194">
        <v>0.33333333333333331</v>
      </c>
      <c r="AN2194">
        <v>3.6796686227130611</v>
      </c>
    </row>
    <row r="2195" spans="1:40" x14ac:dyDescent="0.3">
      <c r="A2195" t="s">
        <v>516</v>
      </c>
      <c r="B2195" t="s">
        <v>17</v>
      </c>
      <c r="C2195" t="s">
        <v>10</v>
      </c>
      <c r="D2195" t="s">
        <v>11</v>
      </c>
      <c r="E2195">
        <v>202602</v>
      </c>
      <c r="F2195" t="s">
        <v>548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2</v>
      </c>
      <c r="AM2195">
        <v>0.33333333333333331</v>
      </c>
      <c r="AN2195">
        <v>3.6796686227130611</v>
      </c>
    </row>
    <row r="2196" spans="1:40" x14ac:dyDescent="0.3">
      <c r="A2196" t="s">
        <v>516</v>
      </c>
      <c r="B2196" t="s">
        <v>17</v>
      </c>
      <c r="C2196" t="s">
        <v>10</v>
      </c>
      <c r="D2196" t="s">
        <v>11</v>
      </c>
      <c r="E2196">
        <v>202602</v>
      </c>
      <c r="F2196" t="s">
        <v>734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</v>
      </c>
      <c r="AM2196">
        <v>0</v>
      </c>
      <c r="AN2196">
        <v>1</v>
      </c>
    </row>
    <row r="2197" spans="1:40" x14ac:dyDescent="0.3">
      <c r="A2197" t="s">
        <v>516</v>
      </c>
      <c r="B2197" t="s">
        <v>17</v>
      </c>
      <c r="C2197" t="s">
        <v>10</v>
      </c>
      <c r="D2197" t="s">
        <v>14</v>
      </c>
      <c r="E2197">
        <v>202602</v>
      </c>
      <c r="F2197" t="s">
        <v>517</v>
      </c>
      <c r="G2197">
        <v>0</v>
      </c>
      <c r="H2197">
        <v>1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1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2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7</v>
      </c>
      <c r="AM2197">
        <v>0.66666666666666663</v>
      </c>
      <c r="AN2197">
        <v>9.8684828558005009</v>
      </c>
    </row>
    <row r="2198" spans="1:40" x14ac:dyDescent="0.3">
      <c r="A2198" t="s">
        <v>516</v>
      </c>
      <c r="B2198" t="s">
        <v>17</v>
      </c>
      <c r="C2198" t="s">
        <v>10</v>
      </c>
      <c r="D2198" t="s">
        <v>14</v>
      </c>
      <c r="E2198">
        <v>202602</v>
      </c>
      <c r="F2198" t="s">
        <v>18</v>
      </c>
      <c r="G2198">
        <v>0</v>
      </c>
      <c r="H2198">
        <v>3</v>
      </c>
      <c r="I2198">
        <v>4</v>
      </c>
      <c r="J2198">
        <v>2</v>
      </c>
      <c r="K2198">
        <v>2</v>
      </c>
      <c r="L2198">
        <v>1</v>
      </c>
      <c r="M2198">
        <v>2</v>
      </c>
      <c r="N2198">
        <v>0</v>
      </c>
      <c r="O2198">
        <v>1</v>
      </c>
      <c r="P2198">
        <v>0</v>
      </c>
      <c r="Q2198">
        <v>2</v>
      </c>
      <c r="R2198">
        <v>2</v>
      </c>
      <c r="S2198">
        <v>0</v>
      </c>
      <c r="T2198">
        <v>1</v>
      </c>
      <c r="U2198">
        <v>2</v>
      </c>
      <c r="V2198">
        <v>4</v>
      </c>
      <c r="W2198">
        <v>3</v>
      </c>
      <c r="X2198">
        <v>3</v>
      </c>
      <c r="Y2198">
        <v>4</v>
      </c>
      <c r="Z2198">
        <v>5</v>
      </c>
      <c r="AA2198">
        <v>1</v>
      </c>
      <c r="AB2198">
        <v>1</v>
      </c>
      <c r="AC2198">
        <v>2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45</v>
      </c>
      <c r="AM2198">
        <v>3.6666666666666665</v>
      </c>
      <c r="AN2198">
        <v>60.776655706902751</v>
      </c>
    </row>
    <row r="2199" spans="1:40" x14ac:dyDescent="0.3">
      <c r="A2199" t="s">
        <v>516</v>
      </c>
      <c r="B2199" t="s">
        <v>17</v>
      </c>
      <c r="C2199" t="s">
        <v>10</v>
      </c>
      <c r="D2199" t="s">
        <v>14</v>
      </c>
      <c r="E2199">
        <v>202602</v>
      </c>
      <c r="F2199" t="s">
        <v>518</v>
      </c>
      <c r="G2199">
        <v>0</v>
      </c>
      <c r="H2199">
        <v>6</v>
      </c>
      <c r="I2199">
        <v>1</v>
      </c>
      <c r="J2199">
        <v>1</v>
      </c>
      <c r="K2199">
        <v>1</v>
      </c>
      <c r="L2199">
        <v>2</v>
      </c>
      <c r="M2199">
        <v>1</v>
      </c>
      <c r="N2199">
        <v>0</v>
      </c>
      <c r="O2199">
        <v>0</v>
      </c>
      <c r="P2199">
        <v>2</v>
      </c>
      <c r="Q2199">
        <v>4</v>
      </c>
      <c r="R2199">
        <v>0</v>
      </c>
      <c r="S2199">
        <v>2</v>
      </c>
      <c r="T2199">
        <v>4</v>
      </c>
      <c r="U2199">
        <v>1</v>
      </c>
      <c r="V2199">
        <v>0</v>
      </c>
      <c r="W2199">
        <v>4</v>
      </c>
      <c r="X2199">
        <v>1</v>
      </c>
      <c r="Y2199">
        <v>2</v>
      </c>
      <c r="Z2199">
        <v>3</v>
      </c>
      <c r="AA2199">
        <v>0</v>
      </c>
      <c r="AB2199">
        <v>1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37</v>
      </c>
      <c r="AM2199">
        <v>2</v>
      </c>
      <c r="AN2199">
        <v>45.605448567401503</v>
      </c>
    </row>
    <row r="2200" spans="1:40" x14ac:dyDescent="0.3">
      <c r="A2200" t="s">
        <v>516</v>
      </c>
      <c r="B2200" t="s">
        <v>17</v>
      </c>
      <c r="C2200" t="s">
        <v>10</v>
      </c>
      <c r="D2200" t="s">
        <v>14</v>
      </c>
      <c r="E2200">
        <v>202602</v>
      </c>
      <c r="F2200" t="s">
        <v>519</v>
      </c>
      <c r="G2200">
        <v>0</v>
      </c>
      <c r="H2200">
        <v>1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6</v>
      </c>
      <c r="AM2200">
        <v>0</v>
      </c>
      <c r="AN2200">
        <v>6</v>
      </c>
    </row>
    <row r="2201" spans="1:40" x14ac:dyDescent="0.3">
      <c r="A2201" t="s">
        <v>516</v>
      </c>
      <c r="B2201" t="s">
        <v>17</v>
      </c>
      <c r="C2201" t="s">
        <v>10</v>
      </c>
      <c r="D2201" t="s">
        <v>14</v>
      </c>
      <c r="E2201">
        <v>202602</v>
      </c>
      <c r="F2201" t="s">
        <v>749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0.33333333333333331</v>
      </c>
      <c r="AN2201">
        <v>2.43424142790025</v>
      </c>
    </row>
    <row r="2202" spans="1:40" x14ac:dyDescent="0.3">
      <c r="A2202" t="s">
        <v>516</v>
      </c>
      <c r="B2202" t="s">
        <v>17</v>
      </c>
      <c r="C2202" t="s">
        <v>10</v>
      </c>
      <c r="D2202" t="s">
        <v>14</v>
      </c>
      <c r="E2202">
        <v>202602</v>
      </c>
      <c r="F2202" t="s">
        <v>537</v>
      </c>
      <c r="G2202">
        <v>0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2</v>
      </c>
      <c r="AM2202">
        <v>0</v>
      </c>
      <c r="AN2202">
        <v>2</v>
      </c>
    </row>
    <row r="2203" spans="1:40" x14ac:dyDescent="0.3">
      <c r="A2203" t="s">
        <v>516</v>
      </c>
      <c r="B2203" t="s">
        <v>17</v>
      </c>
      <c r="C2203" t="s">
        <v>10</v>
      </c>
      <c r="D2203" t="s">
        <v>14</v>
      </c>
      <c r="E2203">
        <v>202602</v>
      </c>
      <c r="F2203" t="s">
        <v>28</v>
      </c>
      <c r="G2203">
        <v>0</v>
      </c>
      <c r="H2203">
        <v>1</v>
      </c>
      <c r="I2203">
        <v>1</v>
      </c>
      <c r="J2203">
        <v>2</v>
      </c>
      <c r="K2203">
        <v>0</v>
      </c>
      <c r="L2203">
        <v>0</v>
      </c>
      <c r="M2203">
        <v>1</v>
      </c>
      <c r="N2203">
        <v>2</v>
      </c>
      <c r="O2203">
        <v>1</v>
      </c>
      <c r="P2203">
        <v>0</v>
      </c>
      <c r="Q2203">
        <v>0</v>
      </c>
      <c r="R2203">
        <v>3</v>
      </c>
      <c r="S2203">
        <v>0</v>
      </c>
      <c r="T2203">
        <v>0</v>
      </c>
      <c r="U2203">
        <v>0</v>
      </c>
      <c r="V2203">
        <v>2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14</v>
      </c>
      <c r="AM2203">
        <v>0.33333333333333331</v>
      </c>
      <c r="AN2203">
        <v>15.43424142790025</v>
      </c>
    </row>
    <row r="2204" spans="1:40" x14ac:dyDescent="0.3">
      <c r="A2204" t="s">
        <v>516</v>
      </c>
      <c r="B2204" t="s">
        <v>17</v>
      </c>
      <c r="C2204" t="s">
        <v>10</v>
      </c>
      <c r="D2204" t="s">
        <v>14</v>
      </c>
      <c r="E2204">
        <v>202602</v>
      </c>
      <c r="F2204" t="s">
        <v>520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2</v>
      </c>
      <c r="AM2204">
        <v>0</v>
      </c>
      <c r="AN2204">
        <v>2</v>
      </c>
    </row>
    <row r="2205" spans="1:40" x14ac:dyDescent="0.3">
      <c r="A2205" t="s">
        <v>516</v>
      </c>
      <c r="B2205" t="s">
        <v>17</v>
      </c>
      <c r="C2205" t="s">
        <v>10</v>
      </c>
      <c r="D2205" t="s">
        <v>14</v>
      </c>
      <c r="E2205">
        <v>202602</v>
      </c>
      <c r="F2205" t="s">
        <v>30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0</v>
      </c>
      <c r="AN2205">
        <v>1</v>
      </c>
    </row>
    <row r="2206" spans="1:40" x14ac:dyDescent="0.3">
      <c r="A2206" t="s">
        <v>516</v>
      </c>
      <c r="B2206" t="s">
        <v>17</v>
      </c>
      <c r="C2206" t="s">
        <v>10</v>
      </c>
      <c r="D2206" t="s">
        <v>14</v>
      </c>
      <c r="E2206">
        <v>202602</v>
      </c>
      <c r="F2206" t="s">
        <v>521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3</v>
      </c>
      <c r="AM2206">
        <v>0.33333333333333331</v>
      </c>
      <c r="AN2206">
        <v>4.4342414279002504</v>
      </c>
    </row>
    <row r="2207" spans="1:40" x14ac:dyDescent="0.3">
      <c r="A2207" t="s">
        <v>516</v>
      </c>
      <c r="B2207" t="s">
        <v>17</v>
      </c>
      <c r="C2207" t="s">
        <v>10</v>
      </c>
      <c r="D2207" t="s">
        <v>14</v>
      </c>
      <c r="E2207">
        <v>202602</v>
      </c>
      <c r="F2207" t="s">
        <v>31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</v>
      </c>
      <c r="AM2207">
        <v>0</v>
      </c>
      <c r="AN2207">
        <v>1</v>
      </c>
    </row>
    <row r="2208" spans="1:40" x14ac:dyDescent="0.3">
      <c r="A2208" t="s">
        <v>516</v>
      </c>
      <c r="B2208" t="s">
        <v>17</v>
      </c>
      <c r="C2208" t="s">
        <v>10</v>
      </c>
      <c r="D2208" t="s">
        <v>14</v>
      </c>
      <c r="E2208">
        <v>202602</v>
      </c>
      <c r="F2208" t="s">
        <v>538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1</v>
      </c>
      <c r="AM2208">
        <v>0</v>
      </c>
      <c r="AN2208">
        <v>1</v>
      </c>
    </row>
    <row r="2209" spans="1:40" x14ac:dyDescent="0.3">
      <c r="A2209" t="s">
        <v>516</v>
      </c>
      <c r="B2209" t="s">
        <v>17</v>
      </c>
      <c r="C2209" t="s">
        <v>10</v>
      </c>
      <c r="D2209" t="s">
        <v>14</v>
      </c>
      <c r="E2209">
        <v>202602</v>
      </c>
      <c r="F2209" t="s">
        <v>522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</v>
      </c>
      <c r="AM2209">
        <v>0</v>
      </c>
      <c r="AN2209">
        <v>1</v>
      </c>
    </row>
    <row r="2210" spans="1:40" x14ac:dyDescent="0.3">
      <c r="A2210" t="s">
        <v>516</v>
      </c>
      <c r="B2210" t="s">
        <v>17</v>
      </c>
      <c r="C2210" t="s">
        <v>10</v>
      </c>
      <c r="D2210" t="s">
        <v>14</v>
      </c>
      <c r="E2210">
        <v>202602</v>
      </c>
      <c r="F2210" t="s">
        <v>539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2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5</v>
      </c>
      <c r="AM2210">
        <v>0.66666666666666663</v>
      </c>
      <c r="AN2210">
        <v>7.8684828558005</v>
      </c>
    </row>
    <row r="2211" spans="1:40" x14ac:dyDescent="0.3">
      <c r="A2211" t="s">
        <v>516</v>
      </c>
      <c r="B2211" t="s">
        <v>17</v>
      </c>
      <c r="C2211" t="s">
        <v>10</v>
      </c>
      <c r="D2211" t="s">
        <v>14</v>
      </c>
      <c r="E2211">
        <v>202602</v>
      </c>
      <c r="F2211" t="s">
        <v>523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0</v>
      </c>
      <c r="O2211">
        <v>0</v>
      </c>
      <c r="P2211">
        <v>2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5</v>
      </c>
      <c r="AM2211">
        <v>0.33333333333333331</v>
      </c>
      <c r="AN2211">
        <v>6.4342414279002504</v>
      </c>
    </row>
    <row r="2212" spans="1:40" x14ac:dyDescent="0.3">
      <c r="A2212" t="s">
        <v>516</v>
      </c>
      <c r="B2212" t="s">
        <v>17</v>
      </c>
      <c r="C2212" t="s">
        <v>10</v>
      </c>
      <c r="D2212" t="s">
        <v>14</v>
      </c>
      <c r="E2212">
        <v>202602</v>
      </c>
      <c r="F2212" t="s">
        <v>524</v>
      </c>
      <c r="G2212">
        <v>0</v>
      </c>
      <c r="H2212">
        <v>0</v>
      </c>
      <c r="I2212">
        <v>1</v>
      </c>
      <c r="J2212">
        <v>1</v>
      </c>
      <c r="K2212">
        <v>3</v>
      </c>
      <c r="L2212">
        <v>0</v>
      </c>
      <c r="M2212">
        <v>0</v>
      </c>
      <c r="N2212">
        <v>0</v>
      </c>
      <c r="O2212">
        <v>2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10</v>
      </c>
      <c r="AM2212">
        <v>0.33333333333333331</v>
      </c>
      <c r="AN2212">
        <v>11.43424142790025</v>
      </c>
    </row>
    <row r="2213" spans="1:40" x14ac:dyDescent="0.3">
      <c r="A2213" t="s">
        <v>516</v>
      </c>
      <c r="B2213" t="s">
        <v>17</v>
      </c>
      <c r="C2213" t="s">
        <v>10</v>
      </c>
      <c r="D2213" t="s">
        <v>14</v>
      </c>
      <c r="E2213">
        <v>202602</v>
      </c>
      <c r="F2213" t="s">
        <v>525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1</v>
      </c>
      <c r="AM2213">
        <v>0</v>
      </c>
      <c r="AN2213">
        <v>1</v>
      </c>
    </row>
    <row r="2214" spans="1:40" x14ac:dyDescent="0.3">
      <c r="A2214" t="s">
        <v>516</v>
      </c>
      <c r="B2214" t="s">
        <v>17</v>
      </c>
      <c r="C2214" t="s">
        <v>10</v>
      </c>
      <c r="D2214" t="s">
        <v>14</v>
      </c>
      <c r="E2214">
        <v>202602</v>
      </c>
      <c r="F2214" t="s">
        <v>526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6</v>
      </c>
      <c r="AM2214">
        <v>0.66666666666666663</v>
      </c>
      <c r="AN2214">
        <v>8.8684828558005009</v>
      </c>
    </row>
    <row r="2215" spans="1:40" x14ac:dyDescent="0.3">
      <c r="A2215" t="s">
        <v>516</v>
      </c>
      <c r="B2215" t="s">
        <v>17</v>
      </c>
      <c r="C2215" t="s">
        <v>10</v>
      </c>
      <c r="D2215" t="s">
        <v>14</v>
      </c>
      <c r="E2215">
        <v>202602</v>
      </c>
      <c r="F2215" t="s">
        <v>527</v>
      </c>
      <c r="G2215">
        <v>0</v>
      </c>
      <c r="H2215">
        <v>1</v>
      </c>
      <c r="I2215">
        <v>0</v>
      </c>
      <c r="J2215">
        <v>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4</v>
      </c>
      <c r="AM2215">
        <v>0</v>
      </c>
      <c r="AN2215">
        <v>4</v>
      </c>
    </row>
    <row r="2216" spans="1:40" x14ac:dyDescent="0.3">
      <c r="A2216" t="s">
        <v>516</v>
      </c>
      <c r="B2216" t="s">
        <v>17</v>
      </c>
      <c r="C2216" t="s">
        <v>10</v>
      </c>
      <c r="D2216" t="s">
        <v>14</v>
      </c>
      <c r="E2216">
        <v>202602</v>
      </c>
      <c r="F2216" t="s">
        <v>540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</v>
      </c>
      <c r="AM2216">
        <v>0</v>
      </c>
      <c r="AN2216">
        <v>1</v>
      </c>
    </row>
    <row r="2217" spans="1:40" x14ac:dyDescent="0.3">
      <c r="A2217" t="s">
        <v>516</v>
      </c>
      <c r="B2217" t="s">
        <v>17</v>
      </c>
      <c r="C2217" t="s">
        <v>10</v>
      </c>
      <c r="D2217" t="s">
        <v>14</v>
      </c>
      <c r="E2217">
        <v>202602</v>
      </c>
      <c r="F2217" t="s">
        <v>46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2</v>
      </c>
      <c r="AM2217">
        <v>0</v>
      </c>
      <c r="AN2217">
        <v>2</v>
      </c>
    </row>
    <row r="2218" spans="1:40" x14ac:dyDescent="0.3">
      <c r="A2218" t="s">
        <v>516</v>
      </c>
      <c r="B2218" t="s">
        <v>17</v>
      </c>
      <c r="C2218" t="s">
        <v>10</v>
      </c>
      <c r="D2218" t="s">
        <v>14</v>
      </c>
      <c r="E2218">
        <v>202602</v>
      </c>
      <c r="F2218" t="s">
        <v>733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2</v>
      </c>
      <c r="AM2218">
        <v>0.33333333333333331</v>
      </c>
      <c r="AN2218">
        <v>3.43424142790025</v>
      </c>
    </row>
    <row r="2219" spans="1:40" x14ac:dyDescent="0.3">
      <c r="A2219" t="s">
        <v>516</v>
      </c>
      <c r="B2219" t="s">
        <v>17</v>
      </c>
      <c r="C2219" t="s">
        <v>10</v>
      </c>
      <c r="D2219" t="s">
        <v>14</v>
      </c>
      <c r="E2219">
        <v>202602</v>
      </c>
      <c r="F2219" t="s">
        <v>541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3</v>
      </c>
      <c r="AM2219">
        <v>0</v>
      </c>
      <c r="AN2219">
        <v>3</v>
      </c>
    </row>
    <row r="2220" spans="1:40" x14ac:dyDescent="0.3">
      <c r="A2220" t="s">
        <v>516</v>
      </c>
      <c r="B2220" t="s">
        <v>17</v>
      </c>
      <c r="C2220" t="s">
        <v>10</v>
      </c>
      <c r="D2220" t="s">
        <v>14</v>
      </c>
      <c r="E2220">
        <v>202602</v>
      </c>
      <c r="F2220" t="s">
        <v>542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1</v>
      </c>
      <c r="AM2220">
        <v>0</v>
      </c>
      <c r="AN2220">
        <v>1</v>
      </c>
    </row>
    <row r="2221" spans="1:40" x14ac:dyDescent="0.3">
      <c r="A2221" t="s">
        <v>516</v>
      </c>
      <c r="B2221" t="s">
        <v>17</v>
      </c>
      <c r="C2221" t="s">
        <v>10</v>
      </c>
      <c r="D2221" t="s">
        <v>14</v>
      </c>
      <c r="E2221">
        <v>202602</v>
      </c>
      <c r="F2221" t="s">
        <v>543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0</v>
      </c>
      <c r="Q2221">
        <v>2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2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6</v>
      </c>
      <c r="AM2221">
        <v>0.66666666666666663</v>
      </c>
      <c r="AN2221">
        <v>8.8684828558005009</v>
      </c>
    </row>
    <row r="2222" spans="1:40" x14ac:dyDescent="0.3">
      <c r="A2222" t="s">
        <v>516</v>
      </c>
      <c r="B2222" t="s">
        <v>17</v>
      </c>
      <c r="C2222" t="s">
        <v>10</v>
      </c>
      <c r="D2222" t="s">
        <v>14</v>
      </c>
      <c r="E2222">
        <v>202602</v>
      </c>
      <c r="F2222" t="s">
        <v>544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2</v>
      </c>
      <c r="AM2222">
        <v>0</v>
      </c>
      <c r="AN2222">
        <v>2</v>
      </c>
    </row>
    <row r="2223" spans="1:40" x14ac:dyDescent="0.3">
      <c r="A2223" t="s">
        <v>516</v>
      </c>
      <c r="B2223" t="s">
        <v>17</v>
      </c>
      <c r="C2223" t="s">
        <v>10</v>
      </c>
      <c r="D2223" t="s">
        <v>14</v>
      </c>
      <c r="E2223">
        <v>202602</v>
      </c>
      <c r="F2223" t="s">
        <v>528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3</v>
      </c>
      <c r="AM2223">
        <v>0.33333333333333331</v>
      </c>
      <c r="AN2223">
        <v>4.4342414279002504</v>
      </c>
    </row>
    <row r="2224" spans="1:40" x14ac:dyDescent="0.3">
      <c r="A2224" t="s">
        <v>516</v>
      </c>
      <c r="B2224" t="s">
        <v>17</v>
      </c>
      <c r="C2224" t="s">
        <v>10</v>
      </c>
      <c r="D2224" t="s">
        <v>14</v>
      </c>
      <c r="E2224">
        <v>202602</v>
      </c>
      <c r="F2224" t="s">
        <v>529</v>
      </c>
      <c r="G2224">
        <v>0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2</v>
      </c>
      <c r="AM2224">
        <v>0.33333333333333331</v>
      </c>
      <c r="AN2224">
        <v>3.43424142790025</v>
      </c>
    </row>
    <row r="2225" spans="1:40" x14ac:dyDescent="0.3">
      <c r="A2225" t="s">
        <v>516</v>
      </c>
      <c r="B2225" t="s">
        <v>17</v>
      </c>
      <c r="C2225" t="s">
        <v>10</v>
      </c>
      <c r="D2225" t="s">
        <v>14</v>
      </c>
      <c r="E2225">
        <v>202602</v>
      </c>
      <c r="F2225" t="s">
        <v>530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1</v>
      </c>
      <c r="AM2225">
        <v>0</v>
      </c>
      <c r="AN2225">
        <v>1</v>
      </c>
    </row>
    <row r="2226" spans="1:40" x14ac:dyDescent="0.3">
      <c r="A2226" t="s">
        <v>516</v>
      </c>
      <c r="B2226" t="s">
        <v>17</v>
      </c>
      <c r="C2226" t="s">
        <v>10</v>
      </c>
      <c r="D2226" t="s">
        <v>14</v>
      </c>
      <c r="E2226">
        <v>202602</v>
      </c>
      <c r="F2226" t="s">
        <v>531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3</v>
      </c>
      <c r="AM2226">
        <v>0</v>
      </c>
      <c r="AN2226">
        <v>3</v>
      </c>
    </row>
    <row r="2227" spans="1:40" x14ac:dyDescent="0.3">
      <c r="A2227" t="s">
        <v>516</v>
      </c>
      <c r="B2227" t="s">
        <v>17</v>
      </c>
      <c r="C2227" t="s">
        <v>10</v>
      </c>
      <c r="D2227" t="s">
        <v>14</v>
      </c>
      <c r="E2227">
        <v>202602</v>
      </c>
      <c r="F2227" t="s">
        <v>545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1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5</v>
      </c>
      <c r="AM2227">
        <v>0.33333333333333331</v>
      </c>
      <c r="AN2227">
        <v>6.4342414279002504</v>
      </c>
    </row>
    <row r="2228" spans="1:40" x14ac:dyDescent="0.3">
      <c r="A2228" t="s">
        <v>516</v>
      </c>
      <c r="B2228" t="s">
        <v>17</v>
      </c>
      <c r="C2228" t="s">
        <v>10</v>
      </c>
      <c r="D2228" t="s">
        <v>14</v>
      </c>
      <c r="E2228">
        <v>202602</v>
      </c>
      <c r="F2228" t="s">
        <v>299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</v>
      </c>
      <c r="AM2228">
        <v>0</v>
      </c>
      <c r="AN2228">
        <v>1</v>
      </c>
    </row>
    <row r="2229" spans="1:40" x14ac:dyDescent="0.3">
      <c r="A2229" t="s">
        <v>516</v>
      </c>
      <c r="B2229" t="s">
        <v>17</v>
      </c>
      <c r="C2229" t="s">
        <v>10</v>
      </c>
      <c r="D2229" t="s">
        <v>14</v>
      </c>
      <c r="E2229">
        <v>202602</v>
      </c>
      <c r="F2229" t="s">
        <v>532</v>
      </c>
      <c r="G2229">
        <v>0</v>
      </c>
      <c r="H2229">
        <v>0</v>
      </c>
      <c r="I2229">
        <v>0</v>
      </c>
      <c r="J2229">
        <v>2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7</v>
      </c>
      <c r="AM2229">
        <v>0.33333333333333331</v>
      </c>
      <c r="AN2229">
        <v>8.4342414279002504</v>
      </c>
    </row>
    <row r="2230" spans="1:40" x14ac:dyDescent="0.3">
      <c r="A2230" t="s">
        <v>516</v>
      </c>
      <c r="B2230" t="s">
        <v>17</v>
      </c>
      <c r="C2230" t="s">
        <v>10</v>
      </c>
      <c r="D2230" t="s">
        <v>14</v>
      </c>
      <c r="E2230">
        <v>202602</v>
      </c>
      <c r="F2230" t="s">
        <v>546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3</v>
      </c>
      <c r="AM2230">
        <v>0</v>
      </c>
      <c r="AN2230">
        <v>3</v>
      </c>
    </row>
    <row r="2231" spans="1:40" x14ac:dyDescent="0.3">
      <c r="A2231" t="s">
        <v>516</v>
      </c>
      <c r="B2231" t="s">
        <v>17</v>
      </c>
      <c r="C2231" t="s">
        <v>10</v>
      </c>
      <c r="D2231" t="s">
        <v>14</v>
      </c>
      <c r="E2231">
        <v>202602</v>
      </c>
      <c r="F2231" t="s">
        <v>533</v>
      </c>
      <c r="G2231">
        <v>1</v>
      </c>
      <c r="H2231">
        <v>0</v>
      </c>
      <c r="I2231">
        <v>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3</v>
      </c>
      <c r="AM2231">
        <v>0</v>
      </c>
      <c r="AN2231">
        <v>3</v>
      </c>
    </row>
    <row r="2232" spans="1:40" x14ac:dyDescent="0.3">
      <c r="A2232" t="s">
        <v>516</v>
      </c>
      <c r="B2232" t="s">
        <v>17</v>
      </c>
      <c r="C2232" t="s">
        <v>10</v>
      </c>
      <c r="D2232" t="s">
        <v>14</v>
      </c>
      <c r="E2232">
        <v>202602</v>
      </c>
      <c r="F2232" t="s">
        <v>693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3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4</v>
      </c>
      <c r="AM2232">
        <v>1</v>
      </c>
      <c r="AN2232">
        <v>8.3027242837007513</v>
      </c>
    </row>
    <row r="2233" spans="1:40" x14ac:dyDescent="0.3">
      <c r="A2233" t="s">
        <v>516</v>
      </c>
      <c r="B2233" t="s">
        <v>17</v>
      </c>
      <c r="C2233" t="s">
        <v>10</v>
      </c>
      <c r="D2233" t="s">
        <v>14</v>
      </c>
      <c r="E2233">
        <v>202602</v>
      </c>
      <c r="F2233" t="s">
        <v>534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2</v>
      </c>
      <c r="AM2233">
        <v>0</v>
      </c>
      <c r="AN2233">
        <v>2</v>
      </c>
    </row>
    <row r="2234" spans="1:40" x14ac:dyDescent="0.3">
      <c r="A2234" t="s">
        <v>516</v>
      </c>
      <c r="B2234" t="s">
        <v>17</v>
      </c>
      <c r="C2234" t="s">
        <v>10</v>
      </c>
      <c r="D2234" t="s">
        <v>14</v>
      </c>
      <c r="E2234">
        <v>202602</v>
      </c>
      <c r="F2234" t="s">
        <v>547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2</v>
      </c>
      <c r="AB2234">
        <v>0</v>
      </c>
      <c r="AC2234">
        <v>1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5</v>
      </c>
      <c r="AM2234">
        <v>0.33333333333333331</v>
      </c>
      <c r="AN2234">
        <v>6.4342414279002504</v>
      </c>
    </row>
    <row r="2235" spans="1:40" x14ac:dyDescent="0.3">
      <c r="A2235" t="s">
        <v>516</v>
      </c>
      <c r="B2235" t="s">
        <v>17</v>
      </c>
      <c r="C2235" t="s">
        <v>10</v>
      </c>
      <c r="D2235" t="s">
        <v>14</v>
      </c>
      <c r="E2235">
        <v>202602</v>
      </c>
      <c r="F2235" t="s">
        <v>535</v>
      </c>
      <c r="G2235">
        <v>0</v>
      </c>
      <c r="H2235">
        <v>1</v>
      </c>
      <c r="I2235">
        <v>0</v>
      </c>
      <c r="J2235">
        <v>2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4</v>
      </c>
      <c r="AM2235">
        <v>0</v>
      </c>
      <c r="AN2235">
        <v>4</v>
      </c>
    </row>
    <row r="2236" spans="1:40" x14ac:dyDescent="0.3">
      <c r="A2236" t="s">
        <v>516</v>
      </c>
      <c r="B2236" t="s">
        <v>17</v>
      </c>
      <c r="C2236" t="s">
        <v>10</v>
      </c>
      <c r="D2236" t="s">
        <v>14</v>
      </c>
      <c r="E2236">
        <v>202602</v>
      </c>
      <c r="F2236" t="s">
        <v>536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</v>
      </c>
      <c r="AM2236">
        <v>0</v>
      </c>
      <c r="AN2236">
        <v>1</v>
      </c>
    </row>
    <row r="2237" spans="1:40" x14ac:dyDescent="0.3">
      <c r="A2237" t="s">
        <v>516</v>
      </c>
      <c r="B2237" t="s">
        <v>17</v>
      </c>
      <c r="C2237" t="s">
        <v>10</v>
      </c>
      <c r="D2237" t="s">
        <v>14</v>
      </c>
      <c r="E2237">
        <v>202602</v>
      </c>
      <c r="F2237" t="s">
        <v>41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2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7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9</v>
      </c>
      <c r="AM2237">
        <v>2.3333333333333335</v>
      </c>
      <c r="AN2237">
        <v>19.03968999530175</v>
      </c>
    </row>
    <row r="2238" spans="1:40" x14ac:dyDescent="0.3">
      <c r="A2238" t="s">
        <v>516</v>
      </c>
      <c r="B2238" t="s">
        <v>17</v>
      </c>
      <c r="C2238" t="s">
        <v>10</v>
      </c>
      <c r="D2238" t="s">
        <v>14</v>
      </c>
      <c r="E2238">
        <v>202602</v>
      </c>
      <c r="F2238" t="s">
        <v>548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3</v>
      </c>
      <c r="AM2238">
        <v>0</v>
      </c>
      <c r="AN2238">
        <v>3</v>
      </c>
    </row>
    <row r="2239" spans="1:40" x14ac:dyDescent="0.3">
      <c r="A2239" t="s">
        <v>516</v>
      </c>
      <c r="B2239" t="s">
        <v>17</v>
      </c>
      <c r="C2239" t="s">
        <v>10</v>
      </c>
      <c r="D2239" t="s">
        <v>14</v>
      </c>
      <c r="E2239">
        <v>202602</v>
      </c>
      <c r="F2239" t="s">
        <v>734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</v>
      </c>
      <c r="AM2239">
        <v>0</v>
      </c>
      <c r="AN2239">
        <v>1</v>
      </c>
    </row>
    <row r="2240" spans="1:40" x14ac:dyDescent="0.3">
      <c r="A2240" t="s">
        <v>516</v>
      </c>
      <c r="B2240" t="s">
        <v>17</v>
      </c>
      <c r="C2240" t="s">
        <v>10</v>
      </c>
      <c r="D2240" t="s">
        <v>14</v>
      </c>
      <c r="E2240">
        <v>202602</v>
      </c>
      <c r="F2240" t="s">
        <v>549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1</v>
      </c>
      <c r="AM2240">
        <v>0</v>
      </c>
      <c r="AN2240">
        <v>1</v>
      </c>
    </row>
    <row r="2241" spans="1:40" x14ac:dyDescent="0.3">
      <c r="A2241" t="s">
        <v>516</v>
      </c>
      <c r="B2241" t="s">
        <v>17</v>
      </c>
      <c r="C2241" t="s">
        <v>16</v>
      </c>
      <c r="D2241" t="s">
        <v>11</v>
      </c>
      <c r="E2241">
        <v>202602</v>
      </c>
      <c r="F2241" t="s">
        <v>517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1</v>
      </c>
      <c r="AM2241">
        <v>0</v>
      </c>
      <c r="AN2241">
        <v>1</v>
      </c>
    </row>
    <row r="2242" spans="1:40" x14ac:dyDescent="0.3">
      <c r="A2242" t="s">
        <v>516</v>
      </c>
      <c r="B2242" t="s">
        <v>17</v>
      </c>
      <c r="C2242" t="s">
        <v>16</v>
      </c>
      <c r="D2242" t="s">
        <v>11</v>
      </c>
      <c r="E2242">
        <v>202602</v>
      </c>
      <c r="F2242" t="s">
        <v>18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2</v>
      </c>
      <c r="AM2242">
        <v>0</v>
      </c>
      <c r="AN2242">
        <v>2</v>
      </c>
    </row>
    <row r="2243" spans="1:40" x14ac:dyDescent="0.3">
      <c r="A2243" t="s">
        <v>516</v>
      </c>
      <c r="B2243" t="s">
        <v>17</v>
      </c>
      <c r="C2243" t="s">
        <v>16</v>
      </c>
      <c r="D2243" t="s">
        <v>11</v>
      </c>
      <c r="E2243">
        <v>202602</v>
      </c>
      <c r="F2243" t="s">
        <v>518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1</v>
      </c>
      <c r="N2243">
        <v>0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5</v>
      </c>
      <c r="AM2243">
        <v>0</v>
      </c>
      <c r="AN2243">
        <v>5</v>
      </c>
    </row>
    <row r="2244" spans="1:40" x14ac:dyDescent="0.3">
      <c r="A2244" t="s">
        <v>516</v>
      </c>
      <c r="B2244" t="s">
        <v>17</v>
      </c>
      <c r="C2244" t="s">
        <v>16</v>
      </c>
      <c r="D2244" t="s">
        <v>11</v>
      </c>
      <c r="E2244">
        <v>202602</v>
      </c>
      <c r="F2244" t="s">
        <v>538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1</v>
      </c>
      <c r="AM2244">
        <v>0</v>
      </c>
      <c r="AN2244">
        <v>1</v>
      </c>
    </row>
    <row r="2245" spans="1:40" x14ac:dyDescent="0.3">
      <c r="A2245" t="s">
        <v>516</v>
      </c>
      <c r="B2245" t="s">
        <v>17</v>
      </c>
      <c r="C2245" t="s">
        <v>16</v>
      </c>
      <c r="D2245" t="s">
        <v>11</v>
      </c>
      <c r="E2245">
        <v>202602</v>
      </c>
      <c r="F2245" t="s">
        <v>524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3</v>
      </c>
      <c r="AM2245">
        <v>0</v>
      </c>
      <c r="AN2245">
        <v>3</v>
      </c>
    </row>
    <row r="2246" spans="1:40" x14ac:dyDescent="0.3">
      <c r="A2246" t="s">
        <v>516</v>
      </c>
      <c r="B2246" t="s">
        <v>17</v>
      </c>
      <c r="C2246" t="s">
        <v>16</v>
      </c>
      <c r="D2246" t="s">
        <v>11</v>
      </c>
      <c r="E2246">
        <v>202602</v>
      </c>
      <c r="F2246" t="s">
        <v>543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</v>
      </c>
      <c r="AM2246">
        <v>0</v>
      </c>
      <c r="AN2246">
        <v>1</v>
      </c>
    </row>
    <row r="2247" spans="1:40" x14ac:dyDescent="0.3">
      <c r="A2247" t="s">
        <v>516</v>
      </c>
      <c r="B2247" t="s">
        <v>17</v>
      </c>
      <c r="C2247" t="s">
        <v>16</v>
      </c>
      <c r="D2247" t="s">
        <v>11</v>
      </c>
      <c r="E2247">
        <v>202602</v>
      </c>
      <c r="F2247" t="s">
        <v>693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0.33333333333333331</v>
      </c>
      <c r="AN2247">
        <v>2.6796686227130611</v>
      </c>
    </row>
    <row r="2248" spans="1:40" x14ac:dyDescent="0.3">
      <c r="A2248" t="s">
        <v>516</v>
      </c>
      <c r="B2248" t="s">
        <v>17</v>
      </c>
      <c r="C2248" t="s">
        <v>16</v>
      </c>
      <c r="D2248" t="s">
        <v>11</v>
      </c>
      <c r="E2248">
        <v>202602</v>
      </c>
      <c r="F2248" t="s">
        <v>734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2</v>
      </c>
      <c r="AM2248">
        <v>0.33333333333333331</v>
      </c>
      <c r="AN2248">
        <v>3.6796686227130611</v>
      </c>
    </row>
    <row r="2249" spans="1:40" x14ac:dyDescent="0.3">
      <c r="A2249" t="s">
        <v>516</v>
      </c>
      <c r="B2249" t="s">
        <v>17</v>
      </c>
      <c r="C2249" t="s">
        <v>16</v>
      </c>
      <c r="D2249" t="s">
        <v>11</v>
      </c>
      <c r="E2249">
        <v>202602</v>
      </c>
      <c r="F2249" t="s">
        <v>549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1</v>
      </c>
      <c r="AM2249">
        <v>0</v>
      </c>
      <c r="AN2249">
        <v>1</v>
      </c>
    </row>
    <row r="2250" spans="1:40" x14ac:dyDescent="0.3">
      <c r="A2250" t="s">
        <v>516</v>
      </c>
      <c r="B2250" t="s">
        <v>17</v>
      </c>
      <c r="C2250" t="s">
        <v>16</v>
      </c>
      <c r="D2250" t="s">
        <v>14</v>
      </c>
      <c r="E2250">
        <v>202602</v>
      </c>
      <c r="F2250" t="s">
        <v>517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2</v>
      </c>
      <c r="AM2250">
        <v>0</v>
      </c>
      <c r="AN2250">
        <v>2</v>
      </c>
    </row>
    <row r="2251" spans="1:40" x14ac:dyDescent="0.3">
      <c r="A2251" t="s">
        <v>516</v>
      </c>
      <c r="B2251" t="s">
        <v>17</v>
      </c>
      <c r="C2251" t="s">
        <v>16</v>
      </c>
      <c r="D2251" t="s">
        <v>14</v>
      </c>
      <c r="E2251">
        <v>202602</v>
      </c>
      <c r="F2251" t="s">
        <v>18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3</v>
      </c>
      <c r="AM2251">
        <v>0</v>
      </c>
      <c r="AN2251">
        <v>3</v>
      </c>
    </row>
    <row r="2252" spans="1:40" x14ac:dyDescent="0.3">
      <c r="A2252" t="s">
        <v>516</v>
      </c>
      <c r="B2252" t="s">
        <v>17</v>
      </c>
      <c r="C2252" t="s">
        <v>16</v>
      </c>
      <c r="D2252" t="s">
        <v>14</v>
      </c>
      <c r="E2252">
        <v>202602</v>
      </c>
      <c r="F2252" t="s">
        <v>518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2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5</v>
      </c>
      <c r="AM2252">
        <v>0</v>
      </c>
      <c r="AN2252">
        <v>5</v>
      </c>
    </row>
    <row r="2253" spans="1:40" x14ac:dyDescent="0.3">
      <c r="A2253" t="s">
        <v>516</v>
      </c>
      <c r="B2253" t="s">
        <v>17</v>
      </c>
      <c r="C2253" t="s">
        <v>16</v>
      </c>
      <c r="D2253" t="s">
        <v>14</v>
      </c>
      <c r="E2253">
        <v>202602</v>
      </c>
      <c r="F2253" t="s">
        <v>520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0</v>
      </c>
      <c r="AN2253">
        <v>1</v>
      </c>
    </row>
    <row r="2254" spans="1:40" x14ac:dyDescent="0.3">
      <c r="A2254" t="s">
        <v>516</v>
      </c>
      <c r="B2254" t="s">
        <v>17</v>
      </c>
      <c r="C2254" t="s">
        <v>16</v>
      </c>
      <c r="D2254" t="s">
        <v>14</v>
      </c>
      <c r="E2254">
        <v>202602</v>
      </c>
      <c r="F2254" t="s">
        <v>550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</v>
      </c>
      <c r="AM2254">
        <v>0</v>
      </c>
      <c r="AN2254">
        <v>1</v>
      </c>
    </row>
    <row r="2255" spans="1:40" x14ac:dyDescent="0.3">
      <c r="A2255" t="s">
        <v>516</v>
      </c>
      <c r="B2255" t="s">
        <v>17</v>
      </c>
      <c r="C2255" t="s">
        <v>16</v>
      </c>
      <c r="D2255" t="s">
        <v>14</v>
      </c>
      <c r="E2255">
        <v>202602</v>
      </c>
      <c r="F2255" t="s">
        <v>524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1</v>
      </c>
      <c r="V2255">
        <v>1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5</v>
      </c>
      <c r="AM2255">
        <v>0</v>
      </c>
      <c r="AN2255">
        <v>5</v>
      </c>
    </row>
    <row r="2256" spans="1:40" x14ac:dyDescent="0.3">
      <c r="A2256" t="s">
        <v>516</v>
      </c>
      <c r="B2256" t="s">
        <v>17</v>
      </c>
      <c r="C2256" t="s">
        <v>16</v>
      </c>
      <c r="D2256" t="s">
        <v>14</v>
      </c>
      <c r="E2256">
        <v>202602</v>
      </c>
      <c r="F2256" t="s">
        <v>543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1</v>
      </c>
      <c r="AM2256">
        <v>0</v>
      </c>
      <c r="AN2256">
        <v>1</v>
      </c>
    </row>
    <row r="2257" spans="1:40" x14ac:dyDescent="0.3">
      <c r="A2257" t="s">
        <v>516</v>
      </c>
      <c r="B2257" t="s">
        <v>17</v>
      </c>
      <c r="C2257" t="s">
        <v>16</v>
      </c>
      <c r="D2257" t="s">
        <v>14</v>
      </c>
      <c r="E2257">
        <v>202602</v>
      </c>
      <c r="F2257" t="s">
        <v>532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1</v>
      </c>
    </row>
    <row r="2258" spans="1:40" x14ac:dyDescent="0.3">
      <c r="A2258" t="s">
        <v>516</v>
      </c>
      <c r="B2258" t="s">
        <v>17</v>
      </c>
      <c r="C2258" t="s">
        <v>16</v>
      </c>
      <c r="D2258" t="s">
        <v>14</v>
      </c>
      <c r="E2258">
        <v>202602</v>
      </c>
      <c r="F2258" t="s">
        <v>693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0</v>
      </c>
      <c r="AN2258">
        <v>1</v>
      </c>
    </row>
    <row r="2259" spans="1:40" x14ac:dyDescent="0.3">
      <c r="A2259" t="s">
        <v>516</v>
      </c>
      <c r="B2259" t="s">
        <v>17</v>
      </c>
      <c r="C2259" t="s">
        <v>16</v>
      </c>
      <c r="D2259" t="s">
        <v>14</v>
      </c>
      <c r="E2259">
        <v>202602</v>
      </c>
      <c r="F2259" t="s">
        <v>548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2</v>
      </c>
      <c r="AM2259">
        <v>0.33333333333333331</v>
      </c>
      <c r="AN2259">
        <v>3.43424142790025</v>
      </c>
    </row>
    <row r="2260" spans="1:40" x14ac:dyDescent="0.3">
      <c r="A2260" t="s">
        <v>516</v>
      </c>
      <c r="B2260" t="s">
        <v>17</v>
      </c>
      <c r="C2260" t="s">
        <v>16</v>
      </c>
      <c r="D2260" t="s">
        <v>14</v>
      </c>
      <c r="E2260">
        <v>202602</v>
      </c>
      <c r="F2260" t="s">
        <v>734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3</v>
      </c>
      <c r="AM2260">
        <v>0</v>
      </c>
      <c r="AN2260">
        <v>3</v>
      </c>
    </row>
    <row r="2261" spans="1:40" x14ac:dyDescent="0.3">
      <c r="A2261" t="s">
        <v>516</v>
      </c>
      <c r="B2261" t="s">
        <v>47</v>
      </c>
      <c r="C2261" t="s">
        <v>10</v>
      </c>
      <c r="D2261" t="s">
        <v>11</v>
      </c>
      <c r="E2261">
        <v>202602</v>
      </c>
      <c r="F2261" t="s">
        <v>48</v>
      </c>
      <c r="G2261">
        <v>0</v>
      </c>
      <c r="H2261">
        <v>0</v>
      </c>
      <c r="I2261">
        <v>1</v>
      </c>
      <c r="J2261">
        <v>3</v>
      </c>
      <c r="K2261">
        <v>1</v>
      </c>
      <c r="L2261">
        <v>5</v>
      </c>
      <c r="M2261">
        <v>4</v>
      </c>
      <c r="N2261">
        <v>0</v>
      </c>
      <c r="O2261">
        <v>1</v>
      </c>
      <c r="P2261">
        <v>1</v>
      </c>
      <c r="Q2261">
        <v>1</v>
      </c>
      <c r="R2261">
        <v>0</v>
      </c>
      <c r="S2261">
        <v>3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3</v>
      </c>
      <c r="AA2261">
        <v>0</v>
      </c>
      <c r="AB2261">
        <v>0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24</v>
      </c>
      <c r="AM2261">
        <v>1.3333333333333333</v>
      </c>
      <c r="AN2261">
        <v>30.718674490852244</v>
      </c>
    </row>
    <row r="2262" spans="1:40" x14ac:dyDescent="0.3">
      <c r="A2262" t="s">
        <v>516</v>
      </c>
      <c r="B2262" t="s">
        <v>47</v>
      </c>
      <c r="C2262" t="s">
        <v>10</v>
      </c>
      <c r="D2262" t="s">
        <v>14</v>
      </c>
      <c r="E2262">
        <v>202602</v>
      </c>
      <c r="F2262" t="s">
        <v>48</v>
      </c>
      <c r="G2262">
        <v>0</v>
      </c>
      <c r="H2262">
        <v>3</v>
      </c>
      <c r="I2262">
        <v>12</v>
      </c>
      <c r="J2262">
        <v>11</v>
      </c>
      <c r="K2262">
        <v>0</v>
      </c>
      <c r="L2262">
        <v>1</v>
      </c>
      <c r="M2262">
        <v>0</v>
      </c>
      <c r="N2262">
        <v>0</v>
      </c>
      <c r="O2262">
        <v>2</v>
      </c>
      <c r="P2262">
        <v>0</v>
      </c>
      <c r="Q2262">
        <v>2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4</v>
      </c>
      <c r="Y2262">
        <v>1</v>
      </c>
      <c r="Z2262">
        <v>0</v>
      </c>
      <c r="AA2262">
        <v>0</v>
      </c>
      <c r="AB2262">
        <v>0</v>
      </c>
      <c r="AC2262">
        <v>5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41</v>
      </c>
      <c r="AM2262">
        <v>2</v>
      </c>
      <c r="AN2262">
        <v>49.605448567401503</v>
      </c>
    </row>
    <row r="2263" spans="1:40" x14ac:dyDescent="0.3">
      <c r="A2263" t="s">
        <v>516</v>
      </c>
      <c r="B2263" t="s">
        <v>49</v>
      </c>
      <c r="C2263" t="s">
        <v>10</v>
      </c>
      <c r="D2263" t="s">
        <v>11</v>
      </c>
      <c r="E2263">
        <v>202602</v>
      </c>
      <c r="F2263" t="s">
        <v>50</v>
      </c>
      <c r="G2263">
        <v>0</v>
      </c>
      <c r="H2263">
        <v>0</v>
      </c>
      <c r="I2263">
        <v>0</v>
      </c>
      <c r="J2263">
        <v>2</v>
      </c>
      <c r="K2263">
        <v>2</v>
      </c>
      <c r="L2263">
        <v>0</v>
      </c>
      <c r="M2263">
        <v>0</v>
      </c>
      <c r="N2263">
        <v>0</v>
      </c>
      <c r="O2263">
        <v>1</v>
      </c>
      <c r="P2263">
        <v>1</v>
      </c>
      <c r="Q2263">
        <v>1</v>
      </c>
      <c r="R2263">
        <v>0</v>
      </c>
      <c r="S2263">
        <v>1</v>
      </c>
      <c r="T2263">
        <v>0</v>
      </c>
      <c r="U2263">
        <v>0</v>
      </c>
      <c r="V2263">
        <v>1</v>
      </c>
      <c r="W2263">
        <v>1</v>
      </c>
      <c r="X2263">
        <v>4</v>
      </c>
      <c r="Y2263">
        <v>3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17</v>
      </c>
      <c r="AM2263">
        <v>1</v>
      </c>
      <c r="AN2263">
        <v>22.039005868139181</v>
      </c>
    </row>
    <row r="2264" spans="1:40" x14ac:dyDescent="0.3">
      <c r="A2264" t="s">
        <v>516</v>
      </c>
      <c r="B2264" t="s">
        <v>49</v>
      </c>
      <c r="C2264" t="s">
        <v>10</v>
      </c>
      <c r="D2264" t="s">
        <v>11</v>
      </c>
      <c r="E2264">
        <v>202602</v>
      </c>
      <c r="F2264" t="s">
        <v>51</v>
      </c>
      <c r="G2264">
        <v>0</v>
      </c>
      <c r="H2264">
        <v>1</v>
      </c>
      <c r="I2264">
        <v>0</v>
      </c>
      <c r="J2264">
        <v>1</v>
      </c>
      <c r="K2264">
        <v>2</v>
      </c>
      <c r="L2264">
        <v>0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9</v>
      </c>
      <c r="AM2264">
        <v>0.33333333333333331</v>
      </c>
      <c r="AN2264">
        <v>10.679668622713061</v>
      </c>
    </row>
    <row r="2265" spans="1:40" x14ac:dyDescent="0.3">
      <c r="A2265" t="s">
        <v>516</v>
      </c>
      <c r="B2265" t="s">
        <v>49</v>
      </c>
      <c r="C2265" t="s">
        <v>10</v>
      </c>
      <c r="D2265" t="s">
        <v>11</v>
      </c>
      <c r="E2265">
        <v>202602</v>
      </c>
      <c r="F2265" t="s">
        <v>52</v>
      </c>
      <c r="G2265">
        <v>0</v>
      </c>
      <c r="H2265">
        <v>0</v>
      </c>
      <c r="I2265">
        <v>0</v>
      </c>
      <c r="J2265">
        <v>0</v>
      </c>
      <c r="K2265">
        <v>2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3</v>
      </c>
      <c r="AM2265">
        <v>0</v>
      </c>
      <c r="AN2265">
        <v>3</v>
      </c>
    </row>
    <row r="2266" spans="1:40" x14ac:dyDescent="0.3">
      <c r="A2266" t="s">
        <v>516</v>
      </c>
      <c r="B2266" t="s">
        <v>49</v>
      </c>
      <c r="C2266" t="s">
        <v>10</v>
      </c>
      <c r="D2266" t="s">
        <v>11</v>
      </c>
      <c r="E2266">
        <v>202602</v>
      </c>
      <c r="F2266" t="s">
        <v>171</v>
      </c>
      <c r="G2266">
        <v>0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2</v>
      </c>
      <c r="AM2266">
        <v>0</v>
      </c>
      <c r="AN2266">
        <v>2</v>
      </c>
    </row>
    <row r="2267" spans="1:40" x14ac:dyDescent="0.3">
      <c r="A2267" t="s">
        <v>516</v>
      </c>
      <c r="B2267" t="s">
        <v>49</v>
      </c>
      <c r="C2267" t="s">
        <v>10</v>
      </c>
      <c r="D2267" t="s">
        <v>11</v>
      </c>
      <c r="E2267">
        <v>202602</v>
      </c>
      <c r="F2267" t="s">
        <v>735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0</v>
      </c>
      <c r="AN2267">
        <v>1</v>
      </c>
    </row>
    <row r="2268" spans="1:40" x14ac:dyDescent="0.3">
      <c r="A2268" t="s">
        <v>516</v>
      </c>
      <c r="B2268" t="s">
        <v>49</v>
      </c>
      <c r="C2268" t="s">
        <v>10</v>
      </c>
      <c r="D2268" t="s">
        <v>11</v>
      </c>
      <c r="E2268">
        <v>202602</v>
      </c>
      <c r="F2268" t="s">
        <v>53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</v>
      </c>
      <c r="AM2268">
        <v>0</v>
      </c>
      <c r="AN2268">
        <v>1</v>
      </c>
    </row>
    <row r="2269" spans="1:40" x14ac:dyDescent="0.3">
      <c r="A2269" t="s">
        <v>516</v>
      </c>
      <c r="B2269" t="s">
        <v>49</v>
      </c>
      <c r="C2269" t="s">
        <v>10</v>
      </c>
      <c r="D2269" t="s">
        <v>14</v>
      </c>
      <c r="E2269">
        <v>202602</v>
      </c>
      <c r="F2269" t="s">
        <v>50</v>
      </c>
      <c r="G2269">
        <v>0</v>
      </c>
      <c r="H2269">
        <v>4</v>
      </c>
      <c r="I2269">
        <v>0</v>
      </c>
      <c r="J2269">
        <v>2</v>
      </c>
      <c r="K2269">
        <v>1</v>
      </c>
      <c r="L2269">
        <v>2</v>
      </c>
      <c r="M2269">
        <v>0</v>
      </c>
      <c r="N2269">
        <v>0</v>
      </c>
      <c r="O2269">
        <v>1</v>
      </c>
      <c r="P2269">
        <v>2</v>
      </c>
      <c r="Q2269">
        <v>2</v>
      </c>
      <c r="R2269">
        <v>1</v>
      </c>
      <c r="S2269">
        <v>3</v>
      </c>
      <c r="T2269">
        <v>0</v>
      </c>
      <c r="U2269">
        <v>0</v>
      </c>
      <c r="V2269">
        <v>3</v>
      </c>
      <c r="W2269">
        <v>0</v>
      </c>
      <c r="X2269">
        <v>3</v>
      </c>
      <c r="Y2269">
        <v>0</v>
      </c>
      <c r="Z2269">
        <v>0</v>
      </c>
      <c r="AA2269">
        <v>0</v>
      </c>
      <c r="AB2269">
        <v>1</v>
      </c>
      <c r="AC2269">
        <v>3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28</v>
      </c>
      <c r="AM2269">
        <v>1</v>
      </c>
      <c r="AN2269">
        <v>32.302724283700748</v>
      </c>
    </row>
    <row r="2270" spans="1:40" x14ac:dyDescent="0.3">
      <c r="A2270" t="s">
        <v>516</v>
      </c>
      <c r="B2270" t="s">
        <v>49</v>
      </c>
      <c r="C2270" t="s">
        <v>10</v>
      </c>
      <c r="D2270" t="s">
        <v>14</v>
      </c>
      <c r="E2270">
        <v>202602</v>
      </c>
      <c r="F2270" t="s">
        <v>51</v>
      </c>
      <c r="G2270">
        <v>1</v>
      </c>
      <c r="H2270">
        <v>1</v>
      </c>
      <c r="I2270">
        <v>1</v>
      </c>
      <c r="J2270">
        <v>0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1</v>
      </c>
      <c r="Q2270">
        <v>2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9</v>
      </c>
      <c r="AM2270">
        <v>0.33333333333333331</v>
      </c>
      <c r="AN2270">
        <v>10.43424142790025</v>
      </c>
    </row>
    <row r="2271" spans="1:40" x14ac:dyDescent="0.3">
      <c r="A2271" t="s">
        <v>516</v>
      </c>
      <c r="B2271" t="s">
        <v>49</v>
      </c>
      <c r="C2271" t="s">
        <v>10</v>
      </c>
      <c r="D2271" t="s">
        <v>14</v>
      </c>
      <c r="E2271">
        <v>202602</v>
      </c>
      <c r="F2271" t="s">
        <v>52</v>
      </c>
      <c r="G2271">
        <v>0</v>
      </c>
      <c r="H2271">
        <v>0</v>
      </c>
      <c r="I2271">
        <v>0</v>
      </c>
      <c r="J2271">
        <v>0</v>
      </c>
      <c r="K2271">
        <v>2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3</v>
      </c>
      <c r="AM2271">
        <v>0</v>
      </c>
      <c r="AN2271">
        <v>3</v>
      </c>
    </row>
    <row r="2272" spans="1:40" x14ac:dyDescent="0.3">
      <c r="A2272" t="s">
        <v>516</v>
      </c>
      <c r="B2272" t="s">
        <v>49</v>
      </c>
      <c r="C2272" t="s">
        <v>10</v>
      </c>
      <c r="D2272" t="s">
        <v>14</v>
      </c>
      <c r="E2272">
        <v>202602</v>
      </c>
      <c r="F2272" t="s">
        <v>171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3</v>
      </c>
      <c r="AM2272">
        <v>0.33333333333333331</v>
      </c>
      <c r="AN2272">
        <v>4.4342414279002504</v>
      </c>
    </row>
    <row r="2273" spans="1:40" x14ac:dyDescent="0.3">
      <c r="A2273" t="s">
        <v>516</v>
      </c>
      <c r="B2273" t="s">
        <v>49</v>
      </c>
      <c r="C2273" t="s">
        <v>10</v>
      </c>
      <c r="D2273" t="s">
        <v>14</v>
      </c>
      <c r="E2273">
        <v>202602</v>
      </c>
      <c r="F2273" t="s">
        <v>58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</v>
      </c>
      <c r="AM2273">
        <v>0</v>
      </c>
      <c r="AN2273">
        <v>1</v>
      </c>
    </row>
    <row r="2274" spans="1:40" x14ac:dyDescent="0.3">
      <c r="A2274" t="s">
        <v>516</v>
      </c>
      <c r="B2274" t="s">
        <v>49</v>
      </c>
      <c r="C2274" t="s">
        <v>10</v>
      </c>
      <c r="D2274" t="s">
        <v>14</v>
      </c>
      <c r="E2274">
        <v>202602</v>
      </c>
      <c r="F2274" t="s">
        <v>735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1</v>
      </c>
      <c r="AM2274">
        <v>0</v>
      </c>
      <c r="AN2274">
        <v>1</v>
      </c>
    </row>
    <row r="2275" spans="1:40" x14ac:dyDescent="0.3">
      <c r="A2275" t="s">
        <v>516</v>
      </c>
      <c r="B2275" t="s">
        <v>49</v>
      </c>
      <c r="C2275" t="s">
        <v>10</v>
      </c>
      <c r="D2275" t="s">
        <v>14</v>
      </c>
      <c r="E2275">
        <v>202602</v>
      </c>
      <c r="F2275" t="s">
        <v>53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0</v>
      </c>
      <c r="AN2275">
        <v>1</v>
      </c>
    </row>
    <row r="2276" spans="1:40" x14ac:dyDescent="0.3">
      <c r="A2276" t="s">
        <v>516</v>
      </c>
      <c r="B2276" t="s">
        <v>49</v>
      </c>
      <c r="C2276" t="s">
        <v>16</v>
      </c>
      <c r="D2276" t="s">
        <v>11</v>
      </c>
      <c r="E2276">
        <v>202602</v>
      </c>
      <c r="F2276" t="s">
        <v>50</v>
      </c>
      <c r="G2276">
        <v>0</v>
      </c>
      <c r="H2276">
        <v>1</v>
      </c>
      <c r="I2276">
        <v>1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6</v>
      </c>
      <c r="AM2276">
        <v>0</v>
      </c>
      <c r="AN2276">
        <v>6</v>
      </c>
    </row>
    <row r="2277" spans="1:40" x14ac:dyDescent="0.3">
      <c r="A2277" t="s">
        <v>516</v>
      </c>
      <c r="B2277" t="s">
        <v>49</v>
      </c>
      <c r="C2277" t="s">
        <v>16</v>
      </c>
      <c r="D2277" t="s">
        <v>11</v>
      </c>
      <c r="E2277">
        <v>202602</v>
      </c>
      <c r="F2277" t="s">
        <v>51</v>
      </c>
      <c r="G2277">
        <v>0</v>
      </c>
      <c r="H2277">
        <v>0</v>
      </c>
      <c r="I2277">
        <v>0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2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</v>
      </c>
      <c r="AA2277">
        <v>1</v>
      </c>
      <c r="AB2277">
        <v>0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11</v>
      </c>
      <c r="AM2277">
        <v>0.66666666666666663</v>
      </c>
      <c r="AN2277">
        <v>14.359337245426122</v>
      </c>
    </row>
    <row r="2278" spans="1:40" x14ac:dyDescent="0.3">
      <c r="A2278" t="s">
        <v>516</v>
      </c>
      <c r="B2278" t="s">
        <v>49</v>
      </c>
      <c r="C2278" t="s">
        <v>16</v>
      </c>
      <c r="D2278" t="s">
        <v>11</v>
      </c>
      <c r="E2278">
        <v>202602</v>
      </c>
      <c r="F2278" t="s">
        <v>52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2</v>
      </c>
      <c r="AM2278">
        <v>0.33333333333333331</v>
      </c>
      <c r="AN2278">
        <v>3.6796686227130611</v>
      </c>
    </row>
    <row r="2279" spans="1:40" x14ac:dyDescent="0.3">
      <c r="A2279" t="s">
        <v>516</v>
      </c>
      <c r="B2279" t="s">
        <v>49</v>
      </c>
      <c r="C2279" t="s">
        <v>16</v>
      </c>
      <c r="D2279" t="s">
        <v>11</v>
      </c>
      <c r="E2279">
        <v>202602</v>
      </c>
      <c r="F2279" t="s">
        <v>171</v>
      </c>
      <c r="G2279">
        <v>0</v>
      </c>
      <c r="H2279">
        <v>0</v>
      </c>
      <c r="I2279">
        <v>0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4</v>
      </c>
      <c r="AM2279">
        <v>0.33333333333333331</v>
      </c>
      <c r="AN2279">
        <v>5.6796686227130611</v>
      </c>
    </row>
    <row r="2280" spans="1:40" x14ac:dyDescent="0.3">
      <c r="A2280" t="s">
        <v>516</v>
      </c>
      <c r="B2280" t="s">
        <v>49</v>
      </c>
      <c r="C2280" t="s">
        <v>16</v>
      </c>
      <c r="D2280" t="s">
        <v>11</v>
      </c>
      <c r="E2280">
        <v>202602</v>
      </c>
      <c r="F2280" t="s">
        <v>58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</v>
      </c>
      <c r="AM2280">
        <v>0.33333333333333331</v>
      </c>
      <c r="AN2280">
        <v>2.6796686227130611</v>
      </c>
    </row>
    <row r="2281" spans="1:40" x14ac:dyDescent="0.3">
      <c r="A2281" t="s">
        <v>516</v>
      </c>
      <c r="B2281" t="s">
        <v>49</v>
      </c>
      <c r="C2281" t="s">
        <v>16</v>
      </c>
      <c r="D2281" t="s">
        <v>14</v>
      </c>
      <c r="E2281">
        <v>202602</v>
      </c>
      <c r="F2281" t="s">
        <v>50</v>
      </c>
      <c r="G2281">
        <v>1</v>
      </c>
      <c r="H2281">
        <v>1</v>
      </c>
      <c r="I2281">
        <v>1</v>
      </c>
      <c r="J2281">
        <v>2</v>
      </c>
      <c r="K2281">
        <v>0</v>
      </c>
      <c r="L2281">
        <v>1</v>
      </c>
      <c r="M2281">
        <v>0</v>
      </c>
      <c r="N2281">
        <v>0</v>
      </c>
      <c r="O2281">
        <v>3</v>
      </c>
      <c r="P2281">
        <v>1</v>
      </c>
      <c r="Q2281">
        <v>2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2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15</v>
      </c>
      <c r="AM2281">
        <v>0</v>
      </c>
      <c r="AN2281">
        <v>15</v>
      </c>
    </row>
    <row r="2282" spans="1:40" x14ac:dyDescent="0.3">
      <c r="A2282" t="s">
        <v>516</v>
      </c>
      <c r="B2282" t="s">
        <v>49</v>
      </c>
      <c r="C2282" t="s">
        <v>16</v>
      </c>
      <c r="D2282" t="s">
        <v>14</v>
      </c>
      <c r="E2282">
        <v>202602</v>
      </c>
      <c r="F2282" t="s">
        <v>51</v>
      </c>
      <c r="G2282">
        <v>0</v>
      </c>
      <c r="H2282">
        <v>1</v>
      </c>
      <c r="I2282">
        <v>0</v>
      </c>
      <c r="J2282">
        <v>2</v>
      </c>
      <c r="K2282">
        <v>1</v>
      </c>
      <c r="L2282">
        <v>1</v>
      </c>
      <c r="M2282">
        <v>1</v>
      </c>
      <c r="N2282">
        <v>0</v>
      </c>
      <c r="O2282">
        <v>0</v>
      </c>
      <c r="P2282">
        <v>1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0</v>
      </c>
      <c r="X2282">
        <v>1</v>
      </c>
      <c r="Y2282">
        <v>0</v>
      </c>
      <c r="Z2282">
        <v>0</v>
      </c>
      <c r="AA2282">
        <v>1</v>
      </c>
      <c r="AB2282">
        <v>1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13</v>
      </c>
      <c r="AM2282">
        <v>0.33333333333333331</v>
      </c>
      <c r="AN2282">
        <v>14.43424142790025</v>
      </c>
    </row>
    <row r="2283" spans="1:40" x14ac:dyDescent="0.3">
      <c r="A2283" t="s">
        <v>516</v>
      </c>
      <c r="B2283" t="s">
        <v>49</v>
      </c>
      <c r="C2283" t="s">
        <v>16</v>
      </c>
      <c r="D2283" t="s">
        <v>14</v>
      </c>
      <c r="E2283">
        <v>202602</v>
      </c>
      <c r="F2283" t="s">
        <v>52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2</v>
      </c>
      <c r="AM2283">
        <v>0</v>
      </c>
      <c r="AN2283">
        <v>2</v>
      </c>
    </row>
    <row r="2284" spans="1:40" x14ac:dyDescent="0.3">
      <c r="A2284" t="s">
        <v>516</v>
      </c>
      <c r="B2284" t="s">
        <v>49</v>
      </c>
      <c r="C2284" t="s">
        <v>16</v>
      </c>
      <c r="D2284" t="s">
        <v>14</v>
      </c>
      <c r="E2284">
        <v>202602</v>
      </c>
      <c r="F2284" t="s">
        <v>171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3</v>
      </c>
      <c r="AM2284">
        <v>0.33333333333333331</v>
      </c>
      <c r="AN2284">
        <v>4.4342414279002504</v>
      </c>
    </row>
    <row r="2285" spans="1:40" x14ac:dyDescent="0.3">
      <c r="A2285" t="s">
        <v>516</v>
      </c>
      <c r="B2285" t="s">
        <v>49</v>
      </c>
      <c r="C2285" t="s">
        <v>16</v>
      </c>
      <c r="D2285" t="s">
        <v>14</v>
      </c>
      <c r="E2285">
        <v>202602</v>
      </c>
      <c r="F2285" t="s">
        <v>58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</v>
      </c>
      <c r="AM2285">
        <v>0</v>
      </c>
      <c r="AN2285">
        <v>1</v>
      </c>
    </row>
    <row r="2286" spans="1:40" x14ac:dyDescent="0.3">
      <c r="A2286" t="s">
        <v>516</v>
      </c>
      <c r="B2286" t="s">
        <v>49</v>
      </c>
      <c r="C2286" t="s">
        <v>16</v>
      </c>
      <c r="D2286" t="s">
        <v>14</v>
      </c>
      <c r="E2286">
        <v>202602</v>
      </c>
      <c r="F2286" t="s">
        <v>735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0.33333333333333331</v>
      </c>
      <c r="AN2286">
        <v>2.43424142790025</v>
      </c>
    </row>
    <row r="2287" spans="1:40" x14ac:dyDescent="0.3">
      <c r="A2287" t="s">
        <v>516</v>
      </c>
      <c r="B2287" t="s">
        <v>49</v>
      </c>
      <c r="C2287" t="s">
        <v>16</v>
      </c>
      <c r="D2287" t="s">
        <v>14</v>
      </c>
      <c r="E2287">
        <v>202602</v>
      </c>
      <c r="F2287" t="s">
        <v>766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1</v>
      </c>
      <c r="AM2287">
        <v>0.33333333333333331</v>
      </c>
      <c r="AN2287">
        <v>2.43424142790025</v>
      </c>
    </row>
    <row r="2288" spans="1:40" x14ac:dyDescent="0.3">
      <c r="A2288" t="s">
        <v>516</v>
      </c>
      <c r="B2288" t="s">
        <v>49</v>
      </c>
      <c r="C2288" t="s">
        <v>16</v>
      </c>
      <c r="D2288" t="s">
        <v>14</v>
      </c>
      <c r="E2288">
        <v>202602</v>
      </c>
      <c r="F2288" t="s">
        <v>767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0.33333333333333331</v>
      </c>
      <c r="AN2288">
        <v>2.43424142790025</v>
      </c>
    </row>
    <row r="2289" spans="1:40" x14ac:dyDescent="0.3">
      <c r="A2289" t="s">
        <v>516</v>
      </c>
      <c r="B2289" t="s">
        <v>54</v>
      </c>
      <c r="C2289" t="s">
        <v>10</v>
      </c>
      <c r="D2289" t="s">
        <v>11</v>
      </c>
      <c r="E2289">
        <v>202602</v>
      </c>
      <c r="F2289" t="s">
        <v>55</v>
      </c>
      <c r="G2289">
        <v>0</v>
      </c>
      <c r="H2289">
        <v>3</v>
      </c>
      <c r="I2289">
        <v>5</v>
      </c>
      <c r="J2289">
        <v>9</v>
      </c>
      <c r="K2289">
        <v>5</v>
      </c>
      <c r="L2289">
        <v>6</v>
      </c>
      <c r="M2289">
        <v>1</v>
      </c>
      <c r="N2289">
        <v>0</v>
      </c>
      <c r="O2289">
        <v>10</v>
      </c>
      <c r="P2289">
        <v>6</v>
      </c>
      <c r="Q2289">
        <v>1</v>
      </c>
      <c r="R2289">
        <v>8</v>
      </c>
      <c r="S2289">
        <v>6</v>
      </c>
      <c r="T2289">
        <v>4</v>
      </c>
      <c r="U2289">
        <v>0</v>
      </c>
      <c r="V2289">
        <v>3</v>
      </c>
      <c r="W2289">
        <v>1</v>
      </c>
      <c r="X2289">
        <v>3</v>
      </c>
      <c r="Y2289">
        <v>6</v>
      </c>
      <c r="Z2289">
        <v>4</v>
      </c>
      <c r="AA2289">
        <v>4</v>
      </c>
      <c r="AB2289">
        <v>1</v>
      </c>
      <c r="AC2289">
        <v>6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92</v>
      </c>
      <c r="AM2289">
        <v>5.333333333333333</v>
      </c>
      <c r="AN2289">
        <v>118.87469796340898</v>
      </c>
    </row>
    <row r="2290" spans="1:40" x14ac:dyDescent="0.3">
      <c r="A2290" t="s">
        <v>516</v>
      </c>
      <c r="B2290" t="s">
        <v>54</v>
      </c>
      <c r="C2290" t="s">
        <v>10</v>
      </c>
      <c r="D2290" t="s">
        <v>11</v>
      </c>
      <c r="E2290">
        <v>202602</v>
      </c>
      <c r="F2290" t="s">
        <v>56</v>
      </c>
      <c r="G2290">
        <v>0</v>
      </c>
      <c r="H2290">
        <v>30</v>
      </c>
      <c r="I2290">
        <v>21</v>
      </c>
      <c r="J2290">
        <v>26</v>
      </c>
      <c r="K2290">
        <v>27</v>
      </c>
      <c r="L2290">
        <v>34</v>
      </c>
      <c r="M2290">
        <v>16</v>
      </c>
      <c r="N2290">
        <v>2</v>
      </c>
      <c r="O2290">
        <v>30</v>
      </c>
      <c r="P2290">
        <v>26</v>
      </c>
      <c r="Q2290">
        <v>25</v>
      </c>
      <c r="R2290">
        <v>27</v>
      </c>
      <c r="S2290">
        <v>22</v>
      </c>
      <c r="T2290">
        <v>13</v>
      </c>
      <c r="U2290">
        <v>1</v>
      </c>
      <c r="V2290">
        <v>26</v>
      </c>
      <c r="W2290">
        <v>20</v>
      </c>
      <c r="X2290">
        <v>27</v>
      </c>
      <c r="Y2290">
        <v>32</v>
      </c>
      <c r="Z2290">
        <v>26</v>
      </c>
      <c r="AA2290">
        <v>13</v>
      </c>
      <c r="AB2290">
        <v>6</v>
      </c>
      <c r="AC2290">
        <v>40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490</v>
      </c>
      <c r="AM2290">
        <v>32.666666666666664</v>
      </c>
      <c r="AN2290">
        <v>654.60752502588002</v>
      </c>
    </row>
    <row r="2291" spans="1:40" x14ac:dyDescent="0.3">
      <c r="A2291" t="s">
        <v>516</v>
      </c>
      <c r="B2291" t="s">
        <v>54</v>
      </c>
      <c r="C2291" t="s">
        <v>10</v>
      </c>
      <c r="D2291" t="s">
        <v>11</v>
      </c>
      <c r="E2291">
        <v>202602</v>
      </c>
      <c r="F2291" t="s">
        <v>52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</v>
      </c>
      <c r="AM2291">
        <v>0</v>
      </c>
      <c r="AN2291">
        <v>1</v>
      </c>
    </row>
    <row r="2292" spans="1:40" x14ac:dyDescent="0.3">
      <c r="A2292" t="s">
        <v>516</v>
      </c>
      <c r="B2292" t="s">
        <v>54</v>
      </c>
      <c r="C2292" t="s">
        <v>10</v>
      </c>
      <c r="D2292" t="s">
        <v>11</v>
      </c>
      <c r="E2292">
        <v>202602</v>
      </c>
      <c r="F2292" t="s">
        <v>57</v>
      </c>
      <c r="G2292">
        <v>0</v>
      </c>
      <c r="H2292">
        <v>6</v>
      </c>
      <c r="I2292">
        <v>4</v>
      </c>
      <c r="J2292">
        <v>10</v>
      </c>
      <c r="K2292">
        <v>1</v>
      </c>
      <c r="L2292">
        <v>11</v>
      </c>
      <c r="M2292">
        <v>3</v>
      </c>
      <c r="N2292">
        <v>0</v>
      </c>
      <c r="O2292">
        <v>7</v>
      </c>
      <c r="P2292">
        <v>6</v>
      </c>
      <c r="Q2292">
        <v>7</v>
      </c>
      <c r="R2292">
        <v>4</v>
      </c>
      <c r="S2292">
        <v>6</v>
      </c>
      <c r="T2292">
        <v>2</v>
      </c>
      <c r="U2292">
        <v>1</v>
      </c>
      <c r="V2292">
        <v>5</v>
      </c>
      <c r="W2292">
        <v>0</v>
      </c>
      <c r="X2292">
        <v>6</v>
      </c>
      <c r="Y2292">
        <v>4</v>
      </c>
      <c r="Z2292">
        <v>8</v>
      </c>
      <c r="AA2292">
        <v>3</v>
      </c>
      <c r="AB2292">
        <v>1</v>
      </c>
      <c r="AC2292">
        <v>5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100</v>
      </c>
      <c r="AM2292">
        <v>5.666666666666667</v>
      </c>
      <c r="AN2292">
        <v>128.55436658612203</v>
      </c>
    </row>
    <row r="2293" spans="1:40" x14ac:dyDescent="0.3">
      <c r="A2293" t="s">
        <v>516</v>
      </c>
      <c r="B2293" t="s">
        <v>54</v>
      </c>
      <c r="C2293" t="s">
        <v>10</v>
      </c>
      <c r="D2293" t="s">
        <v>11</v>
      </c>
      <c r="E2293">
        <v>202602</v>
      </c>
      <c r="F2293" t="s">
        <v>58</v>
      </c>
      <c r="G2293">
        <v>0</v>
      </c>
      <c r="H2293">
        <v>0</v>
      </c>
      <c r="I2293">
        <v>1</v>
      </c>
      <c r="J2293">
        <v>0</v>
      </c>
      <c r="K2293">
        <v>2</v>
      </c>
      <c r="L2293">
        <v>2</v>
      </c>
      <c r="M2293">
        <v>0</v>
      </c>
      <c r="N2293">
        <v>0</v>
      </c>
      <c r="O2293">
        <v>1</v>
      </c>
      <c r="P2293">
        <v>1</v>
      </c>
      <c r="Q2293">
        <v>1</v>
      </c>
      <c r="R2293">
        <v>4</v>
      </c>
      <c r="S2293">
        <v>2</v>
      </c>
      <c r="T2293">
        <v>0</v>
      </c>
      <c r="U2293">
        <v>0</v>
      </c>
      <c r="V2293">
        <v>3</v>
      </c>
      <c r="W2293">
        <v>1</v>
      </c>
      <c r="X2293">
        <v>1</v>
      </c>
      <c r="Y2293">
        <v>1</v>
      </c>
      <c r="Z2293">
        <v>2</v>
      </c>
      <c r="AA2293">
        <v>0</v>
      </c>
      <c r="AB2293">
        <v>0</v>
      </c>
      <c r="AC2293">
        <v>2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24</v>
      </c>
      <c r="AM2293">
        <v>1.6666666666666667</v>
      </c>
      <c r="AN2293">
        <v>32.398343113565303</v>
      </c>
    </row>
    <row r="2294" spans="1:40" x14ac:dyDescent="0.3">
      <c r="A2294" t="s">
        <v>516</v>
      </c>
      <c r="B2294" t="s">
        <v>54</v>
      </c>
      <c r="C2294" t="s">
        <v>10</v>
      </c>
      <c r="D2294" t="s">
        <v>14</v>
      </c>
      <c r="E2294">
        <v>202602</v>
      </c>
      <c r="F2294" t="s">
        <v>55</v>
      </c>
      <c r="G2294">
        <v>2</v>
      </c>
      <c r="H2294">
        <v>11</v>
      </c>
      <c r="I2294">
        <v>8</v>
      </c>
      <c r="J2294">
        <v>9</v>
      </c>
      <c r="K2294">
        <v>8</v>
      </c>
      <c r="L2294">
        <v>6</v>
      </c>
      <c r="M2294">
        <v>1</v>
      </c>
      <c r="N2294">
        <v>0</v>
      </c>
      <c r="O2294">
        <v>7</v>
      </c>
      <c r="P2294">
        <v>12</v>
      </c>
      <c r="Q2294">
        <v>4</v>
      </c>
      <c r="R2294">
        <v>6</v>
      </c>
      <c r="S2294">
        <v>10</v>
      </c>
      <c r="T2294">
        <v>1</v>
      </c>
      <c r="U2294">
        <v>0</v>
      </c>
      <c r="V2294">
        <v>3</v>
      </c>
      <c r="W2294">
        <v>1</v>
      </c>
      <c r="X2294">
        <v>3</v>
      </c>
      <c r="Y2294">
        <v>8</v>
      </c>
      <c r="Z2294">
        <v>7</v>
      </c>
      <c r="AA2294">
        <v>3</v>
      </c>
      <c r="AB2294">
        <v>0</v>
      </c>
      <c r="AC2294">
        <v>11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121</v>
      </c>
      <c r="AM2294">
        <v>8.6666666666666661</v>
      </c>
      <c r="AN2294">
        <v>158.2902771254065</v>
      </c>
    </row>
    <row r="2295" spans="1:40" x14ac:dyDescent="0.3">
      <c r="A2295" t="s">
        <v>516</v>
      </c>
      <c r="B2295" t="s">
        <v>54</v>
      </c>
      <c r="C2295" t="s">
        <v>10</v>
      </c>
      <c r="D2295" t="s">
        <v>14</v>
      </c>
      <c r="E2295">
        <v>202602</v>
      </c>
      <c r="F2295" t="s">
        <v>56</v>
      </c>
      <c r="G2295">
        <v>4</v>
      </c>
      <c r="H2295">
        <v>44</v>
      </c>
      <c r="I2295">
        <v>48</v>
      </c>
      <c r="J2295">
        <v>34</v>
      </c>
      <c r="K2295">
        <v>46</v>
      </c>
      <c r="L2295">
        <v>23</v>
      </c>
      <c r="M2295">
        <v>5</v>
      </c>
      <c r="N2295">
        <v>2</v>
      </c>
      <c r="O2295">
        <v>37</v>
      </c>
      <c r="P2295">
        <v>50</v>
      </c>
      <c r="Q2295">
        <v>40</v>
      </c>
      <c r="R2295">
        <v>41</v>
      </c>
      <c r="S2295">
        <v>39</v>
      </c>
      <c r="T2295">
        <v>8</v>
      </c>
      <c r="U2295">
        <v>5</v>
      </c>
      <c r="V2295">
        <v>15</v>
      </c>
      <c r="W2295">
        <v>14</v>
      </c>
      <c r="X2295">
        <v>32</v>
      </c>
      <c r="Y2295">
        <v>38</v>
      </c>
      <c r="Z2295">
        <v>42</v>
      </c>
      <c r="AA2295">
        <v>6</v>
      </c>
      <c r="AB2295">
        <v>7</v>
      </c>
      <c r="AC2295">
        <v>39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619</v>
      </c>
      <c r="AM2295">
        <v>39.666666666666664</v>
      </c>
      <c r="AN2295">
        <v>789.67472992012972</v>
      </c>
    </row>
    <row r="2296" spans="1:40" x14ac:dyDescent="0.3">
      <c r="A2296" t="s">
        <v>516</v>
      </c>
      <c r="B2296" t="s">
        <v>54</v>
      </c>
      <c r="C2296" t="s">
        <v>10</v>
      </c>
      <c r="D2296" t="s">
        <v>14</v>
      </c>
      <c r="E2296">
        <v>202602</v>
      </c>
      <c r="F2296" t="s">
        <v>57</v>
      </c>
      <c r="G2296">
        <v>2</v>
      </c>
      <c r="H2296">
        <v>10</v>
      </c>
      <c r="I2296">
        <v>15</v>
      </c>
      <c r="J2296">
        <v>5</v>
      </c>
      <c r="K2296">
        <v>6</v>
      </c>
      <c r="L2296">
        <v>5</v>
      </c>
      <c r="M2296">
        <v>6</v>
      </c>
      <c r="N2296">
        <v>1</v>
      </c>
      <c r="O2296">
        <v>6</v>
      </c>
      <c r="P2296">
        <v>11</v>
      </c>
      <c r="Q2296">
        <v>11</v>
      </c>
      <c r="R2296">
        <v>5</v>
      </c>
      <c r="S2296">
        <v>2</v>
      </c>
      <c r="T2296">
        <v>5</v>
      </c>
      <c r="U2296">
        <v>1</v>
      </c>
      <c r="V2296">
        <v>2</v>
      </c>
      <c r="W2296">
        <v>3</v>
      </c>
      <c r="X2296">
        <v>11</v>
      </c>
      <c r="Y2296">
        <v>13</v>
      </c>
      <c r="Z2296">
        <v>3</v>
      </c>
      <c r="AA2296">
        <v>2</v>
      </c>
      <c r="AB2296">
        <v>2</v>
      </c>
      <c r="AC2296">
        <v>9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136</v>
      </c>
      <c r="AM2296">
        <v>8.3333333333333339</v>
      </c>
      <c r="AN2296">
        <v>171.85603569750626</v>
      </c>
    </row>
    <row r="2297" spans="1:40" x14ac:dyDescent="0.3">
      <c r="A2297" t="s">
        <v>516</v>
      </c>
      <c r="B2297" t="s">
        <v>54</v>
      </c>
      <c r="C2297" t="s">
        <v>10</v>
      </c>
      <c r="D2297" t="s">
        <v>14</v>
      </c>
      <c r="E2297">
        <v>202602</v>
      </c>
      <c r="F2297" t="s">
        <v>58</v>
      </c>
      <c r="G2297">
        <v>0</v>
      </c>
      <c r="H2297">
        <v>2</v>
      </c>
      <c r="I2297">
        <v>2</v>
      </c>
      <c r="J2297">
        <v>2</v>
      </c>
      <c r="K2297">
        <v>2</v>
      </c>
      <c r="L2297">
        <v>2</v>
      </c>
      <c r="M2297">
        <v>1</v>
      </c>
      <c r="N2297">
        <v>0</v>
      </c>
      <c r="O2297">
        <v>5</v>
      </c>
      <c r="P2297">
        <v>1</v>
      </c>
      <c r="Q2297">
        <v>4</v>
      </c>
      <c r="R2297">
        <v>4</v>
      </c>
      <c r="S2297">
        <v>2</v>
      </c>
      <c r="T2297">
        <v>0</v>
      </c>
      <c r="U2297">
        <v>0</v>
      </c>
      <c r="V2297">
        <v>0</v>
      </c>
      <c r="W2297">
        <v>0</v>
      </c>
      <c r="X2297">
        <v>3</v>
      </c>
      <c r="Y2297">
        <v>0</v>
      </c>
      <c r="Z2297">
        <v>2</v>
      </c>
      <c r="AA2297">
        <v>0</v>
      </c>
      <c r="AB2297">
        <v>0</v>
      </c>
      <c r="AC2297">
        <v>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33</v>
      </c>
      <c r="AM2297">
        <v>1</v>
      </c>
      <c r="AN2297">
        <v>37.302724283700748</v>
      </c>
    </row>
    <row r="2298" spans="1:40" x14ac:dyDescent="0.3">
      <c r="A2298" t="s">
        <v>516</v>
      </c>
      <c r="B2298" t="s">
        <v>54</v>
      </c>
      <c r="C2298" t="s">
        <v>16</v>
      </c>
      <c r="D2298" t="s">
        <v>11</v>
      </c>
      <c r="E2298">
        <v>202602</v>
      </c>
      <c r="F2298" t="s">
        <v>55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1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4</v>
      </c>
      <c r="AM2298">
        <v>0</v>
      </c>
      <c r="AN2298">
        <v>4</v>
      </c>
    </row>
    <row r="2299" spans="1:40" x14ac:dyDescent="0.3">
      <c r="A2299" t="s">
        <v>516</v>
      </c>
      <c r="B2299" t="s">
        <v>54</v>
      </c>
      <c r="C2299" t="s">
        <v>16</v>
      </c>
      <c r="D2299" t="s">
        <v>11</v>
      </c>
      <c r="E2299">
        <v>202602</v>
      </c>
      <c r="F2299" t="s">
        <v>56</v>
      </c>
      <c r="G2299">
        <v>0</v>
      </c>
      <c r="H2299">
        <v>0</v>
      </c>
      <c r="I2299">
        <v>0</v>
      </c>
      <c r="J2299">
        <v>0</v>
      </c>
      <c r="K2299">
        <v>2</v>
      </c>
      <c r="L2299">
        <v>1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1</v>
      </c>
      <c r="S2299">
        <v>0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7</v>
      </c>
      <c r="AM2299">
        <v>0.33333333333333331</v>
      </c>
      <c r="AN2299">
        <v>8.6796686227130611</v>
      </c>
    </row>
    <row r="2300" spans="1:40" x14ac:dyDescent="0.3">
      <c r="A2300" t="s">
        <v>516</v>
      </c>
      <c r="B2300" t="s">
        <v>54</v>
      </c>
      <c r="C2300" t="s">
        <v>16</v>
      </c>
      <c r="D2300" t="s">
        <v>11</v>
      </c>
      <c r="E2300">
        <v>202602</v>
      </c>
      <c r="F2300" t="s">
        <v>57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2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2</v>
      </c>
      <c r="AM2300">
        <v>0</v>
      </c>
      <c r="AN2300">
        <v>2</v>
      </c>
    </row>
    <row r="2301" spans="1:40" x14ac:dyDescent="0.3">
      <c r="A2301" t="s">
        <v>516</v>
      </c>
      <c r="B2301" t="s">
        <v>54</v>
      </c>
      <c r="C2301" t="s">
        <v>16</v>
      </c>
      <c r="D2301" t="s">
        <v>14</v>
      </c>
      <c r="E2301">
        <v>202602</v>
      </c>
      <c r="F2301" t="s">
        <v>55</v>
      </c>
      <c r="G2301">
        <v>0</v>
      </c>
      <c r="H2301">
        <v>0</v>
      </c>
      <c r="I2301">
        <v>1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5</v>
      </c>
      <c r="AM2301">
        <v>0</v>
      </c>
      <c r="AN2301">
        <v>5</v>
      </c>
    </row>
    <row r="2302" spans="1:40" x14ac:dyDescent="0.3">
      <c r="A2302" t="s">
        <v>516</v>
      </c>
      <c r="B2302" t="s">
        <v>54</v>
      </c>
      <c r="C2302" t="s">
        <v>16</v>
      </c>
      <c r="D2302" t="s">
        <v>14</v>
      </c>
      <c r="E2302">
        <v>202602</v>
      </c>
      <c r="F2302" t="s">
        <v>56</v>
      </c>
      <c r="G2302">
        <v>0</v>
      </c>
      <c r="H2302">
        <v>1</v>
      </c>
      <c r="I2302">
        <v>2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3</v>
      </c>
      <c r="P2302">
        <v>1</v>
      </c>
      <c r="Q2302">
        <v>1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0</v>
      </c>
      <c r="AC2302">
        <v>1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13</v>
      </c>
      <c r="AM2302">
        <v>0.66666666666666663</v>
      </c>
      <c r="AN2302">
        <v>15.868482855800501</v>
      </c>
    </row>
    <row r="2303" spans="1:40" x14ac:dyDescent="0.3">
      <c r="A2303" t="s">
        <v>516</v>
      </c>
      <c r="B2303" t="s">
        <v>54</v>
      </c>
      <c r="C2303" t="s">
        <v>16</v>
      </c>
      <c r="D2303" t="s">
        <v>14</v>
      </c>
      <c r="E2303">
        <v>202602</v>
      </c>
      <c r="F2303" t="s">
        <v>57</v>
      </c>
      <c r="G2303">
        <v>0</v>
      </c>
      <c r="H2303">
        <v>0</v>
      </c>
      <c r="I2303">
        <v>1</v>
      </c>
      <c r="J2303">
        <v>1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4</v>
      </c>
      <c r="AM2303">
        <v>0.33333333333333331</v>
      </c>
      <c r="AN2303">
        <v>5.4342414279002504</v>
      </c>
    </row>
    <row r="2304" spans="1:40" x14ac:dyDescent="0.3">
      <c r="A2304" t="s">
        <v>516</v>
      </c>
      <c r="B2304" t="s">
        <v>54</v>
      </c>
      <c r="C2304" t="s">
        <v>16</v>
      </c>
      <c r="D2304" t="s">
        <v>14</v>
      </c>
      <c r="E2304">
        <v>202602</v>
      </c>
      <c r="F2304" t="s">
        <v>58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0</v>
      </c>
      <c r="AN2304">
        <v>1</v>
      </c>
    </row>
    <row r="2305" spans="1:40" x14ac:dyDescent="0.3">
      <c r="A2305" t="s">
        <v>516</v>
      </c>
      <c r="B2305" t="s">
        <v>59</v>
      </c>
      <c r="C2305" t="s">
        <v>10</v>
      </c>
      <c r="D2305" t="s">
        <v>11</v>
      </c>
      <c r="E2305">
        <v>202602</v>
      </c>
      <c r="F2305" t="s">
        <v>60</v>
      </c>
      <c r="G2305">
        <v>0</v>
      </c>
      <c r="H2305">
        <v>3</v>
      </c>
      <c r="I2305">
        <v>1</v>
      </c>
      <c r="J2305">
        <v>1</v>
      </c>
      <c r="K2305">
        <v>2</v>
      </c>
      <c r="L2305">
        <v>6</v>
      </c>
      <c r="M2305">
        <v>2</v>
      </c>
      <c r="N2305">
        <v>1</v>
      </c>
      <c r="O2305">
        <v>7</v>
      </c>
      <c r="P2305">
        <v>5</v>
      </c>
      <c r="Q2305">
        <v>5</v>
      </c>
      <c r="R2305">
        <v>3</v>
      </c>
      <c r="S2305">
        <v>4</v>
      </c>
      <c r="T2305">
        <v>1</v>
      </c>
      <c r="U2305">
        <v>0</v>
      </c>
      <c r="V2305">
        <v>3</v>
      </c>
      <c r="W2305">
        <v>1</v>
      </c>
      <c r="X2305">
        <v>6</v>
      </c>
      <c r="Y2305">
        <v>5</v>
      </c>
      <c r="Z2305">
        <v>2</v>
      </c>
      <c r="AA2305">
        <v>0</v>
      </c>
      <c r="AB2305">
        <v>0</v>
      </c>
      <c r="AC2305">
        <v>7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65</v>
      </c>
      <c r="AM2305">
        <v>4.666666666666667</v>
      </c>
      <c r="AN2305">
        <v>88.515360717982844</v>
      </c>
    </row>
    <row r="2306" spans="1:40" x14ac:dyDescent="0.3">
      <c r="A2306" t="s">
        <v>516</v>
      </c>
      <c r="B2306" t="s">
        <v>59</v>
      </c>
      <c r="C2306" t="s">
        <v>10</v>
      </c>
      <c r="D2306" t="s">
        <v>11</v>
      </c>
      <c r="E2306">
        <v>202602</v>
      </c>
      <c r="F2306" t="s">
        <v>61</v>
      </c>
      <c r="G2306">
        <v>0</v>
      </c>
      <c r="H2306">
        <v>2</v>
      </c>
      <c r="I2306">
        <v>2</v>
      </c>
      <c r="J2306">
        <v>0</v>
      </c>
      <c r="K2306">
        <v>1</v>
      </c>
      <c r="L2306">
        <v>2</v>
      </c>
      <c r="M2306">
        <v>1</v>
      </c>
      <c r="N2306">
        <v>0</v>
      </c>
      <c r="O2306">
        <v>1</v>
      </c>
      <c r="P2306">
        <v>0</v>
      </c>
      <c r="Q2306">
        <v>4</v>
      </c>
      <c r="R2306">
        <v>2</v>
      </c>
      <c r="S2306">
        <v>0</v>
      </c>
      <c r="T2306">
        <v>3</v>
      </c>
      <c r="U2306">
        <v>0</v>
      </c>
      <c r="V2306">
        <v>2</v>
      </c>
      <c r="W2306">
        <v>0</v>
      </c>
      <c r="X2306">
        <v>1</v>
      </c>
      <c r="Y2306">
        <v>1</v>
      </c>
      <c r="Z2306">
        <v>5</v>
      </c>
      <c r="AA2306">
        <v>3</v>
      </c>
      <c r="AB2306">
        <v>0</v>
      </c>
      <c r="AC2306">
        <v>4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34</v>
      </c>
      <c r="AM2306">
        <v>3.3333333333333335</v>
      </c>
      <c r="AN2306">
        <v>50.796686227130607</v>
      </c>
    </row>
    <row r="2307" spans="1:40" x14ac:dyDescent="0.3">
      <c r="A2307" t="s">
        <v>516</v>
      </c>
      <c r="B2307" t="s">
        <v>59</v>
      </c>
      <c r="C2307" t="s">
        <v>10</v>
      </c>
      <c r="D2307" t="s">
        <v>11</v>
      </c>
      <c r="E2307">
        <v>202602</v>
      </c>
      <c r="F2307" t="s">
        <v>63</v>
      </c>
      <c r="G2307">
        <v>0</v>
      </c>
      <c r="H2307">
        <v>5</v>
      </c>
      <c r="I2307">
        <v>5</v>
      </c>
      <c r="J2307">
        <v>1</v>
      </c>
      <c r="K2307">
        <v>5</v>
      </c>
      <c r="L2307">
        <v>3</v>
      </c>
      <c r="M2307">
        <v>2</v>
      </c>
      <c r="N2307">
        <v>2</v>
      </c>
      <c r="O2307">
        <v>5</v>
      </c>
      <c r="P2307">
        <v>3</v>
      </c>
      <c r="Q2307">
        <v>2</v>
      </c>
      <c r="R2307">
        <v>6</v>
      </c>
      <c r="S2307">
        <v>1</v>
      </c>
      <c r="T2307">
        <v>4</v>
      </c>
      <c r="U2307">
        <v>0</v>
      </c>
      <c r="V2307">
        <v>6</v>
      </c>
      <c r="W2307">
        <v>1</v>
      </c>
      <c r="X2307">
        <v>3</v>
      </c>
      <c r="Y2307">
        <v>1</v>
      </c>
      <c r="Z2307">
        <v>5</v>
      </c>
      <c r="AA2307">
        <v>5</v>
      </c>
      <c r="AB2307">
        <v>1</v>
      </c>
      <c r="AC2307">
        <v>2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68</v>
      </c>
      <c r="AM2307">
        <v>2.6666666666666665</v>
      </c>
      <c r="AN2307">
        <v>81.437348981704488</v>
      </c>
    </row>
    <row r="2308" spans="1:40" x14ac:dyDescent="0.3">
      <c r="A2308" t="s">
        <v>516</v>
      </c>
      <c r="B2308" t="s">
        <v>59</v>
      </c>
      <c r="C2308" t="s">
        <v>10</v>
      </c>
      <c r="D2308" t="s">
        <v>11</v>
      </c>
      <c r="E2308">
        <v>202602</v>
      </c>
      <c r="F2308" t="s">
        <v>75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</v>
      </c>
      <c r="AM2308">
        <v>0.33333333333333331</v>
      </c>
      <c r="AN2308">
        <v>2.6796686227130611</v>
      </c>
    </row>
    <row r="2309" spans="1:40" x14ac:dyDescent="0.3">
      <c r="A2309" t="s">
        <v>516</v>
      </c>
      <c r="B2309" t="s">
        <v>59</v>
      </c>
      <c r="C2309" t="s">
        <v>10</v>
      </c>
      <c r="D2309" t="s">
        <v>11</v>
      </c>
      <c r="E2309">
        <v>202602</v>
      </c>
      <c r="F2309" t="s">
        <v>206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2</v>
      </c>
      <c r="AM2309">
        <v>0.33333333333333331</v>
      </c>
      <c r="AN2309">
        <v>3.6796686227130611</v>
      </c>
    </row>
    <row r="2310" spans="1:40" x14ac:dyDescent="0.3">
      <c r="A2310" t="s">
        <v>516</v>
      </c>
      <c r="B2310" t="s">
        <v>59</v>
      </c>
      <c r="C2310" t="s">
        <v>10</v>
      </c>
      <c r="D2310" t="s">
        <v>11</v>
      </c>
      <c r="E2310">
        <v>202602</v>
      </c>
      <c r="F2310" t="s">
        <v>207</v>
      </c>
      <c r="G2310">
        <v>0</v>
      </c>
      <c r="H2310">
        <v>0</v>
      </c>
      <c r="I2310">
        <v>0</v>
      </c>
      <c r="J2310">
        <v>1</v>
      </c>
      <c r="K2310">
        <v>1</v>
      </c>
      <c r="L2310">
        <v>1</v>
      </c>
      <c r="M2310">
        <v>0</v>
      </c>
      <c r="N2310">
        <v>0</v>
      </c>
      <c r="O2310">
        <v>3</v>
      </c>
      <c r="P2310">
        <v>0</v>
      </c>
      <c r="Q2310">
        <v>1</v>
      </c>
      <c r="R2310">
        <v>0</v>
      </c>
      <c r="S2310">
        <v>1</v>
      </c>
      <c r="T2310">
        <v>0</v>
      </c>
      <c r="U2310">
        <v>0</v>
      </c>
      <c r="V2310">
        <v>1</v>
      </c>
      <c r="W2310">
        <v>0</v>
      </c>
      <c r="X2310">
        <v>1</v>
      </c>
      <c r="Y2310">
        <v>0</v>
      </c>
      <c r="Z2310">
        <v>1</v>
      </c>
      <c r="AA2310">
        <v>0</v>
      </c>
      <c r="AB2310">
        <v>2</v>
      </c>
      <c r="AC2310">
        <v>4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17</v>
      </c>
      <c r="AM2310">
        <v>1.6666666666666667</v>
      </c>
      <c r="AN2310">
        <v>25.398343113565303</v>
      </c>
    </row>
    <row r="2311" spans="1:40" x14ac:dyDescent="0.3">
      <c r="A2311" t="s">
        <v>516</v>
      </c>
      <c r="B2311" t="s">
        <v>59</v>
      </c>
      <c r="C2311" t="s">
        <v>10</v>
      </c>
      <c r="D2311" t="s">
        <v>11</v>
      </c>
      <c r="E2311">
        <v>202602</v>
      </c>
      <c r="F2311" t="s">
        <v>64</v>
      </c>
      <c r="G2311">
        <v>0</v>
      </c>
      <c r="H2311">
        <v>2</v>
      </c>
      <c r="I2311">
        <v>2</v>
      </c>
      <c r="J2311">
        <v>2</v>
      </c>
      <c r="K2311">
        <v>7</v>
      </c>
      <c r="L2311">
        <v>4</v>
      </c>
      <c r="M2311">
        <v>0</v>
      </c>
      <c r="N2311">
        <v>0</v>
      </c>
      <c r="O2311">
        <v>4</v>
      </c>
      <c r="P2311">
        <v>9</v>
      </c>
      <c r="Q2311">
        <v>4</v>
      </c>
      <c r="R2311">
        <v>5</v>
      </c>
      <c r="S2311">
        <v>3</v>
      </c>
      <c r="T2311">
        <v>1</v>
      </c>
      <c r="U2311">
        <v>1</v>
      </c>
      <c r="V2311">
        <v>2</v>
      </c>
      <c r="W2311">
        <v>3</v>
      </c>
      <c r="X2311">
        <v>3</v>
      </c>
      <c r="Y2311">
        <v>3</v>
      </c>
      <c r="Z2311">
        <v>2</v>
      </c>
      <c r="AA2311">
        <v>1</v>
      </c>
      <c r="AB2311">
        <v>1</v>
      </c>
      <c r="AC2311">
        <v>5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64</v>
      </c>
      <c r="AM2311">
        <v>3.3333333333333335</v>
      </c>
      <c r="AN2311">
        <v>80.796686227130607</v>
      </c>
    </row>
    <row r="2312" spans="1:40" x14ac:dyDescent="0.3">
      <c r="A2312" t="s">
        <v>516</v>
      </c>
      <c r="B2312" t="s">
        <v>59</v>
      </c>
      <c r="C2312" t="s">
        <v>10</v>
      </c>
      <c r="D2312" t="s">
        <v>11</v>
      </c>
      <c r="E2312">
        <v>202602</v>
      </c>
      <c r="F2312" t="s">
        <v>65</v>
      </c>
      <c r="G2312">
        <v>0</v>
      </c>
      <c r="H2312">
        <v>2</v>
      </c>
      <c r="I2312">
        <v>0</v>
      </c>
      <c r="J2312">
        <v>0</v>
      </c>
      <c r="K2312">
        <v>1</v>
      </c>
      <c r="L2312">
        <v>0</v>
      </c>
      <c r="M2312">
        <v>0</v>
      </c>
      <c r="N2312">
        <v>0</v>
      </c>
      <c r="O2312">
        <v>1</v>
      </c>
      <c r="P2312">
        <v>1</v>
      </c>
      <c r="Q2312">
        <v>2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2</v>
      </c>
      <c r="Z2312">
        <v>0</v>
      </c>
      <c r="AA2312">
        <v>0</v>
      </c>
      <c r="AB2312">
        <v>0</v>
      </c>
      <c r="AC2312">
        <v>1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12</v>
      </c>
      <c r="AM2312">
        <v>1</v>
      </c>
      <c r="AN2312">
        <v>17.039005868139181</v>
      </c>
    </row>
    <row r="2313" spans="1:40" x14ac:dyDescent="0.3">
      <c r="A2313" t="s">
        <v>516</v>
      </c>
      <c r="B2313" t="s">
        <v>59</v>
      </c>
      <c r="C2313" t="s">
        <v>10</v>
      </c>
      <c r="D2313" t="s">
        <v>11</v>
      </c>
      <c r="E2313">
        <v>202602</v>
      </c>
      <c r="F2313" t="s">
        <v>66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2</v>
      </c>
      <c r="M2313">
        <v>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1</v>
      </c>
      <c r="AB2313">
        <v>0</v>
      </c>
      <c r="AC2313">
        <v>1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10</v>
      </c>
      <c r="AM2313">
        <v>0.66666666666666663</v>
      </c>
      <c r="AN2313">
        <v>13.359337245426122</v>
      </c>
    </row>
    <row r="2314" spans="1:40" x14ac:dyDescent="0.3">
      <c r="A2314" t="s">
        <v>516</v>
      </c>
      <c r="B2314" t="s">
        <v>59</v>
      </c>
      <c r="C2314" t="s">
        <v>10</v>
      </c>
      <c r="D2314" t="s">
        <v>11</v>
      </c>
      <c r="E2314">
        <v>202602</v>
      </c>
      <c r="F2314" t="s">
        <v>68</v>
      </c>
      <c r="G2314">
        <v>0</v>
      </c>
      <c r="H2314">
        <v>1</v>
      </c>
      <c r="I2314">
        <v>0</v>
      </c>
      <c r="J2314">
        <v>1</v>
      </c>
      <c r="K2314">
        <v>3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</v>
      </c>
      <c r="S2314">
        <v>2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2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10</v>
      </c>
      <c r="AM2314">
        <v>0.66666666666666663</v>
      </c>
      <c r="AN2314">
        <v>13.359337245426122</v>
      </c>
    </row>
    <row r="2315" spans="1:40" x14ac:dyDescent="0.3">
      <c r="A2315" t="s">
        <v>516</v>
      </c>
      <c r="B2315" t="s">
        <v>59</v>
      </c>
      <c r="C2315" t="s">
        <v>10</v>
      </c>
      <c r="D2315" t="s">
        <v>11</v>
      </c>
      <c r="E2315">
        <v>202602</v>
      </c>
      <c r="F2315" t="s">
        <v>694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</v>
      </c>
      <c r="W2315">
        <v>0</v>
      </c>
      <c r="X2315">
        <v>2</v>
      </c>
      <c r="Y2315">
        <v>0</v>
      </c>
      <c r="Z2315">
        <v>1</v>
      </c>
      <c r="AA2315">
        <v>0</v>
      </c>
      <c r="AB2315">
        <v>0</v>
      </c>
      <c r="AC2315">
        <v>2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6</v>
      </c>
      <c r="AM2315">
        <v>1</v>
      </c>
      <c r="AN2315">
        <v>11.039005868139181</v>
      </c>
    </row>
    <row r="2316" spans="1:40" x14ac:dyDescent="0.3">
      <c r="A2316" t="s">
        <v>516</v>
      </c>
      <c r="B2316" t="s">
        <v>59</v>
      </c>
      <c r="C2316" t="s">
        <v>10</v>
      </c>
      <c r="D2316" t="s">
        <v>11</v>
      </c>
      <c r="E2316">
        <v>202602</v>
      </c>
      <c r="F2316" t="s">
        <v>260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2</v>
      </c>
      <c r="AM2316">
        <v>0</v>
      </c>
      <c r="AN2316">
        <v>2</v>
      </c>
    </row>
    <row r="2317" spans="1:40" x14ac:dyDescent="0.3">
      <c r="A2317" t="s">
        <v>516</v>
      </c>
      <c r="B2317" t="s">
        <v>59</v>
      </c>
      <c r="C2317" t="s">
        <v>10</v>
      </c>
      <c r="D2317" t="s">
        <v>11</v>
      </c>
      <c r="E2317">
        <v>202602</v>
      </c>
      <c r="F2317" t="s">
        <v>69</v>
      </c>
      <c r="G2317">
        <v>0</v>
      </c>
      <c r="H2317">
        <v>2</v>
      </c>
      <c r="I2317">
        <v>4</v>
      </c>
      <c r="J2317">
        <v>3</v>
      </c>
      <c r="K2317">
        <v>4</v>
      </c>
      <c r="L2317">
        <v>8</v>
      </c>
      <c r="M2317">
        <v>6</v>
      </c>
      <c r="N2317">
        <v>1</v>
      </c>
      <c r="O2317">
        <v>3</v>
      </c>
      <c r="P2317">
        <v>3</v>
      </c>
      <c r="Q2317">
        <v>2</v>
      </c>
      <c r="R2317">
        <v>6</v>
      </c>
      <c r="S2317">
        <v>3</v>
      </c>
      <c r="T2317">
        <v>2</v>
      </c>
      <c r="U2317">
        <v>0</v>
      </c>
      <c r="V2317">
        <v>2</v>
      </c>
      <c r="W2317">
        <v>4</v>
      </c>
      <c r="X2317">
        <v>3</v>
      </c>
      <c r="Y2317">
        <v>3</v>
      </c>
      <c r="Z2317">
        <v>5</v>
      </c>
      <c r="AA2317">
        <v>4</v>
      </c>
      <c r="AB2317">
        <v>1</v>
      </c>
      <c r="AC2317">
        <v>3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72</v>
      </c>
      <c r="AM2317">
        <v>3.6666666666666665</v>
      </c>
      <c r="AN2317">
        <v>90.476354849843659</v>
      </c>
    </row>
    <row r="2318" spans="1:40" x14ac:dyDescent="0.3">
      <c r="A2318" t="s">
        <v>516</v>
      </c>
      <c r="B2318" t="s">
        <v>59</v>
      </c>
      <c r="C2318" t="s">
        <v>10</v>
      </c>
      <c r="D2318" t="s">
        <v>11</v>
      </c>
      <c r="E2318">
        <v>202602</v>
      </c>
      <c r="F2318" t="s">
        <v>70</v>
      </c>
      <c r="G2318">
        <v>0</v>
      </c>
      <c r="H2318">
        <v>3</v>
      </c>
      <c r="I2318">
        <v>1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2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11</v>
      </c>
      <c r="AM2318">
        <v>0.66666666666666663</v>
      </c>
      <c r="AN2318">
        <v>14.359337245426122</v>
      </c>
    </row>
    <row r="2319" spans="1:40" x14ac:dyDescent="0.3">
      <c r="A2319" t="s">
        <v>516</v>
      </c>
      <c r="B2319" t="s">
        <v>59</v>
      </c>
      <c r="C2319" t="s">
        <v>10</v>
      </c>
      <c r="D2319" t="s">
        <v>11</v>
      </c>
      <c r="E2319">
        <v>202602</v>
      </c>
      <c r="F2319" t="s">
        <v>72</v>
      </c>
      <c r="G2319">
        <v>0</v>
      </c>
      <c r="H2319">
        <v>2</v>
      </c>
      <c r="I2319">
        <v>0</v>
      </c>
      <c r="J2319">
        <v>0</v>
      </c>
      <c r="K2319">
        <v>2</v>
      </c>
      <c r="L2319">
        <v>0</v>
      </c>
      <c r="M2319">
        <v>0</v>
      </c>
      <c r="N2319">
        <v>0</v>
      </c>
      <c r="O2319">
        <v>2</v>
      </c>
      <c r="P2319">
        <v>1</v>
      </c>
      <c r="Q2319">
        <v>3</v>
      </c>
      <c r="R2319">
        <v>0</v>
      </c>
      <c r="S2319">
        <v>2</v>
      </c>
      <c r="T2319">
        <v>2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1</v>
      </c>
      <c r="AA2319">
        <v>0</v>
      </c>
      <c r="AB2319">
        <v>0</v>
      </c>
      <c r="AC2319">
        <v>4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20</v>
      </c>
      <c r="AM2319">
        <v>2</v>
      </c>
      <c r="AN2319">
        <v>30.078011736278363</v>
      </c>
    </row>
    <row r="2320" spans="1:40" x14ac:dyDescent="0.3">
      <c r="A2320" t="s">
        <v>516</v>
      </c>
      <c r="B2320" t="s">
        <v>59</v>
      </c>
      <c r="C2320" t="s">
        <v>10</v>
      </c>
      <c r="D2320" t="s">
        <v>11</v>
      </c>
      <c r="E2320">
        <v>202602</v>
      </c>
      <c r="F2320" t="s">
        <v>73</v>
      </c>
      <c r="G2320">
        <v>0</v>
      </c>
      <c r="H2320">
        <v>3</v>
      </c>
      <c r="I2320">
        <v>1</v>
      </c>
      <c r="J2320">
        <v>2</v>
      </c>
      <c r="K2320">
        <v>2</v>
      </c>
      <c r="L2320">
        <v>1</v>
      </c>
      <c r="M2320">
        <v>0</v>
      </c>
      <c r="N2320">
        <v>0</v>
      </c>
      <c r="O2320">
        <v>5</v>
      </c>
      <c r="P2320">
        <v>2</v>
      </c>
      <c r="Q2320">
        <v>0</v>
      </c>
      <c r="R2320">
        <v>3</v>
      </c>
      <c r="S2320">
        <v>2</v>
      </c>
      <c r="T2320">
        <v>0</v>
      </c>
      <c r="U2320">
        <v>0</v>
      </c>
      <c r="V2320">
        <v>3</v>
      </c>
      <c r="W2320">
        <v>0</v>
      </c>
      <c r="X2320">
        <v>0</v>
      </c>
      <c r="Y2320">
        <v>1</v>
      </c>
      <c r="Z2320">
        <v>1</v>
      </c>
      <c r="AA2320">
        <v>3</v>
      </c>
      <c r="AB2320">
        <v>3</v>
      </c>
      <c r="AC2320">
        <v>5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37</v>
      </c>
      <c r="AM2320">
        <v>2.3333333333333335</v>
      </c>
      <c r="AN2320">
        <v>48.757680358991422</v>
      </c>
    </row>
    <row r="2321" spans="1:40" x14ac:dyDescent="0.3">
      <c r="A2321" t="s">
        <v>516</v>
      </c>
      <c r="B2321" t="s">
        <v>59</v>
      </c>
      <c r="C2321" t="s">
        <v>10</v>
      </c>
      <c r="D2321" t="s">
        <v>11</v>
      </c>
      <c r="E2321">
        <v>202602</v>
      </c>
      <c r="F2321" t="s">
        <v>77</v>
      </c>
      <c r="G2321">
        <v>0</v>
      </c>
      <c r="H2321">
        <v>0</v>
      </c>
      <c r="I2321">
        <v>0</v>
      </c>
      <c r="J2321">
        <v>2</v>
      </c>
      <c r="K2321">
        <v>2</v>
      </c>
      <c r="L2321">
        <v>1</v>
      </c>
      <c r="M2321">
        <v>4</v>
      </c>
      <c r="N2321">
        <v>1</v>
      </c>
      <c r="O2321">
        <v>1</v>
      </c>
      <c r="P2321">
        <v>3</v>
      </c>
      <c r="Q2321">
        <v>0</v>
      </c>
      <c r="R2321">
        <v>1</v>
      </c>
      <c r="S2321">
        <v>2</v>
      </c>
      <c r="T2321">
        <v>4</v>
      </c>
      <c r="U2321">
        <v>0</v>
      </c>
      <c r="V2321">
        <v>3</v>
      </c>
      <c r="W2321">
        <v>0</v>
      </c>
      <c r="X2321">
        <v>2</v>
      </c>
      <c r="Y2321">
        <v>0</v>
      </c>
      <c r="Z2321">
        <v>2</v>
      </c>
      <c r="AA2321">
        <v>1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30</v>
      </c>
      <c r="AM2321">
        <v>1</v>
      </c>
      <c r="AN2321">
        <v>35.039005868139185</v>
      </c>
    </row>
    <row r="2322" spans="1:40" x14ac:dyDescent="0.3">
      <c r="A2322" t="s">
        <v>516</v>
      </c>
      <c r="B2322" t="s">
        <v>59</v>
      </c>
      <c r="C2322" t="s">
        <v>10</v>
      </c>
      <c r="D2322" t="s">
        <v>11</v>
      </c>
      <c r="E2322">
        <v>202602</v>
      </c>
      <c r="F2322" t="s">
        <v>552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0</v>
      </c>
      <c r="AN2322">
        <v>1</v>
      </c>
    </row>
    <row r="2323" spans="1:40" x14ac:dyDescent="0.3">
      <c r="A2323" t="s">
        <v>516</v>
      </c>
      <c r="B2323" t="s">
        <v>59</v>
      </c>
      <c r="C2323" t="s">
        <v>10</v>
      </c>
      <c r="D2323" t="s">
        <v>11</v>
      </c>
      <c r="E2323">
        <v>202602</v>
      </c>
      <c r="F2323" t="s">
        <v>551</v>
      </c>
      <c r="G2323">
        <v>0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2</v>
      </c>
      <c r="Q2323">
        <v>0</v>
      </c>
      <c r="R2323">
        <v>0</v>
      </c>
      <c r="S2323">
        <v>1</v>
      </c>
      <c r="T2323">
        <v>3</v>
      </c>
      <c r="U2323">
        <v>0</v>
      </c>
      <c r="V2323">
        <v>1</v>
      </c>
      <c r="W2323">
        <v>0</v>
      </c>
      <c r="X2323">
        <v>2</v>
      </c>
      <c r="Y2323">
        <v>0</v>
      </c>
      <c r="Z2323">
        <v>0</v>
      </c>
      <c r="AA2323">
        <v>0</v>
      </c>
      <c r="AB2323">
        <v>0</v>
      </c>
      <c r="AC2323">
        <v>2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14</v>
      </c>
      <c r="AM2323">
        <v>0.66666666666666663</v>
      </c>
      <c r="AN2323">
        <v>17.359337245426122</v>
      </c>
    </row>
    <row r="2324" spans="1:40" x14ac:dyDescent="0.3">
      <c r="A2324" t="s">
        <v>516</v>
      </c>
      <c r="B2324" t="s">
        <v>59</v>
      </c>
      <c r="C2324" t="s">
        <v>10</v>
      </c>
      <c r="D2324" t="s">
        <v>11</v>
      </c>
      <c r="E2324">
        <v>202602</v>
      </c>
      <c r="F2324" t="s">
        <v>553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</v>
      </c>
      <c r="AM2324">
        <v>0</v>
      </c>
      <c r="AN2324">
        <v>1</v>
      </c>
    </row>
    <row r="2325" spans="1:40" x14ac:dyDescent="0.3">
      <c r="A2325" t="s">
        <v>516</v>
      </c>
      <c r="B2325" t="s">
        <v>59</v>
      </c>
      <c r="C2325" t="s">
        <v>10</v>
      </c>
      <c r="D2325" t="s">
        <v>11</v>
      </c>
      <c r="E2325">
        <v>202602</v>
      </c>
      <c r="F2325" t="s">
        <v>78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</v>
      </c>
      <c r="AM2325">
        <v>0.33333333333333331</v>
      </c>
      <c r="AN2325">
        <v>2.6796686227130611</v>
      </c>
    </row>
    <row r="2326" spans="1:40" x14ac:dyDescent="0.3">
      <c r="A2326" t="s">
        <v>516</v>
      </c>
      <c r="B2326" t="s">
        <v>59</v>
      </c>
      <c r="C2326" t="s">
        <v>10</v>
      </c>
      <c r="D2326" t="s">
        <v>14</v>
      </c>
      <c r="E2326">
        <v>202602</v>
      </c>
      <c r="F2326" t="s">
        <v>60</v>
      </c>
      <c r="G2326">
        <v>0</v>
      </c>
      <c r="H2326">
        <v>2</v>
      </c>
      <c r="I2326">
        <v>11</v>
      </c>
      <c r="J2326">
        <v>10</v>
      </c>
      <c r="K2326">
        <v>12</v>
      </c>
      <c r="L2326">
        <v>4</v>
      </c>
      <c r="M2326">
        <v>0</v>
      </c>
      <c r="N2326">
        <v>0</v>
      </c>
      <c r="O2326">
        <v>8</v>
      </c>
      <c r="P2326">
        <v>7</v>
      </c>
      <c r="Q2326">
        <v>7</v>
      </c>
      <c r="R2326">
        <v>2</v>
      </c>
      <c r="S2326">
        <v>6</v>
      </c>
      <c r="T2326">
        <v>0</v>
      </c>
      <c r="U2326">
        <v>0</v>
      </c>
      <c r="V2326">
        <v>2</v>
      </c>
      <c r="W2326">
        <v>4</v>
      </c>
      <c r="X2326">
        <v>3</v>
      </c>
      <c r="Y2326">
        <v>3</v>
      </c>
      <c r="Z2326">
        <v>9</v>
      </c>
      <c r="AA2326">
        <v>0</v>
      </c>
      <c r="AB2326">
        <v>0</v>
      </c>
      <c r="AC2326">
        <v>5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95</v>
      </c>
      <c r="AM2326">
        <v>5.666666666666667</v>
      </c>
      <c r="AN2326">
        <v>119.38210427430425</v>
      </c>
    </row>
    <row r="2327" spans="1:40" x14ac:dyDescent="0.3">
      <c r="A2327" t="s">
        <v>516</v>
      </c>
      <c r="B2327" t="s">
        <v>59</v>
      </c>
      <c r="C2327" t="s">
        <v>10</v>
      </c>
      <c r="D2327" t="s">
        <v>14</v>
      </c>
      <c r="E2327">
        <v>202602</v>
      </c>
      <c r="F2327" t="s">
        <v>61</v>
      </c>
      <c r="G2327">
        <v>0</v>
      </c>
      <c r="H2327">
        <v>0</v>
      </c>
      <c r="I2327">
        <v>2</v>
      </c>
      <c r="J2327">
        <v>6</v>
      </c>
      <c r="K2327">
        <v>3</v>
      </c>
      <c r="L2327">
        <v>2</v>
      </c>
      <c r="M2327">
        <v>0</v>
      </c>
      <c r="N2327">
        <v>0</v>
      </c>
      <c r="O2327">
        <v>7</v>
      </c>
      <c r="P2327">
        <v>1</v>
      </c>
      <c r="Q2327">
        <v>4</v>
      </c>
      <c r="R2327">
        <v>7</v>
      </c>
      <c r="S2327">
        <v>3</v>
      </c>
      <c r="T2327">
        <v>0</v>
      </c>
      <c r="U2327">
        <v>0</v>
      </c>
      <c r="V2327">
        <v>0</v>
      </c>
      <c r="W2327">
        <v>0</v>
      </c>
      <c r="X2327">
        <v>3</v>
      </c>
      <c r="Y2327">
        <v>6</v>
      </c>
      <c r="Z2327">
        <v>4</v>
      </c>
      <c r="AA2327">
        <v>1</v>
      </c>
      <c r="AB2327">
        <v>0</v>
      </c>
      <c r="AC2327">
        <v>6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55</v>
      </c>
      <c r="AM2327">
        <v>5.333333333333333</v>
      </c>
      <c r="AN2327">
        <v>77.947862846404007</v>
      </c>
    </row>
    <row r="2328" spans="1:40" x14ac:dyDescent="0.3">
      <c r="A2328" t="s">
        <v>516</v>
      </c>
      <c r="B2328" t="s">
        <v>59</v>
      </c>
      <c r="C2328" t="s">
        <v>10</v>
      </c>
      <c r="D2328" t="s">
        <v>14</v>
      </c>
      <c r="E2328">
        <v>202602</v>
      </c>
      <c r="F2328" t="s">
        <v>63</v>
      </c>
      <c r="G2328">
        <v>0</v>
      </c>
      <c r="H2328">
        <v>5</v>
      </c>
      <c r="I2328">
        <v>9</v>
      </c>
      <c r="J2328">
        <v>4</v>
      </c>
      <c r="K2328">
        <v>8</v>
      </c>
      <c r="L2328">
        <v>4</v>
      </c>
      <c r="M2328">
        <v>0</v>
      </c>
      <c r="N2328">
        <v>0</v>
      </c>
      <c r="O2328">
        <v>5</v>
      </c>
      <c r="P2328">
        <v>8</v>
      </c>
      <c r="Q2328">
        <v>6</v>
      </c>
      <c r="R2328">
        <v>7</v>
      </c>
      <c r="S2328">
        <v>9</v>
      </c>
      <c r="T2328">
        <v>0</v>
      </c>
      <c r="U2328">
        <v>0</v>
      </c>
      <c r="V2328">
        <v>3</v>
      </c>
      <c r="W2328">
        <v>0</v>
      </c>
      <c r="X2328">
        <v>8</v>
      </c>
      <c r="Y2328">
        <v>9</v>
      </c>
      <c r="Z2328">
        <v>2</v>
      </c>
      <c r="AA2328">
        <v>0</v>
      </c>
      <c r="AB2328">
        <v>0</v>
      </c>
      <c r="AC2328">
        <v>7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94</v>
      </c>
      <c r="AM2328">
        <v>6</v>
      </c>
      <c r="AN2328">
        <v>119.8163457022045</v>
      </c>
    </row>
    <row r="2329" spans="1:40" x14ac:dyDescent="0.3">
      <c r="A2329" t="s">
        <v>516</v>
      </c>
      <c r="B2329" t="s">
        <v>59</v>
      </c>
      <c r="C2329" t="s">
        <v>10</v>
      </c>
      <c r="D2329" t="s">
        <v>14</v>
      </c>
      <c r="E2329">
        <v>202602</v>
      </c>
      <c r="F2329" t="s">
        <v>75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2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5</v>
      </c>
      <c r="AM2329">
        <v>0.66666666666666663</v>
      </c>
      <c r="AN2329">
        <v>7.8684828558005</v>
      </c>
    </row>
    <row r="2330" spans="1:40" x14ac:dyDescent="0.3">
      <c r="A2330" t="s">
        <v>516</v>
      </c>
      <c r="B2330" t="s">
        <v>59</v>
      </c>
      <c r="C2330" t="s">
        <v>10</v>
      </c>
      <c r="D2330" t="s">
        <v>14</v>
      </c>
      <c r="E2330">
        <v>202602</v>
      </c>
      <c r="F2330" t="s">
        <v>206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2</v>
      </c>
      <c r="AM2330">
        <v>0</v>
      </c>
      <c r="AN2330">
        <v>2</v>
      </c>
    </row>
    <row r="2331" spans="1:40" x14ac:dyDescent="0.3">
      <c r="A2331" t="s">
        <v>516</v>
      </c>
      <c r="B2331" t="s">
        <v>59</v>
      </c>
      <c r="C2331" t="s">
        <v>10</v>
      </c>
      <c r="D2331" t="s">
        <v>14</v>
      </c>
      <c r="E2331">
        <v>202602</v>
      </c>
      <c r="F2331" t="s">
        <v>76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2</v>
      </c>
      <c r="AM2331">
        <v>0.33333333333333331</v>
      </c>
      <c r="AN2331">
        <v>3.43424142790025</v>
      </c>
    </row>
    <row r="2332" spans="1:40" x14ac:dyDescent="0.3">
      <c r="A2332" t="s">
        <v>516</v>
      </c>
      <c r="B2332" t="s">
        <v>59</v>
      </c>
      <c r="C2332" t="s">
        <v>10</v>
      </c>
      <c r="D2332" t="s">
        <v>14</v>
      </c>
      <c r="E2332">
        <v>202602</v>
      </c>
      <c r="F2332" t="s">
        <v>207</v>
      </c>
      <c r="G2332">
        <v>0</v>
      </c>
      <c r="H2332">
        <v>2</v>
      </c>
      <c r="I2332">
        <v>2</v>
      </c>
      <c r="J2332">
        <v>0</v>
      </c>
      <c r="K2332">
        <v>3</v>
      </c>
      <c r="L2332">
        <v>0</v>
      </c>
      <c r="M2332">
        <v>0</v>
      </c>
      <c r="N2332">
        <v>0</v>
      </c>
      <c r="O2332">
        <v>0</v>
      </c>
      <c r="P2332">
        <v>2</v>
      </c>
      <c r="Q2332">
        <v>0</v>
      </c>
      <c r="R2332">
        <v>1</v>
      </c>
      <c r="S2332">
        <v>2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4</v>
      </c>
      <c r="Z2332">
        <v>5</v>
      </c>
      <c r="AA2332">
        <v>0</v>
      </c>
      <c r="AB2332">
        <v>0</v>
      </c>
      <c r="AC2332">
        <v>2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23</v>
      </c>
      <c r="AM2332">
        <v>3.6666666666666665</v>
      </c>
      <c r="AN2332">
        <v>38.776655706902751</v>
      </c>
    </row>
    <row r="2333" spans="1:40" x14ac:dyDescent="0.3">
      <c r="A2333" t="s">
        <v>516</v>
      </c>
      <c r="B2333" t="s">
        <v>59</v>
      </c>
      <c r="C2333" t="s">
        <v>10</v>
      </c>
      <c r="D2333" t="s">
        <v>14</v>
      </c>
      <c r="E2333">
        <v>202602</v>
      </c>
      <c r="F2333" t="s">
        <v>259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1</v>
      </c>
      <c r="AM2333">
        <v>0.33333333333333331</v>
      </c>
      <c r="AN2333">
        <v>2.43424142790025</v>
      </c>
    </row>
    <row r="2334" spans="1:40" x14ac:dyDescent="0.3">
      <c r="A2334" t="s">
        <v>516</v>
      </c>
      <c r="B2334" t="s">
        <v>59</v>
      </c>
      <c r="C2334" t="s">
        <v>10</v>
      </c>
      <c r="D2334" t="s">
        <v>14</v>
      </c>
      <c r="E2334">
        <v>202602</v>
      </c>
      <c r="F2334" t="s">
        <v>64</v>
      </c>
      <c r="G2334">
        <v>0</v>
      </c>
      <c r="H2334">
        <v>6</v>
      </c>
      <c r="I2334">
        <v>4</v>
      </c>
      <c r="J2334">
        <v>6</v>
      </c>
      <c r="K2334">
        <v>4</v>
      </c>
      <c r="L2334">
        <v>5</v>
      </c>
      <c r="M2334">
        <v>0</v>
      </c>
      <c r="N2334">
        <v>0</v>
      </c>
      <c r="O2334">
        <v>11</v>
      </c>
      <c r="P2334">
        <v>5</v>
      </c>
      <c r="Q2334">
        <v>4</v>
      </c>
      <c r="R2334">
        <v>7</v>
      </c>
      <c r="S2334">
        <v>6</v>
      </c>
      <c r="T2334">
        <v>0</v>
      </c>
      <c r="U2334">
        <v>0</v>
      </c>
      <c r="V2334">
        <v>0</v>
      </c>
      <c r="W2334">
        <v>0</v>
      </c>
      <c r="X2334">
        <v>3</v>
      </c>
      <c r="Y2334">
        <v>5</v>
      </c>
      <c r="Z2334">
        <v>5</v>
      </c>
      <c r="AA2334">
        <v>0</v>
      </c>
      <c r="AB2334">
        <v>0</v>
      </c>
      <c r="AC2334">
        <v>2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73</v>
      </c>
      <c r="AM2334">
        <v>4</v>
      </c>
      <c r="AN2334">
        <v>90.210897134803005</v>
      </c>
    </row>
    <row r="2335" spans="1:40" x14ac:dyDescent="0.3">
      <c r="A2335" t="s">
        <v>516</v>
      </c>
      <c r="B2335" t="s">
        <v>59</v>
      </c>
      <c r="C2335" t="s">
        <v>10</v>
      </c>
      <c r="D2335" t="s">
        <v>14</v>
      </c>
      <c r="E2335">
        <v>202602</v>
      </c>
      <c r="F2335" t="s">
        <v>467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0.33333333333333331</v>
      </c>
      <c r="AN2335">
        <v>2.43424142790025</v>
      </c>
    </row>
    <row r="2336" spans="1:40" x14ac:dyDescent="0.3">
      <c r="A2336" t="s">
        <v>516</v>
      </c>
      <c r="B2336" t="s">
        <v>59</v>
      </c>
      <c r="C2336" t="s">
        <v>10</v>
      </c>
      <c r="D2336" t="s">
        <v>14</v>
      </c>
      <c r="E2336">
        <v>202602</v>
      </c>
      <c r="F2336" t="s">
        <v>65</v>
      </c>
      <c r="G2336">
        <v>0</v>
      </c>
      <c r="H2336">
        <v>3</v>
      </c>
      <c r="I2336">
        <v>0</v>
      </c>
      <c r="J2336">
        <v>3</v>
      </c>
      <c r="K2336">
        <v>0</v>
      </c>
      <c r="L2336">
        <v>3</v>
      </c>
      <c r="M2336">
        <v>0</v>
      </c>
      <c r="N2336">
        <v>0</v>
      </c>
      <c r="O2336">
        <v>1</v>
      </c>
      <c r="P2336">
        <v>0</v>
      </c>
      <c r="Q2336">
        <v>2</v>
      </c>
      <c r="R2336">
        <v>2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3</v>
      </c>
      <c r="Z2336">
        <v>2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21</v>
      </c>
      <c r="AM2336">
        <v>2</v>
      </c>
      <c r="AN2336">
        <v>29.605448567401503</v>
      </c>
    </row>
    <row r="2337" spans="1:40" x14ac:dyDescent="0.3">
      <c r="A2337" t="s">
        <v>516</v>
      </c>
      <c r="B2337" t="s">
        <v>59</v>
      </c>
      <c r="C2337" t="s">
        <v>10</v>
      </c>
      <c r="D2337" t="s">
        <v>14</v>
      </c>
      <c r="E2337">
        <v>202602</v>
      </c>
      <c r="F2337" t="s">
        <v>66</v>
      </c>
      <c r="G2337">
        <v>0</v>
      </c>
      <c r="H2337">
        <v>3</v>
      </c>
      <c r="I2337">
        <v>3</v>
      </c>
      <c r="J2337">
        <v>3</v>
      </c>
      <c r="K2337">
        <v>0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2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  <c r="Z2337">
        <v>11</v>
      </c>
      <c r="AA2337">
        <v>0</v>
      </c>
      <c r="AB2337">
        <v>0</v>
      </c>
      <c r="AC2337">
        <v>9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34</v>
      </c>
      <c r="AM2337">
        <v>7</v>
      </c>
      <c r="AN2337">
        <v>64.119069985905256</v>
      </c>
    </row>
    <row r="2338" spans="1:40" x14ac:dyDescent="0.3">
      <c r="A2338" t="s">
        <v>516</v>
      </c>
      <c r="B2338" t="s">
        <v>59</v>
      </c>
      <c r="C2338" t="s">
        <v>10</v>
      </c>
      <c r="D2338" t="s">
        <v>14</v>
      </c>
      <c r="E2338">
        <v>202602</v>
      </c>
      <c r="F2338" t="s">
        <v>68</v>
      </c>
      <c r="G2338">
        <v>0</v>
      </c>
      <c r="H2338">
        <v>4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2</v>
      </c>
      <c r="P2338">
        <v>2</v>
      </c>
      <c r="Q2338">
        <v>0</v>
      </c>
      <c r="R2338">
        <v>2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3</v>
      </c>
      <c r="Z2338">
        <v>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15</v>
      </c>
      <c r="AM2338">
        <v>1.3333333333333333</v>
      </c>
      <c r="AN2338">
        <v>20.736965711601002</v>
      </c>
    </row>
    <row r="2339" spans="1:40" x14ac:dyDescent="0.3">
      <c r="A2339" t="s">
        <v>516</v>
      </c>
      <c r="B2339" t="s">
        <v>59</v>
      </c>
      <c r="C2339" t="s">
        <v>10</v>
      </c>
      <c r="D2339" t="s">
        <v>14</v>
      </c>
      <c r="E2339">
        <v>202602</v>
      </c>
      <c r="F2339" t="s">
        <v>303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</v>
      </c>
      <c r="AM2339">
        <v>0.33333333333333331</v>
      </c>
      <c r="AN2339">
        <v>2.43424142790025</v>
      </c>
    </row>
    <row r="2340" spans="1:40" x14ac:dyDescent="0.3">
      <c r="A2340" t="s">
        <v>516</v>
      </c>
      <c r="B2340" t="s">
        <v>59</v>
      </c>
      <c r="C2340" t="s">
        <v>10</v>
      </c>
      <c r="D2340" t="s">
        <v>14</v>
      </c>
      <c r="E2340">
        <v>202602</v>
      </c>
      <c r="F2340" t="s">
        <v>694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1</v>
      </c>
      <c r="S2340">
        <v>2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2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6</v>
      </c>
      <c r="AM2340">
        <v>0.66666666666666663</v>
      </c>
      <c r="AN2340">
        <v>8.8684828558005009</v>
      </c>
    </row>
    <row r="2341" spans="1:40" x14ac:dyDescent="0.3">
      <c r="A2341" t="s">
        <v>516</v>
      </c>
      <c r="B2341" t="s">
        <v>59</v>
      </c>
      <c r="C2341" t="s">
        <v>10</v>
      </c>
      <c r="D2341" t="s">
        <v>14</v>
      </c>
      <c r="E2341">
        <v>202602</v>
      </c>
      <c r="F2341" t="s">
        <v>304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0</v>
      </c>
      <c r="AN2341">
        <v>1</v>
      </c>
    </row>
    <row r="2342" spans="1:40" x14ac:dyDescent="0.3">
      <c r="A2342" t="s">
        <v>516</v>
      </c>
      <c r="B2342" t="s">
        <v>59</v>
      </c>
      <c r="C2342" t="s">
        <v>10</v>
      </c>
      <c r="D2342" t="s">
        <v>14</v>
      </c>
      <c r="E2342">
        <v>202602</v>
      </c>
      <c r="F2342" t="s">
        <v>260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2</v>
      </c>
      <c r="AM2342">
        <v>0</v>
      </c>
      <c r="AN2342">
        <v>2</v>
      </c>
    </row>
    <row r="2343" spans="1:40" x14ac:dyDescent="0.3">
      <c r="A2343" t="s">
        <v>516</v>
      </c>
      <c r="B2343" t="s">
        <v>59</v>
      </c>
      <c r="C2343" t="s">
        <v>10</v>
      </c>
      <c r="D2343" t="s">
        <v>14</v>
      </c>
      <c r="E2343">
        <v>202602</v>
      </c>
      <c r="F2343" t="s">
        <v>69</v>
      </c>
      <c r="G2343">
        <v>0</v>
      </c>
      <c r="H2343">
        <v>11</v>
      </c>
      <c r="I2343">
        <v>7</v>
      </c>
      <c r="J2343">
        <v>10</v>
      </c>
      <c r="K2343">
        <v>5</v>
      </c>
      <c r="L2343">
        <v>3</v>
      </c>
      <c r="M2343">
        <v>0</v>
      </c>
      <c r="N2343">
        <v>0</v>
      </c>
      <c r="O2343">
        <v>10</v>
      </c>
      <c r="P2343">
        <v>6</v>
      </c>
      <c r="Q2343">
        <v>4</v>
      </c>
      <c r="R2343">
        <v>9</v>
      </c>
      <c r="S2343">
        <v>7</v>
      </c>
      <c r="T2343">
        <v>0</v>
      </c>
      <c r="U2343">
        <v>0</v>
      </c>
      <c r="V2343">
        <v>3</v>
      </c>
      <c r="W2343">
        <v>0</v>
      </c>
      <c r="X2343">
        <v>6</v>
      </c>
      <c r="Y2343">
        <v>4</v>
      </c>
      <c r="Z2343">
        <v>6</v>
      </c>
      <c r="AA2343">
        <v>3</v>
      </c>
      <c r="AB2343">
        <v>0</v>
      </c>
      <c r="AC2343">
        <v>5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99</v>
      </c>
      <c r="AM2343">
        <v>5</v>
      </c>
      <c r="AN2343">
        <v>120.51362141850375</v>
      </c>
    </row>
    <row r="2344" spans="1:40" x14ac:dyDescent="0.3">
      <c r="A2344" t="s">
        <v>516</v>
      </c>
      <c r="B2344" t="s">
        <v>59</v>
      </c>
      <c r="C2344" t="s">
        <v>10</v>
      </c>
      <c r="D2344" t="s">
        <v>14</v>
      </c>
      <c r="E2344">
        <v>202602</v>
      </c>
      <c r="F2344" t="s">
        <v>70</v>
      </c>
      <c r="G2344">
        <v>0</v>
      </c>
      <c r="H2344">
        <v>1</v>
      </c>
      <c r="I2344">
        <v>1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1</v>
      </c>
      <c r="P2344">
        <v>2</v>
      </c>
      <c r="Q2344">
        <v>0</v>
      </c>
      <c r="R2344">
        <v>1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10</v>
      </c>
      <c r="AM2344">
        <v>0.66666666666666663</v>
      </c>
      <c r="AN2344">
        <v>12.868482855800501</v>
      </c>
    </row>
    <row r="2345" spans="1:40" x14ac:dyDescent="0.3">
      <c r="A2345" t="s">
        <v>516</v>
      </c>
      <c r="B2345" t="s">
        <v>59</v>
      </c>
      <c r="C2345" t="s">
        <v>10</v>
      </c>
      <c r="D2345" t="s">
        <v>14</v>
      </c>
      <c r="E2345">
        <v>202602</v>
      </c>
      <c r="F2345" t="s">
        <v>72</v>
      </c>
      <c r="G2345">
        <v>0</v>
      </c>
      <c r="H2345">
        <v>0</v>
      </c>
      <c r="I2345">
        <v>2</v>
      </c>
      <c r="J2345">
        <v>1</v>
      </c>
      <c r="K2345">
        <v>1</v>
      </c>
      <c r="L2345">
        <v>2</v>
      </c>
      <c r="M2345">
        <v>0</v>
      </c>
      <c r="N2345">
        <v>0</v>
      </c>
      <c r="O2345">
        <v>0</v>
      </c>
      <c r="P2345">
        <v>2</v>
      </c>
      <c r="Q2345">
        <v>1</v>
      </c>
      <c r="R2345">
        <v>1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3</v>
      </c>
      <c r="Y2345">
        <v>4</v>
      </c>
      <c r="Z2345">
        <v>3</v>
      </c>
      <c r="AA2345">
        <v>0</v>
      </c>
      <c r="AB2345">
        <v>0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22</v>
      </c>
      <c r="AM2345">
        <v>2.6666666666666665</v>
      </c>
      <c r="AN2345">
        <v>33.473931423202004</v>
      </c>
    </row>
    <row r="2346" spans="1:40" x14ac:dyDescent="0.3">
      <c r="A2346" t="s">
        <v>516</v>
      </c>
      <c r="B2346" t="s">
        <v>59</v>
      </c>
      <c r="C2346" t="s">
        <v>10</v>
      </c>
      <c r="D2346" t="s">
        <v>14</v>
      </c>
      <c r="E2346">
        <v>202602</v>
      </c>
      <c r="F2346" t="s">
        <v>73</v>
      </c>
      <c r="G2346">
        <v>0</v>
      </c>
      <c r="H2346">
        <v>5</v>
      </c>
      <c r="I2346">
        <v>0</v>
      </c>
      <c r="J2346">
        <v>3</v>
      </c>
      <c r="K2346">
        <v>4</v>
      </c>
      <c r="L2346">
        <v>3</v>
      </c>
      <c r="M2346">
        <v>0</v>
      </c>
      <c r="N2346">
        <v>0</v>
      </c>
      <c r="O2346">
        <v>0</v>
      </c>
      <c r="P2346">
        <v>4</v>
      </c>
      <c r="Q2346">
        <v>1</v>
      </c>
      <c r="R2346">
        <v>4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2</v>
      </c>
      <c r="Y2346">
        <v>4</v>
      </c>
      <c r="Z2346">
        <v>9</v>
      </c>
      <c r="AA2346">
        <v>2</v>
      </c>
      <c r="AB2346">
        <v>0</v>
      </c>
      <c r="AC2346">
        <v>3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45</v>
      </c>
      <c r="AM2346">
        <v>5.333333333333333</v>
      </c>
      <c r="AN2346">
        <v>67.947862846404007</v>
      </c>
    </row>
    <row r="2347" spans="1:40" x14ac:dyDescent="0.3">
      <c r="A2347" t="s">
        <v>516</v>
      </c>
      <c r="B2347" t="s">
        <v>59</v>
      </c>
      <c r="C2347" t="s">
        <v>10</v>
      </c>
      <c r="D2347" t="s">
        <v>14</v>
      </c>
      <c r="E2347">
        <v>202602</v>
      </c>
      <c r="F2347" t="s">
        <v>77</v>
      </c>
      <c r="G2347">
        <v>0</v>
      </c>
      <c r="H2347">
        <v>4</v>
      </c>
      <c r="I2347">
        <v>1</v>
      </c>
      <c r="J2347">
        <v>7</v>
      </c>
      <c r="K2347">
        <v>4</v>
      </c>
      <c r="L2347">
        <v>3</v>
      </c>
      <c r="M2347">
        <v>0</v>
      </c>
      <c r="N2347">
        <v>0</v>
      </c>
      <c r="O2347">
        <v>4</v>
      </c>
      <c r="P2347">
        <v>1</v>
      </c>
      <c r="Q2347">
        <v>4</v>
      </c>
      <c r="R2347">
        <v>5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3</v>
      </c>
      <c r="Y2347">
        <v>2</v>
      </c>
      <c r="Z2347">
        <v>1</v>
      </c>
      <c r="AA2347">
        <v>0</v>
      </c>
      <c r="AB2347">
        <v>0</v>
      </c>
      <c r="AC2347">
        <v>2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42</v>
      </c>
      <c r="AM2347">
        <v>1.6666666666666667</v>
      </c>
      <c r="AN2347">
        <v>49.171207139501249</v>
      </c>
    </row>
    <row r="2348" spans="1:40" x14ac:dyDescent="0.3">
      <c r="A2348" t="s">
        <v>516</v>
      </c>
      <c r="B2348" t="s">
        <v>59</v>
      </c>
      <c r="C2348" t="s">
        <v>10</v>
      </c>
      <c r="D2348" t="s">
        <v>14</v>
      </c>
      <c r="E2348">
        <v>202602</v>
      </c>
      <c r="F2348" t="s">
        <v>552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2</v>
      </c>
      <c r="AM2348">
        <v>0</v>
      </c>
      <c r="AN2348">
        <v>2</v>
      </c>
    </row>
    <row r="2349" spans="1:40" x14ac:dyDescent="0.3">
      <c r="A2349" t="s">
        <v>516</v>
      </c>
      <c r="B2349" t="s">
        <v>59</v>
      </c>
      <c r="C2349" t="s">
        <v>10</v>
      </c>
      <c r="D2349" t="s">
        <v>14</v>
      </c>
      <c r="E2349">
        <v>202602</v>
      </c>
      <c r="F2349" t="s">
        <v>551</v>
      </c>
      <c r="G2349">
        <v>0</v>
      </c>
      <c r="H2349">
        <v>3</v>
      </c>
      <c r="I2349">
        <v>4</v>
      </c>
      <c r="J2349">
        <v>3</v>
      </c>
      <c r="K2349">
        <v>1</v>
      </c>
      <c r="L2349">
        <v>0</v>
      </c>
      <c r="M2349">
        <v>0</v>
      </c>
      <c r="N2349">
        <v>0</v>
      </c>
      <c r="O2349">
        <v>1</v>
      </c>
      <c r="P2349">
        <v>2</v>
      </c>
      <c r="Q2349">
        <v>3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3</v>
      </c>
      <c r="AA2349">
        <v>0</v>
      </c>
      <c r="AB2349">
        <v>0</v>
      </c>
      <c r="AC2349">
        <v>1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23</v>
      </c>
      <c r="AM2349">
        <v>1.3333333333333333</v>
      </c>
      <c r="AN2349">
        <v>28.736965711601002</v>
      </c>
    </row>
    <row r="2350" spans="1:40" x14ac:dyDescent="0.3">
      <c r="A2350" t="s">
        <v>516</v>
      </c>
      <c r="B2350" t="s">
        <v>59</v>
      </c>
      <c r="C2350" t="s">
        <v>10</v>
      </c>
      <c r="D2350" t="s">
        <v>14</v>
      </c>
      <c r="E2350">
        <v>202602</v>
      </c>
      <c r="F2350" t="s">
        <v>553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1</v>
      </c>
      <c r="AM2350">
        <v>0</v>
      </c>
      <c r="AN2350">
        <v>1</v>
      </c>
    </row>
    <row r="2351" spans="1:40" x14ac:dyDescent="0.3">
      <c r="A2351" t="s">
        <v>516</v>
      </c>
      <c r="B2351" t="s">
        <v>59</v>
      </c>
      <c r="C2351" t="s">
        <v>10</v>
      </c>
      <c r="D2351" t="s">
        <v>14</v>
      </c>
      <c r="E2351">
        <v>202602</v>
      </c>
      <c r="F2351" t="s">
        <v>78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3</v>
      </c>
      <c r="AM2351">
        <v>0</v>
      </c>
      <c r="AN2351">
        <v>3</v>
      </c>
    </row>
    <row r="2352" spans="1:40" x14ac:dyDescent="0.3">
      <c r="A2352" t="s">
        <v>516</v>
      </c>
      <c r="B2352" t="s">
        <v>81</v>
      </c>
      <c r="C2352" t="s">
        <v>10</v>
      </c>
      <c r="D2352" t="s">
        <v>11</v>
      </c>
      <c r="E2352">
        <v>202602</v>
      </c>
      <c r="F2352" t="s">
        <v>554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3</v>
      </c>
      <c r="P2352">
        <v>0</v>
      </c>
      <c r="Q2352">
        <v>1</v>
      </c>
      <c r="R2352">
        <v>1</v>
      </c>
      <c r="S2352">
        <v>1</v>
      </c>
      <c r="T2352">
        <v>0</v>
      </c>
      <c r="U2352">
        <v>0</v>
      </c>
      <c r="V2352">
        <v>3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11</v>
      </c>
      <c r="AM2352">
        <v>0</v>
      </c>
      <c r="AN2352">
        <v>11</v>
      </c>
    </row>
    <row r="2353" spans="1:40" x14ac:dyDescent="0.3">
      <c r="A2353" t="s">
        <v>516</v>
      </c>
      <c r="B2353" t="s">
        <v>81</v>
      </c>
      <c r="C2353" t="s">
        <v>10</v>
      </c>
      <c r="D2353" t="s">
        <v>11</v>
      </c>
      <c r="E2353">
        <v>202602</v>
      </c>
      <c r="F2353" t="s">
        <v>83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1</v>
      </c>
      <c r="AM2353">
        <v>0</v>
      </c>
      <c r="AN2353">
        <v>1</v>
      </c>
    </row>
    <row r="2354" spans="1:40" x14ac:dyDescent="0.3">
      <c r="A2354" t="s">
        <v>516</v>
      </c>
      <c r="B2354" t="s">
        <v>81</v>
      </c>
      <c r="C2354" t="s">
        <v>10</v>
      </c>
      <c r="D2354" t="s">
        <v>11</v>
      </c>
      <c r="E2354">
        <v>202602</v>
      </c>
      <c r="F2354" t="s">
        <v>84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2</v>
      </c>
      <c r="AM2354">
        <v>0.33333333333333331</v>
      </c>
      <c r="AN2354">
        <v>3.6796686227130611</v>
      </c>
    </row>
    <row r="2355" spans="1:40" x14ac:dyDescent="0.3">
      <c r="A2355" t="s">
        <v>516</v>
      </c>
      <c r="B2355" t="s">
        <v>81</v>
      </c>
      <c r="C2355" t="s">
        <v>10</v>
      </c>
      <c r="D2355" t="s">
        <v>11</v>
      </c>
      <c r="E2355">
        <v>202602</v>
      </c>
      <c r="F2355" t="s">
        <v>555</v>
      </c>
      <c r="G2355">
        <v>0</v>
      </c>
      <c r="H2355">
        <v>0</v>
      </c>
      <c r="I2355">
        <v>2</v>
      </c>
      <c r="J2355">
        <v>0</v>
      </c>
      <c r="K2355">
        <v>0</v>
      </c>
      <c r="L2355">
        <v>1</v>
      </c>
      <c r="M2355">
        <v>1</v>
      </c>
      <c r="N2355">
        <v>0</v>
      </c>
      <c r="O2355">
        <v>3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</v>
      </c>
      <c r="V2355">
        <v>1</v>
      </c>
      <c r="W2355">
        <v>0</v>
      </c>
      <c r="X2355">
        <v>0</v>
      </c>
      <c r="Y2355">
        <v>1</v>
      </c>
      <c r="Z2355">
        <v>1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16</v>
      </c>
      <c r="AM2355">
        <v>1</v>
      </c>
      <c r="AN2355">
        <v>21.039005868139181</v>
      </c>
    </row>
    <row r="2356" spans="1:40" x14ac:dyDescent="0.3">
      <c r="A2356" t="s">
        <v>516</v>
      </c>
      <c r="B2356" t="s">
        <v>81</v>
      </c>
      <c r="C2356" t="s">
        <v>10</v>
      </c>
      <c r="D2356" t="s">
        <v>11</v>
      </c>
      <c r="E2356">
        <v>202602</v>
      </c>
      <c r="F2356" t="s">
        <v>86</v>
      </c>
      <c r="G2356">
        <v>0</v>
      </c>
      <c r="H2356">
        <v>1</v>
      </c>
      <c r="I2356">
        <v>3</v>
      </c>
      <c r="J2356">
        <v>2</v>
      </c>
      <c r="K2356">
        <v>3</v>
      </c>
      <c r="L2356">
        <v>2</v>
      </c>
      <c r="M2356">
        <v>2</v>
      </c>
      <c r="N2356">
        <v>2</v>
      </c>
      <c r="O2356">
        <v>3</v>
      </c>
      <c r="P2356">
        <v>1</v>
      </c>
      <c r="Q2356">
        <v>2</v>
      </c>
      <c r="R2356">
        <v>4</v>
      </c>
      <c r="S2356">
        <v>3</v>
      </c>
      <c r="T2356">
        <v>6</v>
      </c>
      <c r="U2356">
        <v>0</v>
      </c>
      <c r="V2356">
        <v>2</v>
      </c>
      <c r="W2356">
        <v>0</v>
      </c>
      <c r="X2356">
        <v>3</v>
      </c>
      <c r="Y2356">
        <v>6</v>
      </c>
      <c r="Z2356">
        <v>3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49</v>
      </c>
      <c r="AM2356">
        <v>3.3333333333333335</v>
      </c>
      <c r="AN2356">
        <v>65.796686227130607</v>
      </c>
    </row>
    <row r="2357" spans="1:40" x14ac:dyDescent="0.3">
      <c r="A2357" t="s">
        <v>516</v>
      </c>
      <c r="B2357" t="s">
        <v>81</v>
      </c>
      <c r="C2357" t="s">
        <v>10</v>
      </c>
      <c r="D2357" t="s">
        <v>11</v>
      </c>
      <c r="E2357">
        <v>202602</v>
      </c>
      <c r="F2357" t="s">
        <v>556</v>
      </c>
      <c r="G2357">
        <v>0</v>
      </c>
      <c r="H2357">
        <v>1</v>
      </c>
      <c r="I2357">
        <v>1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2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8</v>
      </c>
      <c r="AM2357">
        <v>0</v>
      </c>
      <c r="AN2357">
        <v>8</v>
      </c>
    </row>
    <row r="2358" spans="1:40" x14ac:dyDescent="0.3">
      <c r="A2358" t="s">
        <v>516</v>
      </c>
      <c r="B2358" t="s">
        <v>81</v>
      </c>
      <c r="C2358" t="s">
        <v>10</v>
      </c>
      <c r="D2358" t="s">
        <v>11</v>
      </c>
      <c r="E2358">
        <v>202602</v>
      </c>
      <c r="F2358" t="s">
        <v>557</v>
      </c>
      <c r="G2358">
        <v>0</v>
      </c>
      <c r="H2358">
        <v>0</v>
      </c>
      <c r="I2358">
        <v>2</v>
      </c>
      <c r="J2358">
        <v>1</v>
      </c>
      <c r="K2358">
        <v>0</v>
      </c>
      <c r="L2358">
        <v>4</v>
      </c>
      <c r="M2358">
        <v>1</v>
      </c>
      <c r="N2358">
        <v>0</v>
      </c>
      <c r="O2358">
        <v>0</v>
      </c>
      <c r="P2358">
        <v>4</v>
      </c>
      <c r="Q2358">
        <v>1</v>
      </c>
      <c r="R2358">
        <v>0</v>
      </c>
      <c r="S2358">
        <v>0</v>
      </c>
      <c r="T2358">
        <v>2</v>
      </c>
      <c r="U2358">
        <v>0</v>
      </c>
      <c r="V2358">
        <v>0</v>
      </c>
      <c r="W2358">
        <v>1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17</v>
      </c>
      <c r="AM2358">
        <v>0.33333333333333331</v>
      </c>
      <c r="AN2358">
        <v>18.679668622713059</v>
      </c>
    </row>
    <row r="2359" spans="1:40" x14ac:dyDescent="0.3">
      <c r="A2359" t="s">
        <v>516</v>
      </c>
      <c r="B2359" t="s">
        <v>81</v>
      </c>
      <c r="C2359" t="s">
        <v>10</v>
      </c>
      <c r="D2359" t="s">
        <v>11</v>
      </c>
      <c r="E2359">
        <v>202602</v>
      </c>
      <c r="F2359" t="s">
        <v>558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4</v>
      </c>
      <c r="AM2359">
        <v>0</v>
      </c>
      <c r="AN2359">
        <v>4</v>
      </c>
    </row>
    <row r="2360" spans="1:40" x14ac:dyDescent="0.3">
      <c r="A2360" t="s">
        <v>516</v>
      </c>
      <c r="B2360" t="s">
        <v>81</v>
      </c>
      <c r="C2360" t="s">
        <v>10</v>
      </c>
      <c r="D2360" t="s">
        <v>11</v>
      </c>
      <c r="E2360">
        <v>202602</v>
      </c>
      <c r="F2360" t="s">
        <v>559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2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4</v>
      </c>
      <c r="AM2360">
        <v>0</v>
      </c>
      <c r="AN2360">
        <v>4</v>
      </c>
    </row>
    <row r="2361" spans="1:40" x14ac:dyDescent="0.3">
      <c r="A2361" t="s">
        <v>516</v>
      </c>
      <c r="B2361" t="s">
        <v>81</v>
      </c>
      <c r="C2361" t="s">
        <v>10</v>
      </c>
      <c r="D2361" t="s">
        <v>11</v>
      </c>
      <c r="E2361">
        <v>202602</v>
      </c>
      <c r="F2361" t="s">
        <v>560</v>
      </c>
      <c r="G2361">
        <v>0</v>
      </c>
      <c r="H2361">
        <v>0</v>
      </c>
      <c r="I2361">
        <v>0</v>
      </c>
      <c r="J2361">
        <v>3</v>
      </c>
      <c r="K2361">
        <v>2</v>
      </c>
      <c r="L2361">
        <v>7</v>
      </c>
      <c r="M2361">
        <v>2</v>
      </c>
      <c r="N2361">
        <v>1</v>
      </c>
      <c r="O2361">
        <v>4</v>
      </c>
      <c r="P2361">
        <v>0</v>
      </c>
      <c r="Q2361">
        <v>0</v>
      </c>
      <c r="R2361">
        <v>2</v>
      </c>
      <c r="S2361">
        <v>4</v>
      </c>
      <c r="T2361">
        <v>2</v>
      </c>
      <c r="U2361">
        <v>0</v>
      </c>
      <c r="V2361">
        <v>0</v>
      </c>
      <c r="W2361">
        <v>0</v>
      </c>
      <c r="X2361">
        <v>0</v>
      </c>
      <c r="Y2361">
        <v>6</v>
      </c>
      <c r="Z2361">
        <v>2</v>
      </c>
      <c r="AA2361">
        <v>0</v>
      </c>
      <c r="AB2361">
        <v>0</v>
      </c>
      <c r="AC2361">
        <v>2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37</v>
      </c>
      <c r="AM2361">
        <v>3.3333333333333335</v>
      </c>
      <c r="AN2361">
        <v>53.796686227130607</v>
      </c>
    </row>
    <row r="2362" spans="1:40" x14ac:dyDescent="0.3">
      <c r="A2362" t="s">
        <v>516</v>
      </c>
      <c r="B2362" t="s">
        <v>81</v>
      </c>
      <c r="C2362" t="s">
        <v>10</v>
      </c>
      <c r="D2362" t="s">
        <v>14</v>
      </c>
      <c r="E2362">
        <v>202602</v>
      </c>
      <c r="F2362" t="s">
        <v>554</v>
      </c>
      <c r="G2362">
        <v>0</v>
      </c>
      <c r="H2362">
        <v>1</v>
      </c>
      <c r="I2362">
        <v>1</v>
      </c>
      <c r="J2362">
        <v>1</v>
      </c>
      <c r="K2362">
        <v>2</v>
      </c>
      <c r="L2362">
        <v>0</v>
      </c>
      <c r="M2362">
        <v>0</v>
      </c>
      <c r="N2362">
        <v>0</v>
      </c>
      <c r="O2362">
        <v>1</v>
      </c>
      <c r="P2362">
        <v>1</v>
      </c>
      <c r="Q2362">
        <v>1</v>
      </c>
      <c r="R2362">
        <v>4</v>
      </c>
      <c r="S2362">
        <v>0</v>
      </c>
      <c r="T2362">
        <v>0</v>
      </c>
      <c r="U2362">
        <v>0</v>
      </c>
      <c r="V2362">
        <v>1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2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16</v>
      </c>
      <c r="AM2362">
        <v>1</v>
      </c>
      <c r="AN2362">
        <v>20.302724283700751</v>
      </c>
    </row>
    <row r="2363" spans="1:40" x14ac:dyDescent="0.3">
      <c r="A2363" t="s">
        <v>516</v>
      </c>
      <c r="B2363" t="s">
        <v>81</v>
      </c>
      <c r="C2363" t="s">
        <v>10</v>
      </c>
      <c r="D2363" t="s">
        <v>14</v>
      </c>
      <c r="E2363">
        <v>202602</v>
      </c>
      <c r="F2363" t="s">
        <v>83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2</v>
      </c>
      <c r="AM2363">
        <v>0</v>
      </c>
      <c r="AN2363">
        <v>2</v>
      </c>
    </row>
    <row r="2364" spans="1:40" x14ac:dyDescent="0.3">
      <c r="A2364" t="s">
        <v>516</v>
      </c>
      <c r="B2364" t="s">
        <v>81</v>
      </c>
      <c r="C2364" t="s">
        <v>10</v>
      </c>
      <c r="D2364" t="s">
        <v>14</v>
      </c>
      <c r="E2364">
        <v>202602</v>
      </c>
      <c r="F2364" t="s">
        <v>84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2</v>
      </c>
      <c r="AM2364">
        <v>0</v>
      </c>
      <c r="AN2364">
        <v>2</v>
      </c>
    </row>
    <row r="2365" spans="1:40" x14ac:dyDescent="0.3">
      <c r="A2365" t="s">
        <v>516</v>
      </c>
      <c r="B2365" t="s">
        <v>81</v>
      </c>
      <c r="C2365" t="s">
        <v>10</v>
      </c>
      <c r="D2365" t="s">
        <v>14</v>
      </c>
      <c r="E2365">
        <v>202602</v>
      </c>
      <c r="F2365" t="s">
        <v>555</v>
      </c>
      <c r="G2365">
        <v>0</v>
      </c>
      <c r="H2365">
        <v>3</v>
      </c>
      <c r="I2365">
        <v>5</v>
      </c>
      <c r="J2365">
        <v>2</v>
      </c>
      <c r="K2365">
        <v>2</v>
      </c>
      <c r="L2365">
        <v>0</v>
      </c>
      <c r="M2365">
        <v>2</v>
      </c>
      <c r="N2365">
        <v>0</v>
      </c>
      <c r="O2365">
        <v>1</v>
      </c>
      <c r="P2365">
        <v>2</v>
      </c>
      <c r="Q2365">
        <v>1</v>
      </c>
      <c r="R2365">
        <v>3</v>
      </c>
      <c r="S2365">
        <v>0</v>
      </c>
      <c r="T2365">
        <v>0</v>
      </c>
      <c r="U2365">
        <v>0</v>
      </c>
      <c r="V2365">
        <v>2</v>
      </c>
      <c r="W2365">
        <v>0</v>
      </c>
      <c r="X2365">
        <v>0</v>
      </c>
      <c r="Y2365">
        <v>0</v>
      </c>
      <c r="Z2365">
        <v>3</v>
      </c>
      <c r="AA2365">
        <v>2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28</v>
      </c>
      <c r="AM2365">
        <v>1</v>
      </c>
      <c r="AN2365">
        <v>32.302724283700748</v>
      </c>
    </row>
    <row r="2366" spans="1:40" x14ac:dyDescent="0.3">
      <c r="A2366" t="s">
        <v>516</v>
      </c>
      <c r="B2366" t="s">
        <v>81</v>
      </c>
      <c r="C2366" t="s">
        <v>10</v>
      </c>
      <c r="D2366" t="s">
        <v>14</v>
      </c>
      <c r="E2366">
        <v>202602</v>
      </c>
      <c r="F2366" t="s">
        <v>86</v>
      </c>
      <c r="G2366">
        <v>0</v>
      </c>
      <c r="H2366">
        <v>5</v>
      </c>
      <c r="I2366">
        <v>5</v>
      </c>
      <c r="J2366">
        <v>4</v>
      </c>
      <c r="K2366">
        <v>1</v>
      </c>
      <c r="L2366">
        <v>4</v>
      </c>
      <c r="M2366">
        <v>1</v>
      </c>
      <c r="N2366">
        <v>0</v>
      </c>
      <c r="O2366">
        <v>4</v>
      </c>
      <c r="P2366">
        <v>5</v>
      </c>
      <c r="Q2366">
        <v>2</v>
      </c>
      <c r="R2366">
        <v>6</v>
      </c>
      <c r="S2366">
        <v>4</v>
      </c>
      <c r="T2366">
        <v>0</v>
      </c>
      <c r="U2366">
        <v>0</v>
      </c>
      <c r="V2366">
        <v>7</v>
      </c>
      <c r="W2366">
        <v>0</v>
      </c>
      <c r="X2366">
        <v>3</v>
      </c>
      <c r="Y2366">
        <v>1</v>
      </c>
      <c r="Z2366">
        <v>3</v>
      </c>
      <c r="AA2366">
        <v>0</v>
      </c>
      <c r="AB2366">
        <v>0</v>
      </c>
      <c r="AC2366">
        <v>3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58</v>
      </c>
      <c r="AM2366">
        <v>2.3333333333333335</v>
      </c>
      <c r="AN2366">
        <v>68.039689995301757</v>
      </c>
    </row>
    <row r="2367" spans="1:40" x14ac:dyDescent="0.3">
      <c r="A2367" t="s">
        <v>516</v>
      </c>
      <c r="B2367" t="s">
        <v>81</v>
      </c>
      <c r="C2367" t="s">
        <v>10</v>
      </c>
      <c r="D2367" t="s">
        <v>14</v>
      </c>
      <c r="E2367">
        <v>202602</v>
      </c>
      <c r="F2367" t="s">
        <v>556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2</v>
      </c>
      <c r="P2367">
        <v>1</v>
      </c>
      <c r="Q2367">
        <v>2</v>
      </c>
      <c r="R2367">
        <v>0</v>
      </c>
      <c r="S2367">
        <v>0</v>
      </c>
      <c r="T2367">
        <v>0</v>
      </c>
      <c r="U2367">
        <v>0</v>
      </c>
      <c r="V2367">
        <v>2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4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13</v>
      </c>
      <c r="AM2367">
        <v>1.3333333333333333</v>
      </c>
      <c r="AN2367">
        <v>18.736965711601002</v>
      </c>
    </row>
    <row r="2368" spans="1:40" x14ac:dyDescent="0.3">
      <c r="A2368" t="s">
        <v>516</v>
      </c>
      <c r="B2368" t="s">
        <v>81</v>
      </c>
      <c r="C2368" t="s">
        <v>10</v>
      </c>
      <c r="D2368" t="s">
        <v>14</v>
      </c>
      <c r="E2368">
        <v>202602</v>
      </c>
      <c r="F2368" t="s">
        <v>557</v>
      </c>
      <c r="G2368">
        <v>0</v>
      </c>
      <c r="H2368">
        <v>2</v>
      </c>
      <c r="I2368">
        <v>4</v>
      </c>
      <c r="J2368">
        <v>4</v>
      </c>
      <c r="K2368">
        <v>3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2</v>
      </c>
      <c r="R2368">
        <v>0</v>
      </c>
      <c r="S2368">
        <v>2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19</v>
      </c>
      <c r="AM2368">
        <v>0</v>
      </c>
      <c r="AN2368">
        <v>19</v>
      </c>
    </row>
    <row r="2369" spans="1:40" x14ac:dyDescent="0.3">
      <c r="A2369" t="s">
        <v>516</v>
      </c>
      <c r="B2369" t="s">
        <v>81</v>
      </c>
      <c r="C2369" t="s">
        <v>10</v>
      </c>
      <c r="D2369" t="s">
        <v>14</v>
      </c>
      <c r="E2369">
        <v>202602</v>
      </c>
      <c r="F2369" t="s">
        <v>558</v>
      </c>
      <c r="G2369">
        <v>0</v>
      </c>
      <c r="H2369">
        <v>0</v>
      </c>
      <c r="I2369">
        <v>0</v>
      </c>
      <c r="J2369">
        <v>1</v>
      </c>
      <c r="K2369">
        <v>1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2</v>
      </c>
      <c r="Z2369">
        <v>1</v>
      </c>
      <c r="AA2369">
        <v>0</v>
      </c>
      <c r="AB2369">
        <v>0</v>
      </c>
      <c r="AC2369">
        <v>1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7</v>
      </c>
      <c r="AM2369">
        <v>1.3333333333333333</v>
      </c>
      <c r="AN2369">
        <v>12.736965711601</v>
      </c>
    </row>
    <row r="2370" spans="1:40" x14ac:dyDescent="0.3">
      <c r="A2370" t="s">
        <v>516</v>
      </c>
      <c r="B2370" t="s">
        <v>81</v>
      </c>
      <c r="C2370" t="s">
        <v>10</v>
      </c>
      <c r="D2370" t="s">
        <v>14</v>
      </c>
      <c r="E2370">
        <v>202602</v>
      </c>
      <c r="F2370" t="s">
        <v>559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3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5</v>
      </c>
      <c r="AM2370">
        <v>0.33333333333333331</v>
      </c>
      <c r="AN2370">
        <v>6.4342414279002504</v>
      </c>
    </row>
    <row r="2371" spans="1:40" x14ac:dyDescent="0.3">
      <c r="A2371" t="s">
        <v>516</v>
      </c>
      <c r="B2371" t="s">
        <v>81</v>
      </c>
      <c r="C2371" t="s">
        <v>10</v>
      </c>
      <c r="D2371" t="s">
        <v>14</v>
      </c>
      <c r="E2371">
        <v>202602</v>
      </c>
      <c r="F2371" t="s">
        <v>560</v>
      </c>
      <c r="G2371">
        <v>0</v>
      </c>
      <c r="H2371">
        <v>6</v>
      </c>
      <c r="I2371">
        <v>7</v>
      </c>
      <c r="J2371">
        <v>7</v>
      </c>
      <c r="K2371">
        <v>4</v>
      </c>
      <c r="L2371">
        <v>3</v>
      </c>
      <c r="M2371">
        <v>0</v>
      </c>
      <c r="N2371">
        <v>0</v>
      </c>
      <c r="O2371">
        <v>1</v>
      </c>
      <c r="P2371">
        <v>4</v>
      </c>
      <c r="Q2371">
        <v>3</v>
      </c>
      <c r="R2371">
        <v>2</v>
      </c>
      <c r="S2371">
        <v>3</v>
      </c>
      <c r="T2371">
        <v>0</v>
      </c>
      <c r="U2371">
        <v>0</v>
      </c>
      <c r="V2371">
        <v>4</v>
      </c>
      <c r="W2371">
        <v>0</v>
      </c>
      <c r="X2371">
        <v>1</v>
      </c>
      <c r="Y2371">
        <v>2</v>
      </c>
      <c r="Z2371">
        <v>0</v>
      </c>
      <c r="AA2371">
        <v>3</v>
      </c>
      <c r="AB2371">
        <v>0</v>
      </c>
      <c r="AC2371">
        <v>5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55</v>
      </c>
      <c r="AM2371">
        <v>2.3333333333333335</v>
      </c>
      <c r="AN2371">
        <v>65.039689995301757</v>
      </c>
    </row>
    <row r="2372" spans="1:40" x14ac:dyDescent="0.3">
      <c r="A2372" t="s">
        <v>516</v>
      </c>
      <c r="B2372" t="s">
        <v>81</v>
      </c>
      <c r="C2372" t="s">
        <v>16</v>
      </c>
      <c r="D2372" t="s">
        <v>11</v>
      </c>
      <c r="E2372">
        <v>202602</v>
      </c>
      <c r="F2372" t="s">
        <v>50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1</v>
      </c>
      <c r="AM2372">
        <v>0</v>
      </c>
      <c r="AN2372">
        <v>1</v>
      </c>
    </row>
    <row r="2373" spans="1:40" x14ac:dyDescent="0.3">
      <c r="A2373" t="s">
        <v>516</v>
      </c>
      <c r="B2373" t="s">
        <v>81</v>
      </c>
      <c r="C2373" t="s">
        <v>16</v>
      </c>
      <c r="D2373" t="s">
        <v>11</v>
      </c>
      <c r="E2373">
        <v>202602</v>
      </c>
      <c r="F2373" t="s">
        <v>555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1</v>
      </c>
      <c r="AM2373">
        <v>0.33333333333333331</v>
      </c>
      <c r="AN2373">
        <v>2.6796686227130611</v>
      </c>
    </row>
    <row r="2374" spans="1:40" x14ac:dyDescent="0.3">
      <c r="A2374" t="s">
        <v>516</v>
      </c>
      <c r="B2374" t="s">
        <v>81</v>
      </c>
      <c r="C2374" t="s">
        <v>16</v>
      </c>
      <c r="D2374" t="s">
        <v>11</v>
      </c>
      <c r="E2374">
        <v>202602</v>
      </c>
      <c r="F2374" t="s">
        <v>556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1</v>
      </c>
      <c r="AM2374">
        <v>0</v>
      </c>
      <c r="AN2374">
        <v>1</v>
      </c>
    </row>
    <row r="2375" spans="1:40" x14ac:dyDescent="0.3">
      <c r="A2375" t="s">
        <v>516</v>
      </c>
      <c r="B2375" t="s">
        <v>81</v>
      </c>
      <c r="C2375" t="s">
        <v>16</v>
      </c>
      <c r="D2375" t="s">
        <v>14</v>
      </c>
      <c r="E2375">
        <v>202602</v>
      </c>
      <c r="F2375" t="s">
        <v>50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0</v>
      </c>
      <c r="AN2375">
        <v>1</v>
      </c>
    </row>
    <row r="2376" spans="1:40" x14ac:dyDescent="0.3">
      <c r="A2376" t="s">
        <v>516</v>
      </c>
      <c r="B2376" t="s">
        <v>81</v>
      </c>
      <c r="C2376" t="s">
        <v>16</v>
      </c>
      <c r="D2376" t="s">
        <v>14</v>
      </c>
      <c r="E2376">
        <v>202602</v>
      </c>
      <c r="F2376" t="s">
        <v>555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2</v>
      </c>
      <c r="AM2376">
        <v>0.33333333333333331</v>
      </c>
      <c r="AN2376">
        <v>3.43424142790025</v>
      </c>
    </row>
    <row r="2377" spans="1:40" x14ac:dyDescent="0.3">
      <c r="A2377" t="s">
        <v>516</v>
      </c>
      <c r="B2377" t="s">
        <v>81</v>
      </c>
      <c r="C2377" t="s">
        <v>16</v>
      </c>
      <c r="D2377" t="s">
        <v>14</v>
      </c>
      <c r="E2377">
        <v>202602</v>
      </c>
      <c r="F2377" t="s">
        <v>556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0.33333333333333331</v>
      </c>
      <c r="AN2377">
        <v>2.43424142790025</v>
      </c>
    </row>
    <row r="2378" spans="1:40" x14ac:dyDescent="0.3">
      <c r="A2378" t="s">
        <v>516</v>
      </c>
      <c r="B2378" t="s">
        <v>81</v>
      </c>
      <c r="C2378" t="s">
        <v>16</v>
      </c>
      <c r="D2378" t="s">
        <v>14</v>
      </c>
      <c r="E2378">
        <v>202602</v>
      </c>
      <c r="F2378" t="s">
        <v>557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1</v>
      </c>
      <c r="AM2378">
        <v>0</v>
      </c>
      <c r="AN2378">
        <v>1</v>
      </c>
    </row>
    <row r="2379" spans="1:40" x14ac:dyDescent="0.3">
      <c r="A2379" t="s">
        <v>516</v>
      </c>
      <c r="B2379" t="s">
        <v>100</v>
      </c>
      <c r="C2379" t="s">
        <v>10</v>
      </c>
      <c r="D2379" t="s">
        <v>11</v>
      </c>
      <c r="E2379">
        <v>202602</v>
      </c>
      <c r="F2379" t="s">
        <v>42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1</v>
      </c>
      <c r="AM2379">
        <v>0</v>
      </c>
      <c r="AN2379">
        <v>1</v>
      </c>
    </row>
    <row r="2380" spans="1:40" x14ac:dyDescent="0.3">
      <c r="A2380" t="s">
        <v>516</v>
      </c>
      <c r="B2380" t="s">
        <v>100</v>
      </c>
      <c r="C2380" t="s">
        <v>10</v>
      </c>
      <c r="D2380" t="s">
        <v>11</v>
      </c>
      <c r="E2380">
        <v>202602</v>
      </c>
      <c r="F2380" t="s">
        <v>101</v>
      </c>
      <c r="G2380">
        <v>0</v>
      </c>
      <c r="H2380">
        <v>8</v>
      </c>
      <c r="I2380">
        <v>12</v>
      </c>
      <c r="J2380">
        <v>8</v>
      </c>
      <c r="K2380">
        <v>12</v>
      </c>
      <c r="L2380">
        <v>14</v>
      </c>
      <c r="M2380">
        <v>6</v>
      </c>
      <c r="N2380">
        <v>1</v>
      </c>
      <c r="O2380">
        <v>11</v>
      </c>
      <c r="P2380">
        <v>19</v>
      </c>
      <c r="Q2380">
        <v>11</v>
      </c>
      <c r="R2380">
        <v>10</v>
      </c>
      <c r="S2380">
        <v>10</v>
      </c>
      <c r="T2380">
        <v>14</v>
      </c>
      <c r="U2380">
        <v>0</v>
      </c>
      <c r="V2380">
        <v>13</v>
      </c>
      <c r="W2380">
        <v>4</v>
      </c>
      <c r="X2380">
        <v>11</v>
      </c>
      <c r="Y2380">
        <v>9</v>
      </c>
      <c r="Z2380">
        <v>13</v>
      </c>
      <c r="AA2380">
        <v>6</v>
      </c>
      <c r="AB2380">
        <v>6</v>
      </c>
      <c r="AC2380">
        <v>17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215</v>
      </c>
      <c r="AM2380">
        <v>13</v>
      </c>
      <c r="AN2380">
        <v>280.50707628580938</v>
      </c>
    </row>
    <row r="2381" spans="1:40" x14ac:dyDescent="0.3">
      <c r="A2381" t="s">
        <v>516</v>
      </c>
      <c r="B2381" t="s">
        <v>100</v>
      </c>
      <c r="C2381" t="s">
        <v>10</v>
      </c>
      <c r="D2381" t="s">
        <v>14</v>
      </c>
      <c r="E2381">
        <v>202602</v>
      </c>
      <c r="F2381" t="s">
        <v>101</v>
      </c>
      <c r="G2381">
        <v>0</v>
      </c>
      <c r="H2381">
        <v>14</v>
      </c>
      <c r="I2381">
        <v>23</v>
      </c>
      <c r="J2381">
        <v>19</v>
      </c>
      <c r="K2381">
        <v>21</v>
      </c>
      <c r="L2381">
        <v>27</v>
      </c>
      <c r="M2381">
        <v>7</v>
      </c>
      <c r="N2381">
        <v>0</v>
      </c>
      <c r="O2381">
        <v>19</v>
      </c>
      <c r="P2381">
        <v>26</v>
      </c>
      <c r="Q2381">
        <v>24</v>
      </c>
      <c r="R2381">
        <v>26</v>
      </c>
      <c r="S2381">
        <v>14</v>
      </c>
      <c r="T2381">
        <v>7</v>
      </c>
      <c r="U2381">
        <v>0</v>
      </c>
      <c r="V2381">
        <v>0</v>
      </c>
      <c r="W2381">
        <v>0</v>
      </c>
      <c r="X2381">
        <v>20</v>
      </c>
      <c r="Y2381">
        <v>18</v>
      </c>
      <c r="Z2381">
        <v>28</v>
      </c>
      <c r="AA2381">
        <v>19</v>
      </c>
      <c r="AB2381">
        <v>0</v>
      </c>
      <c r="AC2381">
        <v>32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344</v>
      </c>
      <c r="AM2381">
        <v>26</v>
      </c>
      <c r="AN2381">
        <v>455.87083137621948</v>
      </c>
    </row>
    <row r="2382" spans="1:40" x14ac:dyDescent="0.3">
      <c r="A2382" t="s">
        <v>516</v>
      </c>
      <c r="B2382" t="s">
        <v>100</v>
      </c>
      <c r="C2382" t="s">
        <v>16</v>
      </c>
      <c r="D2382" t="s">
        <v>11</v>
      </c>
      <c r="E2382">
        <v>202602</v>
      </c>
      <c r="F2382" t="s">
        <v>102</v>
      </c>
      <c r="G2382">
        <v>0</v>
      </c>
      <c r="H2382">
        <v>0</v>
      </c>
      <c r="I2382">
        <v>0</v>
      </c>
      <c r="J2382">
        <v>0</v>
      </c>
      <c r="K2382">
        <v>2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5</v>
      </c>
      <c r="AM2382">
        <v>0</v>
      </c>
      <c r="AN2382">
        <v>5</v>
      </c>
    </row>
    <row r="2383" spans="1:40" x14ac:dyDescent="0.3">
      <c r="A2383" t="s">
        <v>516</v>
      </c>
      <c r="B2383" t="s">
        <v>100</v>
      </c>
      <c r="C2383" t="s">
        <v>16</v>
      </c>
      <c r="D2383" t="s">
        <v>11</v>
      </c>
      <c r="E2383">
        <v>202602</v>
      </c>
      <c r="F2383" t="s">
        <v>101</v>
      </c>
      <c r="G2383">
        <v>0</v>
      </c>
      <c r="H2383">
        <v>2</v>
      </c>
      <c r="I2383">
        <v>1</v>
      </c>
      <c r="J2383">
        <v>0</v>
      </c>
      <c r="K2383">
        <v>0</v>
      </c>
      <c r="L2383">
        <v>1</v>
      </c>
      <c r="M2383">
        <v>1</v>
      </c>
      <c r="N2383">
        <v>0</v>
      </c>
      <c r="O2383">
        <v>1</v>
      </c>
      <c r="P2383">
        <v>2</v>
      </c>
      <c r="Q2383">
        <v>3</v>
      </c>
      <c r="R2383">
        <v>2</v>
      </c>
      <c r="S2383">
        <v>2</v>
      </c>
      <c r="T2383">
        <v>0</v>
      </c>
      <c r="U2383">
        <v>0</v>
      </c>
      <c r="V2383">
        <v>1</v>
      </c>
      <c r="W2383">
        <v>1</v>
      </c>
      <c r="X2383">
        <v>2</v>
      </c>
      <c r="Y2383">
        <v>1</v>
      </c>
      <c r="Z2383">
        <v>3</v>
      </c>
      <c r="AA2383">
        <v>1</v>
      </c>
      <c r="AB2383">
        <v>0</v>
      </c>
      <c r="AC2383">
        <v>3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27</v>
      </c>
      <c r="AM2383">
        <v>2.3333333333333335</v>
      </c>
      <c r="AN2383">
        <v>38.757680358991422</v>
      </c>
    </row>
    <row r="2384" spans="1:40" x14ac:dyDescent="0.3">
      <c r="A2384" t="s">
        <v>516</v>
      </c>
      <c r="B2384" t="s">
        <v>100</v>
      </c>
      <c r="C2384" t="s">
        <v>16</v>
      </c>
      <c r="D2384" t="s">
        <v>14</v>
      </c>
      <c r="E2384">
        <v>202602</v>
      </c>
      <c r="F2384" t="s">
        <v>102</v>
      </c>
      <c r="G2384">
        <v>0</v>
      </c>
      <c r="H2384">
        <v>1</v>
      </c>
      <c r="I2384">
        <v>0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5</v>
      </c>
      <c r="AM2384">
        <v>0</v>
      </c>
      <c r="AN2384">
        <v>5</v>
      </c>
    </row>
    <row r="2385" spans="1:40" x14ac:dyDescent="0.3">
      <c r="A2385" t="s">
        <v>516</v>
      </c>
      <c r="B2385" t="s">
        <v>100</v>
      </c>
      <c r="C2385" t="s">
        <v>16</v>
      </c>
      <c r="D2385" t="s">
        <v>14</v>
      </c>
      <c r="E2385">
        <v>202602</v>
      </c>
      <c r="F2385" t="s">
        <v>101</v>
      </c>
      <c r="G2385">
        <v>0</v>
      </c>
      <c r="H2385">
        <v>0</v>
      </c>
      <c r="I2385">
        <v>1</v>
      </c>
      <c r="J2385">
        <v>2</v>
      </c>
      <c r="K2385">
        <v>2</v>
      </c>
      <c r="L2385">
        <v>0</v>
      </c>
      <c r="M2385">
        <v>2</v>
      </c>
      <c r="N2385">
        <v>0</v>
      </c>
      <c r="O2385">
        <v>4</v>
      </c>
      <c r="P2385">
        <v>2</v>
      </c>
      <c r="Q2385">
        <v>0</v>
      </c>
      <c r="R2385">
        <v>2</v>
      </c>
      <c r="S2385">
        <v>3</v>
      </c>
      <c r="T2385">
        <v>0</v>
      </c>
      <c r="U2385">
        <v>0</v>
      </c>
      <c r="V2385">
        <v>0</v>
      </c>
      <c r="W2385">
        <v>0</v>
      </c>
      <c r="X2385">
        <v>2</v>
      </c>
      <c r="Y2385">
        <v>5</v>
      </c>
      <c r="Z2385">
        <v>2</v>
      </c>
      <c r="AA2385">
        <v>2</v>
      </c>
      <c r="AB2385">
        <v>0</v>
      </c>
      <c r="AC2385">
        <v>1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30</v>
      </c>
      <c r="AM2385">
        <v>2.6666666666666665</v>
      </c>
      <c r="AN2385">
        <v>41.473931423202004</v>
      </c>
    </row>
    <row r="2386" spans="1:40" x14ac:dyDescent="0.3">
      <c r="A2386" t="s">
        <v>516</v>
      </c>
      <c r="B2386" t="s">
        <v>643</v>
      </c>
      <c r="C2386" t="s">
        <v>10</v>
      </c>
      <c r="D2386" t="s">
        <v>11</v>
      </c>
      <c r="E2386">
        <v>202602</v>
      </c>
      <c r="F2386" t="s">
        <v>56</v>
      </c>
      <c r="G2386">
        <v>0</v>
      </c>
      <c r="H2386">
        <v>1</v>
      </c>
      <c r="I2386">
        <v>0</v>
      </c>
      <c r="J2386">
        <v>0</v>
      </c>
      <c r="K2386">
        <v>1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4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7</v>
      </c>
      <c r="AM2386">
        <v>0</v>
      </c>
      <c r="AN2386">
        <v>7</v>
      </c>
    </row>
    <row r="2387" spans="1:40" x14ac:dyDescent="0.3">
      <c r="A2387" t="s">
        <v>516</v>
      </c>
      <c r="B2387" t="s">
        <v>643</v>
      </c>
      <c r="C2387" t="s">
        <v>10</v>
      </c>
      <c r="D2387" t="s">
        <v>11</v>
      </c>
      <c r="E2387">
        <v>202602</v>
      </c>
      <c r="F2387" t="s">
        <v>110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3</v>
      </c>
      <c r="AM2387">
        <v>0</v>
      </c>
      <c r="AN2387">
        <v>3</v>
      </c>
    </row>
    <row r="2388" spans="1:40" x14ac:dyDescent="0.3">
      <c r="A2388" t="s">
        <v>516</v>
      </c>
      <c r="B2388" t="s">
        <v>643</v>
      </c>
      <c r="C2388" t="s">
        <v>10</v>
      </c>
      <c r="D2388" t="s">
        <v>11</v>
      </c>
      <c r="E2388">
        <v>202602</v>
      </c>
      <c r="F2388" t="s">
        <v>111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3</v>
      </c>
      <c r="AM2388">
        <v>0</v>
      </c>
      <c r="AN2388">
        <v>3</v>
      </c>
    </row>
    <row r="2389" spans="1:40" x14ac:dyDescent="0.3">
      <c r="A2389" t="s">
        <v>516</v>
      </c>
      <c r="B2389" t="s">
        <v>643</v>
      </c>
      <c r="C2389" t="s">
        <v>10</v>
      </c>
      <c r="D2389" t="s">
        <v>11</v>
      </c>
      <c r="E2389">
        <v>202602</v>
      </c>
      <c r="F2389" t="s">
        <v>61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1</v>
      </c>
      <c r="P2389">
        <v>0</v>
      </c>
      <c r="Q2389">
        <v>0</v>
      </c>
      <c r="R2389">
        <v>1</v>
      </c>
      <c r="S2389">
        <v>2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1</v>
      </c>
      <c r="Z2389">
        <v>2</v>
      </c>
      <c r="AA2389">
        <v>0</v>
      </c>
      <c r="AB2389">
        <v>0</v>
      </c>
      <c r="AC2389">
        <v>1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12</v>
      </c>
      <c r="AM2389">
        <v>1.3333333333333333</v>
      </c>
      <c r="AN2389">
        <v>18.718674490852244</v>
      </c>
    </row>
    <row r="2390" spans="1:40" x14ac:dyDescent="0.3">
      <c r="A2390" t="s">
        <v>516</v>
      </c>
      <c r="B2390" t="s">
        <v>643</v>
      </c>
      <c r="C2390" t="s">
        <v>10</v>
      </c>
      <c r="D2390" t="s">
        <v>11</v>
      </c>
      <c r="E2390">
        <v>202602</v>
      </c>
      <c r="F2390" t="s">
        <v>112</v>
      </c>
      <c r="G2390">
        <v>0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1</v>
      </c>
      <c r="N2390">
        <v>0</v>
      </c>
      <c r="O2390">
        <v>2</v>
      </c>
      <c r="P2390">
        <v>3</v>
      </c>
      <c r="Q2390">
        <v>2</v>
      </c>
      <c r="R2390">
        <v>0</v>
      </c>
      <c r="S2390">
        <v>2</v>
      </c>
      <c r="T2390">
        <v>0</v>
      </c>
      <c r="U2390">
        <v>0</v>
      </c>
      <c r="V2390">
        <v>3</v>
      </c>
      <c r="W2390">
        <v>0</v>
      </c>
      <c r="X2390">
        <v>1</v>
      </c>
      <c r="Y2390">
        <v>1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18</v>
      </c>
      <c r="AM2390">
        <v>0.33333333333333331</v>
      </c>
      <c r="AN2390">
        <v>19.679668622713059</v>
      </c>
    </row>
    <row r="2391" spans="1:40" x14ac:dyDescent="0.3">
      <c r="A2391" t="s">
        <v>516</v>
      </c>
      <c r="B2391" t="s">
        <v>643</v>
      </c>
      <c r="C2391" t="s">
        <v>10</v>
      </c>
      <c r="D2391" t="s">
        <v>11</v>
      </c>
      <c r="E2391">
        <v>202602</v>
      </c>
      <c r="F2391" t="s">
        <v>365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3</v>
      </c>
      <c r="AM2391">
        <v>0</v>
      </c>
      <c r="AN2391">
        <v>3</v>
      </c>
    </row>
    <row r="2392" spans="1:40" x14ac:dyDescent="0.3">
      <c r="A2392" t="s">
        <v>516</v>
      </c>
      <c r="B2392" t="s">
        <v>643</v>
      </c>
      <c r="C2392" t="s">
        <v>10</v>
      </c>
      <c r="D2392" t="s">
        <v>11</v>
      </c>
      <c r="E2392">
        <v>202602</v>
      </c>
      <c r="F2392" t="s">
        <v>278</v>
      </c>
      <c r="G2392">
        <v>0</v>
      </c>
      <c r="H2392">
        <v>1</v>
      </c>
      <c r="I2392">
        <v>0</v>
      </c>
      <c r="J2392">
        <v>0</v>
      </c>
      <c r="K2392">
        <v>1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4</v>
      </c>
      <c r="AM2392">
        <v>0.33333333333333331</v>
      </c>
      <c r="AN2392">
        <v>5.6796686227130611</v>
      </c>
    </row>
    <row r="2393" spans="1:40" x14ac:dyDescent="0.3">
      <c r="A2393" t="s">
        <v>516</v>
      </c>
      <c r="B2393" t="s">
        <v>643</v>
      </c>
      <c r="C2393" t="s">
        <v>10</v>
      </c>
      <c r="D2393" t="s">
        <v>11</v>
      </c>
      <c r="E2393">
        <v>202602</v>
      </c>
      <c r="F2393" t="s">
        <v>114</v>
      </c>
      <c r="G2393">
        <v>0</v>
      </c>
      <c r="H2393">
        <v>3</v>
      </c>
      <c r="I2393">
        <v>3</v>
      </c>
      <c r="J2393">
        <v>4</v>
      </c>
      <c r="K2393">
        <v>2</v>
      </c>
      <c r="L2393">
        <v>1</v>
      </c>
      <c r="M2393">
        <v>0</v>
      </c>
      <c r="N2393">
        <v>0</v>
      </c>
      <c r="O2393">
        <v>4</v>
      </c>
      <c r="P2393">
        <v>5</v>
      </c>
      <c r="Q2393">
        <v>3</v>
      </c>
      <c r="R2393">
        <v>2</v>
      </c>
      <c r="S2393">
        <v>6</v>
      </c>
      <c r="T2393">
        <v>4</v>
      </c>
      <c r="U2393">
        <v>0</v>
      </c>
      <c r="V2393">
        <v>4</v>
      </c>
      <c r="W2393">
        <v>3</v>
      </c>
      <c r="X2393">
        <v>2</v>
      </c>
      <c r="Y2393">
        <v>1</v>
      </c>
      <c r="Z2393">
        <v>3</v>
      </c>
      <c r="AA2393">
        <v>1</v>
      </c>
      <c r="AB2393">
        <v>3</v>
      </c>
      <c r="AC2393">
        <v>2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56</v>
      </c>
      <c r="AM2393">
        <v>2</v>
      </c>
      <c r="AN2393">
        <v>66.07801173627837</v>
      </c>
    </row>
    <row r="2394" spans="1:40" x14ac:dyDescent="0.3">
      <c r="A2394" t="s">
        <v>516</v>
      </c>
      <c r="B2394" t="s">
        <v>643</v>
      </c>
      <c r="C2394" t="s">
        <v>10</v>
      </c>
      <c r="D2394" t="s">
        <v>11</v>
      </c>
      <c r="E2394">
        <v>202602</v>
      </c>
      <c r="F2394" t="s">
        <v>129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1</v>
      </c>
      <c r="AM2394">
        <v>0</v>
      </c>
      <c r="AN2394">
        <v>1</v>
      </c>
    </row>
    <row r="2395" spans="1:40" x14ac:dyDescent="0.3">
      <c r="A2395" t="s">
        <v>516</v>
      </c>
      <c r="B2395" t="s">
        <v>643</v>
      </c>
      <c r="C2395" t="s">
        <v>10</v>
      </c>
      <c r="D2395" t="s">
        <v>11</v>
      </c>
      <c r="E2395">
        <v>202602</v>
      </c>
      <c r="F2395" t="s">
        <v>115</v>
      </c>
      <c r="G2395">
        <v>0</v>
      </c>
      <c r="H2395">
        <v>2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4</v>
      </c>
      <c r="AM2395">
        <v>0.33333333333333331</v>
      </c>
      <c r="AN2395">
        <v>5.6796686227130611</v>
      </c>
    </row>
    <row r="2396" spans="1:40" x14ac:dyDescent="0.3">
      <c r="A2396" t="s">
        <v>516</v>
      </c>
      <c r="B2396" t="s">
        <v>643</v>
      </c>
      <c r="C2396" t="s">
        <v>10</v>
      </c>
      <c r="D2396" t="s">
        <v>11</v>
      </c>
      <c r="E2396">
        <v>202602</v>
      </c>
      <c r="F2396" t="s">
        <v>116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2</v>
      </c>
      <c r="Y2396">
        <v>0</v>
      </c>
      <c r="Z2396">
        <v>2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5</v>
      </c>
      <c r="AM2396">
        <v>0.66666666666666663</v>
      </c>
      <c r="AN2396">
        <v>8.3593372454261221</v>
      </c>
    </row>
    <row r="2397" spans="1:40" x14ac:dyDescent="0.3">
      <c r="A2397" t="s">
        <v>516</v>
      </c>
      <c r="B2397" t="s">
        <v>643</v>
      </c>
      <c r="C2397" t="s">
        <v>10</v>
      </c>
      <c r="D2397" t="s">
        <v>11</v>
      </c>
      <c r="E2397">
        <v>202602</v>
      </c>
      <c r="F2397" t="s">
        <v>130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1</v>
      </c>
      <c r="AM2397">
        <v>0</v>
      </c>
      <c r="AN2397">
        <v>1</v>
      </c>
    </row>
    <row r="2398" spans="1:40" x14ac:dyDescent="0.3">
      <c r="A2398" t="s">
        <v>516</v>
      </c>
      <c r="B2398" t="s">
        <v>643</v>
      </c>
      <c r="C2398" t="s">
        <v>10</v>
      </c>
      <c r="D2398" t="s">
        <v>11</v>
      </c>
      <c r="E2398">
        <v>202602</v>
      </c>
      <c r="F2398" t="s">
        <v>117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2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2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7</v>
      </c>
      <c r="AM2398">
        <v>0.66666666666666663</v>
      </c>
      <c r="AN2398">
        <v>10.359337245426122</v>
      </c>
    </row>
    <row r="2399" spans="1:40" x14ac:dyDescent="0.3">
      <c r="A2399" t="s">
        <v>516</v>
      </c>
      <c r="B2399" t="s">
        <v>643</v>
      </c>
      <c r="C2399" t="s">
        <v>10</v>
      </c>
      <c r="D2399" t="s">
        <v>11</v>
      </c>
      <c r="E2399">
        <v>202602</v>
      </c>
      <c r="F2399" t="s">
        <v>118</v>
      </c>
      <c r="G2399">
        <v>0</v>
      </c>
      <c r="H2399">
        <v>7</v>
      </c>
      <c r="I2399">
        <v>3</v>
      </c>
      <c r="J2399">
        <v>2</v>
      </c>
      <c r="K2399">
        <v>2</v>
      </c>
      <c r="L2399">
        <v>5</v>
      </c>
      <c r="M2399">
        <v>1</v>
      </c>
      <c r="N2399">
        <v>0</v>
      </c>
      <c r="O2399">
        <v>5</v>
      </c>
      <c r="P2399">
        <v>3</v>
      </c>
      <c r="Q2399">
        <v>1</v>
      </c>
      <c r="R2399">
        <v>6</v>
      </c>
      <c r="S2399">
        <v>3</v>
      </c>
      <c r="T2399">
        <v>0</v>
      </c>
      <c r="U2399">
        <v>0</v>
      </c>
      <c r="V2399">
        <v>2</v>
      </c>
      <c r="W2399">
        <v>1</v>
      </c>
      <c r="X2399">
        <v>4</v>
      </c>
      <c r="Y2399">
        <v>6</v>
      </c>
      <c r="Z2399">
        <v>3</v>
      </c>
      <c r="AA2399">
        <v>0</v>
      </c>
      <c r="AB2399">
        <v>0</v>
      </c>
      <c r="AC2399">
        <v>2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56</v>
      </c>
      <c r="AM2399">
        <v>3.6666666666666665</v>
      </c>
      <c r="AN2399">
        <v>74.476354849843659</v>
      </c>
    </row>
    <row r="2400" spans="1:40" x14ac:dyDescent="0.3">
      <c r="A2400" t="s">
        <v>516</v>
      </c>
      <c r="B2400" t="s">
        <v>643</v>
      </c>
      <c r="C2400" t="s">
        <v>10</v>
      </c>
      <c r="D2400" t="s">
        <v>11</v>
      </c>
      <c r="E2400">
        <v>202602</v>
      </c>
      <c r="F2400" t="s">
        <v>320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3</v>
      </c>
      <c r="AM2400">
        <v>0</v>
      </c>
      <c r="AN2400">
        <v>3</v>
      </c>
    </row>
    <row r="2401" spans="1:40" x14ac:dyDescent="0.3">
      <c r="A2401" t="s">
        <v>516</v>
      </c>
      <c r="B2401" t="s">
        <v>643</v>
      </c>
      <c r="C2401" t="s">
        <v>10</v>
      </c>
      <c r="D2401" t="s">
        <v>11</v>
      </c>
      <c r="E2401">
        <v>202602</v>
      </c>
      <c r="F2401" t="s">
        <v>434</v>
      </c>
      <c r="G2401">
        <v>0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1</v>
      </c>
      <c r="AM2401">
        <v>0</v>
      </c>
      <c r="AN2401">
        <v>1</v>
      </c>
    </row>
    <row r="2402" spans="1:40" x14ac:dyDescent="0.3">
      <c r="A2402" t="s">
        <v>516</v>
      </c>
      <c r="B2402" t="s">
        <v>643</v>
      </c>
      <c r="C2402" t="s">
        <v>10</v>
      </c>
      <c r="D2402" t="s">
        <v>11</v>
      </c>
      <c r="E2402">
        <v>202602</v>
      </c>
      <c r="F2402" t="s">
        <v>132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2</v>
      </c>
      <c r="AM2402">
        <v>0.33333333333333331</v>
      </c>
      <c r="AN2402">
        <v>3.6796686227130611</v>
      </c>
    </row>
    <row r="2403" spans="1:40" x14ac:dyDescent="0.3">
      <c r="A2403" t="s">
        <v>516</v>
      </c>
      <c r="B2403" t="s">
        <v>643</v>
      </c>
      <c r="C2403" t="s">
        <v>10</v>
      </c>
      <c r="D2403" t="s">
        <v>11</v>
      </c>
      <c r="E2403">
        <v>202602</v>
      </c>
      <c r="F2403" t="s">
        <v>223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2</v>
      </c>
      <c r="AM2403">
        <v>0.33333333333333331</v>
      </c>
      <c r="AN2403">
        <v>3.6796686227130611</v>
      </c>
    </row>
    <row r="2404" spans="1:40" x14ac:dyDescent="0.3">
      <c r="A2404" t="s">
        <v>516</v>
      </c>
      <c r="B2404" t="s">
        <v>643</v>
      </c>
      <c r="C2404" t="s">
        <v>10</v>
      </c>
      <c r="D2404" t="s">
        <v>11</v>
      </c>
      <c r="E2404">
        <v>202602</v>
      </c>
      <c r="F2404" t="s">
        <v>133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1</v>
      </c>
      <c r="AB2404">
        <v>0</v>
      </c>
      <c r="AC2404">
        <v>1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3</v>
      </c>
      <c r="AM2404">
        <v>0.33333333333333331</v>
      </c>
      <c r="AN2404">
        <v>4.6796686227130611</v>
      </c>
    </row>
    <row r="2405" spans="1:40" x14ac:dyDescent="0.3">
      <c r="A2405" t="s">
        <v>516</v>
      </c>
      <c r="B2405" t="s">
        <v>643</v>
      </c>
      <c r="C2405" t="s">
        <v>10</v>
      </c>
      <c r="D2405" t="s">
        <v>11</v>
      </c>
      <c r="E2405">
        <v>202602</v>
      </c>
      <c r="F2405" t="s">
        <v>119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2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5</v>
      </c>
      <c r="AM2405">
        <v>0.33333333333333331</v>
      </c>
      <c r="AN2405">
        <v>6.6796686227130611</v>
      </c>
    </row>
    <row r="2406" spans="1:40" x14ac:dyDescent="0.3">
      <c r="A2406" t="s">
        <v>516</v>
      </c>
      <c r="B2406" t="s">
        <v>643</v>
      </c>
      <c r="C2406" t="s">
        <v>10</v>
      </c>
      <c r="D2406" t="s">
        <v>11</v>
      </c>
      <c r="E2406">
        <v>202602</v>
      </c>
      <c r="F2406" t="s">
        <v>561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2</v>
      </c>
      <c r="AM2406">
        <v>0</v>
      </c>
      <c r="AN2406">
        <v>2</v>
      </c>
    </row>
    <row r="2407" spans="1:40" x14ac:dyDescent="0.3">
      <c r="A2407" t="s">
        <v>516</v>
      </c>
      <c r="B2407" t="s">
        <v>643</v>
      </c>
      <c r="C2407" t="s">
        <v>10</v>
      </c>
      <c r="D2407" t="s">
        <v>11</v>
      </c>
      <c r="E2407">
        <v>202602</v>
      </c>
      <c r="F2407" t="s">
        <v>134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2</v>
      </c>
      <c r="X2407">
        <v>1</v>
      </c>
      <c r="Y2407">
        <v>1</v>
      </c>
      <c r="Z2407">
        <v>1</v>
      </c>
      <c r="AA2407">
        <v>0</v>
      </c>
      <c r="AB2407">
        <v>0</v>
      </c>
      <c r="AC2407">
        <v>1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8</v>
      </c>
      <c r="AM2407">
        <v>1</v>
      </c>
      <c r="AN2407">
        <v>13.039005868139181</v>
      </c>
    </row>
    <row r="2408" spans="1:40" x14ac:dyDescent="0.3">
      <c r="A2408" t="s">
        <v>516</v>
      </c>
      <c r="B2408" t="s">
        <v>643</v>
      </c>
      <c r="C2408" t="s">
        <v>10</v>
      </c>
      <c r="D2408" t="s">
        <v>11</v>
      </c>
      <c r="E2408">
        <v>202602</v>
      </c>
      <c r="F2408" t="s">
        <v>224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3</v>
      </c>
      <c r="AM2408">
        <v>0</v>
      </c>
      <c r="AN2408">
        <v>3</v>
      </c>
    </row>
    <row r="2409" spans="1:40" x14ac:dyDescent="0.3">
      <c r="A2409" t="s">
        <v>516</v>
      </c>
      <c r="B2409" t="s">
        <v>643</v>
      </c>
      <c r="C2409" t="s">
        <v>10</v>
      </c>
      <c r="D2409" t="s">
        <v>11</v>
      </c>
      <c r="E2409">
        <v>202602</v>
      </c>
      <c r="F2409" t="s">
        <v>321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1</v>
      </c>
      <c r="AM2409">
        <v>0</v>
      </c>
      <c r="AN2409">
        <v>1</v>
      </c>
    </row>
    <row r="2410" spans="1:40" x14ac:dyDescent="0.3">
      <c r="A2410" t="s">
        <v>516</v>
      </c>
      <c r="B2410" t="s">
        <v>643</v>
      </c>
      <c r="C2410" t="s">
        <v>10</v>
      </c>
      <c r="D2410" t="s">
        <v>11</v>
      </c>
      <c r="E2410">
        <v>202602</v>
      </c>
      <c r="F2410" t="s">
        <v>122</v>
      </c>
      <c r="G2410">
        <v>0</v>
      </c>
      <c r="H2410">
        <v>0</v>
      </c>
      <c r="I2410">
        <v>3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5</v>
      </c>
      <c r="AM2410">
        <v>0.33333333333333331</v>
      </c>
      <c r="AN2410">
        <v>6.6796686227130611</v>
      </c>
    </row>
    <row r="2411" spans="1:40" x14ac:dyDescent="0.3">
      <c r="A2411" t="s">
        <v>516</v>
      </c>
      <c r="B2411" t="s">
        <v>643</v>
      </c>
      <c r="C2411" t="s">
        <v>10</v>
      </c>
      <c r="D2411" t="s">
        <v>11</v>
      </c>
      <c r="E2411">
        <v>202602</v>
      </c>
      <c r="F2411" t="s">
        <v>123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3</v>
      </c>
      <c r="AM2411">
        <v>0</v>
      </c>
      <c r="AN2411">
        <v>3</v>
      </c>
    </row>
    <row r="2412" spans="1:40" x14ac:dyDescent="0.3">
      <c r="A2412" t="s">
        <v>516</v>
      </c>
      <c r="B2412" t="s">
        <v>643</v>
      </c>
      <c r="C2412" t="s">
        <v>10</v>
      </c>
      <c r="D2412" t="s">
        <v>11</v>
      </c>
      <c r="E2412">
        <v>202602</v>
      </c>
      <c r="F2412" t="s">
        <v>124</v>
      </c>
      <c r="G2412">
        <v>0</v>
      </c>
      <c r="H2412">
        <v>0</v>
      </c>
      <c r="I2412">
        <v>0</v>
      </c>
      <c r="J2412">
        <v>0</v>
      </c>
      <c r="K2412">
        <v>2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3</v>
      </c>
      <c r="S2412">
        <v>1</v>
      </c>
      <c r="T2412">
        <v>1</v>
      </c>
      <c r="U2412">
        <v>0</v>
      </c>
      <c r="V2412">
        <v>0</v>
      </c>
      <c r="W2412">
        <v>1</v>
      </c>
      <c r="X2412">
        <v>1</v>
      </c>
      <c r="Y2412">
        <v>1</v>
      </c>
      <c r="Z2412">
        <v>1</v>
      </c>
      <c r="AA2412">
        <v>0</v>
      </c>
      <c r="AB2412">
        <v>0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13</v>
      </c>
      <c r="AM2412">
        <v>1</v>
      </c>
      <c r="AN2412">
        <v>18.039005868139181</v>
      </c>
    </row>
    <row r="2413" spans="1:40" x14ac:dyDescent="0.3">
      <c r="A2413" t="s">
        <v>516</v>
      </c>
      <c r="B2413" t="s">
        <v>643</v>
      </c>
      <c r="C2413" t="s">
        <v>10</v>
      </c>
      <c r="D2413" t="s">
        <v>11</v>
      </c>
      <c r="E2413">
        <v>202602</v>
      </c>
      <c r="F2413" t="s">
        <v>435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1</v>
      </c>
      <c r="AM2413">
        <v>0</v>
      </c>
      <c r="AN2413">
        <v>1</v>
      </c>
    </row>
    <row r="2414" spans="1:40" x14ac:dyDescent="0.3">
      <c r="A2414" t="s">
        <v>516</v>
      </c>
      <c r="B2414" t="s">
        <v>643</v>
      </c>
      <c r="C2414" t="s">
        <v>10</v>
      </c>
      <c r="D2414" t="s">
        <v>11</v>
      </c>
      <c r="E2414">
        <v>202602</v>
      </c>
      <c r="F2414" t="s">
        <v>279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</v>
      </c>
      <c r="AM2414">
        <v>0</v>
      </c>
      <c r="AN2414">
        <v>1</v>
      </c>
    </row>
    <row r="2415" spans="1:40" x14ac:dyDescent="0.3">
      <c r="A2415" t="s">
        <v>516</v>
      </c>
      <c r="B2415" t="s">
        <v>643</v>
      </c>
      <c r="C2415" t="s">
        <v>10</v>
      </c>
      <c r="D2415" t="s">
        <v>11</v>
      </c>
      <c r="E2415">
        <v>202602</v>
      </c>
      <c r="F2415" t="s">
        <v>125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2</v>
      </c>
      <c r="AM2415">
        <v>0</v>
      </c>
      <c r="AN2415">
        <v>2</v>
      </c>
    </row>
    <row r="2416" spans="1:40" x14ac:dyDescent="0.3">
      <c r="A2416" t="s">
        <v>516</v>
      </c>
      <c r="B2416" t="s">
        <v>643</v>
      </c>
      <c r="C2416" t="s">
        <v>10</v>
      </c>
      <c r="D2416" t="s">
        <v>11</v>
      </c>
      <c r="E2416">
        <v>202602</v>
      </c>
      <c r="F2416" t="s">
        <v>126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1</v>
      </c>
      <c r="AM2416">
        <v>0.33333333333333331</v>
      </c>
      <c r="AN2416">
        <v>2.6796686227130611</v>
      </c>
    </row>
    <row r="2417" spans="1:40" x14ac:dyDescent="0.3">
      <c r="A2417" t="s">
        <v>516</v>
      </c>
      <c r="B2417" t="s">
        <v>643</v>
      </c>
      <c r="C2417" t="s">
        <v>10</v>
      </c>
      <c r="D2417" t="s">
        <v>11</v>
      </c>
      <c r="E2417">
        <v>202602</v>
      </c>
      <c r="F2417" t="s">
        <v>127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1</v>
      </c>
      <c r="AM2417">
        <v>0</v>
      </c>
      <c r="AN2417">
        <v>1</v>
      </c>
    </row>
    <row r="2418" spans="1:40" x14ac:dyDescent="0.3">
      <c r="A2418" t="s">
        <v>516</v>
      </c>
      <c r="B2418" t="s">
        <v>643</v>
      </c>
      <c r="C2418" t="s">
        <v>10</v>
      </c>
      <c r="D2418" t="s">
        <v>11</v>
      </c>
      <c r="E2418">
        <v>202602</v>
      </c>
      <c r="F2418" t="s">
        <v>319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2</v>
      </c>
      <c r="Y2418">
        <v>0</v>
      </c>
      <c r="Z2418">
        <v>2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4</v>
      </c>
      <c r="AM2418">
        <v>0.66666666666666663</v>
      </c>
      <c r="AN2418">
        <v>7.3593372454261221</v>
      </c>
    </row>
    <row r="2419" spans="1:40" x14ac:dyDescent="0.3">
      <c r="A2419" t="s">
        <v>516</v>
      </c>
      <c r="B2419" t="s">
        <v>643</v>
      </c>
      <c r="C2419" t="s">
        <v>10</v>
      </c>
      <c r="D2419" t="s">
        <v>11</v>
      </c>
      <c r="E2419">
        <v>202602</v>
      </c>
      <c r="F2419" t="s">
        <v>226</v>
      </c>
      <c r="G2419">
        <v>0</v>
      </c>
      <c r="H2419">
        <v>0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2</v>
      </c>
      <c r="U2419">
        <v>0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5</v>
      </c>
      <c r="AM2419">
        <v>0.33333333333333331</v>
      </c>
      <c r="AN2419">
        <v>6.6796686227130611</v>
      </c>
    </row>
    <row r="2420" spans="1:40" x14ac:dyDescent="0.3">
      <c r="A2420" t="s">
        <v>516</v>
      </c>
      <c r="B2420" t="s">
        <v>643</v>
      </c>
      <c r="C2420" t="s">
        <v>10</v>
      </c>
      <c r="D2420" t="s">
        <v>11</v>
      </c>
      <c r="E2420">
        <v>202602</v>
      </c>
      <c r="F2420" t="s">
        <v>128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1</v>
      </c>
      <c r="AM2420">
        <v>0</v>
      </c>
      <c r="AN2420">
        <v>1</v>
      </c>
    </row>
    <row r="2421" spans="1:40" x14ac:dyDescent="0.3">
      <c r="A2421" t="s">
        <v>516</v>
      </c>
      <c r="B2421" t="s">
        <v>643</v>
      </c>
      <c r="C2421" t="s">
        <v>10</v>
      </c>
      <c r="D2421" t="s">
        <v>11</v>
      </c>
      <c r="E2421">
        <v>202602</v>
      </c>
      <c r="F2421" t="s">
        <v>436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</v>
      </c>
      <c r="AM2421">
        <v>0</v>
      </c>
      <c r="AN2421">
        <v>1</v>
      </c>
    </row>
    <row r="2422" spans="1:40" x14ac:dyDescent="0.3">
      <c r="A2422" t="s">
        <v>516</v>
      </c>
      <c r="B2422" t="s">
        <v>643</v>
      </c>
      <c r="C2422" t="s">
        <v>10</v>
      </c>
      <c r="D2422" t="s">
        <v>14</v>
      </c>
      <c r="E2422">
        <v>202602</v>
      </c>
      <c r="F2422" t="s">
        <v>56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2</v>
      </c>
      <c r="P2422">
        <v>0</v>
      </c>
      <c r="Q2422">
        <v>0</v>
      </c>
      <c r="R2422">
        <v>0</v>
      </c>
      <c r="S2422">
        <v>0</v>
      </c>
      <c r="T2422">
        <v>3</v>
      </c>
      <c r="U2422">
        <v>0</v>
      </c>
      <c r="V2422">
        <v>1</v>
      </c>
      <c r="W2422">
        <v>1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9</v>
      </c>
      <c r="AM2422">
        <v>0.33333333333333331</v>
      </c>
      <c r="AN2422">
        <v>10.43424142790025</v>
      </c>
    </row>
    <row r="2423" spans="1:40" x14ac:dyDescent="0.3">
      <c r="A2423" t="s">
        <v>516</v>
      </c>
      <c r="B2423" t="s">
        <v>643</v>
      </c>
      <c r="C2423" t="s">
        <v>10</v>
      </c>
      <c r="D2423" t="s">
        <v>14</v>
      </c>
      <c r="E2423">
        <v>202602</v>
      </c>
      <c r="F2423" t="s">
        <v>110</v>
      </c>
      <c r="G2423">
        <v>0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0</v>
      </c>
      <c r="O2423">
        <v>1</v>
      </c>
      <c r="P2423">
        <v>0</v>
      </c>
      <c r="Q2423">
        <v>1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5</v>
      </c>
      <c r="AM2423">
        <v>0.33333333333333331</v>
      </c>
      <c r="AN2423">
        <v>6.4342414279002504</v>
      </c>
    </row>
    <row r="2424" spans="1:40" x14ac:dyDescent="0.3">
      <c r="A2424" t="s">
        <v>516</v>
      </c>
      <c r="B2424" t="s">
        <v>643</v>
      </c>
      <c r="C2424" t="s">
        <v>10</v>
      </c>
      <c r="D2424" t="s">
        <v>14</v>
      </c>
      <c r="E2424">
        <v>202602</v>
      </c>
      <c r="F2424" t="s">
        <v>111</v>
      </c>
      <c r="G2424">
        <v>0</v>
      </c>
      <c r="H2424">
        <v>1</v>
      </c>
      <c r="I2424">
        <v>1</v>
      </c>
      <c r="J2424">
        <v>0</v>
      </c>
      <c r="K2424">
        <v>1</v>
      </c>
      <c r="L2424">
        <v>1</v>
      </c>
      <c r="M2424">
        <v>1</v>
      </c>
      <c r="N2424">
        <v>0</v>
      </c>
      <c r="O2424">
        <v>0</v>
      </c>
      <c r="P2424">
        <v>2</v>
      </c>
      <c r="Q2424">
        <v>2</v>
      </c>
      <c r="R2424">
        <v>1</v>
      </c>
      <c r="S2424">
        <v>0</v>
      </c>
      <c r="T2424">
        <v>1</v>
      </c>
      <c r="U2424">
        <v>0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1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13</v>
      </c>
      <c r="AM2424">
        <v>0.66666666666666663</v>
      </c>
      <c r="AN2424">
        <v>15.868482855800501</v>
      </c>
    </row>
    <row r="2425" spans="1:40" x14ac:dyDescent="0.3">
      <c r="A2425" t="s">
        <v>516</v>
      </c>
      <c r="B2425" t="s">
        <v>643</v>
      </c>
      <c r="C2425" t="s">
        <v>10</v>
      </c>
      <c r="D2425" t="s">
        <v>14</v>
      </c>
      <c r="E2425">
        <v>202602</v>
      </c>
      <c r="F2425" t="s">
        <v>61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1</v>
      </c>
      <c r="P2425">
        <v>1</v>
      </c>
      <c r="Q2425">
        <v>4</v>
      </c>
      <c r="R2425">
        <v>1</v>
      </c>
      <c r="S2425">
        <v>5</v>
      </c>
      <c r="T2425">
        <v>0</v>
      </c>
      <c r="U2425">
        <v>0</v>
      </c>
      <c r="V2425">
        <v>1</v>
      </c>
      <c r="W2425">
        <v>1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18</v>
      </c>
      <c r="AM2425">
        <v>0.66666666666666663</v>
      </c>
      <c r="AN2425">
        <v>20.868482855800501</v>
      </c>
    </row>
    <row r="2426" spans="1:40" x14ac:dyDescent="0.3">
      <c r="A2426" t="s">
        <v>516</v>
      </c>
      <c r="B2426" t="s">
        <v>643</v>
      </c>
      <c r="C2426" t="s">
        <v>10</v>
      </c>
      <c r="D2426" t="s">
        <v>14</v>
      </c>
      <c r="E2426">
        <v>202602</v>
      </c>
      <c r="F2426" t="s">
        <v>112</v>
      </c>
      <c r="G2426">
        <v>0</v>
      </c>
      <c r="H2426">
        <v>2</v>
      </c>
      <c r="I2426">
        <v>0</v>
      </c>
      <c r="J2426">
        <v>1</v>
      </c>
      <c r="K2426">
        <v>3</v>
      </c>
      <c r="L2426">
        <v>1</v>
      </c>
      <c r="M2426">
        <v>0</v>
      </c>
      <c r="N2426">
        <v>0</v>
      </c>
      <c r="O2426">
        <v>3</v>
      </c>
      <c r="P2426">
        <v>1</v>
      </c>
      <c r="Q2426">
        <v>1</v>
      </c>
      <c r="R2426">
        <v>3</v>
      </c>
      <c r="S2426">
        <v>0</v>
      </c>
      <c r="T2426">
        <v>0</v>
      </c>
      <c r="U2426">
        <v>0</v>
      </c>
      <c r="V2426">
        <v>1</v>
      </c>
      <c r="W2426">
        <v>0</v>
      </c>
      <c r="X2426">
        <v>2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19</v>
      </c>
      <c r="AM2426">
        <v>0.33333333333333331</v>
      </c>
      <c r="AN2426">
        <v>20.43424142790025</v>
      </c>
    </row>
    <row r="2427" spans="1:40" x14ac:dyDescent="0.3">
      <c r="A2427" t="s">
        <v>516</v>
      </c>
      <c r="B2427" t="s">
        <v>643</v>
      </c>
      <c r="C2427" t="s">
        <v>10</v>
      </c>
      <c r="D2427" t="s">
        <v>14</v>
      </c>
      <c r="E2427">
        <v>202602</v>
      </c>
      <c r="F2427" t="s">
        <v>365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</v>
      </c>
      <c r="R2427">
        <v>0</v>
      </c>
      <c r="S2427">
        <v>0</v>
      </c>
      <c r="T2427">
        <v>0</v>
      </c>
      <c r="U2427">
        <v>0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4</v>
      </c>
      <c r="AM2427">
        <v>0</v>
      </c>
      <c r="AN2427">
        <v>4</v>
      </c>
    </row>
    <row r="2428" spans="1:40" x14ac:dyDescent="0.3">
      <c r="A2428" t="s">
        <v>516</v>
      </c>
      <c r="B2428" t="s">
        <v>643</v>
      </c>
      <c r="C2428" t="s">
        <v>10</v>
      </c>
      <c r="D2428" t="s">
        <v>14</v>
      </c>
      <c r="E2428">
        <v>202602</v>
      </c>
      <c r="F2428" t="s">
        <v>278</v>
      </c>
      <c r="G2428">
        <v>0</v>
      </c>
      <c r="H2428">
        <v>0</v>
      </c>
      <c r="I2428">
        <v>1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3</v>
      </c>
      <c r="AM2428">
        <v>0</v>
      </c>
      <c r="AN2428">
        <v>3</v>
      </c>
    </row>
    <row r="2429" spans="1:40" x14ac:dyDescent="0.3">
      <c r="A2429" t="s">
        <v>516</v>
      </c>
      <c r="B2429" t="s">
        <v>643</v>
      </c>
      <c r="C2429" t="s">
        <v>10</v>
      </c>
      <c r="D2429" t="s">
        <v>14</v>
      </c>
      <c r="E2429">
        <v>202602</v>
      </c>
      <c r="F2429" t="s">
        <v>114</v>
      </c>
      <c r="G2429">
        <v>0</v>
      </c>
      <c r="H2429">
        <v>8</v>
      </c>
      <c r="I2429">
        <v>4</v>
      </c>
      <c r="J2429">
        <v>9</v>
      </c>
      <c r="K2429">
        <v>5</v>
      </c>
      <c r="L2429">
        <v>8</v>
      </c>
      <c r="M2429">
        <v>2</v>
      </c>
      <c r="N2429">
        <v>0</v>
      </c>
      <c r="O2429">
        <v>6</v>
      </c>
      <c r="P2429">
        <v>10</v>
      </c>
      <c r="Q2429">
        <v>10</v>
      </c>
      <c r="R2429">
        <v>8</v>
      </c>
      <c r="S2429">
        <v>3</v>
      </c>
      <c r="T2429">
        <v>0</v>
      </c>
      <c r="U2429">
        <v>0</v>
      </c>
      <c r="V2429">
        <v>4</v>
      </c>
      <c r="W2429">
        <v>3</v>
      </c>
      <c r="X2429">
        <v>4</v>
      </c>
      <c r="Y2429">
        <v>3</v>
      </c>
      <c r="Z2429">
        <v>11</v>
      </c>
      <c r="AA2429">
        <v>0</v>
      </c>
      <c r="AB2429">
        <v>0</v>
      </c>
      <c r="AC2429">
        <v>1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99</v>
      </c>
      <c r="AM2429">
        <v>5</v>
      </c>
      <c r="AN2429">
        <v>120.51362141850375</v>
      </c>
    </row>
    <row r="2430" spans="1:40" x14ac:dyDescent="0.3">
      <c r="A2430" t="s">
        <v>516</v>
      </c>
      <c r="B2430" t="s">
        <v>643</v>
      </c>
      <c r="C2430" t="s">
        <v>10</v>
      </c>
      <c r="D2430" t="s">
        <v>14</v>
      </c>
      <c r="E2430">
        <v>202602</v>
      </c>
      <c r="F2430" t="s">
        <v>129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6</v>
      </c>
      <c r="AM2430">
        <v>0.33333333333333331</v>
      </c>
      <c r="AN2430">
        <v>7.4342414279002504</v>
      </c>
    </row>
    <row r="2431" spans="1:40" x14ac:dyDescent="0.3">
      <c r="A2431" t="s">
        <v>516</v>
      </c>
      <c r="B2431" t="s">
        <v>643</v>
      </c>
      <c r="C2431" t="s">
        <v>10</v>
      </c>
      <c r="D2431" t="s">
        <v>14</v>
      </c>
      <c r="E2431">
        <v>202602</v>
      </c>
      <c r="F2431" t="s">
        <v>115</v>
      </c>
      <c r="G2431">
        <v>0</v>
      </c>
      <c r="H2431">
        <v>1</v>
      </c>
      <c r="I2431">
        <v>0</v>
      </c>
      <c r="J2431">
        <v>2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3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7</v>
      </c>
      <c r="AM2431">
        <v>0</v>
      </c>
      <c r="AN2431">
        <v>7</v>
      </c>
    </row>
    <row r="2432" spans="1:40" x14ac:dyDescent="0.3">
      <c r="A2432" t="s">
        <v>516</v>
      </c>
      <c r="B2432" t="s">
        <v>643</v>
      </c>
      <c r="C2432" t="s">
        <v>10</v>
      </c>
      <c r="D2432" t="s">
        <v>14</v>
      </c>
      <c r="E2432">
        <v>202602</v>
      </c>
      <c r="F2432" t="s">
        <v>116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1</v>
      </c>
      <c r="Q2432">
        <v>0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1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7</v>
      </c>
      <c r="AM2432">
        <v>0.33333333333333331</v>
      </c>
      <c r="AN2432">
        <v>8.4342414279002504</v>
      </c>
    </row>
    <row r="2433" spans="1:40" x14ac:dyDescent="0.3">
      <c r="A2433" t="s">
        <v>516</v>
      </c>
      <c r="B2433" t="s">
        <v>643</v>
      </c>
      <c r="C2433" t="s">
        <v>10</v>
      </c>
      <c r="D2433" t="s">
        <v>14</v>
      </c>
      <c r="E2433">
        <v>202602</v>
      </c>
      <c r="F2433" t="s">
        <v>130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</v>
      </c>
      <c r="AM2433">
        <v>0.33333333333333331</v>
      </c>
      <c r="AN2433">
        <v>2.43424142790025</v>
      </c>
    </row>
    <row r="2434" spans="1:40" x14ac:dyDescent="0.3">
      <c r="A2434" t="s">
        <v>516</v>
      </c>
      <c r="B2434" t="s">
        <v>643</v>
      </c>
      <c r="C2434" t="s">
        <v>10</v>
      </c>
      <c r="D2434" t="s">
        <v>14</v>
      </c>
      <c r="E2434">
        <v>202602</v>
      </c>
      <c r="F2434" t="s">
        <v>117</v>
      </c>
      <c r="G2434">
        <v>0</v>
      </c>
      <c r="H2434">
        <v>0</v>
      </c>
      <c r="I2434">
        <v>1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2</v>
      </c>
      <c r="P2434">
        <v>1</v>
      </c>
      <c r="Q2434">
        <v>0</v>
      </c>
      <c r="R2434">
        <v>3</v>
      </c>
      <c r="S2434">
        <v>1</v>
      </c>
      <c r="T2434">
        <v>0</v>
      </c>
      <c r="U2434">
        <v>0</v>
      </c>
      <c r="V2434">
        <v>0</v>
      </c>
      <c r="W2434">
        <v>2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12</v>
      </c>
      <c r="AM2434">
        <v>0.33333333333333331</v>
      </c>
      <c r="AN2434">
        <v>13.43424142790025</v>
      </c>
    </row>
    <row r="2435" spans="1:40" x14ac:dyDescent="0.3">
      <c r="A2435" t="s">
        <v>516</v>
      </c>
      <c r="B2435" t="s">
        <v>643</v>
      </c>
      <c r="C2435" t="s">
        <v>10</v>
      </c>
      <c r="D2435" t="s">
        <v>14</v>
      </c>
      <c r="E2435">
        <v>202602</v>
      </c>
      <c r="F2435" t="s">
        <v>118</v>
      </c>
      <c r="G2435">
        <v>0</v>
      </c>
      <c r="H2435">
        <v>5</v>
      </c>
      <c r="I2435">
        <v>4</v>
      </c>
      <c r="J2435">
        <v>4</v>
      </c>
      <c r="K2435">
        <v>6</v>
      </c>
      <c r="L2435">
        <v>4</v>
      </c>
      <c r="M2435">
        <v>0</v>
      </c>
      <c r="N2435">
        <v>0</v>
      </c>
      <c r="O2435">
        <v>7</v>
      </c>
      <c r="P2435">
        <v>5</v>
      </c>
      <c r="Q2435">
        <v>2</v>
      </c>
      <c r="R2435">
        <v>2</v>
      </c>
      <c r="S2435">
        <v>3</v>
      </c>
      <c r="T2435">
        <v>0</v>
      </c>
      <c r="U2435">
        <v>0</v>
      </c>
      <c r="V2435">
        <v>4</v>
      </c>
      <c r="W2435">
        <v>3</v>
      </c>
      <c r="X2435">
        <v>4</v>
      </c>
      <c r="Y2435">
        <v>2</v>
      </c>
      <c r="Z2435">
        <v>2</v>
      </c>
      <c r="AA2435">
        <v>0</v>
      </c>
      <c r="AB2435">
        <v>0</v>
      </c>
      <c r="AC2435">
        <v>6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63</v>
      </c>
      <c r="AM2435">
        <v>3.3333333333333335</v>
      </c>
      <c r="AN2435">
        <v>77.342414279002497</v>
      </c>
    </row>
    <row r="2436" spans="1:40" x14ac:dyDescent="0.3">
      <c r="A2436" t="s">
        <v>516</v>
      </c>
      <c r="B2436" t="s">
        <v>643</v>
      </c>
      <c r="C2436" t="s">
        <v>10</v>
      </c>
      <c r="D2436" t="s">
        <v>14</v>
      </c>
      <c r="E2436">
        <v>202602</v>
      </c>
      <c r="F2436" t="s">
        <v>320</v>
      </c>
      <c r="G2436">
        <v>0</v>
      </c>
      <c r="H2436">
        <v>1</v>
      </c>
      <c r="I2436">
        <v>0</v>
      </c>
      <c r="J2436">
        <v>0</v>
      </c>
      <c r="K2436">
        <v>1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6</v>
      </c>
      <c r="AM2436">
        <v>0.66666666666666663</v>
      </c>
      <c r="AN2436">
        <v>8.8684828558005009</v>
      </c>
    </row>
    <row r="2437" spans="1:40" x14ac:dyDescent="0.3">
      <c r="A2437" t="s">
        <v>516</v>
      </c>
      <c r="B2437" t="s">
        <v>643</v>
      </c>
      <c r="C2437" t="s">
        <v>10</v>
      </c>
      <c r="D2437" t="s">
        <v>14</v>
      </c>
      <c r="E2437">
        <v>202602</v>
      </c>
      <c r="F2437" t="s">
        <v>434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1</v>
      </c>
      <c r="AM2437">
        <v>0.33333333333333331</v>
      </c>
      <c r="AN2437">
        <v>2.43424142790025</v>
      </c>
    </row>
    <row r="2438" spans="1:40" x14ac:dyDescent="0.3">
      <c r="A2438" t="s">
        <v>516</v>
      </c>
      <c r="B2438" t="s">
        <v>643</v>
      </c>
      <c r="C2438" t="s">
        <v>10</v>
      </c>
      <c r="D2438" t="s">
        <v>14</v>
      </c>
      <c r="E2438">
        <v>202602</v>
      </c>
      <c r="F2438" t="s">
        <v>132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2</v>
      </c>
      <c r="AM2438">
        <v>0.33333333333333331</v>
      </c>
      <c r="AN2438">
        <v>3.43424142790025</v>
      </c>
    </row>
    <row r="2439" spans="1:40" x14ac:dyDescent="0.3">
      <c r="A2439" t="s">
        <v>516</v>
      </c>
      <c r="B2439" t="s">
        <v>643</v>
      </c>
      <c r="C2439" t="s">
        <v>10</v>
      </c>
      <c r="D2439" t="s">
        <v>14</v>
      </c>
      <c r="E2439">
        <v>202602</v>
      </c>
      <c r="F2439" t="s">
        <v>223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2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4</v>
      </c>
      <c r="AM2439">
        <v>0.33333333333333331</v>
      </c>
      <c r="AN2439">
        <v>5.4342414279002504</v>
      </c>
    </row>
    <row r="2440" spans="1:40" x14ac:dyDescent="0.3">
      <c r="A2440" t="s">
        <v>516</v>
      </c>
      <c r="B2440" t="s">
        <v>643</v>
      </c>
      <c r="C2440" t="s">
        <v>10</v>
      </c>
      <c r="D2440" t="s">
        <v>14</v>
      </c>
      <c r="E2440">
        <v>202602</v>
      </c>
      <c r="F2440" t="s">
        <v>133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1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3</v>
      </c>
      <c r="AM2440">
        <v>0.33333333333333331</v>
      </c>
      <c r="AN2440">
        <v>4.4342414279002504</v>
      </c>
    </row>
    <row r="2441" spans="1:40" x14ac:dyDescent="0.3">
      <c r="A2441" t="s">
        <v>516</v>
      </c>
      <c r="B2441" t="s">
        <v>643</v>
      </c>
      <c r="C2441" t="s">
        <v>10</v>
      </c>
      <c r="D2441" t="s">
        <v>14</v>
      </c>
      <c r="E2441">
        <v>202602</v>
      </c>
      <c r="F2441" t="s">
        <v>119</v>
      </c>
      <c r="G2441">
        <v>0</v>
      </c>
      <c r="H2441">
        <v>1</v>
      </c>
      <c r="I2441">
        <v>1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2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8</v>
      </c>
      <c r="AM2441">
        <v>0.33333333333333331</v>
      </c>
      <c r="AN2441">
        <v>9.4342414279002504</v>
      </c>
    </row>
    <row r="2442" spans="1:40" x14ac:dyDescent="0.3">
      <c r="A2442" t="s">
        <v>516</v>
      </c>
      <c r="B2442" t="s">
        <v>643</v>
      </c>
      <c r="C2442" t="s">
        <v>10</v>
      </c>
      <c r="D2442" t="s">
        <v>14</v>
      </c>
      <c r="E2442">
        <v>202602</v>
      </c>
      <c r="F2442" t="s">
        <v>561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2</v>
      </c>
      <c r="AM2442">
        <v>0.33333333333333331</v>
      </c>
      <c r="AN2442">
        <v>3.43424142790025</v>
      </c>
    </row>
    <row r="2443" spans="1:40" x14ac:dyDescent="0.3">
      <c r="A2443" t="s">
        <v>516</v>
      </c>
      <c r="B2443" t="s">
        <v>643</v>
      </c>
      <c r="C2443" t="s">
        <v>10</v>
      </c>
      <c r="D2443" t="s">
        <v>14</v>
      </c>
      <c r="E2443">
        <v>202602</v>
      </c>
      <c r="F2443" t="s">
        <v>121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2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2</v>
      </c>
      <c r="AM2443">
        <v>0.66666666666666663</v>
      </c>
      <c r="AN2443">
        <v>4.8684828558005</v>
      </c>
    </row>
    <row r="2444" spans="1:40" x14ac:dyDescent="0.3">
      <c r="A2444" t="s">
        <v>516</v>
      </c>
      <c r="B2444" t="s">
        <v>643</v>
      </c>
      <c r="C2444" t="s">
        <v>10</v>
      </c>
      <c r="D2444" t="s">
        <v>14</v>
      </c>
      <c r="E2444">
        <v>202602</v>
      </c>
      <c r="F2444" t="s">
        <v>134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3</v>
      </c>
      <c r="R2444">
        <v>1</v>
      </c>
      <c r="S2444">
        <v>2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1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9</v>
      </c>
      <c r="AM2444">
        <v>0.33333333333333331</v>
      </c>
      <c r="AN2444">
        <v>10.43424142790025</v>
      </c>
    </row>
    <row r="2445" spans="1:40" x14ac:dyDescent="0.3">
      <c r="A2445" t="s">
        <v>516</v>
      </c>
      <c r="B2445" t="s">
        <v>643</v>
      </c>
      <c r="C2445" t="s">
        <v>10</v>
      </c>
      <c r="D2445" t="s">
        <v>14</v>
      </c>
      <c r="E2445">
        <v>202602</v>
      </c>
      <c r="F2445" t="s">
        <v>224</v>
      </c>
      <c r="G2445">
        <v>0</v>
      </c>
      <c r="H2445">
        <v>0</v>
      </c>
      <c r="I2445">
        <v>2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3</v>
      </c>
      <c r="AM2445">
        <v>0</v>
      </c>
      <c r="AN2445">
        <v>3</v>
      </c>
    </row>
    <row r="2446" spans="1:40" x14ac:dyDescent="0.3">
      <c r="A2446" t="s">
        <v>516</v>
      </c>
      <c r="B2446" t="s">
        <v>643</v>
      </c>
      <c r="C2446" t="s">
        <v>10</v>
      </c>
      <c r="D2446" t="s">
        <v>14</v>
      </c>
      <c r="E2446">
        <v>202602</v>
      </c>
      <c r="F2446" t="s">
        <v>321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2</v>
      </c>
      <c r="AM2446">
        <v>0</v>
      </c>
      <c r="AN2446">
        <v>2</v>
      </c>
    </row>
    <row r="2447" spans="1:40" x14ac:dyDescent="0.3">
      <c r="A2447" t="s">
        <v>516</v>
      </c>
      <c r="B2447" t="s">
        <v>643</v>
      </c>
      <c r="C2447" t="s">
        <v>10</v>
      </c>
      <c r="D2447" t="s">
        <v>14</v>
      </c>
      <c r="E2447">
        <v>202602</v>
      </c>
      <c r="F2447" t="s">
        <v>122</v>
      </c>
      <c r="G2447">
        <v>0</v>
      </c>
      <c r="H2447">
        <v>1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1</v>
      </c>
      <c r="AB2447">
        <v>1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6</v>
      </c>
      <c r="AM2447">
        <v>0.33333333333333331</v>
      </c>
      <c r="AN2447">
        <v>7.4342414279002504</v>
      </c>
    </row>
    <row r="2448" spans="1:40" x14ac:dyDescent="0.3">
      <c r="A2448" t="s">
        <v>516</v>
      </c>
      <c r="B2448" t="s">
        <v>643</v>
      </c>
      <c r="C2448" t="s">
        <v>10</v>
      </c>
      <c r="D2448" t="s">
        <v>14</v>
      </c>
      <c r="E2448">
        <v>202602</v>
      </c>
      <c r="F2448" t="s">
        <v>123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1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3</v>
      </c>
      <c r="AM2448">
        <v>0</v>
      </c>
      <c r="AN2448">
        <v>3</v>
      </c>
    </row>
    <row r="2449" spans="1:40" x14ac:dyDescent="0.3">
      <c r="A2449" t="s">
        <v>516</v>
      </c>
      <c r="B2449" t="s">
        <v>643</v>
      </c>
      <c r="C2449" t="s">
        <v>10</v>
      </c>
      <c r="D2449" t="s">
        <v>14</v>
      </c>
      <c r="E2449">
        <v>202602</v>
      </c>
      <c r="F2449" t="s">
        <v>124</v>
      </c>
      <c r="G2449">
        <v>0</v>
      </c>
      <c r="H2449">
        <v>1</v>
      </c>
      <c r="I2449">
        <v>0</v>
      </c>
      <c r="J2449">
        <v>1</v>
      </c>
      <c r="K2449">
        <v>0</v>
      </c>
      <c r="L2449">
        <v>1</v>
      </c>
      <c r="M2449">
        <v>0</v>
      </c>
      <c r="N2449">
        <v>0</v>
      </c>
      <c r="O2449">
        <v>4</v>
      </c>
      <c r="P2449">
        <v>1</v>
      </c>
      <c r="Q2449">
        <v>1</v>
      </c>
      <c r="R2449">
        <v>4</v>
      </c>
      <c r="S2449">
        <v>0</v>
      </c>
      <c r="T2449">
        <v>0</v>
      </c>
      <c r="U2449">
        <v>0</v>
      </c>
      <c r="V2449">
        <v>2</v>
      </c>
      <c r="W2449">
        <v>2</v>
      </c>
      <c r="X2449">
        <v>0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18</v>
      </c>
      <c r="AM2449">
        <v>0.33333333333333331</v>
      </c>
      <c r="AN2449">
        <v>19.43424142790025</v>
      </c>
    </row>
    <row r="2450" spans="1:40" x14ac:dyDescent="0.3">
      <c r="A2450" t="s">
        <v>516</v>
      </c>
      <c r="B2450" t="s">
        <v>643</v>
      </c>
      <c r="C2450" t="s">
        <v>10</v>
      </c>
      <c r="D2450" t="s">
        <v>14</v>
      </c>
      <c r="E2450">
        <v>202602</v>
      </c>
      <c r="F2450" t="s">
        <v>435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1</v>
      </c>
      <c r="AM2450">
        <v>0</v>
      </c>
      <c r="AN2450">
        <v>1</v>
      </c>
    </row>
    <row r="2451" spans="1:40" x14ac:dyDescent="0.3">
      <c r="A2451" t="s">
        <v>516</v>
      </c>
      <c r="B2451" t="s">
        <v>643</v>
      </c>
      <c r="C2451" t="s">
        <v>10</v>
      </c>
      <c r="D2451" t="s">
        <v>14</v>
      </c>
      <c r="E2451">
        <v>202602</v>
      </c>
      <c r="F2451" t="s">
        <v>562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1</v>
      </c>
      <c r="AM2451">
        <v>0</v>
      </c>
      <c r="AN2451">
        <v>1</v>
      </c>
    </row>
    <row r="2452" spans="1:40" x14ac:dyDescent="0.3">
      <c r="A2452" t="s">
        <v>516</v>
      </c>
      <c r="B2452" t="s">
        <v>643</v>
      </c>
      <c r="C2452" t="s">
        <v>10</v>
      </c>
      <c r="D2452" t="s">
        <v>14</v>
      </c>
      <c r="E2452">
        <v>202602</v>
      </c>
      <c r="F2452" t="s">
        <v>135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2</v>
      </c>
      <c r="AM2452">
        <v>0.33333333333333331</v>
      </c>
      <c r="AN2452">
        <v>3.43424142790025</v>
      </c>
    </row>
    <row r="2453" spans="1:40" x14ac:dyDescent="0.3">
      <c r="A2453" t="s">
        <v>516</v>
      </c>
      <c r="B2453" t="s">
        <v>643</v>
      </c>
      <c r="C2453" t="s">
        <v>10</v>
      </c>
      <c r="D2453" t="s">
        <v>14</v>
      </c>
      <c r="E2453">
        <v>202602</v>
      </c>
      <c r="F2453" t="s">
        <v>279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1</v>
      </c>
      <c r="AM2453">
        <v>0</v>
      </c>
      <c r="AN2453">
        <v>1</v>
      </c>
    </row>
    <row r="2454" spans="1:40" x14ac:dyDescent="0.3">
      <c r="A2454" t="s">
        <v>516</v>
      </c>
      <c r="B2454" t="s">
        <v>643</v>
      </c>
      <c r="C2454" t="s">
        <v>10</v>
      </c>
      <c r="D2454" t="s">
        <v>14</v>
      </c>
      <c r="E2454">
        <v>202602</v>
      </c>
      <c r="F2454" t="s">
        <v>125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2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2</v>
      </c>
      <c r="AM2454">
        <v>0</v>
      </c>
      <c r="AN2454">
        <v>2</v>
      </c>
    </row>
    <row r="2455" spans="1:40" x14ac:dyDescent="0.3">
      <c r="A2455" t="s">
        <v>516</v>
      </c>
      <c r="B2455" t="s">
        <v>643</v>
      </c>
      <c r="C2455" t="s">
        <v>10</v>
      </c>
      <c r="D2455" t="s">
        <v>14</v>
      </c>
      <c r="E2455">
        <v>202602</v>
      </c>
      <c r="F2455" t="s">
        <v>126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1</v>
      </c>
      <c r="AM2455">
        <v>0</v>
      </c>
      <c r="AN2455">
        <v>1</v>
      </c>
    </row>
    <row r="2456" spans="1:40" x14ac:dyDescent="0.3">
      <c r="A2456" t="s">
        <v>516</v>
      </c>
      <c r="B2456" t="s">
        <v>643</v>
      </c>
      <c r="C2456" t="s">
        <v>10</v>
      </c>
      <c r="D2456" t="s">
        <v>14</v>
      </c>
      <c r="E2456">
        <v>202602</v>
      </c>
      <c r="F2456" t="s">
        <v>127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0</v>
      </c>
      <c r="AN2456">
        <v>1</v>
      </c>
    </row>
    <row r="2457" spans="1:40" x14ac:dyDescent="0.3">
      <c r="A2457" t="s">
        <v>516</v>
      </c>
      <c r="B2457" t="s">
        <v>643</v>
      </c>
      <c r="C2457" t="s">
        <v>10</v>
      </c>
      <c r="D2457" t="s">
        <v>14</v>
      </c>
      <c r="E2457">
        <v>202602</v>
      </c>
      <c r="F2457" t="s">
        <v>319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</v>
      </c>
      <c r="P2457">
        <v>0</v>
      </c>
      <c r="Q2457">
        <v>2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6</v>
      </c>
      <c r="AM2457">
        <v>0</v>
      </c>
      <c r="AN2457">
        <v>6</v>
      </c>
    </row>
    <row r="2458" spans="1:40" x14ac:dyDescent="0.3">
      <c r="A2458" t="s">
        <v>516</v>
      </c>
      <c r="B2458" t="s">
        <v>643</v>
      </c>
      <c r="C2458" t="s">
        <v>10</v>
      </c>
      <c r="D2458" t="s">
        <v>14</v>
      </c>
      <c r="E2458">
        <v>202602</v>
      </c>
      <c r="F2458" t="s">
        <v>226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1</v>
      </c>
      <c r="M2458">
        <v>2</v>
      </c>
      <c r="N2458">
        <v>0</v>
      </c>
      <c r="O2458">
        <v>0</v>
      </c>
      <c r="P2458">
        <v>1</v>
      </c>
      <c r="Q2458">
        <v>1</v>
      </c>
      <c r="R2458">
        <v>1</v>
      </c>
      <c r="S2458">
        <v>0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1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10</v>
      </c>
      <c r="AM2458">
        <v>0.33333333333333331</v>
      </c>
      <c r="AN2458">
        <v>11.43424142790025</v>
      </c>
    </row>
    <row r="2459" spans="1:40" x14ac:dyDescent="0.3">
      <c r="A2459" t="s">
        <v>516</v>
      </c>
      <c r="B2459" t="s">
        <v>643</v>
      </c>
      <c r="C2459" t="s">
        <v>10</v>
      </c>
      <c r="D2459" t="s">
        <v>14</v>
      </c>
      <c r="E2459">
        <v>202602</v>
      </c>
      <c r="F2459" t="s">
        <v>128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1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3</v>
      </c>
      <c r="AM2459">
        <v>0.66666666666666663</v>
      </c>
      <c r="AN2459">
        <v>5.8684828558005</v>
      </c>
    </row>
    <row r="2460" spans="1:40" x14ac:dyDescent="0.3">
      <c r="A2460" t="s">
        <v>516</v>
      </c>
      <c r="B2460" t="s">
        <v>643</v>
      </c>
      <c r="C2460" t="s">
        <v>10</v>
      </c>
      <c r="D2460" t="s">
        <v>14</v>
      </c>
      <c r="E2460">
        <v>202602</v>
      </c>
      <c r="F2460" t="s">
        <v>750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</v>
      </c>
      <c r="AM2460">
        <v>0.33333333333333331</v>
      </c>
      <c r="AN2460">
        <v>2.43424142790025</v>
      </c>
    </row>
    <row r="2461" spans="1:40" x14ac:dyDescent="0.3">
      <c r="A2461" t="s">
        <v>516</v>
      </c>
      <c r="B2461" t="s">
        <v>643</v>
      </c>
      <c r="C2461" t="s">
        <v>10</v>
      </c>
      <c r="D2461" t="s">
        <v>14</v>
      </c>
      <c r="E2461">
        <v>202602</v>
      </c>
      <c r="F2461" t="s">
        <v>436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1</v>
      </c>
      <c r="AM2461">
        <v>0</v>
      </c>
      <c r="AN2461">
        <v>1</v>
      </c>
    </row>
    <row r="2462" spans="1:40" x14ac:dyDescent="0.3">
      <c r="A2462" t="s">
        <v>516</v>
      </c>
      <c r="B2462" t="s">
        <v>643</v>
      </c>
      <c r="C2462" t="s">
        <v>16</v>
      </c>
      <c r="D2462" t="s">
        <v>11</v>
      </c>
      <c r="E2462">
        <v>202602</v>
      </c>
      <c r="F2462" t="s">
        <v>134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1</v>
      </c>
      <c r="AM2462">
        <v>0.33333333333333331</v>
      </c>
      <c r="AN2462">
        <v>2.6796686227130611</v>
      </c>
    </row>
    <row r="2463" spans="1:40" x14ac:dyDescent="0.3">
      <c r="A2463" t="s">
        <v>516</v>
      </c>
      <c r="B2463" t="s">
        <v>643</v>
      </c>
      <c r="C2463" t="s">
        <v>16</v>
      </c>
      <c r="D2463" t="s">
        <v>11</v>
      </c>
      <c r="E2463">
        <v>202602</v>
      </c>
      <c r="F2463" t="s">
        <v>562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0</v>
      </c>
      <c r="AN2463">
        <v>1</v>
      </c>
    </row>
    <row r="2464" spans="1:40" x14ac:dyDescent="0.3">
      <c r="A2464" t="s">
        <v>516</v>
      </c>
      <c r="B2464" t="s">
        <v>643</v>
      </c>
      <c r="C2464" t="s">
        <v>16</v>
      </c>
      <c r="D2464" t="s">
        <v>14</v>
      </c>
      <c r="E2464">
        <v>202602</v>
      </c>
      <c r="F2464" t="s">
        <v>628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1</v>
      </c>
      <c r="AM2464">
        <v>0</v>
      </c>
      <c r="AN2464">
        <v>1</v>
      </c>
    </row>
    <row r="2465" spans="1:40" x14ac:dyDescent="0.3">
      <c r="A2465" t="s">
        <v>516</v>
      </c>
      <c r="B2465" t="s">
        <v>643</v>
      </c>
      <c r="C2465" t="s">
        <v>16</v>
      </c>
      <c r="D2465" t="s">
        <v>14</v>
      </c>
      <c r="E2465">
        <v>202602</v>
      </c>
      <c r="F2465" t="s">
        <v>134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1</v>
      </c>
      <c r="AM2465">
        <v>0</v>
      </c>
      <c r="AN2465">
        <v>1</v>
      </c>
    </row>
    <row r="2466" spans="1:40" x14ac:dyDescent="0.3">
      <c r="A2466" t="s">
        <v>516</v>
      </c>
      <c r="B2466" t="s">
        <v>643</v>
      </c>
      <c r="C2466" t="s">
        <v>16</v>
      </c>
      <c r="D2466" t="s">
        <v>14</v>
      </c>
      <c r="E2466">
        <v>202602</v>
      </c>
      <c r="F2466" t="s">
        <v>562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1</v>
      </c>
      <c r="AM2466">
        <v>0</v>
      </c>
      <c r="AN2466">
        <v>1</v>
      </c>
    </row>
    <row r="2467" spans="1:40" x14ac:dyDescent="0.3">
      <c r="A2467" t="s">
        <v>516</v>
      </c>
      <c r="B2467" t="s">
        <v>136</v>
      </c>
      <c r="C2467" t="s">
        <v>10</v>
      </c>
      <c r="D2467" t="s">
        <v>11</v>
      </c>
      <c r="E2467">
        <v>202602</v>
      </c>
      <c r="F2467" t="s">
        <v>42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3</v>
      </c>
      <c r="AM2467">
        <v>0.33333333333333331</v>
      </c>
      <c r="AN2467">
        <v>4.6796686227130611</v>
      </c>
    </row>
    <row r="2468" spans="1:40" x14ac:dyDescent="0.3">
      <c r="A2468" t="s">
        <v>516</v>
      </c>
      <c r="B2468" t="s">
        <v>136</v>
      </c>
      <c r="C2468" t="s">
        <v>10</v>
      </c>
      <c r="D2468" t="s">
        <v>11</v>
      </c>
      <c r="E2468">
        <v>202602</v>
      </c>
      <c r="F2468" t="s">
        <v>102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1</v>
      </c>
    </row>
    <row r="2469" spans="1:40" x14ac:dyDescent="0.3">
      <c r="A2469" t="s">
        <v>516</v>
      </c>
      <c r="B2469" t="s">
        <v>136</v>
      </c>
      <c r="C2469" t="s">
        <v>10</v>
      </c>
      <c r="D2469" t="s">
        <v>11</v>
      </c>
      <c r="E2469">
        <v>202602</v>
      </c>
      <c r="F2469" t="s">
        <v>101</v>
      </c>
      <c r="G2469">
        <v>0</v>
      </c>
      <c r="H2469">
        <v>9</v>
      </c>
      <c r="I2469">
        <v>1</v>
      </c>
      <c r="J2469">
        <v>5</v>
      </c>
      <c r="K2469">
        <v>7</v>
      </c>
      <c r="L2469">
        <v>10</v>
      </c>
      <c r="M2469">
        <v>2</v>
      </c>
      <c r="N2469">
        <v>0</v>
      </c>
      <c r="O2469">
        <v>3</v>
      </c>
      <c r="P2469">
        <v>10</v>
      </c>
      <c r="Q2469">
        <v>6</v>
      </c>
      <c r="R2469">
        <v>8</v>
      </c>
      <c r="S2469">
        <v>6</v>
      </c>
      <c r="T2469">
        <v>3</v>
      </c>
      <c r="U2469">
        <v>0</v>
      </c>
      <c r="V2469">
        <v>6</v>
      </c>
      <c r="W2469">
        <v>2</v>
      </c>
      <c r="X2469">
        <v>5</v>
      </c>
      <c r="Y2469">
        <v>8</v>
      </c>
      <c r="Z2469">
        <v>8</v>
      </c>
      <c r="AA2469">
        <v>0</v>
      </c>
      <c r="AB2469">
        <v>1</v>
      </c>
      <c r="AC2469">
        <v>7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107</v>
      </c>
      <c r="AM2469">
        <v>7.666666666666667</v>
      </c>
      <c r="AN2469">
        <v>145.6323783224004</v>
      </c>
    </row>
    <row r="2470" spans="1:40" x14ac:dyDescent="0.3">
      <c r="A2470" t="s">
        <v>516</v>
      </c>
      <c r="B2470" t="s">
        <v>136</v>
      </c>
      <c r="C2470" t="s">
        <v>10</v>
      </c>
      <c r="D2470" t="s">
        <v>14</v>
      </c>
      <c r="E2470">
        <v>202602</v>
      </c>
      <c r="F2470" t="s">
        <v>42</v>
      </c>
      <c r="G2470">
        <v>0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4</v>
      </c>
      <c r="AM2470">
        <v>0.33333333333333331</v>
      </c>
      <c r="AN2470">
        <v>5.4342414279002504</v>
      </c>
    </row>
    <row r="2471" spans="1:40" x14ac:dyDescent="0.3">
      <c r="A2471" t="s">
        <v>516</v>
      </c>
      <c r="B2471" t="s">
        <v>136</v>
      </c>
      <c r="C2471" t="s">
        <v>10</v>
      </c>
      <c r="D2471" t="s">
        <v>14</v>
      </c>
      <c r="E2471">
        <v>202602</v>
      </c>
      <c r="F2471" t="s">
        <v>102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2</v>
      </c>
      <c r="AM2471">
        <v>0</v>
      </c>
      <c r="AN2471">
        <v>2</v>
      </c>
    </row>
    <row r="2472" spans="1:40" x14ac:dyDescent="0.3">
      <c r="A2472" t="s">
        <v>516</v>
      </c>
      <c r="B2472" t="s">
        <v>136</v>
      </c>
      <c r="C2472" t="s">
        <v>10</v>
      </c>
      <c r="D2472" t="s">
        <v>14</v>
      </c>
      <c r="E2472">
        <v>202602</v>
      </c>
      <c r="F2472" t="s">
        <v>101</v>
      </c>
      <c r="G2472">
        <v>0</v>
      </c>
      <c r="H2472">
        <v>10</v>
      </c>
      <c r="I2472">
        <v>11</v>
      </c>
      <c r="J2472">
        <v>10</v>
      </c>
      <c r="K2472">
        <v>4</v>
      </c>
      <c r="L2472">
        <v>14</v>
      </c>
      <c r="M2472">
        <v>0</v>
      </c>
      <c r="N2472">
        <v>0</v>
      </c>
      <c r="O2472">
        <v>9</v>
      </c>
      <c r="P2472">
        <v>9</v>
      </c>
      <c r="Q2472">
        <v>14</v>
      </c>
      <c r="R2472">
        <v>11</v>
      </c>
      <c r="S2472">
        <v>12</v>
      </c>
      <c r="T2472">
        <v>0</v>
      </c>
      <c r="U2472">
        <v>0</v>
      </c>
      <c r="V2472">
        <v>0</v>
      </c>
      <c r="W2472">
        <v>0</v>
      </c>
      <c r="X2472">
        <v>6</v>
      </c>
      <c r="Y2472">
        <v>13</v>
      </c>
      <c r="Z2472">
        <v>13</v>
      </c>
      <c r="AA2472">
        <v>0</v>
      </c>
      <c r="AB2472">
        <v>0</v>
      </c>
      <c r="AC2472">
        <v>15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151</v>
      </c>
      <c r="AM2472">
        <v>13.666666666666666</v>
      </c>
      <c r="AN2472">
        <v>209.80389854391026</v>
      </c>
    </row>
    <row r="2473" spans="1:40" x14ac:dyDescent="0.3">
      <c r="A2473" t="s">
        <v>516</v>
      </c>
      <c r="B2473" t="s">
        <v>644</v>
      </c>
      <c r="C2473" t="s">
        <v>10</v>
      </c>
      <c r="D2473" t="s">
        <v>11</v>
      </c>
      <c r="E2473">
        <v>202602</v>
      </c>
      <c r="F2473" t="s">
        <v>101</v>
      </c>
      <c r="G2473">
        <v>0</v>
      </c>
      <c r="H2473">
        <v>3</v>
      </c>
      <c r="I2473">
        <v>3</v>
      </c>
      <c r="J2473">
        <v>0</v>
      </c>
      <c r="K2473">
        <v>1</v>
      </c>
      <c r="L2473">
        <v>2</v>
      </c>
      <c r="M2473">
        <v>2</v>
      </c>
      <c r="N2473">
        <v>0</v>
      </c>
      <c r="O2473">
        <v>5</v>
      </c>
      <c r="P2473">
        <v>0</v>
      </c>
      <c r="Q2473">
        <v>2</v>
      </c>
      <c r="R2473">
        <v>3</v>
      </c>
      <c r="S2473">
        <v>2</v>
      </c>
      <c r="T2473">
        <v>3</v>
      </c>
      <c r="U2473">
        <v>0</v>
      </c>
      <c r="V2473">
        <v>4</v>
      </c>
      <c r="W2473">
        <v>1</v>
      </c>
      <c r="X2473">
        <v>4</v>
      </c>
      <c r="Y2473">
        <v>3</v>
      </c>
      <c r="Z2473">
        <v>1</v>
      </c>
      <c r="AA2473">
        <v>0</v>
      </c>
      <c r="AB2473">
        <v>0</v>
      </c>
      <c r="AC2473">
        <v>2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41</v>
      </c>
      <c r="AM2473">
        <v>2</v>
      </c>
      <c r="AN2473">
        <v>51.078011736278363</v>
      </c>
    </row>
    <row r="2474" spans="1:40" x14ac:dyDescent="0.3">
      <c r="A2474" t="s">
        <v>516</v>
      </c>
      <c r="B2474" t="s">
        <v>644</v>
      </c>
      <c r="C2474" t="s">
        <v>10</v>
      </c>
      <c r="D2474" t="s">
        <v>11</v>
      </c>
      <c r="E2474">
        <v>202602</v>
      </c>
      <c r="F2474" t="s">
        <v>138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1</v>
      </c>
      <c r="AB2474">
        <v>0</v>
      </c>
      <c r="AC2474">
        <v>1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4</v>
      </c>
      <c r="AM2474">
        <v>0.33333333333333331</v>
      </c>
      <c r="AN2474">
        <v>5.6796686227130611</v>
      </c>
    </row>
    <row r="2475" spans="1:40" x14ac:dyDescent="0.3">
      <c r="A2475" t="s">
        <v>516</v>
      </c>
      <c r="B2475" t="s">
        <v>644</v>
      </c>
      <c r="C2475" t="s">
        <v>10</v>
      </c>
      <c r="D2475" t="s">
        <v>14</v>
      </c>
      <c r="E2475">
        <v>202602</v>
      </c>
      <c r="F2475" t="s">
        <v>101</v>
      </c>
      <c r="G2475">
        <v>0</v>
      </c>
      <c r="H2475">
        <v>1</v>
      </c>
      <c r="I2475">
        <v>2</v>
      </c>
      <c r="J2475">
        <v>5</v>
      </c>
      <c r="K2475">
        <v>4</v>
      </c>
      <c r="L2475">
        <v>5</v>
      </c>
      <c r="M2475">
        <v>0</v>
      </c>
      <c r="N2475">
        <v>0</v>
      </c>
      <c r="O2475">
        <v>4</v>
      </c>
      <c r="P2475">
        <v>6</v>
      </c>
      <c r="Q2475">
        <v>2</v>
      </c>
      <c r="R2475">
        <v>7</v>
      </c>
      <c r="S2475">
        <v>3</v>
      </c>
      <c r="T2475">
        <v>0</v>
      </c>
      <c r="U2475">
        <v>0</v>
      </c>
      <c r="V2475">
        <v>1</v>
      </c>
      <c r="W2475">
        <v>0</v>
      </c>
      <c r="X2475">
        <v>3</v>
      </c>
      <c r="Y2475">
        <v>1</v>
      </c>
      <c r="Z2475">
        <v>1</v>
      </c>
      <c r="AA2475">
        <v>0</v>
      </c>
      <c r="AB2475">
        <v>0</v>
      </c>
      <c r="AC2475">
        <v>3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48</v>
      </c>
      <c r="AM2475">
        <v>1.6666666666666667</v>
      </c>
      <c r="AN2475">
        <v>55.171207139501249</v>
      </c>
    </row>
    <row r="2476" spans="1:40" x14ac:dyDescent="0.3">
      <c r="A2476" t="s">
        <v>516</v>
      </c>
      <c r="B2476" t="s">
        <v>644</v>
      </c>
      <c r="C2476" t="s">
        <v>10</v>
      </c>
      <c r="D2476" t="s">
        <v>14</v>
      </c>
      <c r="E2476">
        <v>202602</v>
      </c>
      <c r="F2476" t="s">
        <v>138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2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  <c r="Z2476">
        <v>2</v>
      </c>
      <c r="AA2476">
        <v>0</v>
      </c>
      <c r="AB2476">
        <v>0</v>
      </c>
      <c r="AC2476">
        <v>1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7</v>
      </c>
      <c r="AM2476">
        <v>1.3333333333333333</v>
      </c>
      <c r="AN2476">
        <v>12.736965711601</v>
      </c>
    </row>
    <row r="2477" spans="1:40" x14ac:dyDescent="0.3">
      <c r="A2477" t="s">
        <v>516</v>
      </c>
      <c r="B2477" t="s">
        <v>644</v>
      </c>
      <c r="C2477" t="s">
        <v>16</v>
      </c>
      <c r="D2477" t="s">
        <v>11</v>
      </c>
      <c r="E2477">
        <v>202602</v>
      </c>
      <c r="F2477" t="s">
        <v>138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</v>
      </c>
      <c r="AM2477">
        <v>0.33333333333333331</v>
      </c>
      <c r="AN2477">
        <v>2.6796686227130611</v>
      </c>
    </row>
    <row r="2478" spans="1:40" x14ac:dyDescent="0.3">
      <c r="A2478" t="s">
        <v>516</v>
      </c>
      <c r="B2478" t="s">
        <v>644</v>
      </c>
      <c r="C2478" t="s">
        <v>16</v>
      </c>
      <c r="D2478" t="s">
        <v>14</v>
      </c>
      <c r="E2478">
        <v>202602</v>
      </c>
      <c r="F2478" t="s">
        <v>138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1</v>
      </c>
      <c r="AM2478">
        <v>0</v>
      </c>
      <c r="AN2478">
        <v>1</v>
      </c>
    </row>
    <row r="2479" spans="1:40" x14ac:dyDescent="0.3">
      <c r="A2479" t="s">
        <v>516</v>
      </c>
      <c r="B2479" t="s">
        <v>139</v>
      </c>
      <c r="C2479" t="s">
        <v>10</v>
      </c>
      <c r="D2479" t="s">
        <v>11</v>
      </c>
      <c r="E2479">
        <v>202602</v>
      </c>
      <c r="F2479" t="s">
        <v>156</v>
      </c>
      <c r="G2479">
        <v>0</v>
      </c>
      <c r="H2479">
        <v>3</v>
      </c>
      <c r="I2479">
        <v>0</v>
      </c>
      <c r="J2479">
        <v>1</v>
      </c>
      <c r="K2479">
        <v>1</v>
      </c>
      <c r="L2479">
        <v>1</v>
      </c>
      <c r="M2479">
        <v>0</v>
      </c>
      <c r="N2479">
        <v>0</v>
      </c>
      <c r="O2479">
        <v>1</v>
      </c>
      <c r="P2479">
        <v>1</v>
      </c>
      <c r="Q2479">
        <v>0</v>
      </c>
      <c r="R2479">
        <v>3</v>
      </c>
      <c r="S2479">
        <v>1</v>
      </c>
      <c r="T2479">
        <v>0</v>
      </c>
      <c r="U2479">
        <v>0</v>
      </c>
      <c r="V2479">
        <v>1</v>
      </c>
      <c r="W2479">
        <v>2</v>
      </c>
      <c r="X2479">
        <v>0</v>
      </c>
      <c r="Y2479">
        <v>0</v>
      </c>
      <c r="Z2479">
        <v>1</v>
      </c>
      <c r="AA2479">
        <v>1</v>
      </c>
      <c r="AB2479">
        <v>0</v>
      </c>
      <c r="AC2479">
        <v>1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18</v>
      </c>
      <c r="AM2479">
        <v>0.66666666666666663</v>
      </c>
      <c r="AN2479">
        <v>21.359337245426122</v>
      </c>
    </row>
    <row r="2480" spans="1:40" x14ac:dyDescent="0.3">
      <c r="A2480" t="s">
        <v>516</v>
      </c>
      <c r="B2480" t="s">
        <v>139</v>
      </c>
      <c r="C2480" t="s">
        <v>10</v>
      </c>
      <c r="D2480" t="s">
        <v>11</v>
      </c>
      <c r="E2480">
        <v>202602</v>
      </c>
      <c r="F2480" t="s">
        <v>140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2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3</v>
      </c>
      <c r="AM2480">
        <v>0</v>
      </c>
      <c r="AN2480">
        <v>3</v>
      </c>
    </row>
    <row r="2481" spans="1:40" x14ac:dyDescent="0.3">
      <c r="A2481" t="s">
        <v>516</v>
      </c>
      <c r="B2481" t="s">
        <v>139</v>
      </c>
      <c r="C2481" t="s">
        <v>10</v>
      </c>
      <c r="D2481" t="s">
        <v>11</v>
      </c>
      <c r="E2481">
        <v>202602</v>
      </c>
      <c r="F2481" t="s">
        <v>141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1</v>
      </c>
      <c r="AM2481">
        <v>0</v>
      </c>
      <c r="AN2481">
        <v>1</v>
      </c>
    </row>
    <row r="2482" spans="1:40" x14ac:dyDescent="0.3">
      <c r="A2482" t="s">
        <v>516</v>
      </c>
      <c r="B2482" t="s">
        <v>139</v>
      </c>
      <c r="C2482" t="s">
        <v>10</v>
      </c>
      <c r="D2482" t="s">
        <v>11</v>
      </c>
      <c r="E2482">
        <v>202602</v>
      </c>
      <c r="F2482" t="s">
        <v>563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1</v>
      </c>
      <c r="AM2482">
        <v>0</v>
      </c>
      <c r="AN2482">
        <v>1</v>
      </c>
    </row>
    <row r="2483" spans="1:40" x14ac:dyDescent="0.3">
      <c r="A2483" t="s">
        <v>516</v>
      </c>
      <c r="B2483" t="s">
        <v>139</v>
      </c>
      <c r="C2483" t="s">
        <v>10</v>
      </c>
      <c r="D2483" t="s">
        <v>11</v>
      </c>
      <c r="E2483">
        <v>202602</v>
      </c>
      <c r="F2483" t="s">
        <v>142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1</v>
      </c>
      <c r="Y2483">
        <v>0</v>
      </c>
      <c r="Z2483">
        <v>2</v>
      </c>
      <c r="AA2483">
        <v>0</v>
      </c>
      <c r="AB2483">
        <v>0</v>
      </c>
      <c r="AC2483">
        <v>1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6</v>
      </c>
      <c r="AM2483">
        <v>1</v>
      </c>
      <c r="AN2483">
        <v>11.039005868139181</v>
      </c>
    </row>
    <row r="2484" spans="1:40" x14ac:dyDescent="0.3">
      <c r="A2484" t="s">
        <v>516</v>
      </c>
      <c r="B2484" t="s">
        <v>139</v>
      </c>
      <c r="C2484" t="s">
        <v>10</v>
      </c>
      <c r="D2484" t="s">
        <v>11</v>
      </c>
      <c r="E2484">
        <v>202602</v>
      </c>
      <c r="F2484" t="s">
        <v>564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1</v>
      </c>
      <c r="AM2484">
        <v>0</v>
      </c>
      <c r="AN2484">
        <v>1</v>
      </c>
    </row>
    <row r="2485" spans="1:40" x14ac:dyDescent="0.3">
      <c r="A2485" t="s">
        <v>516</v>
      </c>
      <c r="B2485" t="s">
        <v>139</v>
      </c>
      <c r="C2485" t="s">
        <v>10</v>
      </c>
      <c r="D2485" t="s">
        <v>11</v>
      </c>
      <c r="E2485">
        <v>202602</v>
      </c>
      <c r="F2485" t="s">
        <v>143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4</v>
      </c>
      <c r="AM2485">
        <v>0.33333333333333331</v>
      </c>
      <c r="AN2485">
        <v>5.6796686227130611</v>
      </c>
    </row>
    <row r="2486" spans="1:40" x14ac:dyDescent="0.3">
      <c r="A2486" t="s">
        <v>516</v>
      </c>
      <c r="B2486" t="s">
        <v>139</v>
      </c>
      <c r="C2486" t="s">
        <v>10</v>
      </c>
      <c r="D2486" t="s">
        <v>11</v>
      </c>
      <c r="E2486">
        <v>202602</v>
      </c>
      <c r="F2486" t="s">
        <v>565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2</v>
      </c>
      <c r="AM2486">
        <v>0</v>
      </c>
      <c r="AN2486">
        <v>2</v>
      </c>
    </row>
    <row r="2487" spans="1:40" x14ac:dyDescent="0.3">
      <c r="A2487" t="s">
        <v>516</v>
      </c>
      <c r="B2487" t="s">
        <v>139</v>
      </c>
      <c r="C2487" t="s">
        <v>10</v>
      </c>
      <c r="D2487" t="s">
        <v>11</v>
      </c>
      <c r="E2487">
        <v>202602</v>
      </c>
      <c r="F2487" t="s">
        <v>566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0</v>
      </c>
      <c r="AN2487">
        <v>1</v>
      </c>
    </row>
    <row r="2488" spans="1:40" x14ac:dyDescent="0.3">
      <c r="A2488" t="s">
        <v>516</v>
      </c>
      <c r="B2488" t="s">
        <v>139</v>
      </c>
      <c r="C2488" t="s">
        <v>10</v>
      </c>
      <c r="D2488" t="s">
        <v>11</v>
      </c>
      <c r="E2488">
        <v>202602</v>
      </c>
      <c r="F2488" t="s">
        <v>148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2</v>
      </c>
      <c r="AM2488">
        <v>0.33333333333333331</v>
      </c>
      <c r="AN2488">
        <v>3.6796686227130611</v>
      </c>
    </row>
    <row r="2489" spans="1:40" x14ac:dyDescent="0.3">
      <c r="A2489" t="s">
        <v>516</v>
      </c>
      <c r="B2489" t="s">
        <v>139</v>
      </c>
      <c r="C2489" t="s">
        <v>10</v>
      </c>
      <c r="D2489" t="s">
        <v>11</v>
      </c>
      <c r="E2489">
        <v>202602</v>
      </c>
      <c r="F2489" t="s">
        <v>567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3</v>
      </c>
      <c r="AM2489">
        <v>0.33333333333333331</v>
      </c>
      <c r="AN2489">
        <v>4.6796686227130611</v>
      </c>
    </row>
    <row r="2490" spans="1:40" x14ac:dyDescent="0.3">
      <c r="A2490" t="s">
        <v>516</v>
      </c>
      <c r="B2490" t="s">
        <v>139</v>
      </c>
      <c r="C2490" t="s">
        <v>10</v>
      </c>
      <c r="D2490" t="s">
        <v>11</v>
      </c>
      <c r="E2490">
        <v>202602</v>
      </c>
      <c r="F2490" t="s">
        <v>569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1</v>
      </c>
      <c r="AM2490">
        <v>0</v>
      </c>
      <c r="AN2490">
        <v>1</v>
      </c>
    </row>
    <row r="2491" spans="1:40" x14ac:dyDescent="0.3">
      <c r="A2491" t="s">
        <v>516</v>
      </c>
      <c r="B2491" t="s">
        <v>139</v>
      </c>
      <c r="C2491" t="s">
        <v>10</v>
      </c>
      <c r="D2491" t="s">
        <v>11</v>
      </c>
      <c r="E2491">
        <v>202602</v>
      </c>
      <c r="F2491" t="s">
        <v>695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1</v>
      </c>
      <c r="AM2491">
        <v>0</v>
      </c>
      <c r="AN2491">
        <v>1</v>
      </c>
    </row>
    <row r="2492" spans="1:40" x14ac:dyDescent="0.3">
      <c r="A2492" t="s">
        <v>516</v>
      </c>
      <c r="B2492" t="s">
        <v>139</v>
      </c>
      <c r="C2492" t="s">
        <v>10</v>
      </c>
      <c r="D2492" t="s">
        <v>11</v>
      </c>
      <c r="E2492">
        <v>202602</v>
      </c>
      <c r="F2492" t="s">
        <v>159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</v>
      </c>
      <c r="AM2492">
        <v>0</v>
      </c>
      <c r="AN2492">
        <v>1</v>
      </c>
    </row>
    <row r="2493" spans="1:40" x14ac:dyDescent="0.3">
      <c r="A2493" t="s">
        <v>516</v>
      </c>
      <c r="B2493" t="s">
        <v>139</v>
      </c>
      <c r="C2493" t="s">
        <v>10</v>
      </c>
      <c r="D2493" t="s">
        <v>11</v>
      </c>
      <c r="E2493">
        <v>202602</v>
      </c>
      <c r="F2493" t="s">
        <v>570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1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1</v>
      </c>
      <c r="Z2493">
        <v>1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6</v>
      </c>
      <c r="AM2493">
        <v>1</v>
      </c>
      <c r="AN2493">
        <v>11.039005868139181</v>
      </c>
    </row>
    <row r="2494" spans="1:40" x14ac:dyDescent="0.3">
      <c r="A2494" t="s">
        <v>516</v>
      </c>
      <c r="B2494" t="s">
        <v>139</v>
      </c>
      <c r="C2494" t="s">
        <v>10</v>
      </c>
      <c r="D2494" t="s">
        <v>11</v>
      </c>
      <c r="E2494">
        <v>202602</v>
      </c>
      <c r="F2494" t="s">
        <v>568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</v>
      </c>
      <c r="S2494">
        <v>0</v>
      </c>
      <c r="T2494">
        <v>0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4</v>
      </c>
      <c r="AM2494">
        <v>0</v>
      </c>
      <c r="AN2494">
        <v>4</v>
      </c>
    </row>
    <row r="2495" spans="1:40" x14ac:dyDescent="0.3">
      <c r="A2495" t="s">
        <v>516</v>
      </c>
      <c r="B2495" t="s">
        <v>139</v>
      </c>
      <c r="C2495" t="s">
        <v>10</v>
      </c>
      <c r="D2495" t="s">
        <v>14</v>
      </c>
      <c r="E2495">
        <v>202602</v>
      </c>
      <c r="F2495" t="s">
        <v>156</v>
      </c>
      <c r="G2495">
        <v>0</v>
      </c>
      <c r="H2495">
        <v>0</v>
      </c>
      <c r="I2495">
        <v>0</v>
      </c>
      <c r="J2495">
        <v>4</v>
      </c>
      <c r="K2495">
        <v>3</v>
      </c>
      <c r="L2495">
        <v>0</v>
      </c>
      <c r="M2495">
        <v>2</v>
      </c>
      <c r="N2495">
        <v>0</v>
      </c>
      <c r="O2495">
        <v>1</v>
      </c>
      <c r="P2495">
        <v>1</v>
      </c>
      <c r="Q2495">
        <v>3</v>
      </c>
      <c r="R2495">
        <v>0</v>
      </c>
      <c r="S2495">
        <v>2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2</v>
      </c>
      <c r="Z2495">
        <v>2</v>
      </c>
      <c r="AA2495">
        <v>0</v>
      </c>
      <c r="AB2495">
        <v>0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22</v>
      </c>
      <c r="AM2495">
        <v>1.6666666666666667</v>
      </c>
      <c r="AN2495">
        <v>29.171207139501249</v>
      </c>
    </row>
    <row r="2496" spans="1:40" x14ac:dyDescent="0.3">
      <c r="A2496" t="s">
        <v>516</v>
      </c>
      <c r="B2496" t="s">
        <v>139</v>
      </c>
      <c r="C2496" t="s">
        <v>10</v>
      </c>
      <c r="D2496" t="s">
        <v>14</v>
      </c>
      <c r="E2496">
        <v>202602</v>
      </c>
      <c r="F2496" t="s">
        <v>140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2</v>
      </c>
      <c r="Z2496">
        <v>0</v>
      </c>
      <c r="AA2496">
        <v>0</v>
      </c>
      <c r="AB2496">
        <v>0</v>
      </c>
      <c r="AC2496">
        <v>1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6</v>
      </c>
      <c r="AM2496">
        <v>1</v>
      </c>
      <c r="AN2496">
        <v>10.302724283700751</v>
      </c>
    </row>
    <row r="2497" spans="1:40" x14ac:dyDescent="0.3">
      <c r="A2497" t="s">
        <v>516</v>
      </c>
      <c r="B2497" t="s">
        <v>139</v>
      </c>
      <c r="C2497" t="s">
        <v>10</v>
      </c>
      <c r="D2497" t="s">
        <v>14</v>
      </c>
      <c r="E2497">
        <v>202602</v>
      </c>
      <c r="F2497" t="s">
        <v>141</v>
      </c>
      <c r="G2497">
        <v>0</v>
      </c>
      <c r="H2497">
        <v>1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2</v>
      </c>
      <c r="AM2497">
        <v>0</v>
      </c>
      <c r="AN2497">
        <v>2</v>
      </c>
    </row>
    <row r="2498" spans="1:40" x14ac:dyDescent="0.3">
      <c r="A2498" t="s">
        <v>516</v>
      </c>
      <c r="B2498" t="s">
        <v>139</v>
      </c>
      <c r="C2498" t="s">
        <v>10</v>
      </c>
      <c r="D2498" t="s">
        <v>14</v>
      </c>
      <c r="E2498">
        <v>202602</v>
      </c>
      <c r="F2498" t="s">
        <v>563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2</v>
      </c>
      <c r="AM2498">
        <v>0</v>
      </c>
      <c r="AN2498">
        <v>2</v>
      </c>
    </row>
    <row r="2499" spans="1:40" x14ac:dyDescent="0.3">
      <c r="A2499" t="s">
        <v>516</v>
      </c>
      <c r="B2499" t="s">
        <v>139</v>
      </c>
      <c r="C2499" t="s">
        <v>10</v>
      </c>
      <c r="D2499" t="s">
        <v>14</v>
      </c>
      <c r="E2499">
        <v>202602</v>
      </c>
      <c r="F2499" t="s">
        <v>438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0</v>
      </c>
      <c r="AN2499">
        <v>1</v>
      </c>
    </row>
    <row r="2500" spans="1:40" x14ac:dyDescent="0.3">
      <c r="A2500" t="s">
        <v>516</v>
      </c>
      <c r="B2500" t="s">
        <v>139</v>
      </c>
      <c r="C2500" t="s">
        <v>10</v>
      </c>
      <c r="D2500" t="s">
        <v>14</v>
      </c>
      <c r="E2500">
        <v>202602</v>
      </c>
      <c r="F2500" t="s">
        <v>142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6</v>
      </c>
      <c r="AM2500">
        <v>0</v>
      </c>
      <c r="AN2500">
        <v>6</v>
      </c>
    </row>
    <row r="2501" spans="1:40" x14ac:dyDescent="0.3">
      <c r="A2501" t="s">
        <v>516</v>
      </c>
      <c r="B2501" t="s">
        <v>139</v>
      </c>
      <c r="C2501" t="s">
        <v>10</v>
      </c>
      <c r="D2501" t="s">
        <v>14</v>
      </c>
      <c r="E2501">
        <v>202602</v>
      </c>
      <c r="F2501" t="s">
        <v>564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1</v>
      </c>
      <c r="AM2501">
        <v>0</v>
      </c>
      <c r="AN2501">
        <v>1</v>
      </c>
    </row>
    <row r="2502" spans="1:40" x14ac:dyDescent="0.3">
      <c r="A2502" t="s">
        <v>516</v>
      </c>
      <c r="B2502" t="s">
        <v>139</v>
      </c>
      <c r="C2502" t="s">
        <v>10</v>
      </c>
      <c r="D2502" t="s">
        <v>14</v>
      </c>
      <c r="E2502">
        <v>202602</v>
      </c>
      <c r="F2502" t="s">
        <v>143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3</v>
      </c>
      <c r="AM2502">
        <v>0</v>
      </c>
      <c r="AN2502">
        <v>3</v>
      </c>
    </row>
    <row r="2503" spans="1:40" x14ac:dyDescent="0.3">
      <c r="A2503" t="s">
        <v>516</v>
      </c>
      <c r="B2503" t="s">
        <v>139</v>
      </c>
      <c r="C2503" t="s">
        <v>10</v>
      </c>
      <c r="D2503" t="s">
        <v>14</v>
      </c>
      <c r="E2503">
        <v>202602</v>
      </c>
      <c r="F2503" t="s">
        <v>565</v>
      </c>
      <c r="G2503">
        <v>0</v>
      </c>
      <c r="H2503">
        <v>2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4</v>
      </c>
      <c r="AM2503">
        <v>0</v>
      </c>
      <c r="AN2503">
        <v>4</v>
      </c>
    </row>
    <row r="2504" spans="1:40" x14ac:dyDescent="0.3">
      <c r="A2504" t="s">
        <v>516</v>
      </c>
      <c r="B2504" t="s">
        <v>139</v>
      </c>
      <c r="C2504" t="s">
        <v>10</v>
      </c>
      <c r="D2504" t="s">
        <v>14</v>
      </c>
      <c r="E2504">
        <v>202602</v>
      </c>
      <c r="F2504" t="s">
        <v>148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3</v>
      </c>
      <c r="AM2504">
        <v>0.33333333333333331</v>
      </c>
      <c r="AN2504">
        <v>4.4342414279002504</v>
      </c>
    </row>
    <row r="2505" spans="1:40" x14ac:dyDescent="0.3">
      <c r="A2505" t="s">
        <v>516</v>
      </c>
      <c r="B2505" t="s">
        <v>139</v>
      </c>
      <c r="C2505" t="s">
        <v>10</v>
      </c>
      <c r="D2505" t="s">
        <v>14</v>
      </c>
      <c r="E2505">
        <v>202602</v>
      </c>
      <c r="F2505" t="s">
        <v>567</v>
      </c>
      <c r="G2505">
        <v>0</v>
      </c>
      <c r="H2505">
        <v>0</v>
      </c>
      <c r="I2505">
        <v>1</v>
      </c>
      <c r="J2505">
        <v>0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3</v>
      </c>
      <c r="AM2505">
        <v>0.33333333333333331</v>
      </c>
      <c r="AN2505">
        <v>4.4342414279002504</v>
      </c>
    </row>
    <row r="2506" spans="1:40" x14ac:dyDescent="0.3">
      <c r="A2506" t="s">
        <v>516</v>
      </c>
      <c r="B2506" t="s">
        <v>139</v>
      </c>
      <c r="C2506" t="s">
        <v>10</v>
      </c>
      <c r="D2506" t="s">
        <v>14</v>
      </c>
      <c r="E2506">
        <v>202602</v>
      </c>
      <c r="F2506" t="s">
        <v>569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</v>
      </c>
      <c r="AM2506">
        <v>0</v>
      </c>
      <c r="AN2506">
        <v>1</v>
      </c>
    </row>
    <row r="2507" spans="1:40" x14ac:dyDescent="0.3">
      <c r="A2507" t="s">
        <v>516</v>
      </c>
      <c r="B2507" t="s">
        <v>139</v>
      </c>
      <c r="C2507" t="s">
        <v>10</v>
      </c>
      <c r="D2507" t="s">
        <v>14</v>
      </c>
      <c r="E2507">
        <v>202602</v>
      </c>
      <c r="F2507" t="s">
        <v>153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0.33333333333333331</v>
      </c>
      <c r="AN2507">
        <v>2.43424142790025</v>
      </c>
    </row>
    <row r="2508" spans="1:40" x14ac:dyDescent="0.3">
      <c r="A2508" t="s">
        <v>516</v>
      </c>
      <c r="B2508" t="s">
        <v>139</v>
      </c>
      <c r="C2508" t="s">
        <v>10</v>
      </c>
      <c r="D2508" t="s">
        <v>14</v>
      </c>
      <c r="E2508">
        <v>202602</v>
      </c>
      <c r="F2508" t="s">
        <v>695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1</v>
      </c>
      <c r="AM2508">
        <v>0</v>
      </c>
      <c r="AN2508">
        <v>1</v>
      </c>
    </row>
    <row r="2509" spans="1:40" x14ac:dyDescent="0.3">
      <c r="A2509" t="s">
        <v>516</v>
      </c>
      <c r="B2509" t="s">
        <v>139</v>
      </c>
      <c r="C2509" t="s">
        <v>10</v>
      </c>
      <c r="D2509" t="s">
        <v>14</v>
      </c>
      <c r="E2509">
        <v>202602</v>
      </c>
      <c r="F2509" t="s">
        <v>234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1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2</v>
      </c>
      <c r="AM2509">
        <v>0.33333333333333331</v>
      </c>
      <c r="AN2509">
        <v>3.43424142790025</v>
      </c>
    </row>
    <row r="2510" spans="1:40" x14ac:dyDescent="0.3">
      <c r="A2510" t="s">
        <v>516</v>
      </c>
      <c r="B2510" t="s">
        <v>139</v>
      </c>
      <c r="C2510" t="s">
        <v>10</v>
      </c>
      <c r="D2510" t="s">
        <v>14</v>
      </c>
      <c r="E2510">
        <v>202602</v>
      </c>
      <c r="F2510" t="s">
        <v>159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1</v>
      </c>
      <c r="AM2510">
        <v>0</v>
      </c>
      <c r="AN2510">
        <v>1</v>
      </c>
    </row>
    <row r="2511" spans="1:40" x14ac:dyDescent="0.3">
      <c r="A2511" t="s">
        <v>516</v>
      </c>
      <c r="B2511" t="s">
        <v>139</v>
      </c>
      <c r="C2511" t="s">
        <v>10</v>
      </c>
      <c r="D2511" t="s">
        <v>14</v>
      </c>
      <c r="E2511">
        <v>202602</v>
      </c>
      <c r="F2511" t="s">
        <v>570</v>
      </c>
      <c r="G2511">
        <v>0</v>
      </c>
      <c r="H2511">
        <v>0</v>
      </c>
      <c r="I2511">
        <v>1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2</v>
      </c>
      <c r="R2511">
        <v>1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9</v>
      </c>
      <c r="AM2511">
        <v>0.66666666666666663</v>
      </c>
      <c r="AN2511">
        <v>11.868482855800501</v>
      </c>
    </row>
    <row r="2512" spans="1:40" x14ac:dyDescent="0.3">
      <c r="A2512" t="s">
        <v>516</v>
      </c>
      <c r="B2512" t="s">
        <v>139</v>
      </c>
      <c r="C2512" t="s">
        <v>10</v>
      </c>
      <c r="D2512" t="s">
        <v>14</v>
      </c>
      <c r="E2512">
        <v>202602</v>
      </c>
      <c r="F2512" t="s">
        <v>568</v>
      </c>
      <c r="G2512">
        <v>0</v>
      </c>
      <c r="H2512">
        <v>0</v>
      </c>
      <c r="I2512">
        <v>0</v>
      </c>
      <c r="J2512">
        <v>0</v>
      </c>
      <c r="K2512">
        <v>2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3</v>
      </c>
      <c r="AM2512">
        <v>0</v>
      </c>
      <c r="AN2512">
        <v>3</v>
      </c>
    </row>
    <row r="2513" spans="1:40" x14ac:dyDescent="0.3">
      <c r="A2513" t="s">
        <v>516</v>
      </c>
      <c r="B2513" t="s">
        <v>139</v>
      </c>
      <c r="C2513" t="s">
        <v>16</v>
      </c>
      <c r="D2513" t="s">
        <v>14</v>
      </c>
      <c r="E2513">
        <v>202602</v>
      </c>
      <c r="F2513" t="s">
        <v>148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</v>
      </c>
      <c r="AM2513">
        <v>0</v>
      </c>
      <c r="AN2513">
        <v>1</v>
      </c>
    </row>
    <row r="2514" spans="1:40" x14ac:dyDescent="0.3">
      <c r="A2514" t="s">
        <v>516</v>
      </c>
      <c r="B2514" t="s">
        <v>238</v>
      </c>
      <c r="C2514" t="s">
        <v>10</v>
      </c>
      <c r="D2514" t="s">
        <v>11</v>
      </c>
      <c r="E2514">
        <v>202602</v>
      </c>
      <c r="F2514" t="s">
        <v>203</v>
      </c>
      <c r="G2514">
        <v>0</v>
      </c>
      <c r="H2514">
        <v>0</v>
      </c>
      <c r="I2514">
        <v>2</v>
      </c>
      <c r="J2514">
        <v>0</v>
      </c>
      <c r="K2514">
        <v>2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7</v>
      </c>
      <c r="AM2514">
        <v>0</v>
      </c>
      <c r="AN2514">
        <v>7</v>
      </c>
    </row>
    <row r="2515" spans="1:40" x14ac:dyDescent="0.3">
      <c r="A2515" t="s">
        <v>516</v>
      </c>
      <c r="B2515" t="s">
        <v>238</v>
      </c>
      <c r="C2515" t="s">
        <v>10</v>
      </c>
      <c r="D2515" t="s">
        <v>11</v>
      </c>
      <c r="E2515">
        <v>202602</v>
      </c>
      <c r="F2515" t="s">
        <v>571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1</v>
      </c>
      <c r="AM2515">
        <v>0</v>
      </c>
      <c r="AN2515">
        <v>1</v>
      </c>
    </row>
    <row r="2516" spans="1:40" x14ac:dyDescent="0.3">
      <c r="A2516" t="s">
        <v>516</v>
      </c>
      <c r="B2516" t="s">
        <v>238</v>
      </c>
      <c r="C2516" t="s">
        <v>10</v>
      </c>
      <c r="D2516" t="s">
        <v>14</v>
      </c>
      <c r="E2516">
        <v>202602</v>
      </c>
      <c r="F2516" t="s">
        <v>203</v>
      </c>
      <c r="G2516">
        <v>0</v>
      </c>
      <c r="H2516">
        <v>0</v>
      </c>
      <c r="I2516">
        <v>1</v>
      </c>
      <c r="J2516">
        <v>2</v>
      </c>
      <c r="K2516">
        <v>0</v>
      </c>
      <c r="L2516">
        <v>0</v>
      </c>
      <c r="M2516">
        <v>0</v>
      </c>
      <c r="N2516">
        <v>0</v>
      </c>
      <c r="O2516">
        <v>1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6</v>
      </c>
      <c r="AM2516">
        <v>0.33333333333333331</v>
      </c>
      <c r="AN2516">
        <v>7.4342414279002504</v>
      </c>
    </row>
    <row r="2517" spans="1:40" x14ac:dyDescent="0.3">
      <c r="A2517" t="s">
        <v>516</v>
      </c>
      <c r="B2517" t="s">
        <v>238</v>
      </c>
      <c r="C2517" t="s">
        <v>10</v>
      </c>
      <c r="D2517" t="s">
        <v>14</v>
      </c>
      <c r="E2517">
        <v>202602</v>
      </c>
      <c r="F2517" t="s">
        <v>571</v>
      </c>
      <c r="G2517">
        <v>0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</v>
      </c>
      <c r="AM2517">
        <v>0</v>
      </c>
      <c r="AN2517">
        <v>1</v>
      </c>
    </row>
    <row r="2518" spans="1:40" x14ac:dyDescent="0.3">
      <c r="A2518" t="s">
        <v>516</v>
      </c>
      <c r="B2518" t="s">
        <v>656</v>
      </c>
      <c r="C2518" t="s">
        <v>10</v>
      </c>
      <c r="D2518" t="s">
        <v>11</v>
      </c>
      <c r="E2518">
        <v>202602</v>
      </c>
      <c r="F2518" t="s">
        <v>171</v>
      </c>
      <c r="G2518">
        <v>0</v>
      </c>
      <c r="H2518">
        <v>9</v>
      </c>
      <c r="I2518">
        <v>13</v>
      </c>
      <c r="J2518">
        <v>12</v>
      </c>
      <c r="K2518">
        <v>13</v>
      </c>
      <c r="L2518">
        <v>21</v>
      </c>
      <c r="M2518">
        <v>14</v>
      </c>
      <c r="N2518">
        <v>6</v>
      </c>
      <c r="O2518">
        <v>25</v>
      </c>
      <c r="P2518">
        <v>30</v>
      </c>
      <c r="Q2518">
        <v>15</v>
      </c>
      <c r="R2518">
        <v>23</v>
      </c>
      <c r="S2518">
        <v>22</v>
      </c>
      <c r="T2518">
        <v>17</v>
      </c>
      <c r="U2518">
        <v>0</v>
      </c>
      <c r="V2518">
        <v>11</v>
      </c>
      <c r="W2518">
        <v>10</v>
      </c>
      <c r="X2518">
        <v>16</v>
      </c>
      <c r="Y2518">
        <v>24</v>
      </c>
      <c r="Z2518">
        <v>19</v>
      </c>
      <c r="AA2518">
        <v>20</v>
      </c>
      <c r="AB2518">
        <v>10</v>
      </c>
      <c r="AC2518">
        <v>24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354</v>
      </c>
      <c r="AM2518">
        <v>22.333333333333332</v>
      </c>
      <c r="AN2518">
        <v>466.53779772177506</v>
      </c>
    </row>
    <row r="2519" spans="1:40" x14ac:dyDescent="0.3">
      <c r="A2519" t="s">
        <v>516</v>
      </c>
      <c r="B2519" t="s">
        <v>656</v>
      </c>
      <c r="C2519" t="s">
        <v>10</v>
      </c>
      <c r="D2519" t="s">
        <v>11</v>
      </c>
      <c r="E2519">
        <v>202602</v>
      </c>
      <c r="F2519" t="s">
        <v>572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1</v>
      </c>
      <c r="AM2519">
        <v>0</v>
      </c>
      <c r="AN2519">
        <v>1</v>
      </c>
    </row>
    <row r="2520" spans="1:40" x14ac:dyDescent="0.3">
      <c r="A2520" t="s">
        <v>516</v>
      </c>
      <c r="B2520" t="s">
        <v>656</v>
      </c>
      <c r="C2520" t="s">
        <v>10</v>
      </c>
      <c r="D2520" t="s">
        <v>14</v>
      </c>
      <c r="E2520">
        <v>202602</v>
      </c>
      <c r="F2520" t="s">
        <v>171</v>
      </c>
      <c r="G2520">
        <v>0</v>
      </c>
      <c r="H2520">
        <v>22</v>
      </c>
      <c r="I2520">
        <v>33</v>
      </c>
      <c r="J2520">
        <v>28</v>
      </c>
      <c r="K2520">
        <v>42</v>
      </c>
      <c r="L2520">
        <v>32</v>
      </c>
      <c r="M2520">
        <v>15</v>
      </c>
      <c r="N2520">
        <v>0</v>
      </c>
      <c r="O2520">
        <v>33</v>
      </c>
      <c r="P2520">
        <v>39</v>
      </c>
      <c r="Q2520">
        <v>32</v>
      </c>
      <c r="R2520">
        <v>28</v>
      </c>
      <c r="S2520">
        <v>20</v>
      </c>
      <c r="T2520">
        <v>5</v>
      </c>
      <c r="U2520">
        <v>0</v>
      </c>
      <c r="V2520">
        <v>12</v>
      </c>
      <c r="W2520">
        <v>2</v>
      </c>
      <c r="X2520">
        <v>34</v>
      </c>
      <c r="Y2520">
        <v>38</v>
      </c>
      <c r="Z2520">
        <v>36</v>
      </c>
      <c r="AA2520">
        <v>12</v>
      </c>
      <c r="AB2520">
        <v>0</v>
      </c>
      <c r="AC2520">
        <v>39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502</v>
      </c>
      <c r="AM2520">
        <v>37.666666666666664</v>
      </c>
      <c r="AN2520">
        <v>664.06928135272824</v>
      </c>
    </row>
    <row r="2521" spans="1:40" x14ac:dyDescent="0.3">
      <c r="A2521" t="s">
        <v>516</v>
      </c>
      <c r="B2521" t="s">
        <v>656</v>
      </c>
      <c r="C2521" t="s">
        <v>16</v>
      </c>
      <c r="D2521" t="s">
        <v>11</v>
      </c>
      <c r="E2521">
        <v>202602</v>
      </c>
      <c r="F2521" t="s">
        <v>171</v>
      </c>
      <c r="G2521">
        <v>0</v>
      </c>
      <c r="H2521">
        <v>0</v>
      </c>
      <c r="I2521">
        <v>1</v>
      </c>
      <c r="J2521">
        <v>1</v>
      </c>
      <c r="K2521">
        <v>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2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6</v>
      </c>
      <c r="AM2521">
        <v>0.66666666666666663</v>
      </c>
      <c r="AN2521">
        <v>9.3593372454261221</v>
      </c>
    </row>
    <row r="2522" spans="1:40" x14ac:dyDescent="0.3">
      <c r="A2522" t="s">
        <v>516</v>
      </c>
      <c r="B2522" t="s">
        <v>656</v>
      </c>
      <c r="C2522" t="s">
        <v>16</v>
      </c>
      <c r="D2522" t="s">
        <v>14</v>
      </c>
      <c r="E2522">
        <v>202602</v>
      </c>
      <c r="F2522" t="s">
        <v>171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2</v>
      </c>
      <c r="Y2522">
        <v>2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6</v>
      </c>
      <c r="AM2522">
        <v>0.66666666666666663</v>
      </c>
      <c r="AN2522">
        <v>8.8684828558005009</v>
      </c>
    </row>
    <row r="2523" spans="1:40" x14ac:dyDescent="0.3">
      <c r="A2523" t="s">
        <v>516</v>
      </c>
      <c r="B2523" t="s">
        <v>164</v>
      </c>
      <c r="C2523" t="s">
        <v>10</v>
      </c>
      <c r="D2523" t="s">
        <v>11</v>
      </c>
      <c r="E2523">
        <v>202602</v>
      </c>
      <c r="F2523" t="s">
        <v>18</v>
      </c>
      <c r="G2523">
        <v>0</v>
      </c>
      <c r="H2523">
        <v>21</v>
      </c>
      <c r="I2523">
        <v>18</v>
      </c>
      <c r="J2523">
        <v>25</v>
      </c>
      <c r="K2523">
        <v>33</v>
      </c>
      <c r="L2523">
        <v>32</v>
      </c>
      <c r="M2523">
        <v>7</v>
      </c>
      <c r="N2523">
        <v>4</v>
      </c>
      <c r="O2523">
        <v>29</v>
      </c>
      <c r="P2523">
        <v>25</v>
      </c>
      <c r="Q2523">
        <v>15</v>
      </c>
      <c r="R2523">
        <v>28</v>
      </c>
      <c r="S2523">
        <v>21</v>
      </c>
      <c r="T2523">
        <v>17</v>
      </c>
      <c r="U2523">
        <v>1</v>
      </c>
      <c r="V2523">
        <v>16</v>
      </c>
      <c r="W2523">
        <v>30</v>
      </c>
      <c r="X2523">
        <v>25</v>
      </c>
      <c r="Y2523">
        <v>34</v>
      </c>
      <c r="Z2523">
        <v>24</v>
      </c>
      <c r="AA2523">
        <v>8</v>
      </c>
      <c r="AB2523">
        <v>4</v>
      </c>
      <c r="AC2523">
        <v>34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451</v>
      </c>
      <c r="AM2523">
        <v>30.666666666666668</v>
      </c>
      <c r="AN2523">
        <v>605.5295132896016</v>
      </c>
    </row>
    <row r="2524" spans="1:40" x14ac:dyDescent="0.3">
      <c r="A2524" t="s">
        <v>516</v>
      </c>
      <c r="B2524" t="s">
        <v>164</v>
      </c>
      <c r="C2524" t="s">
        <v>10</v>
      </c>
      <c r="D2524" t="s">
        <v>11</v>
      </c>
      <c r="E2524">
        <v>202602</v>
      </c>
      <c r="F2524" t="s">
        <v>138</v>
      </c>
      <c r="G2524">
        <v>0</v>
      </c>
      <c r="H2524">
        <v>18</v>
      </c>
      <c r="I2524">
        <v>17</v>
      </c>
      <c r="J2524">
        <v>9</v>
      </c>
      <c r="K2524">
        <v>22</v>
      </c>
      <c r="L2524">
        <v>19</v>
      </c>
      <c r="M2524">
        <v>7</v>
      </c>
      <c r="N2524">
        <v>1</v>
      </c>
      <c r="O2524">
        <v>11</v>
      </c>
      <c r="P2524">
        <v>17</v>
      </c>
      <c r="Q2524">
        <v>6</v>
      </c>
      <c r="R2524">
        <v>28</v>
      </c>
      <c r="S2524">
        <v>18</v>
      </c>
      <c r="T2524">
        <v>7</v>
      </c>
      <c r="U2524">
        <v>1</v>
      </c>
      <c r="V2524">
        <v>13</v>
      </c>
      <c r="W2524">
        <v>11</v>
      </c>
      <c r="X2524">
        <v>23</v>
      </c>
      <c r="Y2524">
        <v>18</v>
      </c>
      <c r="Z2524">
        <v>17</v>
      </c>
      <c r="AA2524">
        <v>7</v>
      </c>
      <c r="AB2524">
        <v>2</v>
      </c>
      <c r="AC2524">
        <v>24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296</v>
      </c>
      <c r="AM2524">
        <v>19.666666666666668</v>
      </c>
      <c r="AN2524">
        <v>395.10044874007059</v>
      </c>
    </row>
    <row r="2525" spans="1:40" x14ac:dyDescent="0.3">
      <c r="A2525" t="s">
        <v>516</v>
      </c>
      <c r="B2525" t="s">
        <v>164</v>
      </c>
      <c r="C2525" t="s">
        <v>10</v>
      </c>
      <c r="D2525" t="s">
        <v>14</v>
      </c>
      <c r="E2525">
        <v>202602</v>
      </c>
      <c r="F2525" t="s">
        <v>18</v>
      </c>
      <c r="G2525">
        <v>9</v>
      </c>
      <c r="H2525">
        <v>40</v>
      </c>
      <c r="I2525">
        <v>30</v>
      </c>
      <c r="J2525">
        <v>36</v>
      </c>
      <c r="K2525">
        <v>31</v>
      </c>
      <c r="L2525">
        <v>22</v>
      </c>
      <c r="M2525">
        <v>11</v>
      </c>
      <c r="N2525">
        <v>7</v>
      </c>
      <c r="O2525">
        <v>32</v>
      </c>
      <c r="P2525">
        <v>39</v>
      </c>
      <c r="Q2525">
        <v>36</v>
      </c>
      <c r="R2525">
        <v>32</v>
      </c>
      <c r="S2525">
        <v>23</v>
      </c>
      <c r="T2525">
        <v>13</v>
      </c>
      <c r="U2525">
        <v>5</v>
      </c>
      <c r="V2525">
        <v>18</v>
      </c>
      <c r="W2525">
        <v>13</v>
      </c>
      <c r="X2525">
        <v>46</v>
      </c>
      <c r="Y2525">
        <v>31</v>
      </c>
      <c r="Z2525">
        <v>34</v>
      </c>
      <c r="AA2525">
        <v>14</v>
      </c>
      <c r="AB2525">
        <v>7</v>
      </c>
      <c r="AC2525">
        <v>35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564</v>
      </c>
      <c r="AM2525">
        <v>33.333333333333336</v>
      </c>
      <c r="AN2525">
        <v>707.42414279002503</v>
      </c>
    </row>
    <row r="2526" spans="1:40" x14ac:dyDescent="0.3">
      <c r="A2526" t="s">
        <v>516</v>
      </c>
      <c r="B2526" t="s">
        <v>164</v>
      </c>
      <c r="C2526" t="s">
        <v>10</v>
      </c>
      <c r="D2526" t="s">
        <v>14</v>
      </c>
      <c r="E2526">
        <v>202602</v>
      </c>
      <c r="F2526" t="s">
        <v>138</v>
      </c>
      <c r="G2526">
        <v>0</v>
      </c>
      <c r="H2526">
        <v>18</v>
      </c>
      <c r="I2526">
        <v>25</v>
      </c>
      <c r="J2526">
        <v>28</v>
      </c>
      <c r="K2526">
        <v>16</v>
      </c>
      <c r="L2526">
        <v>22</v>
      </c>
      <c r="M2526">
        <v>10</v>
      </c>
      <c r="N2526">
        <v>0</v>
      </c>
      <c r="O2526">
        <v>34</v>
      </c>
      <c r="P2526">
        <v>25</v>
      </c>
      <c r="Q2526">
        <v>33</v>
      </c>
      <c r="R2526">
        <v>28</v>
      </c>
      <c r="S2526">
        <v>21</v>
      </c>
      <c r="T2526">
        <v>11</v>
      </c>
      <c r="U2526">
        <v>0</v>
      </c>
      <c r="V2526">
        <v>14</v>
      </c>
      <c r="W2526">
        <v>10</v>
      </c>
      <c r="X2526">
        <v>29</v>
      </c>
      <c r="Y2526">
        <v>24</v>
      </c>
      <c r="Z2526">
        <v>28</v>
      </c>
      <c r="AA2526">
        <v>14</v>
      </c>
      <c r="AB2526">
        <v>0</v>
      </c>
      <c r="AC2526">
        <v>30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420</v>
      </c>
      <c r="AM2526">
        <v>27.333333333333332</v>
      </c>
      <c r="AN2526">
        <v>537.60779708782047</v>
      </c>
    </row>
    <row r="2527" spans="1:40" x14ac:dyDescent="0.3">
      <c r="A2527" t="s">
        <v>516</v>
      </c>
      <c r="B2527" t="s">
        <v>164</v>
      </c>
      <c r="C2527" t="s">
        <v>16</v>
      </c>
      <c r="D2527" t="s">
        <v>11</v>
      </c>
      <c r="E2527">
        <v>202602</v>
      </c>
      <c r="F2527" t="s">
        <v>18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2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1</v>
      </c>
      <c r="Y2527">
        <v>1</v>
      </c>
      <c r="Z2527">
        <v>0</v>
      </c>
      <c r="AA2527">
        <v>2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12</v>
      </c>
      <c r="AM2527">
        <v>0.33333333333333331</v>
      </c>
      <c r="AN2527">
        <v>13.679668622713061</v>
      </c>
    </row>
    <row r="2528" spans="1:40" x14ac:dyDescent="0.3">
      <c r="A2528" t="s">
        <v>516</v>
      </c>
      <c r="B2528" t="s">
        <v>164</v>
      </c>
      <c r="C2528" t="s">
        <v>16</v>
      </c>
      <c r="D2528" t="s">
        <v>11</v>
      </c>
      <c r="E2528">
        <v>202602</v>
      </c>
      <c r="F2528" t="s">
        <v>138</v>
      </c>
      <c r="G2528">
        <v>0</v>
      </c>
      <c r="H2528">
        <v>0</v>
      </c>
      <c r="I2528">
        <v>0</v>
      </c>
      <c r="J2528">
        <v>0</v>
      </c>
      <c r="K2528">
        <v>1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2</v>
      </c>
      <c r="AA2528">
        <v>1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8</v>
      </c>
      <c r="AM2528">
        <v>1</v>
      </c>
      <c r="AN2528">
        <v>13.039005868139181</v>
      </c>
    </row>
    <row r="2529" spans="1:40" x14ac:dyDescent="0.3">
      <c r="A2529" t="s">
        <v>516</v>
      </c>
      <c r="B2529" t="s">
        <v>164</v>
      </c>
      <c r="C2529" t="s">
        <v>16</v>
      </c>
      <c r="D2529" t="s">
        <v>14</v>
      </c>
      <c r="E2529">
        <v>202602</v>
      </c>
      <c r="F2529" t="s">
        <v>18</v>
      </c>
      <c r="G2529">
        <v>0</v>
      </c>
      <c r="H2529">
        <v>1</v>
      </c>
      <c r="I2529">
        <v>1</v>
      </c>
      <c r="J2529">
        <v>0</v>
      </c>
      <c r="K2529">
        <v>0</v>
      </c>
      <c r="L2529">
        <v>2</v>
      </c>
      <c r="M2529">
        <v>0</v>
      </c>
      <c r="N2529">
        <v>0</v>
      </c>
      <c r="O2529">
        <v>1</v>
      </c>
      <c r="P2529">
        <v>2</v>
      </c>
      <c r="Q2529">
        <v>0</v>
      </c>
      <c r="R2529">
        <v>1</v>
      </c>
      <c r="S2529">
        <v>0</v>
      </c>
      <c r="T2529">
        <v>1</v>
      </c>
      <c r="U2529">
        <v>0</v>
      </c>
      <c r="V2529">
        <v>2</v>
      </c>
      <c r="W2529">
        <v>0</v>
      </c>
      <c r="X2529">
        <v>0</v>
      </c>
      <c r="Y2529">
        <v>2</v>
      </c>
      <c r="Z2529">
        <v>2</v>
      </c>
      <c r="AA2529">
        <v>0</v>
      </c>
      <c r="AB2529">
        <v>1</v>
      </c>
      <c r="AC2529">
        <v>2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18</v>
      </c>
      <c r="AM2529">
        <v>2</v>
      </c>
      <c r="AN2529">
        <v>26.605448567401503</v>
      </c>
    </row>
    <row r="2530" spans="1:40" x14ac:dyDescent="0.3">
      <c r="A2530" t="s">
        <v>516</v>
      </c>
      <c r="B2530" t="s">
        <v>164</v>
      </c>
      <c r="C2530" t="s">
        <v>16</v>
      </c>
      <c r="D2530" t="s">
        <v>14</v>
      </c>
      <c r="E2530">
        <v>202602</v>
      </c>
      <c r="F2530" t="s">
        <v>138</v>
      </c>
      <c r="G2530">
        <v>0</v>
      </c>
      <c r="H2530">
        <v>0</v>
      </c>
      <c r="I2530">
        <v>0</v>
      </c>
      <c r="J2530">
        <v>0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1</v>
      </c>
      <c r="W2530">
        <v>1</v>
      </c>
      <c r="X2530">
        <v>1</v>
      </c>
      <c r="Y2530">
        <v>2</v>
      </c>
      <c r="Z2530">
        <v>2</v>
      </c>
      <c r="AA2530">
        <v>1</v>
      </c>
      <c r="AB2530">
        <v>0</v>
      </c>
      <c r="AC2530">
        <v>1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13</v>
      </c>
      <c r="AM2530">
        <v>1.6666666666666667</v>
      </c>
      <c r="AN2530">
        <v>20.171207139501249</v>
      </c>
    </row>
    <row r="2531" spans="1:40" x14ac:dyDescent="0.3">
      <c r="A2531" t="s">
        <v>516</v>
      </c>
      <c r="B2531" t="s">
        <v>168</v>
      </c>
      <c r="C2531" t="s">
        <v>10</v>
      </c>
      <c r="D2531" t="s">
        <v>11</v>
      </c>
      <c r="E2531">
        <v>202602</v>
      </c>
      <c r="F2531" t="s">
        <v>169</v>
      </c>
      <c r="G2531">
        <v>0</v>
      </c>
      <c r="H2531">
        <v>5</v>
      </c>
      <c r="I2531">
        <v>1</v>
      </c>
      <c r="J2531">
        <v>0</v>
      </c>
      <c r="K2531">
        <v>0</v>
      </c>
      <c r="L2531">
        <v>2</v>
      </c>
      <c r="M2531">
        <v>1</v>
      </c>
      <c r="N2531">
        <v>0</v>
      </c>
      <c r="O2531">
        <v>3</v>
      </c>
      <c r="P2531">
        <v>1</v>
      </c>
      <c r="Q2531">
        <v>0</v>
      </c>
      <c r="R2531">
        <v>2</v>
      </c>
      <c r="S2531">
        <v>2</v>
      </c>
      <c r="T2531">
        <v>0</v>
      </c>
      <c r="U2531">
        <v>0</v>
      </c>
      <c r="V2531">
        <v>1</v>
      </c>
      <c r="W2531">
        <v>0</v>
      </c>
      <c r="X2531">
        <v>2</v>
      </c>
      <c r="Y2531">
        <v>0</v>
      </c>
      <c r="Z2531">
        <v>2</v>
      </c>
      <c r="AA2531">
        <v>1</v>
      </c>
      <c r="AB2531">
        <v>0</v>
      </c>
      <c r="AC2531">
        <v>2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25</v>
      </c>
      <c r="AM2531">
        <v>1.3333333333333333</v>
      </c>
      <c r="AN2531">
        <v>31.718674490852244</v>
      </c>
    </row>
    <row r="2532" spans="1:40" x14ac:dyDescent="0.3">
      <c r="A2532" t="s">
        <v>516</v>
      </c>
      <c r="B2532" t="s">
        <v>168</v>
      </c>
      <c r="C2532" t="s">
        <v>10</v>
      </c>
      <c r="D2532" t="s">
        <v>11</v>
      </c>
      <c r="E2532">
        <v>202602</v>
      </c>
      <c r="F2532" t="s">
        <v>137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1</v>
      </c>
      <c r="AM2532">
        <v>0</v>
      </c>
      <c r="AN2532">
        <v>1</v>
      </c>
    </row>
    <row r="2533" spans="1:40" x14ac:dyDescent="0.3">
      <c r="A2533" t="s">
        <v>516</v>
      </c>
      <c r="B2533" t="s">
        <v>168</v>
      </c>
      <c r="C2533" t="s">
        <v>10</v>
      </c>
      <c r="D2533" t="s">
        <v>14</v>
      </c>
      <c r="E2533">
        <v>202602</v>
      </c>
      <c r="F2533" t="s">
        <v>169</v>
      </c>
      <c r="G2533">
        <v>0</v>
      </c>
      <c r="H2533">
        <v>3</v>
      </c>
      <c r="I2533">
        <v>2</v>
      </c>
      <c r="J2533">
        <v>1</v>
      </c>
      <c r="K2533">
        <v>3</v>
      </c>
      <c r="L2533">
        <v>2</v>
      </c>
      <c r="M2533">
        <v>0</v>
      </c>
      <c r="N2533">
        <v>0</v>
      </c>
      <c r="O2533">
        <v>2</v>
      </c>
      <c r="P2533">
        <v>4</v>
      </c>
      <c r="Q2533">
        <v>1</v>
      </c>
      <c r="R2533">
        <v>1</v>
      </c>
      <c r="S2533">
        <v>2</v>
      </c>
      <c r="T2533">
        <v>0</v>
      </c>
      <c r="U2533">
        <v>0</v>
      </c>
      <c r="V2533">
        <v>0</v>
      </c>
      <c r="W2533">
        <v>0</v>
      </c>
      <c r="X2533">
        <v>2</v>
      </c>
      <c r="Y2533">
        <v>3</v>
      </c>
      <c r="Z2533">
        <v>1</v>
      </c>
      <c r="AA2533">
        <v>0</v>
      </c>
      <c r="AB2533">
        <v>0</v>
      </c>
      <c r="AC2533">
        <v>1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28</v>
      </c>
      <c r="AM2533">
        <v>1.6666666666666667</v>
      </c>
      <c r="AN2533">
        <v>35.171207139501249</v>
      </c>
    </row>
    <row r="2534" spans="1:40" x14ac:dyDescent="0.3">
      <c r="A2534" t="s">
        <v>516</v>
      </c>
      <c r="B2534" t="s">
        <v>168</v>
      </c>
      <c r="C2534" t="s">
        <v>10</v>
      </c>
      <c r="D2534" t="s">
        <v>14</v>
      </c>
      <c r="E2534">
        <v>202602</v>
      </c>
      <c r="F2534" t="s">
        <v>323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0.33333333333333331</v>
      </c>
      <c r="AN2534">
        <v>2.43424142790025</v>
      </c>
    </row>
    <row r="2535" spans="1:40" x14ac:dyDescent="0.3">
      <c r="A2535" t="s">
        <v>516</v>
      </c>
      <c r="B2535" t="s">
        <v>168</v>
      </c>
      <c r="C2535" t="s">
        <v>10</v>
      </c>
      <c r="D2535" t="s">
        <v>14</v>
      </c>
      <c r="E2535">
        <v>202602</v>
      </c>
      <c r="F2535" t="s">
        <v>137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1</v>
      </c>
      <c r="AM2535">
        <v>0</v>
      </c>
      <c r="AN2535">
        <v>1</v>
      </c>
    </row>
    <row r="2536" spans="1:40" x14ac:dyDescent="0.3">
      <c r="A2536" t="s">
        <v>516</v>
      </c>
      <c r="B2536" t="s">
        <v>170</v>
      </c>
      <c r="C2536" t="s">
        <v>10</v>
      </c>
      <c r="D2536" t="s">
        <v>11</v>
      </c>
      <c r="E2536">
        <v>202602</v>
      </c>
      <c r="F2536" t="s">
        <v>50</v>
      </c>
      <c r="G2536">
        <v>0</v>
      </c>
      <c r="H2536">
        <v>0</v>
      </c>
      <c r="I2536">
        <v>2</v>
      </c>
      <c r="J2536">
        <v>1</v>
      </c>
      <c r="K2536">
        <v>2</v>
      </c>
      <c r="L2536">
        <v>2</v>
      </c>
      <c r="M2536">
        <v>0</v>
      </c>
      <c r="N2536">
        <v>0</v>
      </c>
      <c r="O2536">
        <v>0</v>
      </c>
      <c r="P2536">
        <v>2</v>
      </c>
      <c r="Q2536">
        <v>1</v>
      </c>
      <c r="R2536">
        <v>2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3</v>
      </c>
      <c r="Y2536">
        <v>0</v>
      </c>
      <c r="Z2536">
        <v>3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19</v>
      </c>
      <c r="AM2536">
        <v>1</v>
      </c>
      <c r="AN2536">
        <v>24.039005868139181</v>
      </c>
    </row>
    <row r="2537" spans="1:40" x14ac:dyDescent="0.3">
      <c r="A2537" t="s">
        <v>516</v>
      </c>
      <c r="B2537" t="s">
        <v>170</v>
      </c>
      <c r="C2537" t="s">
        <v>10</v>
      </c>
      <c r="D2537" t="s">
        <v>14</v>
      </c>
      <c r="E2537">
        <v>202602</v>
      </c>
      <c r="F2537" t="s">
        <v>50</v>
      </c>
      <c r="G2537">
        <v>0</v>
      </c>
      <c r="H2537">
        <v>2</v>
      </c>
      <c r="I2537">
        <v>1</v>
      </c>
      <c r="J2537">
        <v>2</v>
      </c>
      <c r="K2537">
        <v>4</v>
      </c>
      <c r="L2537">
        <v>2</v>
      </c>
      <c r="M2537">
        <v>0</v>
      </c>
      <c r="N2537">
        <v>0</v>
      </c>
      <c r="O2537">
        <v>4</v>
      </c>
      <c r="P2537">
        <v>3</v>
      </c>
      <c r="Q2537">
        <v>0</v>
      </c>
      <c r="R2537">
        <v>1</v>
      </c>
      <c r="S2537">
        <v>3</v>
      </c>
      <c r="T2537">
        <v>0</v>
      </c>
      <c r="U2537">
        <v>0</v>
      </c>
      <c r="V2537">
        <v>0</v>
      </c>
      <c r="W2537">
        <v>0</v>
      </c>
      <c r="X2537">
        <v>2</v>
      </c>
      <c r="Y2537">
        <v>2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27</v>
      </c>
      <c r="AM2537">
        <v>1</v>
      </c>
      <c r="AN2537">
        <v>31.302724283700751</v>
      </c>
    </row>
    <row r="2538" spans="1:40" x14ac:dyDescent="0.3">
      <c r="A2538" t="s">
        <v>516</v>
      </c>
      <c r="B2538" t="s">
        <v>172</v>
      </c>
      <c r="C2538" t="s">
        <v>10</v>
      </c>
      <c r="D2538" t="s">
        <v>11</v>
      </c>
      <c r="E2538">
        <v>202602</v>
      </c>
      <c r="F2538" t="s">
        <v>171</v>
      </c>
      <c r="G2538">
        <v>0</v>
      </c>
      <c r="H2538">
        <v>10</v>
      </c>
      <c r="I2538">
        <v>3</v>
      </c>
      <c r="J2538">
        <v>9</v>
      </c>
      <c r="K2538">
        <v>18</v>
      </c>
      <c r="L2538">
        <v>13</v>
      </c>
      <c r="M2538">
        <v>9</v>
      </c>
      <c r="N2538">
        <v>1</v>
      </c>
      <c r="O2538">
        <v>29</v>
      </c>
      <c r="P2538">
        <v>21</v>
      </c>
      <c r="Q2538">
        <v>17</v>
      </c>
      <c r="R2538">
        <v>19</v>
      </c>
      <c r="S2538">
        <v>23</v>
      </c>
      <c r="T2538">
        <v>14</v>
      </c>
      <c r="U2538">
        <v>1</v>
      </c>
      <c r="V2538">
        <v>17</v>
      </c>
      <c r="W2538">
        <v>12</v>
      </c>
      <c r="X2538">
        <v>12</v>
      </c>
      <c r="Y2538">
        <v>19</v>
      </c>
      <c r="Z2538">
        <v>19</v>
      </c>
      <c r="AA2538">
        <v>14</v>
      </c>
      <c r="AB2538">
        <v>4</v>
      </c>
      <c r="AC2538">
        <v>27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311</v>
      </c>
      <c r="AM2538">
        <v>21.666666666666668</v>
      </c>
      <c r="AN2538">
        <v>420.17846047634896</v>
      </c>
    </row>
    <row r="2539" spans="1:40" x14ac:dyDescent="0.3">
      <c r="A2539" t="s">
        <v>516</v>
      </c>
      <c r="B2539" t="s">
        <v>172</v>
      </c>
      <c r="C2539" t="s">
        <v>10</v>
      </c>
      <c r="D2539" t="s">
        <v>14</v>
      </c>
      <c r="E2539">
        <v>202602</v>
      </c>
      <c r="F2539" t="s">
        <v>171</v>
      </c>
      <c r="G2539">
        <v>0</v>
      </c>
      <c r="H2539">
        <v>24</v>
      </c>
      <c r="I2539">
        <v>22</v>
      </c>
      <c r="J2539">
        <v>26</v>
      </c>
      <c r="K2539">
        <v>37</v>
      </c>
      <c r="L2539">
        <v>28</v>
      </c>
      <c r="M2539">
        <v>15</v>
      </c>
      <c r="N2539">
        <v>0</v>
      </c>
      <c r="O2539">
        <v>28</v>
      </c>
      <c r="P2539">
        <v>28</v>
      </c>
      <c r="Q2539">
        <v>40</v>
      </c>
      <c r="R2539">
        <v>41</v>
      </c>
      <c r="S2539">
        <v>24</v>
      </c>
      <c r="T2539">
        <v>6</v>
      </c>
      <c r="U2539">
        <v>0</v>
      </c>
      <c r="V2539">
        <v>10</v>
      </c>
      <c r="W2539">
        <v>0</v>
      </c>
      <c r="X2539">
        <v>29</v>
      </c>
      <c r="Y2539">
        <v>28</v>
      </c>
      <c r="Z2539">
        <v>29</v>
      </c>
      <c r="AA2539">
        <v>22</v>
      </c>
      <c r="AB2539">
        <v>0</v>
      </c>
      <c r="AC2539">
        <v>32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469</v>
      </c>
      <c r="AM2539">
        <v>29.666666666666668</v>
      </c>
      <c r="AN2539">
        <v>596.64748708312231</v>
      </c>
    </row>
    <row r="2540" spans="1:40" x14ac:dyDescent="0.3">
      <c r="A2540" t="s">
        <v>516</v>
      </c>
      <c r="B2540" t="s">
        <v>172</v>
      </c>
      <c r="C2540" t="s">
        <v>16</v>
      </c>
      <c r="D2540" t="s">
        <v>11</v>
      </c>
      <c r="E2540">
        <v>202602</v>
      </c>
      <c r="F2540" t="s">
        <v>171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2</v>
      </c>
      <c r="AM2540">
        <v>0</v>
      </c>
      <c r="AN2540">
        <v>2</v>
      </c>
    </row>
    <row r="2541" spans="1:40" x14ac:dyDescent="0.3">
      <c r="A2541" t="s">
        <v>516</v>
      </c>
      <c r="B2541" t="s">
        <v>172</v>
      </c>
      <c r="C2541" t="s">
        <v>16</v>
      </c>
      <c r="D2541" t="s">
        <v>14</v>
      </c>
      <c r="E2541">
        <v>202602</v>
      </c>
      <c r="F2541" t="s">
        <v>171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4</v>
      </c>
      <c r="AM2541">
        <v>0.33333333333333331</v>
      </c>
      <c r="AN2541">
        <v>5.4342414279002504</v>
      </c>
    </row>
    <row r="2542" spans="1:40" x14ac:dyDescent="0.3">
      <c r="A2542" t="s">
        <v>573</v>
      </c>
      <c r="B2542" t="s">
        <v>9</v>
      </c>
      <c r="C2542" t="s">
        <v>10</v>
      </c>
      <c r="D2542" t="s">
        <v>11</v>
      </c>
      <c r="E2542">
        <v>202602</v>
      </c>
      <c r="F2542" t="s">
        <v>42</v>
      </c>
      <c r="G2542">
        <v>0</v>
      </c>
      <c r="H2542">
        <v>1</v>
      </c>
      <c r="I2542">
        <v>1</v>
      </c>
      <c r="J2542">
        <v>1</v>
      </c>
      <c r="K2542">
        <v>0</v>
      </c>
      <c r="L2542">
        <v>0</v>
      </c>
      <c r="M2542">
        <v>1</v>
      </c>
      <c r="N2542">
        <v>0</v>
      </c>
      <c r="O2542">
        <v>1</v>
      </c>
      <c r="P2542">
        <v>0</v>
      </c>
      <c r="Q2542">
        <v>0</v>
      </c>
      <c r="R2542">
        <v>2</v>
      </c>
      <c r="S2542">
        <v>0</v>
      </c>
      <c r="T2542">
        <v>0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9</v>
      </c>
      <c r="AM2542">
        <v>0.33333333333333331</v>
      </c>
      <c r="AN2542">
        <v>10.679668622713061</v>
      </c>
    </row>
    <row r="2543" spans="1:40" x14ac:dyDescent="0.3">
      <c r="A2543" t="s">
        <v>573</v>
      </c>
      <c r="B2543" t="s">
        <v>9</v>
      </c>
      <c r="C2543" t="s">
        <v>10</v>
      </c>
      <c r="D2543" t="s">
        <v>11</v>
      </c>
      <c r="E2543">
        <v>202602</v>
      </c>
      <c r="F2543" t="s">
        <v>574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1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1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6</v>
      </c>
      <c r="AM2543">
        <v>0.33333333333333331</v>
      </c>
      <c r="AN2543">
        <v>7.6796686227130611</v>
      </c>
    </row>
    <row r="2544" spans="1:40" x14ac:dyDescent="0.3">
      <c r="A2544" t="s">
        <v>573</v>
      </c>
      <c r="B2544" t="s">
        <v>9</v>
      </c>
      <c r="C2544" t="s">
        <v>10</v>
      </c>
      <c r="D2544" t="s">
        <v>11</v>
      </c>
      <c r="E2544">
        <v>202602</v>
      </c>
      <c r="F2544" t="s">
        <v>575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1</v>
      </c>
      <c r="AM2544">
        <v>0</v>
      </c>
      <c r="AN2544">
        <v>1</v>
      </c>
    </row>
    <row r="2545" spans="1:40" x14ac:dyDescent="0.3">
      <c r="A2545" t="s">
        <v>573</v>
      </c>
      <c r="B2545" t="s">
        <v>9</v>
      </c>
      <c r="C2545" t="s">
        <v>10</v>
      </c>
      <c r="D2545" t="s">
        <v>14</v>
      </c>
      <c r="E2545">
        <v>202602</v>
      </c>
      <c r="F2545" t="s">
        <v>42</v>
      </c>
      <c r="G2545">
        <v>0</v>
      </c>
      <c r="H2545">
        <v>0</v>
      </c>
      <c r="I2545">
        <v>2</v>
      </c>
      <c r="J2545">
        <v>0</v>
      </c>
      <c r="K2545">
        <v>2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8</v>
      </c>
      <c r="AM2545">
        <v>0.33333333333333331</v>
      </c>
      <c r="AN2545">
        <v>9.4342414279002504</v>
      </c>
    </row>
    <row r="2546" spans="1:40" x14ac:dyDescent="0.3">
      <c r="A2546" t="s">
        <v>573</v>
      </c>
      <c r="B2546" t="s">
        <v>9</v>
      </c>
      <c r="C2546" t="s">
        <v>10</v>
      </c>
      <c r="D2546" t="s">
        <v>14</v>
      </c>
      <c r="E2546">
        <v>202602</v>
      </c>
      <c r="F2546" t="s">
        <v>574</v>
      </c>
      <c r="G2546">
        <v>0</v>
      </c>
      <c r="H2546">
        <v>2</v>
      </c>
      <c r="I2546">
        <v>0</v>
      </c>
      <c r="J2546">
        <v>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7</v>
      </c>
      <c r="AM2546">
        <v>0.33333333333333331</v>
      </c>
      <c r="AN2546">
        <v>8.4342414279002504</v>
      </c>
    </row>
    <row r="2547" spans="1:40" x14ac:dyDescent="0.3">
      <c r="A2547" t="s">
        <v>573</v>
      </c>
      <c r="B2547" t="s">
        <v>9</v>
      </c>
      <c r="C2547" t="s">
        <v>10</v>
      </c>
      <c r="D2547" t="s">
        <v>14</v>
      </c>
      <c r="E2547">
        <v>202602</v>
      </c>
      <c r="F2547" t="s">
        <v>575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0</v>
      </c>
      <c r="Q2547">
        <v>2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3</v>
      </c>
      <c r="AM2547">
        <v>0</v>
      </c>
      <c r="AN2547">
        <v>3</v>
      </c>
    </row>
    <row r="2548" spans="1:40" x14ac:dyDescent="0.3">
      <c r="A2548" t="s">
        <v>573</v>
      </c>
      <c r="B2548" t="s">
        <v>9</v>
      </c>
      <c r="C2548" t="s">
        <v>16</v>
      </c>
      <c r="D2548" t="s">
        <v>11</v>
      </c>
      <c r="E2548">
        <v>202602</v>
      </c>
      <c r="F2548" t="s">
        <v>574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1</v>
      </c>
      <c r="AM2548">
        <v>0</v>
      </c>
      <c r="AN2548">
        <v>1</v>
      </c>
    </row>
    <row r="2549" spans="1:40" x14ac:dyDescent="0.3">
      <c r="A2549" t="s">
        <v>573</v>
      </c>
      <c r="B2549" t="s">
        <v>9</v>
      </c>
      <c r="C2549" t="s">
        <v>16</v>
      </c>
      <c r="D2549" t="s">
        <v>14</v>
      </c>
      <c r="E2549">
        <v>202602</v>
      </c>
      <c r="F2549" t="s">
        <v>574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0</v>
      </c>
      <c r="AN2549">
        <v>1</v>
      </c>
    </row>
    <row r="2550" spans="1:40" x14ac:dyDescent="0.3">
      <c r="A2550" t="s">
        <v>573</v>
      </c>
      <c r="B2550" t="s">
        <v>17</v>
      </c>
      <c r="C2550" t="s">
        <v>10</v>
      </c>
      <c r="D2550" t="s">
        <v>11</v>
      </c>
      <c r="E2550">
        <v>202602</v>
      </c>
      <c r="F2550" t="s">
        <v>42</v>
      </c>
      <c r="G2550">
        <v>0</v>
      </c>
      <c r="H2550">
        <v>0</v>
      </c>
      <c r="I2550">
        <v>1</v>
      </c>
      <c r="J2550">
        <v>1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5</v>
      </c>
      <c r="AM2550">
        <v>0.33333333333333331</v>
      </c>
      <c r="AN2550">
        <v>6.6796686227130611</v>
      </c>
    </row>
    <row r="2551" spans="1:40" x14ac:dyDescent="0.3">
      <c r="A2551" t="s">
        <v>573</v>
      </c>
      <c r="B2551" t="s">
        <v>17</v>
      </c>
      <c r="C2551" t="s">
        <v>10</v>
      </c>
      <c r="D2551" t="s">
        <v>11</v>
      </c>
      <c r="E2551">
        <v>202602</v>
      </c>
      <c r="F2551" t="s">
        <v>102</v>
      </c>
      <c r="G2551">
        <v>0</v>
      </c>
      <c r="H2551">
        <v>1</v>
      </c>
      <c r="I2551">
        <v>4</v>
      </c>
      <c r="J2551">
        <v>1</v>
      </c>
      <c r="K2551">
        <v>1</v>
      </c>
      <c r="L2551">
        <v>0</v>
      </c>
      <c r="M2551">
        <v>0</v>
      </c>
      <c r="N2551">
        <v>0</v>
      </c>
      <c r="O2551">
        <v>1</v>
      </c>
      <c r="P2551">
        <v>1</v>
      </c>
      <c r="Q2551">
        <v>0</v>
      </c>
      <c r="R2551">
        <v>1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1</v>
      </c>
      <c r="Z2551">
        <v>0</v>
      </c>
      <c r="AA2551">
        <v>0</v>
      </c>
      <c r="AB2551">
        <v>0</v>
      </c>
      <c r="AC2551">
        <v>1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14</v>
      </c>
      <c r="AM2551">
        <v>0.66666666666666663</v>
      </c>
      <c r="AN2551">
        <v>17.359337245426122</v>
      </c>
    </row>
    <row r="2552" spans="1:40" x14ac:dyDescent="0.3">
      <c r="A2552" t="s">
        <v>573</v>
      </c>
      <c r="B2552" t="s">
        <v>17</v>
      </c>
      <c r="C2552" t="s">
        <v>10</v>
      </c>
      <c r="D2552" t="s">
        <v>11</v>
      </c>
      <c r="E2552">
        <v>202602</v>
      </c>
      <c r="F2552" t="s">
        <v>178</v>
      </c>
      <c r="G2552">
        <v>0</v>
      </c>
      <c r="H2552">
        <v>1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4</v>
      </c>
      <c r="AM2552">
        <v>0.33333333333333331</v>
      </c>
      <c r="AN2552">
        <v>5.6796686227130611</v>
      </c>
    </row>
    <row r="2553" spans="1:40" x14ac:dyDescent="0.3">
      <c r="A2553" t="s">
        <v>573</v>
      </c>
      <c r="B2553" t="s">
        <v>17</v>
      </c>
      <c r="C2553" t="s">
        <v>10</v>
      </c>
      <c r="D2553" t="s">
        <v>11</v>
      </c>
      <c r="E2553">
        <v>202602</v>
      </c>
      <c r="F2553" t="s">
        <v>576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3</v>
      </c>
      <c r="AM2553">
        <v>0</v>
      </c>
      <c r="AN2553">
        <v>3</v>
      </c>
    </row>
    <row r="2554" spans="1:40" x14ac:dyDescent="0.3">
      <c r="A2554" t="s">
        <v>573</v>
      </c>
      <c r="B2554" t="s">
        <v>17</v>
      </c>
      <c r="C2554" t="s">
        <v>10</v>
      </c>
      <c r="D2554" t="s">
        <v>11</v>
      </c>
      <c r="E2554">
        <v>202602</v>
      </c>
      <c r="F2554" t="s">
        <v>696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0</v>
      </c>
      <c r="AN2554">
        <v>1</v>
      </c>
    </row>
    <row r="2555" spans="1:40" x14ac:dyDescent="0.3">
      <c r="A2555" t="s">
        <v>573</v>
      </c>
      <c r="B2555" t="s">
        <v>17</v>
      </c>
      <c r="C2555" t="s">
        <v>10</v>
      </c>
      <c r="D2555" t="s">
        <v>11</v>
      </c>
      <c r="E2555">
        <v>202602</v>
      </c>
      <c r="F2555" t="s">
        <v>577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3</v>
      </c>
      <c r="AM2555">
        <v>0.33333333333333331</v>
      </c>
      <c r="AN2555">
        <v>4.6796686227130611</v>
      </c>
    </row>
    <row r="2556" spans="1:40" x14ac:dyDescent="0.3">
      <c r="A2556" t="s">
        <v>573</v>
      </c>
      <c r="B2556" t="s">
        <v>17</v>
      </c>
      <c r="C2556" t="s">
        <v>10</v>
      </c>
      <c r="D2556" t="s">
        <v>11</v>
      </c>
      <c r="E2556">
        <v>202602</v>
      </c>
      <c r="F2556" t="s">
        <v>578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2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2</v>
      </c>
      <c r="Z2556">
        <v>0</v>
      </c>
      <c r="AA2556">
        <v>1</v>
      </c>
      <c r="AB2556">
        <v>0</v>
      </c>
      <c r="AC2556">
        <v>1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7</v>
      </c>
      <c r="AM2556">
        <v>1</v>
      </c>
      <c r="AN2556">
        <v>12.039005868139181</v>
      </c>
    </row>
    <row r="2557" spans="1:40" x14ac:dyDescent="0.3">
      <c r="A2557" t="s">
        <v>573</v>
      </c>
      <c r="B2557" t="s">
        <v>17</v>
      </c>
      <c r="C2557" t="s">
        <v>10</v>
      </c>
      <c r="D2557" t="s">
        <v>11</v>
      </c>
      <c r="E2557">
        <v>202602</v>
      </c>
      <c r="F2557" t="s">
        <v>579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</v>
      </c>
      <c r="N2557">
        <v>0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3</v>
      </c>
      <c r="AM2557">
        <v>0</v>
      </c>
      <c r="AN2557">
        <v>3</v>
      </c>
    </row>
    <row r="2558" spans="1:40" x14ac:dyDescent="0.3">
      <c r="A2558" t="s">
        <v>573</v>
      </c>
      <c r="B2558" t="s">
        <v>17</v>
      </c>
      <c r="C2558" t="s">
        <v>10</v>
      </c>
      <c r="D2558" t="s">
        <v>11</v>
      </c>
      <c r="E2558">
        <v>202602</v>
      </c>
      <c r="F2558" t="s">
        <v>582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2</v>
      </c>
      <c r="AM2558">
        <v>0</v>
      </c>
      <c r="AN2558">
        <v>2</v>
      </c>
    </row>
    <row r="2559" spans="1:40" x14ac:dyDescent="0.3">
      <c r="A2559" t="s">
        <v>573</v>
      </c>
      <c r="B2559" t="s">
        <v>17</v>
      </c>
      <c r="C2559" t="s">
        <v>10</v>
      </c>
      <c r="D2559" t="s">
        <v>11</v>
      </c>
      <c r="E2559">
        <v>202602</v>
      </c>
      <c r="F2559" t="s">
        <v>406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1</v>
      </c>
      <c r="AM2559">
        <v>0.33333333333333331</v>
      </c>
      <c r="AN2559">
        <v>2.6796686227130611</v>
      </c>
    </row>
    <row r="2560" spans="1:40" x14ac:dyDescent="0.3">
      <c r="A2560" t="s">
        <v>573</v>
      </c>
      <c r="B2560" t="s">
        <v>17</v>
      </c>
      <c r="C2560" t="s">
        <v>10</v>
      </c>
      <c r="D2560" t="s">
        <v>11</v>
      </c>
      <c r="E2560">
        <v>202602</v>
      </c>
      <c r="F2560" t="s">
        <v>580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2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5</v>
      </c>
      <c r="AM2560">
        <v>0.33333333333333331</v>
      </c>
      <c r="AN2560">
        <v>6.6796686227130611</v>
      </c>
    </row>
    <row r="2561" spans="1:40" x14ac:dyDescent="0.3">
      <c r="A2561" t="s">
        <v>573</v>
      </c>
      <c r="B2561" t="s">
        <v>17</v>
      </c>
      <c r="C2561" t="s">
        <v>10</v>
      </c>
      <c r="D2561" t="s">
        <v>11</v>
      </c>
      <c r="E2561">
        <v>202602</v>
      </c>
      <c r="F2561" t="s">
        <v>583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1</v>
      </c>
      <c r="AM2561">
        <v>0</v>
      </c>
      <c r="AN2561">
        <v>1</v>
      </c>
    </row>
    <row r="2562" spans="1:40" x14ac:dyDescent="0.3">
      <c r="A2562" t="s">
        <v>573</v>
      </c>
      <c r="B2562" t="s">
        <v>17</v>
      </c>
      <c r="C2562" t="s">
        <v>10</v>
      </c>
      <c r="D2562" t="s">
        <v>11</v>
      </c>
      <c r="E2562">
        <v>202602</v>
      </c>
      <c r="F2562" t="s">
        <v>581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2</v>
      </c>
      <c r="AM2562">
        <v>0</v>
      </c>
      <c r="AN2562">
        <v>2</v>
      </c>
    </row>
    <row r="2563" spans="1:40" x14ac:dyDescent="0.3">
      <c r="A2563" t="s">
        <v>573</v>
      </c>
      <c r="B2563" t="s">
        <v>17</v>
      </c>
      <c r="C2563" t="s">
        <v>10</v>
      </c>
      <c r="D2563" t="s">
        <v>11</v>
      </c>
      <c r="E2563">
        <v>202602</v>
      </c>
      <c r="F2563" t="s">
        <v>584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1</v>
      </c>
      <c r="AM2563">
        <v>0</v>
      </c>
      <c r="AN2563">
        <v>1</v>
      </c>
    </row>
    <row r="2564" spans="1:40" x14ac:dyDescent="0.3">
      <c r="A2564" t="s">
        <v>573</v>
      </c>
      <c r="B2564" t="s">
        <v>17</v>
      </c>
      <c r="C2564" t="s">
        <v>10</v>
      </c>
      <c r="D2564" t="s">
        <v>14</v>
      </c>
      <c r="E2564">
        <v>202602</v>
      </c>
      <c r="F2564" t="s">
        <v>42</v>
      </c>
      <c r="G2564">
        <v>0</v>
      </c>
      <c r="H2564">
        <v>0</v>
      </c>
      <c r="I2564">
        <v>1</v>
      </c>
      <c r="J2564">
        <v>0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5</v>
      </c>
      <c r="AM2564">
        <v>0.33333333333333331</v>
      </c>
      <c r="AN2564">
        <v>6.4342414279002504</v>
      </c>
    </row>
    <row r="2565" spans="1:40" x14ac:dyDescent="0.3">
      <c r="A2565" t="s">
        <v>573</v>
      </c>
      <c r="B2565" t="s">
        <v>17</v>
      </c>
      <c r="C2565" t="s">
        <v>10</v>
      </c>
      <c r="D2565" t="s">
        <v>14</v>
      </c>
      <c r="E2565">
        <v>202602</v>
      </c>
      <c r="F2565" t="s">
        <v>102</v>
      </c>
      <c r="G2565">
        <v>1</v>
      </c>
      <c r="H2565">
        <v>5</v>
      </c>
      <c r="I2565">
        <v>0</v>
      </c>
      <c r="J2565">
        <v>1</v>
      </c>
      <c r="K2565">
        <v>1</v>
      </c>
      <c r="L2565">
        <v>3</v>
      </c>
      <c r="M2565">
        <v>0</v>
      </c>
      <c r="N2565">
        <v>0</v>
      </c>
      <c r="O2565">
        <v>0</v>
      </c>
      <c r="P2565">
        <v>0</v>
      </c>
      <c r="Q2565">
        <v>4</v>
      </c>
      <c r="R2565">
        <v>0</v>
      </c>
      <c r="S2565">
        <v>1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2</v>
      </c>
      <c r="Z2565">
        <v>0</v>
      </c>
      <c r="AA2565">
        <v>3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24</v>
      </c>
      <c r="AM2565">
        <v>0.66666666666666663</v>
      </c>
      <c r="AN2565">
        <v>26.868482855800501</v>
      </c>
    </row>
    <row r="2566" spans="1:40" x14ac:dyDescent="0.3">
      <c r="A2566" t="s">
        <v>573</v>
      </c>
      <c r="B2566" t="s">
        <v>17</v>
      </c>
      <c r="C2566" t="s">
        <v>10</v>
      </c>
      <c r="D2566" t="s">
        <v>14</v>
      </c>
      <c r="E2566">
        <v>202602</v>
      </c>
      <c r="F2566" t="s">
        <v>178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5</v>
      </c>
      <c r="AM2566">
        <v>0.33333333333333331</v>
      </c>
      <c r="AN2566">
        <v>6.4342414279002504</v>
      </c>
    </row>
    <row r="2567" spans="1:40" x14ac:dyDescent="0.3">
      <c r="A2567" t="s">
        <v>573</v>
      </c>
      <c r="B2567" t="s">
        <v>17</v>
      </c>
      <c r="C2567" t="s">
        <v>10</v>
      </c>
      <c r="D2567" t="s">
        <v>14</v>
      </c>
      <c r="E2567">
        <v>202602</v>
      </c>
      <c r="F2567" t="s">
        <v>576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3</v>
      </c>
      <c r="AM2567">
        <v>0</v>
      </c>
      <c r="AN2567">
        <v>3</v>
      </c>
    </row>
    <row r="2568" spans="1:40" x14ac:dyDescent="0.3">
      <c r="A2568" t="s">
        <v>573</v>
      </c>
      <c r="B2568" t="s">
        <v>17</v>
      </c>
      <c r="C2568" t="s">
        <v>10</v>
      </c>
      <c r="D2568" t="s">
        <v>14</v>
      </c>
      <c r="E2568">
        <v>202602</v>
      </c>
      <c r="F2568" t="s">
        <v>696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2</v>
      </c>
      <c r="AM2568">
        <v>0</v>
      </c>
      <c r="AN2568">
        <v>2</v>
      </c>
    </row>
    <row r="2569" spans="1:40" x14ac:dyDescent="0.3">
      <c r="A2569" t="s">
        <v>573</v>
      </c>
      <c r="B2569" t="s">
        <v>17</v>
      </c>
      <c r="C2569" t="s">
        <v>10</v>
      </c>
      <c r="D2569" t="s">
        <v>14</v>
      </c>
      <c r="E2569">
        <v>202602</v>
      </c>
      <c r="F2569" t="s">
        <v>577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4</v>
      </c>
      <c r="AM2569">
        <v>0.33333333333333331</v>
      </c>
      <c r="AN2569">
        <v>5.4342414279002504</v>
      </c>
    </row>
    <row r="2570" spans="1:40" x14ac:dyDescent="0.3">
      <c r="A2570" t="s">
        <v>573</v>
      </c>
      <c r="B2570" t="s">
        <v>17</v>
      </c>
      <c r="C2570" t="s">
        <v>10</v>
      </c>
      <c r="D2570" t="s">
        <v>14</v>
      </c>
      <c r="E2570">
        <v>202602</v>
      </c>
      <c r="F2570" t="s">
        <v>578</v>
      </c>
      <c r="G2570">
        <v>0</v>
      </c>
      <c r="H2570">
        <v>0</v>
      </c>
      <c r="I2570">
        <v>1</v>
      </c>
      <c r="J2570">
        <v>0</v>
      </c>
      <c r="K2570">
        <v>1</v>
      </c>
      <c r="L2570">
        <v>1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1</v>
      </c>
      <c r="W2570">
        <v>2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9</v>
      </c>
      <c r="AM2570">
        <v>0.33333333333333331</v>
      </c>
      <c r="AN2570">
        <v>10.43424142790025</v>
      </c>
    </row>
    <row r="2571" spans="1:40" x14ac:dyDescent="0.3">
      <c r="A2571" t="s">
        <v>573</v>
      </c>
      <c r="B2571" t="s">
        <v>17</v>
      </c>
      <c r="C2571" t="s">
        <v>10</v>
      </c>
      <c r="D2571" t="s">
        <v>14</v>
      </c>
      <c r="E2571">
        <v>202602</v>
      </c>
      <c r="F2571" t="s">
        <v>579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3</v>
      </c>
      <c r="AM2571">
        <v>0.33333333333333331</v>
      </c>
      <c r="AN2571">
        <v>4.4342414279002504</v>
      </c>
    </row>
    <row r="2572" spans="1:40" x14ac:dyDescent="0.3">
      <c r="A2572" t="s">
        <v>573</v>
      </c>
      <c r="B2572" t="s">
        <v>17</v>
      </c>
      <c r="C2572" t="s">
        <v>10</v>
      </c>
      <c r="D2572" t="s">
        <v>14</v>
      </c>
      <c r="E2572">
        <v>202602</v>
      </c>
      <c r="F2572" t="s">
        <v>582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3</v>
      </c>
      <c r="AM2572">
        <v>0.33333333333333331</v>
      </c>
      <c r="AN2572">
        <v>4.4342414279002504</v>
      </c>
    </row>
    <row r="2573" spans="1:40" x14ac:dyDescent="0.3">
      <c r="A2573" t="s">
        <v>573</v>
      </c>
      <c r="B2573" t="s">
        <v>17</v>
      </c>
      <c r="C2573" t="s">
        <v>10</v>
      </c>
      <c r="D2573" t="s">
        <v>14</v>
      </c>
      <c r="E2573">
        <v>202602</v>
      </c>
      <c r="F2573" t="s">
        <v>758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2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2</v>
      </c>
      <c r="AM2573">
        <v>0</v>
      </c>
      <c r="AN2573">
        <v>2</v>
      </c>
    </row>
    <row r="2574" spans="1:40" x14ac:dyDescent="0.3">
      <c r="A2574" t="s">
        <v>573</v>
      </c>
      <c r="B2574" t="s">
        <v>17</v>
      </c>
      <c r="C2574" t="s">
        <v>10</v>
      </c>
      <c r="D2574" t="s">
        <v>14</v>
      </c>
      <c r="E2574">
        <v>202602</v>
      </c>
      <c r="F2574" t="s">
        <v>406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1</v>
      </c>
      <c r="AM2574">
        <v>0</v>
      </c>
      <c r="AN2574">
        <v>1</v>
      </c>
    </row>
    <row r="2575" spans="1:40" x14ac:dyDescent="0.3">
      <c r="A2575" t="s">
        <v>573</v>
      </c>
      <c r="B2575" t="s">
        <v>17</v>
      </c>
      <c r="C2575" t="s">
        <v>10</v>
      </c>
      <c r="D2575" t="s">
        <v>14</v>
      </c>
      <c r="E2575">
        <v>202602</v>
      </c>
      <c r="F2575" t="s">
        <v>580</v>
      </c>
      <c r="G2575">
        <v>0</v>
      </c>
      <c r="H2575">
        <v>0</v>
      </c>
      <c r="I2575">
        <v>0</v>
      </c>
      <c r="J2575">
        <v>2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5</v>
      </c>
      <c r="AM2575">
        <v>0</v>
      </c>
      <c r="AN2575">
        <v>5</v>
      </c>
    </row>
    <row r="2576" spans="1:40" x14ac:dyDescent="0.3">
      <c r="A2576" t="s">
        <v>573</v>
      </c>
      <c r="B2576" t="s">
        <v>17</v>
      </c>
      <c r="C2576" t="s">
        <v>10</v>
      </c>
      <c r="D2576" t="s">
        <v>14</v>
      </c>
      <c r="E2576">
        <v>202602</v>
      </c>
      <c r="F2576" t="s">
        <v>583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2</v>
      </c>
      <c r="AM2576">
        <v>0</v>
      </c>
      <c r="AN2576">
        <v>2</v>
      </c>
    </row>
    <row r="2577" spans="1:40" x14ac:dyDescent="0.3">
      <c r="A2577" t="s">
        <v>573</v>
      </c>
      <c r="B2577" t="s">
        <v>17</v>
      </c>
      <c r="C2577" t="s">
        <v>10</v>
      </c>
      <c r="D2577" t="s">
        <v>14</v>
      </c>
      <c r="E2577">
        <v>202602</v>
      </c>
      <c r="F2577" t="s">
        <v>581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4</v>
      </c>
      <c r="AM2577">
        <v>0</v>
      </c>
      <c r="AN2577">
        <v>4</v>
      </c>
    </row>
    <row r="2578" spans="1:40" x14ac:dyDescent="0.3">
      <c r="A2578" t="s">
        <v>573</v>
      </c>
      <c r="B2578" t="s">
        <v>17</v>
      </c>
      <c r="C2578" t="s">
        <v>10</v>
      </c>
      <c r="D2578" t="s">
        <v>14</v>
      </c>
      <c r="E2578">
        <v>202602</v>
      </c>
      <c r="F2578" t="s">
        <v>584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1</v>
      </c>
      <c r="AM2578">
        <v>0</v>
      </c>
      <c r="AN2578">
        <v>1</v>
      </c>
    </row>
    <row r="2579" spans="1:40" x14ac:dyDescent="0.3">
      <c r="A2579" t="s">
        <v>573</v>
      </c>
      <c r="B2579" t="s">
        <v>17</v>
      </c>
      <c r="C2579" t="s">
        <v>16</v>
      </c>
      <c r="D2579" t="s">
        <v>11</v>
      </c>
      <c r="E2579">
        <v>202602</v>
      </c>
      <c r="F2579" t="s">
        <v>42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>
        <v>1</v>
      </c>
    </row>
    <row r="2580" spans="1:40" x14ac:dyDescent="0.3">
      <c r="A2580" t="s">
        <v>573</v>
      </c>
      <c r="B2580" t="s">
        <v>17</v>
      </c>
      <c r="C2580" t="s">
        <v>16</v>
      </c>
      <c r="D2580" t="s">
        <v>11</v>
      </c>
      <c r="E2580">
        <v>202602</v>
      </c>
      <c r="F2580" t="s">
        <v>102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1</v>
      </c>
      <c r="AM2580">
        <v>0.33333333333333331</v>
      </c>
      <c r="AN2580">
        <v>2.6796686227130611</v>
      </c>
    </row>
    <row r="2581" spans="1:40" x14ac:dyDescent="0.3">
      <c r="A2581" t="s">
        <v>573</v>
      </c>
      <c r="B2581" t="s">
        <v>17</v>
      </c>
      <c r="C2581" t="s">
        <v>16</v>
      </c>
      <c r="D2581" t="s">
        <v>11</v>
      </c>
      <c r="E2581">
        <v>202602</v>
      </c>
      <c r="F2581" t="s">
        <v>578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1</v>
      </c>
      <c r="AM2581">
        <v>0.33333333333333331</v>
      </c>
      <c r="AN2581">
        <v>2.6796686227130611</v>
      </c>
    </row>
    <row r="2582" spans="1:40" x14ac:dyDescent="0.3">
      <c r="A2582" t="s">
        <v>573</v>
      </c>
      <c r="B2582" t="s">
        <v>17</v>
      </c>
      <c r="C2582" t="s">
        <v>16</v>
      </c>
      <c r="D2582" t="s">
        <v>11</v>
      </c>
      <c r="E2582">
        <v>202602</v>
      </c>
      <c r="F2582" t="s">
        <v>579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1</v>
      </c>
      <c r="AM2582">
        <v>0</v>
      </c>
      <c r="AN2582">
        <v>1</v>
      </c>
    </row>
    <row r="2583" spans="1:40" x14ac:dyDescent="0.3">
      <c r="A2583" t="s">
        <v>573</v>
      </c>
      <c r="B2583" t="s">
        <v>17</v>
      </c>
      <c r="C2583" t="s">
        <v>16</v>
      </c>
      <c r="D2583" t="s">
        <v>11</v>
      </c>
      <c r="E2583">
        <v>202602</v>
      </c>
      <c r="F2583" t="s">
        <v>582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1</v>
      </c>
      <c r="AM2583">
        <v>0</v>
      </c>
      <c r="AN2583">
        <v>1</v>
      </c>
    </row>
    <row r="2584" spans="1:40" x14ac:dyDescent="0.3">
      <c r="A2584" t="s">
        <v>573</v>
      </c>
      <c r="B2584" t="s">
        <v>17</v>
      </c>
      <c r="C2584" t="s">
        <v>16</v>
      </c>
      <c r="D2584" t="s">
        <v>11</v>
      </c>
      <c r="E2584">
        <v>202602</v>
      </c>
      <c r="F2584" t="s">
        <v>585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1</v>
      </c>
      <c r="AM2584">
        <v>0</v>
      </c>
      <c r="AN2584">
        <v>1</v>
      </c>
    </row>
    <row r="2585" spans="1:40" x14ac:dyDescent="0.3">
      <c r="A2585" t="s">
        <v>573</v>
      </c>
      <c r="B2585" t="s">
        <v>17</v>
      </c>
      <c r="C2585" t="s">
        <v>16</v>
      </c>
      <c r="D2585" t="s">
        <v>14</v>
      </c>
      <c r="E2585">
        <v>202602</v>
      </c>
      <c r="F2585" t="s">
        <v>42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1</v>
      </c>
      <c r="AM2585">
        <v>0</v>
      </c>
      <c r="AN2585">
        <v>1</v>
      </c>
    </row>
    <row r="2586" spans="1:40" x14ac:dyDescent="0.3">
      <c r="A2586" t="s">
        <v>573</v>
      </c>
      <c r="B2586" t="s">
        <v>17</v>
      </c>
      <c r="C2586" t="s">
        <v>16</v>
      </c>
      <c r="D2586" t="s">
        <v>14</v>
      </c>
      <c r="E2586">
        <v>202602</v>
      </c>
      <c r="F2586" t="s">
        <v>102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1</v>
      </c>
      <c r="AM2586">
        <v>0</v>
      </c>
      <c r="AN2586">
        <v>1</v>
      </c>
    </row>
    <row r="2587" spans="1:40" x14ac:dyDescent="0.3">
      <c r="A2587" t="s">
        <v>573</v>
      </c>
      <c r="B2587" t="s">
        <v>17</v>
      </c>
      <c r="C2587" t="s">
        <v>16</v>
      </c>
      <c r="D2587" t="s">
        <v>14</v>
      </c>
      <c r="E2587">
        <v>202602</v>
      </c>
      <c r="F2587" t="s">
        <v>578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2</v>
      </c>
      <c r="AM2587">
        <v>0</v>
      </c>
      <c r="AN2587">
        <v>2</v>
      </c>
    </row>
    <row r="2588" spans="1:40" x14ac:dyDescent="0.3">
      <c r="A2588" t="s">
        <v>573</v>
      </c>
      <c r="B2588" t="s">
        <v>17</v>
      </c>
      <c r="C2588" t="s">
        <v>16</v>
      </c>
      <c r="D2588" t="s">
        <v>14</v>
      </c>
      <c r="E2588">
        <v>202602</v>
      </c>
      <c r="F2588" t="s">
        <v>579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2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2</v>
      </c>
      <c r="AM2588">
        <v>0</v>
      </c>
      <c r="AN2588">
        <v>2</v>
      </c>
    </row>
    <row r="2589" spans="1:40" x14ac:dyDescent="0.3">
      <c r="A2589" t="s">
        <v>573</v>
      </c>
      <c r="B2589" t="s">
        <v>17</v>
      </c>
      <c r="C2589" t="s">
        <v>16</v>
      </c>
      <c r="D2589" t="s">
        <v>14</v>
      </c>
      <c r="E2589">
        <v>202602</v>
      </c>
      <c r="F2589" t="s">
        <v>582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1</v>
      </c>
      <c r="AM2589">
        <v>0</v>
      </c>
      <c r="AN2589">
        <v>1</v>
      </c>
    </row>
    <row r="2590" spans="1:40" x14ac:dyDescent="0.3">
      <c r="A2590" t="s">
        <v>573</v>
      </c>
      <c r="B2590" t="s">
        <v>17</v>
      </c>
      <c r="C2590" t="s">
        <v>16</v>
      </c>
      <c r="D2590" t="s">
        <v>14</v>
      </c>
      <c r="E2590">
        <v>202602</v>
      </c>
      <c r="F2590" t="s">
        <v>580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1</v>
      </c>
      <c r="AM2590">
        <v>0</v>
      </c>
      <c r="AN2590">
        <v>1</v>
      </c>
    </row>
    <row r="2591" spans="1:40" x14ac:dyDescent="0.3">
      <c r="A2591" t="s">
        <v>573</v>
      </c>
      <c r="B2591" t="s">
        <v>17</v>
      </c>
      <c r="C2591" t="s">
        <v>16</v>
      </c>
      <c r="D2591" t="s">
        <v>14</v>
      </c>
      <c r="E2591">
        <v>202602</v>
      </c>
      <c r="F2591" t="s">
        <v>585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1</v>
      </c>
      <c r="AM2591">
        <v>0</v>
      </c>
      <c r="AN2591">
        <v>1</v>
      </c>
    </row>
    <row r="2592" spans="1:40" x14ac:dyDescent="0.3">
      <c r="A2592" t="s">
        <v>573</v>
      </c>
      <c r="B2592" t="s">
        <v>49</v>
      </c>
      <c r="C2592" t="s">
        <v>10</v>
      </c>
      <c r="D2592" t="s">
        <v>11</v>
      </c>
      <c r="E2592">
        <v>202602</v>
      </c>
      <c r="F2592" t="s">
        <v>50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  <c r="Z2592">
        <v>1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2</v>
      </c>
      <c r="AM2592">
        <v>0.66666666666666663</v>
      </c>
      <c r="AN2592">
        <v>5.3593372454261221</v>
      </c>
    </row>
    <row r="2593" spans="1:40" x14ac:dyDescent="0.3">
      <c r="A2593" t="s">
        <v>573</v>
      </c>
      <c r="B2593" t="s">
        <v>49</v>
      </c>
      <c r="C2593" t="s">
        <v>10</v>
      </c>
      <c r="D2593" t="s">
        <v>14</v>
      </c>
      <c r="E2593">
        <v>202602</v>
      </c>
      <c r="F2593" t="s">
        <v>50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1</v>
      </c>
      <c r="N2593">
        <v>0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4</v>
      </c>
      <c r="AM2593">
        <v>0.33333333333333331</v>
      </c>
      <c r="AN2593">
        <v>5.4342414279002504</v>
      </c>
    </row>
    <row r="2594" spans="1:40" x14ac:dyDescent="0.3">
      <c r="A2594" t="s">
        <v>573</v>
      </c>
      <c r="B2594" t="s">
        <v>49</v>
      </c>
      <c r="C2594" t="s">
        <v>16</v>
      </c>
      <c r="D2594" t="s">
        <v>11</v>
      </c>
      <c r="E2594">
        <v>202602</v>
      </c>
      <c r="F2594" t="s">
        <v>50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1</v>
      </c>
      <c r="AM2594">
        <v>0</v>
      </c>
      <c r="AN2594">
        <v>1</v>
      </c>
    </row>
    <row r="2595" spans="1:40" x14ac:dyDescent="0.3">
      <c r="A2595" t="s">
        <v>573</v>
      </c>
      <c r="B2595" t="s">
        <v>49</v>
      </c>
      <c r="C2595" t="s">
        <v>16</v>
      </c>
      <c r="D2595" t="s">
        <v>14</v>
      </c>
      <c r="E2595">
        <v>202602</v>
      </c>
      <c r="F2595" t="s">
        <v>50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1</v>
      </c>
      <c r="AM2595">
        <v>0</v>
      </c>
      <c r="AN2595">
        <v>1</v>
      </c>
    </row>
    <row r="2596" spans="1:40" x14ac:dyDescent="0.3">
      <c r="A2596" t="s">
        <v>573</v>
      </c>
      <c r="B2596" t="s">
        <v>49</v>
      </c>
      <c r="C2596" t="s">
        <v>16</v>
      </c>
      <c r="D2596" t="s">
        <v>14</v>
      </c>
      <c r="E2596">
        <v>202602</v>
      </c>
      <c r="F2596" t="s">
        <v>759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1</v>
      </c>
      <c r="AM2596">
        <v>0</v>
      </c>
      <c r="AN2596">
        <v>1</v>
      </c>
    </row>
    <row r="2597" spans="1:40" x14ac:dyDescent="0.3">
      <c r="A2597" t="s">
        <v>573</v>
      </c>
      <c r="B2597" t="s">
        <v>54</v>
      </c>
      <c r="C2597" t="s">
        <v>10</v>
      </c>
      <c r="D2597" t="s">
        <v>11</v>
      </c>
      <c r="E2597">
        <v>202602</v>
      </c>
      <c r="F2597" t="s">
        <v>55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1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1</v>
      </c>
      <c r="U2597">
        <v>0</v>
      </c>
      <c r="V2597">
        <v>0</v>
      </c>
      <c r="W2597">
        <v>0</v>
      </c>
      <c r="X2597">
        <v>2</v>
      </c>
      <c r="Y2597">
        <v>0</v>
      </c>
      <c r="Z2597">
        <v>1</v>
      </c>
      <c r="AA2597">
        <v>0</v>
      </c>
      <c r="AB2597">
        <v>0</v>
      </c>
      <c r="AC2597">
        <v>1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9</v>
      </c>
      <c r="AM2597">
        <v>0.66666666666666663</v>
      </c>
      <c r="AN2597">
        <v>12.359337245426122</v>
      </c>
    </row>
    <row r="2598" spans="1:40" x14ac:dyDescent="0.3">
      <c r="A2598" t="s">
        <v>573</v>
      </c>
      <c r="B2598" t="s">
        <v>54</v>
      </c>
      <c r="C2598" t="s">
        <v>10</v>
      </c>
      <c r="D2598" t="s">
        <v>11</v>
      </c>
      <c r="E2598">
        <v>202602</v>
      </c>
      <c r="F2598" t="s">
        <v>56</v>
      </c>
      <c r="G2598">
        <v>0</v>
      </c>
      <c r="H2598">
        <v>6</v>
      </c>
      <c r="I2598">
        <v>6</v>
      </c>
      <c r="J2598">
        <v>5</v>
      </c>
      <c r="K2598">
        <v>1</v>
      </c>
      <c r="L2598">
        <v>2</v>
      </c>
      <c r="M2598">
        <v>1</v>
      </c>
      <c r="N2598">
        <v>1</v>
      </c>
      <c r="O2598">
        <v>2</v>
      </c>
      <c r="P2598">
        <v>3</v>
      </c>
      <c r="Q2598">
        <v>7</v>
      </c>
      <c r="R2598">
        <v>12</v>
      </c>
      <c r="S2598">
        <v>18</v>
      </c>
      <c r="T2598">
        <v>4</v>
      </c>
      <c r="U2598">
        <v>0</v>
      </c>
      <c r="V2598">
        <v>5</v>
      </c>
      <c r="W2598">
        <v>0</v>
      </c>
      <c r="X2598">
        <v>2</v>
      </c>
      <c r="Y2598">
        <v>2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77</v>
      </c>
      <c r="AM2598">
        <v>0.66666666666666663</v>
      </c>
      <c r="AN2598">
        <v>80.359337245426119</v>
      </c>
    </row>
    <row r="2599" spans="1:40" x14ac:dyDescent="0.3">
      <c r="A2599" t="s">
        <v>573</v>
      </c>
      <c r="B2599" t="s">
        <v>54</v>
      </c>
      <c r="C2599" t="s">
        <v>10</v>
      </c>
      <c r="D2599" t="s">
        <v>11</v>
      </c>
      <c r="E2599">
        <v>202602</v>
      </c>
      <c r="F2599" t="s">
        <v>57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2</v>
      </c>
      <c r="P2599">
        <v>0</v>
      </c>
      <c r="Q2599">
        <v>2</v>
      </c>
      <c r="R2599">
        <v>1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1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8</v>
      </c>
      <c r="AM2599">
        <v>0.33333333333333331</v>
      </c>
      <c r="AN2599">
        <v>9.6796686227130611</v>
      </c>
    </row>
    <row r="2600" spans="1:40" x14ac:dyDescent="0.3">
      <c r="A2600" t="s">
        <v>573</v>
      </c>
      <c r="B2600" t="s">
        <v>54</v>
      </c>
      <c r="C2600" t="s">
        <v>10</v>
      </c>
      <c r="D2600" t="s">
        <v>11</v>
      </c>
      <c r="E2600">
        <v>202602</v>
      </c>
      <c r="F2600" t="s">
        <v>58</v>
      </c>
      <c r="G2600">
        <v>0</v>
      </c>
      <c r="H2600">
        <v>3</v>
      </c>
      <c r="I2600">
        <v>3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8</v>
      </c>
      <c r="AM2600">
        <v>0</v>
      </c>
      <c r="AN2600">
        <v>8</v>
      </c>
    </row>
    <row r="2601" spans="1:40" x14ac:dyDescent="0.3">
      <c r="A2601" t="s">
        <v>573</v>
      </c>
      <c r="B2601" t="s">
        <v>54</v>
      </c>
      <c r="C2601" t="s">
        <v>10</v>
      </c>
      <c r="D2601" t="s">
        <v>14</v>
      </c>
      <c r="E2601">
        <v>202602</v>
      </c>
      <c r="F2601" t="s">
        <v>55</v>
      </c>
      <c r="G2601">
        <v>0</v>
      </c>
      <c r="H2601">
        <v>0</v>
      </c>
      <c r="I2601">
        <v>2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2</v>
      </c>
      <c r="P2601">
        <v>0</v>
      </c>
      <c r="Q2601">
        <v>2</v>
      </c>
      <c r="R2601">
        <v>1</v>
      </c>
      <c r="S2601">
        <v>1</v>
      </c>
      <c r="T2601">
        <v>0</v>
      </c>
      <c r="U2601">
        <v>0</v>
      </c>
      <c r="V2601">
        <v>1</v>
      </c>
      <c r="W2601">
        <v>0</v>
      </c>
      <c r="X2601">
        <v>1</v>
      </c>
      <c r="Y2601">
        <v>0</v>
      </c>
      <c r="Z2601">
        <v>1</v>
      </c>
      <c r="AA2601">
        <v>1</v>
      </c>
      <c r="AB2601">
        <v>0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14</v>
      </c>
      <c r="AM2601">
        <v>0.66666666666666663</v>
      </c>
      <c r="AN2601">
        <v>16.868482855800501</v>
      </c>
    </row>
    <row r="2602" spans="1:40" x14ac:dyDescent="0.3">
      <c r="A2602" t="s">
        <v>573</v>
      </c>
      <c r="B2602" t="s">
        <v>54</v>
      </c>
      <c r="C2602" t="s">
        <v>10</v>
      </c>
      <c r="D2602" t="s">
        <v>14</v>
      </c>
      <c r="E2602">
        <v>202602</v>
      </c>
      <c r="F2602" t="s">
        <v>56</v>
      </c>
      <c r="G2602">
        <v>0</v>
      </c>
      <c r="H2602">
        <v>8</v>
      </c>
      <c r="I2602">
        <v>10</v>
      </c>
      <c r="J2602">
        <v>11</v>
      </c>
      <c r="K2602">
        <v>2</v>
      </c>
      <c r="L2602">
        <v>4</v>
      </c>
      <c r="M2602">
        <v>0</v>
      </c>
      <c r="N2602">
        <v>3</v>
      </c>
      <c r="O2602">
        <v>9</v>
      </c>
      <c r="P2602">
        <v>4</v>
      </c>
      <c r="Q2602">
        <v>8</v>
      </c>
      <c r="R2602">
        <v>10</v>
      </c>
      <c r="S2602">
        <v>15</v>
      </c>
      <c r="T2602">
        <v>10</v>
      </c>
      <c r="U2602">
        <v>1</v>
      </c>
      <c r="V2602">
        <v>1</v>
      </c>
      <c r="W2602">
        <v>0</v>
      </c>
      <c r="X2602">
        <v>0</v>
      </c>
      <c r="Y2602">
        <v>3</v>
      </c>
      <c r="Z2602">
        <v>2</v>
      </c>
      <c r="AA2602">
        <v>0</v>
      </c>
      <c r="AB2602">
        <v>0</v>
      </c>
      <c r="AC2602">
        <v>5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106</v>
      </c>
      <c r="AM2602">
        <v>3.3333333333333335</v>
      </c>
      <c r="AN2602">
        <v>120.3424142790025</v>
      </c>
    </row>
    <row r="2603" spans="1:40" x14ac:dyDescent="0.3">
      <c r="A2603" t="s">
        <v>573</v>
      </c>
      <c r="B2603" t="s">
        <v>54</v>
      </c>
      <c r="C2603" t="s">
        <v>10</v>
      </c>
      <c r="D2603" t="s">
        <v>14</v>
      </c>
      <c r="E2603">
        <v>202602</v>
      </c>
      <c r="F2603" t="s">
        <v>57</v>
      </c>
      <c r="G2603">
        <v>0</v>
      </c>
      <c r="H2603">
        <v>1</v>
      </c>
      <c r="I2603">
        <v>2</v>
      </c>
      <c r="J2603">
        <v>2</v>
      </c>
      <c r="K2603">
        <v>2</v>
      </c>
      <c r="L2603">
        <v>1</v>
      </c>
      <c r="M2603">
        <v>1</v>
      </c>
      <c r="N2603">
        <v>0</v>
      </c>
      <c r="O2603">
        <v>2</v>
      </c>
      <c r="P2603">
        <v>1</v>
      </c>
      <c r="Q2603">
        <v>0</v>
      </c>
      <c r="R2603">
        <v>1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1</v>
      </c>
      <c r="Y2603">
        <v>1</v>
      </c>
      <c r="Z2603">
        <v>0</v>
      </c>
      <c r="AA2603">
        <v>0</v>
      </c>
      <c r="AB2603">
        <v>0</v>
      </c>
      <c r="AC2603">
        <v>1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17</v>
      </c>
      <c r="AM2603">
        <v>0.66666666666666663</v>
      </c>
      <c r="AN2603">
        <v>19.868482855800501</v>
      </c>
    </row>
    <row r="2604" spans="1:40" x14ac:dyDescent="0.3">
      <c r="A2604" t="s">
        <v>573</v>
      </c>
      <c r="B2604" t="s">
        <v>54</v>
      </c>
      <c r="C2604" t="s">
        <v>10</v>
      </c>
      <c r="D2604" t="s">
        <v>14</v>
      </c>
      <c r="E2604">
        <v>202602</v>
      </c>
      <c r="F2604" t="s">
        <v>58</v>
      </c>
      <c r="G2604">
        <v>0</v>
      </c>
      <c r="H2604">
        <v>3</v>
      </c>
      <c r="I2604">
        <v>3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10</v>
      </c>
      <c r="AM2604">
        <v>0.66666666666666663</v>
      </c>
      <c r="AN2604">
        <v>12.868482855800501</v>
      </c>
    </row>
    <row r="2605" spans="1:40" x14ac:dyDescent="0.3">
      <c r="A2605" t="s">
        <v>573</v>
      </c>
      <c r="B2605" t="s">
        <v>54</v>
      </c>
      <c r="C2605" t="s">
        <v>16</v>
      </c>
      <c r="D2605" t="s">
        <v>14</v>
      </c>
      <c r="E2605">
        <v>202602</v>
      </c>
      <c r="F2605" t="s">
        <v>57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1</v>
      </c>
      <c r="AM2605">
        <v>0</v>
      </c>
      <c r="AN2605">
        <v>1</v>
      </c>
    </row>
    <row r="2606" spans="1:40" x14ac:dyDescent="0.3">
      <c r="A2606" t="s">
        <v>573</v>
      </c>
      <c r="B2606" t="s">
        <v>59</v>
      </c>
      <c r="C2606" t="s">
        <v>10</v>
      </c>
      <c r="D2606" t="s">
        <v>11</v>
      </c>
      <c r="E2606">
        <v>202602</v>
      </c>
      <c r="F2606" t="s">
        <v>60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1</v>
      </c>
      <c r="AM2606">
        <v>0</v>
      </c>
      <c r="AN2606">
        <v>1</v>
      </c>
    </row>
    <row r="2607" spans="1:40" x14ac:dyDescent="0.3">
      <c r="A2607" t="s">
        <v>573</v>
      </c>
      <c r="B2607" t="s">
        <v>59</v>
      </c>
      <c r="C2607" t="s">
        <v>10</v>
      </c>
      <c r="D2607" t="s">
        <v>11</v>
      </c>
      <c r="E2607">
        <v>202602</v>
      </c>
      <c r="F2607" t="s">
        <v>204</v>
      </c>
      <c r="G2607">
        <v>0</v>
      </c>
      <c r="H2607">
        <v>0</v>
      </c>
      <c r="I2607">
        <v>1</v>
      </c>
      <c r="J2607">
        <v>3</v>
      </c>
      <c r="K2607">
        <v>0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3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1</v>
      </c>
      <c r="Y2607">
        <v>3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15</v>
      </c>
      <c r="AM2607">
        <v>1.3333333333333333</v>
      </c>
      <c r="AN2607">
        <v>21.718674490852244</v>
      </c>
    </row>
    <row r="2608" spans="1:40" x14ac:dyDescent="0.3">
      <c r="A2608" t="s">
        <v>573</v>
      </c>
      <c r="B2608" t="s">
        <v>59</v>
      </c>
      <c r="C2608" t="s">
        <v>10</v>
      </c>
      <c r="D2608" t="s">
        <v>11</v>
      </c>
      <c r="E2608">
        <v>202602</v>
      </c>
      <c r="F2608" t="s">
        <v>61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4</v>
      </c>
      <c r="AM2608">
        <v>0</v>
      </c>
      <c r="AN2608">
        <v>4</v>
      </c>
    </row>
    <row r="2609" spans="1:40" x14ac:dyDescent="0.3">
      <c r="A2609" t="s">
        <v>573</v>
      </c>
      <c r="B2609" t="s">
        <v>59</v>
      </c>
      <c r="C2609" t="s">
        <v>10</v>
      </c>
      <c r="D2609" t="s">
        <v>11</v>
      </c>
      <c r="E2609">
        <v>202602</v>
      </c>
      <c r="F2609" t="s">
        <v>464</v>
      </c>
      <c r="G2609">
        <v>0</v>
      </c>
      <c r="H2609">
        <v>0</v>
      </c>
      <c r="I2609">
        <v>3</v>
      </c>
      <c r="J2609">
        <v>2</v>
      </c>
      <c r="K2609">
        <v>5</v>
      </c>
      <c r="L2609">
        <v>0</v>
      </c>
      <c r="M2609">
        <v>1</v>
      </c>
      <c r="N2609">
        <v>0</v>
      </c>
      <c r="O2609">
        <v>2</v>
      </c>
      <c r="P2609">
        <v>1</v>
      </c>
      <c r="Q2609">
        <v>4</v>
      </c>
      <c r="R2609">
        <v>3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1</v>
      </c>
      <c r="AB2609">
        <v>0</v>
      </c>
      <c r="AC2609">
        <v>4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27</v>
      </c>
      <c r="AM2609">
        <v>1.6666666666666667</v>
      </c>
      <c r="AN2609">
        <v>35.398343113565303</v>
      </c>
    </row>
    <row r="2610" spans="1:40" x14ac:dyDescent="0.3">
      <c r="A2610" t="s">
        <v>573</v>
      </c>
      <c r="B2610" t="s">
        <v>59</v>
      </c>
      <c r="C2610" t="s">
        <v>10</v>
      </c>
      <c r="D2610" t="s">
        <v>11</v>
      </c>
      <c r="E2610">
        <v>202602</v>
      </c>
      <c r="F2610" t="s">
        <v>586</v>
      </c>
      <c r="G2610">
        <v>0</v>
      </c>
      <c r="H2610">
        <v>0</v>
      </c>
      <c r="I2610">
        <v>2</v>
      </c>
      <c r="J2610">
        <v>1</v>
      </c>
      <c r="K2610">
        <v>2</v>
      </c>
      <c r="L2610">
        <v>3</v>
      </c>
      <c r="M2610">
        <v>0</v>
      </c>
      <c r="N2610">
        <v>0</v>
      </c>
      <c r="O2610">
        <v>1</v>
      </c>
      <c r="P2610">
        <v>7</v>
      </c>
      <c r="Q2610">
        <v>2</v>
      </c>
      <c r="R2610">
        <v>6</v>
      </c>
      <c r="S2610">
        <v>3</v>
      </c>
      <c r="T2610">
        <v>0</v>
      </c>
      <c r="U2610">
        <v>0</v>
      </c>
      <c r="V2610">
        <v>1</v>
      </c>
      <c r="W2610">
        <v>0</v>
      </c>
      <c r="X2610">
        <v>1</v>
      </c>
      <c r="Y2610">
        <v>0</v>
      </c>
      <c r="Z2610">
        <v>3</v>
      </c>
      <c r="AA2610">
        <v>1</v>
      </c>
      <c r="AB2610">
        <v>0</v>
      </c>
      <c r="AC2610">
        <v>2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35</v>
      </c>
      <c r="AM2610">
        <v>1.6666666666666667</v>
      </c>
      <c r="AN2610">
        <v>43.398343113565303</v>
      </c>
    </row>
    <row r="2611" spans="1:40" x14ac:dyDescent="0.3">
      <c r="A2611" t="s">
        <v>573</v>
      </c>
      <c r="B2611" t="s">
        <v>59</v>
      </c>
      <c r="C2611" t="s">
        <v>10</v>
      </c>
      <c r="D2611" t="s">
        <v>11</v>
      </c>
      <c r="E2611">
        <v>202602</v>
      </c>
      <c r="F2611" t="s">
        <v>206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1</v>
      </c>
      <c r="AM2611">
        <v>0.33333333333333331</v>
      </c>
      <c r="AN2611">
        <v>2.6796686227130611</v>
      </c>
    </row>
    <row r="2612" spans="1:40" x14ac:dyDescent="0.3">
      <c r="A2612" t="s">
        <v>573</v>
      </c>
      <c r="B2612" t="s">
        <v>59</v>
      </c>
      <c r="C2612" t="s">
        <v>10</v>
      </c>
      <c r="D2612" t="s">
        <v>11</v>
      </c>
      <c r="E2612">
        <v>202602</v>
      </c>
      <c r="F2612" t="s">
        <v>466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2</v>
      </c>
      <c r="AM2612">
        <v>0</v>
      </c>
      <c r="AN2612">
        <v>2</v>
      </c>
    </row>
    <row r="2613" spans="1:40" x14ac:dyDescent="0.3">
      <c r="A2613" t="s">
        <v>573</v>
      </c>
      <c r="B2613" t="s">
        <v>59</v>
      </c>
      <c r="C2613" t="s">
        <v>10</v>
      </c>
      <c r="D2613" t="s">
        <v>11</v>
      </c>
      <c r="E2613">
        <v>202602</v>
      </c>
      <c r="F2613" t="s">
        <v>65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1</v>
      </c>
      <c r="AM2613">
        <v>0</v>
      </c>
      <c r="AN2613">
        <v>1</v>
      </c>
    </row>
    <row r="2614" spans="1:40" x14ac:dyDescent="0.3">
      <c r="A2614" t="s">
        <v>573</v>
      </c>
      <c r="B2614" t="s">
        <v>59</v>
      </c>
      <c r="C2614" t="s">
        <v>10</v>
      </c>
      <c r="D2614" t="s">
        <v>11</v>
      </c>
      <c r="E2614">
        <v>202602</v>
      </c>
      <c r="F2614" t="s">
        <v>66</v>
      </c>
      <c r="G2614">
        <v>0</v>
      </c>
      <c r="H2614">
        <v>0</v>
      </c>
      <c r="I2614">
        <v>1</v>
      </c>
      <c r="J2614">
        <v>0</v>
      </c>
      <c r="K2614">
        <v>1</v>
      </c>
      <c r="L2614">
        <v>1</v>
      </c>
      <c r="M2614">
        <v>1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5</v>
      </c>
      <c r="AM2614">
        <v>0</v>
      </c>
      <c r="AN2614">
        <v>5</v>
      </c>
    </row>
    <row r="2615" spans="1:40" x14ac:dyDescent="0.3">
      <c r="A2615" t="s">
        <v>573</v>
      </c>
      <c r="B2615" t="s">
        <v>59</v>
      </c>
      <c r="C2615" t="s">
        <v>10</v>
      </c>
      <c r="D2615" t="s">
        <v>11</v>
      </c>
      <c r="E2615">
        <v>202602</v>
      </c>
      <c r="F2615" t="s">
        <v>69</v>
      </c>
      <c r="G2615">
        <v>0</v>
      </c>
      <c r="H2615">
        <v>0</v>
      </c>
      <c r="I2615">
        <v>1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1</v>
      </c>
      <c r="AA2615">
        <v>2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7</v>
      </c>
      <c r="AM2615">
        <v>0.33333333333333331</v>
      </c>
      <c r="AN2615">
        <v>8.6796686227130611</v>
      </c>
    </row>
    <row r="2616" spans="1:40" x14ac:dyDescent="0.3">
      <c r="A2616" t="s">
        <v>573</v>
      </c>
      <c r="B2616" t="s">
        <v>59</v>
      </c>
      <c r="C2616" t="s">
        <v>10</v>
      </c>
      <c r="D2616" t="s">
        <v>11</v>
      </c>
      <c r="E2616">
        <v>202602</v>
      </c>
      <c r="F2616" t="s">
        <v>70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1</v>
      </c>
      <c r="AM2616">
        <v>0</v>
      </c>
      <c r="AN2616">
        <v>1</v>
      </c>
    </row>
    <row r="2617" spans="1:40" x14ac:dyDescent="0.3">
      <c r="A2617" t="s">
        <v>573</v>
      </c>
      <c r="B2617" t="s">
        <v>59</v>
      </c>
      <c r="C2617" t="s">
        <v>10</v>
      </c>
      <c r="D2617" t="s">
        <v>11</v>
      </c>
      <c r="E2617">
        <v>202602</v>
      </c>
      <c r="F2617" t="s">
        <v>587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2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2</v>
      </c>
      <c r="AM2617">
        <v>0</v>
      </c>
      <c r="AN2617">
        <v>2</v>
      </c>
    </row>
    <row r="2618" spans="1:40" x14ac:dyDescent="0.3">
      <c r="A2618" t="s">
        <v>573</v>
      </c>
      <c r="B2618" t="s">
        <v>59</v>
      </c>
      <c r="C2618" t="s">
        <v>10</v>
      </c>
      <c r="D2618" t="s">
        <v>11</v>
      </c>
      <c r="E2618">
        <v>202602</v>
      </c>
      <c r="F2618" t="s">
        <v>588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2</v>
      </c>
      <c r="AM2618">
        <v>0.33333333333333331</v>
      </c>
      <c r="AN2618">
        <v>3.6796686227130611</v>
      </c>
    </row>
    <row r="2619" spans="1:40" x14ac:dyDescent="0.3">
      <c r="A2619" t="s">
        <v>573</v>
      </c>
      <c r="B2619" t="s">
        <v>59</v>
      </c>
      <c r="C2619" t="s">
        <v>10</v>
      </c>
      <c r="D2619" t="s">
        <v>11</v>
      </c>
      <c r="E2619">
        <v>202602</v>
      </c>
      <c r="F2619" t="s">
        <v>589</v>
      </c>
      <c r="G2619">
        <v>0</v>
      </c>
      <c r="H2619">
        <v>0</v>
      </c>
      <c r="I2619">
        <v>1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3</v>
      </c>
      <c r="Z2619">
        <v>1</v>
      </c>
      <c r="AA2619">
        <v>0</v>
      </c>
      <c r="AB2619">
        <v>0</v>
      </c>
      <c r="AC2619">
        <v>1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10</v>
      </c>
      <c r="AM2619">
        <v>1.6666666666666667</v>
      </c>
      <c r="AN2619">
        <v>18.398343113565303</v>
      </c>
    </row>
    <row r="2620" spans="1:40" x14ac:dyDescent="0.3">
      <c r="A2620" t="s">
        <v>573</v>
      </c>
      <c r="B2620" t="s">
        <v>59</v>
      </c>
      <c r="C2620" t="s">
        <v>10</v>
      </c>
      <c r="D2620" t="s">
        <v>11</v>
      </c>
      <c r="E2620">
        <v>202602</v>
      </c>
      <c r="F2620" t="s">
        <v>590</v>
      </c>
      <c r="G2620">
        <v>0</v>
      </c>
      <c r="H2620">
        <v>1</v>
      </c>
      <c r="I2620">
        <v>2</v>
      </c>
      <c r="J2620">
        <v>1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2</v>
      </c>
      <c r="R2620">
        <v>3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13</v>
      </c>
      <c r="AM2620">
        <v>0.33333333333333331</v>
      </c>
      <c r="AN2620">
        <v>14.679668622713061</v>
      </c>
    </row>
    <row r="2621" spans="1:40" x14ac:dyDescent="0.3">
      <c r="A2621" t="s">
        <v>573</v>
      </c>
      <c r="B2621" t="s">
        <v>59</v>
      </c>
      <c r="C2621" t="s">
        <v>10</v>
      </c>
      <c r="D2621" t="s">
        <v>11</v>
      </c>
      <c r="E2621">
        <v>202602</v>
      </c>
      <c r="F2621" t="s">
        <v>591</v>
      </c>
      <c r="G2621">
        <v>0</v>
      </c>
      <c r="H2621">
        <v>0</v>
      </c>
      <c r="I2621">
        <v>1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2</v>
      </c>
      <c r="T2621">
        <v>0</v>
      </c>
      <c r="U2621">
        <v>0</v>
      </c>
      <c r="V2621">
        <v>1</v>
      </c>
      <c r="W2621">
        <v>0</v>
      </c>
      <c r="X2621">
        <v>1</v>
      </c>
      <c r="Y2621">
        <v>0</v>
      </c>
      <c r="Z2621">
        <v>1</v>
      </c>
      <c r="AA2621">
        <v>0</v>
      </c>
      <c r="AB2621">
        <v>0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8</v>
      </c>
      <c r="AM2621">
        <v>0.66666666666666663</v>
      </c>
      <c r="AN2621">
        <v>11.359337245426122</v>
      </c>
    </row>
    <row r="2622" spans="1:40" x14ac:dyDescent="0.3">
      <c r="A2622" t="s">
        <v>573</v>
      </c>
      <c r="B2622" t="s">
        <v>59</v>
      </c>
      <c r="C2622" t="s">
        <v>10</v>
      </c>
      <c r="D2622" t="s">
        <v>11</v>
      </c>
      <c r="E2622">
        <v>202602</v>
      </c>
      <c r="F2622" t="s">
        <v>552</v>
      </c>
      <c r="G2622">
        <v>0</v>
      </c>
      <c r="H2622">
        <v>1</v>
      </c>
      <c r="I2622">
        <v>0</v>
      </c>
      <c r="J2622">
        <v>2</v>
      </c>
      <c r="K2622">
        <v>3</v>
      </c>
      <c r="L2622">
        <v>1</v>
      </c>
      <c r="M2622">
        <v>2</v>
      </c>
      <c r="N2622">
        <v>0</v>
      </c>
      <c r="O2622">
        <v>3</v>
      </c>
      <c r="P2622">
        <v>1</v>
      </c>
      <c r="Q2622">
        <v>4</v>
      </c>
      <c r="R2622">
        <v>5</v>
      </c>
      <c r="S2622">
        <v>3</v>
      </c>
      <c r="T2622">
        <v>5</v>
      </c>
      <c r="U2622">
        <v>0</v>
      </c>
      <c r="V2622">
        <v>0</v>
      </c>
      <c r="W2622">
        <v>0</v>
      </c>
      <c r="X2622">
        <v>0</v>
      </c>
      <c r="Y2622">
        <v>3</v>
      </c>
      <c r="Z2622">
        <v>5</v>
      </c>
      <c r="AA2622">
        <v>0</v>
      </c>
      <c r="AB2622">
        <v>0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39</v>
      </c>
      <c r="AM2622">
        <v>3</v>
      </c>
      <c r="AN2622">
        <v>54.117017604417548</v>
      </c>
    </row>
    <row r="2623" spans="1:40" x14ac:dyDescent="0.3">
      <c r="A2623" t="s">
        <v>573</v>
      </c>
      <c r="B2623" t="s">
        <v>59</v>
      </c>
      <c r="C2623" t="s">
        <v>10</v>
      </c>
      <c r="D2623" t="s">
        <v>11</v>
      </c>
      <c r="E2623">
        <v>202602</v>
      </c>
      <c r="F2623" t="s">
        <v>592</v>
      </c>
      <c r="G2623">
        <v>0</v>
      </c>
      <c r="H2623">
        <v>0</v>
      </c>
      <c r="I2623">
        <v>0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2</v>
      </c>
      <c r="R2623">
        <v>0</v>
      </c>
      <c r="S2623">
        <v>0</v>
      </c>
      <c r="T2623">
        <v>0</v>
      </c>
      <c r="U2623">
        <v>0</v>
      </c>
      <c r="V2623">
        <v>1</v>
      </c>
      <c r="W2623">
        <v>0</v>
      </c>
      <c r="X2623">
        <v>1</v>
      </c>
      <c r="Y2623">
        <v>0</v>
      </c>
      <c r="Z2623">
        <v>1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8</v>
      </c>
      <c r="AM2623">
        <v>0.33333333333333331</v>
      </c>
      <c r="AN2623">
        <v>9.6796686227130611</v>
      </c>
    </row>
    <row r="2624" spans="1:40" x14ac:dyDescent="0.3">
      <c r="A2624" t="s">
        <v>573</v>
      </c>
      <c r="B2624" t="s">
        <v>59</v>
      </c>
      <c r="C2624" t="s">
        <v>10</v>
      </c>
      <c r="D2624" t="s">
        <v>11</v>
      </c>
      <c r="E2624">
        <v>202602</v>
      </c>
      <c r="F2624" t="s">
        <v>593</v>
      </c>
      <c r="G2624">
        <v>0</v>
      </c>
      <c r="H2624">
        <v>0</v>
      </c>
      <c r="I2624">
        <v>1</v>
      </c>
      <c r="J2624">
        <v>1</v>
      </c>
      <c r="K2624">
        <v>0</v>
      </c>
      <c r="L2624">
        <v>1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1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7</v>
      </c>
      <c r="AM2624">
        <v>0.33333333333333331</v>
      </c>
      <c r="AN2624">
        <v>8.6796686227130611</v>
      </c>
    </row>
    <row r="2625" spans="1:40" x14ac:dyDescent="0.3">
      <c r="A2625" t="s">
        <v>573</v>
      </c>
      <c r="B2625" t="s">
        <v>59</v>
      </c>
      <c r="C2625" t="s">
        <v>10</v>
      </c>
      <c r="D2625" t="s">
        <v>11</v>
      </c>
      <c r="E2625">
        <v>202602</v>
      </c>
      <c r="F2625" t="s">
        <v>79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1</v>
      </c>
      <c r="AM2625">
        <v>0</v>
      </c>
      <c r="AN2625">
        <v>1</v>
      </c>
    </row>
    <row r="2626" spans="1:40" x14ac:dyDescent="0.3">
      <c r="A2626" t="s">
        <v>573</v>
      </c>
      <c r="B2626" t="s">
        <v>59</v>
      </c>
      <c r="C2626" t="s">
        <v>10</v>
      </c>
      <c r="D2626" t="s">
        <v>11</v>
      </c>
      <c r="E2626">
        <v>202602</v>
      </c>
      <c r="F2626" t="s">
        <v>697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2</v>
      </c>
      <c r="AM2626">
        <v>0.33333333333333331</v>
      </c>
      <c r="AN2626">
        <v>3.6796686227130611</v>
      </c>
    </row>
    <row r="2627" spans="1:40" x14ac:dyDescent="0.3">
      <c r="A2627" t="s">
        <v>573</v>
      </c>
      <c r="B2627" t="s">
        <v>59</v>
      </c>
      <c r="C2627" t="s">
        <v>10</v>
      </c>
      <c r="D2627" t="s">
        <v>14</v>
      </c>
      <c r="E2627">
        <v>202602</v>
      </c>
      <c r="F2627" t="s">
        <v>60</v>
      </c>
      <c r="G2627">
        <v>0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>
        <v>0</v>
      </c>
      <c r="AN2627">
        <v>1</v>
      </c>
    </row>
    <row r="2628" spans="1:40" x14ac:dyDescent="0.3">
      <c r="A2628" t="s">
        <v>573</v>
      </c>
      <c r="B2628" t="s">
        <v>59</v>
      </c>
      <c r="C2628" t="s">
        <v>10</v>
      </c>
      <c r="D2628" t="s">
        <v>14</v>
      </c>
      <c r="E2628">
        <v>202602</v>
      </c>
      <c r="F2628" t="s">
        <v>204</v>
      </c>
      <c r="G2628">
        <v>0</v>
      </c>
      <c r="H2628">
        <v>4</v>
      </c>
      <c r="I2628">
        <v>3</v>
      </c>
      <c r="J2628">
        <v>0</v>
      </c>
      <c r="K2628">
        <v>2</v>
      </c>
      <c r="L2628">
        <v>2</v>
      </c>
      <c r="M2628">
        <v>0</v>
      </c>
      <c r="N2628">
        <v>0</v>
      </c>
      <c r="O2628">
        <v>1</v>
      </c>
      <c r="P2628">
        <v>3</v>
      </c>
      <c r="Q2628">
        <v>1</v>
      </c>
      <c r="R2628">
        <v>1</v>
      </c>
      <c r="S2628">
        <v>2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2</v>
      </c>
      <c r="AA2628">
        <v>0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22</v>
      </c>
      <c r="AM2628">
        <v>1</v>
      </c>
      <c r="AN2628">
        <v>26.302724283700751</v>
      </c>
    </row>
    <row r="2629" spans="1:40" x14ac:dyDescent="0.3">
      <c r="A2629" t="s">
        <v>573</v>
      </c>
      <c r="B2629" t="s">
        <v>59</v>
      </c>
      <c r="C2629" t="s">
        <v>10</v>
      </c>
      <c r="D2629" t="s">
        <v>14</v>
      </c>
      <c r="E2629">
        <v>202602</v>
      </c>
      <c r="F2629" t="s">
        <v>61</v>
      </c>
      <c r="G2629">
        <v>0</v>
      </c>
      <c r="H2629">
        <v>0</v>
      </c>
      <c r="I2629">
        <v>0</v>
      </c>
      <c r="J2629">
        <v>1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1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4</v>
      </c>
      <c r="AM2629">
        <v>0.66666666666666663</v>
      </c>
      <c r="AN2629">
        <v>6.8684828558005</v>
      </c>
    </row>
    <row r="2630" spans="1:40" x14ac:dyDescent="0.3">
      <c r="A2630" t="s">
        <v>573</v>
      </c>
      <c r="B2630" t="s">
        <v>59</v>
      </c>
      <c r="C2630" t="s">
        <v>10</v>
      </c>
      <c r="D2630" t="s">
        <v>14</v>
      </c>
      <c r="E2630">
        <v>202602</v>
      </c>
      <c r="F2630" t="s">
        <v>464</v>
      </c>
      <c r="G2630">
        <v>0</v>
      </c>
      <c r="H2630">
        <v>4</v>
      </c>
      <c r="I2630">
        <v>6</v>
      </c>
      <c r="J2630">
        <v>2</v>
      </c>
      <c r="K2630">
        <v>3</v>
      </c>
      <c r="L2630">
        <v>2</v>
      </c>
      <c r="M2630">
        <v>0</v>
      </c>
      <c r="N2630">
        <v>0</v>
      </c>
      <c r="O2630">
        <v>5</v>
      </c>
      <c r="P2630">
        <v>3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1</v>
      </c>
      <c r="W2630">
        <v>0</v>
      </c>
      <c r="X2630">
        <v>0</v>
      </c>
      <c r="Y2630">
        <v>3</v>
      </c>
      <c r="Z2630">
        <v>4</v>
      </c>
      <c r="AA2630">
        <v>0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35</v>
      </c>
      <c r="AM2630">
        <v>2.6666666666666665</v>
      </c>
      <c r="AN2630">
        <v>46.473931423202004</v>
      </c>
    </row>
    <row r="2631" spans="1:40" x14ac:dyDescent="0.3">
      <c r="A2631" t="s">
        <v>573</v>
      </c>
      <c r="B2631" t="s">
        <v>59</v>
      </c>
      <c r="C2631" t="s">
        <v>10</v>
      </c>
      <c r="D2631" t="s">
        <v>14</v>
      </c>
      <c r="E2631">
        <v>202602</v>
      </c>
      <c r="F2631" t="s">
        <v>586</v>
      </c>
      <c r="G2631">
        <v>0</v>
      </c>
      <c r="H2631">
        <v>1</v>
      </c>
      <c r="I2631">
        <v>2</v>
      </c>
      <c r="J2631">
        <v>3</v>
      </c>
      <c r="K2631">
        <v>3</v>
      </c>
      <c r="L2631">
        <v>5</v>
      </c>
      <c r="M2631">
        <v>1</v>
      </c>
      <c r="N2631">
        <v>0</v>
      </c>
      <c r="O2631">
        <v>7</v>
      </c>
      <c r="P2631">
        <v>4</v>
      </c>
      <c r="Q2631">
        <v>4</v>
      </c>
      <c r="R2631">
        <v>1</v>
      </c>
      <c r="S2631">
        <v>3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5</v>
      </c>
      <c r="Z2631">
        <v>4</v>
      </c>
      <c r="AA2631">
        <v>0</v>
      </c>
      <c r="AB2631">
        <v>0</v>
      </c>
      <c r="AC2631">
        <v>2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45</v>
      </c>
      <c r="AM2631">
        <v>3.6666666666666665</v>
      </c>
      <c r="AN2631">
        <v>60.776655706902751</v>
      </c>
    </row>
    <row r="2632" spans="1:40" x14ac:dyDescent="0.3">
      <c r="A2632" t="s">
        <v>573</v>
      </c>
      <c r="B2632" t="s">
        <v>59</v>
      </c>
      <c r="C2632" t="s">
        <v>10</v>
      </c>
      <c r="D2632" t="s">
        <v>14</v>
      </c>
      <c r="E2632">
        <v>202602</v>
      </c>
      <c r="F2632" t="s">
        <v>206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1</v>
      </c>
      <c r="AM2632">
        <v>0.33333333333333331</v>
      </c>
      <c r="AN2632">
        <v>2.43424142790025</v>
      </c>
    </row>
    <row r="2633" spans="1:40" x14ac:dyDescent="0.3">
      <c r="A2633" t="s">
        <v>573</v>
      </c>
      <c r="B2633" t="s">
        <v>59</v>
      </c>
      <c r="C2633" t="s">
        <v>10</v>
      </c>
      <c r="D2633" t="s">
        <v>14</v>
      </c>
      <c r="E2633">
        <v>202602</v>
      </c>
      <c r="F2633" t="s">
        <v>466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2</v>
      </c>
      <c r="AM2633">
        <v>0</v>
      </c>
      <c r="AN2633">
        <v>2</v>
      </c>
    </row>
    <row r="2634" spans="1:40" x14ac:dyDescent="0.3">
      <c r="A2634" t="s">
        <v>573</v>
      </c>
      <c r="B2634" t="s">
        <v>59</v>
      </c>
      <c r="C2634" t="s">
        <v>10</v>
      </c>
      <c r="D2634" t="s">
        <v>14</v>
      </c>
      <c r="E2634">
        <v>202602</v>
      </c>
      <c r="F2634" t="s">
        <v>65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1</v>
      </c>
      <c r="AM2634">
        <v>0</v>
      </c>
      <c r="AN2634">
        <v>1</v>
      </c>
    </row>
    <row r="2635" spans="1:40" x14ac:dyDescent="0.3">
      <c r="A2635" t="s">
        <v>573</v>
      </c>
      <c r="B2635" t="s">
        <v>59</v>
      </c>
      <c r="C2635" t="s">
        <v>10</v>
      </c>
      <c r="D2635" t="s">
        <v>14</v>
      </c>
      <c r="E2635">
        <v>202602</v>
      </c>
      <c r="F2635" t="s">
        <v>66</v>
      </c>
      <c r="G2635">
        <v>0</v>
      </c>
      <c r="H2635">
        <v>1</v>
      </c>
      <c r="I2635">
        <v>1</v>
      </c>
      <c r="J2635">
        <v>2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5</v>
      </c>
      <c r="AM2635">
        <v>0</v>
      </c>
      <c r="AN2635">
        <v>5</v>
      </c>
    </row>
    <row r="2636" spans="1:40" x14ac:dyDescent="0.3">
      <c r="A2636" t="s">
        <v>573</v>
      </c>
      <c r="B2636" t="s">
        <v>59</v>
      </c>
      <c r="C2636" t="s">
        <v>10</v>
      </c>
      <c r="D2636" t="s">
        <v>14</v>
      </c>
      <c r="E2636">
        <v>202602</v>
      </c>
      <c r="F2636" t="s">
        <v>69</v>
      </c>
      <c r="G2636">
        <v>0</v>
      </c>
      <c r="H2636">
        <v>3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2</v>
      </c>
      <c r="AA2636">
        <v>0</v>
      </c>
      <c r="AB2636">
        <v>0</v>
      </c>
      <c r="AC2636">
        <v>1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10</v>
      </c>
      <c r="AM2636">
        <v>1.3333333333333333</v>
      </c>
      <c r="AN2636">
        <v>15.736965711601</v>
      </c>
    </row>
    <row r="2637" spans="1:40" x14ac:dyDescent="0.3">
      <c r="A2637" t="s">
        <v>573</v>
      </c>
      <c r="B2637" t="s">
        <v>59</v>
      </c>
      <c r="C2637" t="s">
        <v>10</v>
      </c>
      <c r="D2637" t="s">
        <v>14</v>
      </c>
      <c r="E2637">
        <v>202602</v>
      </c>
      <c r="F2637" t="s">
        <v>70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1</v>
      </c>
      <c r="AM2637">
        <v>0</v>
      </c>
      <c r="AN2637">
        <v>1</v>
      </c>
    </row>
    <row r="2638" spans="1:40" x14ac:dyDescent="0.3">
      <c r="A2638" t="s">
        <v>573</v>
      </c>
      <c r="B2638" t="s">
        <v>59</v>
      </c>
      <c r="C2638" t="s">
        <v>10</v>
      </c>
      <c r="D2638" t="s">
        <v>14</v>
      </c>
      <c r="E2638">
        <v>202602</v>
      </c>
      <c r="F2638" t="s">
        <v>594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1</v>
      </c>
      <c r="AM2638">
        <v>0</v>
      </c>
      <c r="AN2638">
        <v>1</v>
      </c>
    </row>
    <row r="2639" spans="1:40" x14ac:dyDescent="0.3">
      <c r="A2639" t="s">
        <v>573</v>
      </c>
      <c r="B2639" t="s">
        <v>59</v>
      </c>
      <c r="C2639" t="s">
        <v>10</v>
      </c>
      <c r="D2639" t="s">
        <v>14</v>
      </c>
      <c r="E2639">
        <v>202602</v>
      </c>
      <c r="F2639" t="s">
        <v>587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2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3</v>
      </c>
      <c r="AM2639">
        <v>0</v>
      </c>
      <c r="AN2639">
        <v>3</v>
      </c>
    </row>
    <row r="2640" spans="1:40" x14ac:dyDescent="0.3">
      <c r="A2640" t="s">
        <v>573</v>
      </c>
      <c r="B2640" t="s">
        <v>59</v>
      </c>
      <c r="C2640" t="s">
        <v>10</v>
      </c>
      <c r="D2640" t="s">
        <v>14</v>
      </c>
      <c r="E2640">
        <v>202602</v>
      </c>
      <c r="F2640" t="s">
        <v>588</v>
      </c>
      <c r="G2640">
        <v>0</v>
      </c>
      <c r="H2640">
        <v>0</v>
      </c>
      <c r="I2640">
        <v>2</v>
      </c>
      <c r="J2640">
        <v>0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4</v>
      </c>
      <c r="AM2640">
        <v>0.33333333333333331</v>
      </c>
      <c r="AN2640">
        <v>5.4342414279002504</v>
      </c>
    </row>
    <row r="2641" spans="1:40" x14ac:dyDescent="0.3">
      <c r="A2641" t="s">
        <v>573</v>
      </c>
      <c r="B2641" t="s">
        <v>59</v>
      </c>
      <c r="C2641" t="s">
        <v>10</v>
      </c>
      <c r="D2641" t="s">
        <v>14</v>
      </c>
      <c r="E2641">
        <v>202602</v>
      </c>
      <c r="F2641" t="s">
        <v>589</v>
      </c>
      <c r="G2641">
        <v>0</v>
      </c>
      <c r="H2641">
        <v>2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3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1</v>
      </c>
      <c r="Z2641">
        <v>4</v>
      </c>
      <c r="AA2641">
        <v>1</v>
      </c>
      <c r="AB2641">
        <v>0</v>
      </c>
      <c r="AC2641">
        <v>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16</v>
      </c>
      <c r="AM2641">
        <v>2</v>
      </c>
      <c r="AN2641">
        <v>24.605448567401503</v>
      </c>
    </row>
    <row r="2642" spans="1:40" x14ac:dyDescent="0.3">
      <c r="A2642" t="s">
        <v>573</v>
      </c>
      <c r="B2642" t="s">
        <v>59</v>
      </c>
      <c r="C2642" t="s">
        <v>10</v>
      </c>
      <c r="D2642" t="s">
        <v>14</v>
      </c>
      <c r="E2642">
        <v>202602</v>
      </c>
      <c r="F2642" t="s">
        <v>590</v>
      </c>
      <c r="G2642">
        <v>0</v>
      </c>
      <c r="H2642">
        <v>0</v>
      </c>
      <c r="I2642">
        <v>2</v>
      </c>
      <c r="J2642">
        <v>1</v>
      </c>
      <c r="K2642">
        <v>0</v>
      </c>
      <c r="L2642">
        <v>0</v>
      </c>
      <c r="M2642">
        <v>1</v>
      </c>
      <c r="N2642">
        <v>0</v>
      </c>
      <c r="O2642">
        <v>0</v>
      </c>
      <c r="P2642">
        <v>2</v>
      </c>
      <c r="Q2642">
        <v>4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2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13</v>
      </c>
      <c r="AM2642">
        <v>0.66666666666666663</v>
      </c>
      <c r="AN2642">
        <v>15.868482855800501</v>
      </c>
    </row>
    <row r="2643" spans="1:40" x14ac:dyDescent="0.3">
      <c r="A2643" t="s">
        <v>573</v>
      </c>
      <c r="B2643" t="s">
        <v>59</v>
      </c>
      <c r="C2643" t="s">
        <v>10</v>
      </c>
      <c r="D2643" t="s">
        <v>14</v>
      </c>
      <c r="E2643">
        <v>202602</v>
      </c>
      <c r="F2643" t="s">
        <v>591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3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2</v>
      </c>
      <c r="Y2643">
        <v>0</v>
      </c>
      <c r="Z2643">
        <v>0</v>
      </c>
      <c r="AA2643">
        <v>0</v>
      </c>
      <c r="AB2643">
        <v>0</v>
      </c>
      <c r="AC2643">
        <v>4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11</v>
      </c>
      <c r="AM2643">
        <v>1.3333333333333333</v>
      </c>
      <c r="AN2643">
        <v>16.736965711601002</v>
      </c>
    </row>
    <row r="2644" spans="1:40" x14ac:dyDescent="0.3">
      <c r="A2644" t="s">
        <v>573</v>
      </c>
      <c r="B2644" t="s">
        <v>59</v>
      </c>
      <c r="C2644" t="s">
        <v>10</v>
      </c>
      <c r="D2644" t="s">
        <v>14</v>
      </c>
      <c r="E2644">
        <v>202602</v>
      </c>
      <c r="F2644" t="s">
        <v>552</v>
      </c>
      <c r="G2644">
        <v>0</v>
      </c>
      <c r="H2644">
        <v>1</v>
      </c>
      <c r="I2644">
        <v>1</v>
      </c>
      <c r="J2644">
        <v>6</v>
      </c>
      <c r="K2644">
        <v>0</v>
      </c>
      <c r="L2644">
        <v>4</v>
      </c>
      <c r="M2644">
        <v>2</v>
      </c>
      <c r="N2644">
        <v>0</v>
      </c>
      <c r="O2644">
        <v>2</v>
      </c>
      <c r="P2644">
        <v>5</v>
      </c>
      <c r="Q2644">
        <v>5</v>
      </c>
      <c r="R2644">
        <v>6</v>
      </c>
      <c r="S2644">
        <v>5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4</v>
      </c>
      <c r="Z2644">
        <v>1</v>
      </c>
      <c r="AA2644">
        <v>1</v>
      </c>
      <c r="AB2644">
        <v>0</v>
      </c>
      <c r="AC2644">
        <v>2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46</v>
      </c>
      <c r="AM2644">
        <v>2.3333333333333335</v>
      </c>
      <c r="AN2644">
        <v>56.03968999530175</v>
      </c>
    </row>
    <row r="2645" spans="1:40" x14ac:dyDescent="0.3">
      <c r="A2645" t="s">
        <v>573</v>
      </c>
      <c r="B2645" t="s">
        <v>59</v>
      </c>
      <c r="C2645" t="s">
        <v>10</v>
      </c>
      <c r="D2645" t="s">
        <v>14</v>
      </c>
      <c r="E2645">
        <v>202602</v>
      </c>
      <c r="F2645" t="s">
        <v>592</v>
      </c>
      <c r="G2645">
        <v>0</v>
      </c>
      <c r="H2645">
        <v>1</v>
      </c>
      <c r="I2645">
        <v>1</v>
      </c>
      <c r="J2645">
        <v>1</v>
      </c>
      <c r="K2645">
        <v>1</v>
      </c>
      <c r="L2645">
        <v>0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1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5</v>
      </c>
      <c r="Z2645">
        <v>0</v>
      </c>
      <c r="AA2645">
        <v>0</v>
      </c>
      <c r="AB2645">
        <v>0</v>
      </c>
      <c r="AC2645">
        <v>1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13</v>
      </c>
      <c r="AM2645">
        <v>2</v>
      </c>
      <c r="AN2645">
        <v>21.605448567401503</v>
      </c>
    </row>
    <row r="2646" spans="1:40" x14ac:dyDescent="0.3">
      <c r="A2646" t="s">
        <v>573</v>
      </c>
      <c r="B2646" t="s">
        <v>59</v>
      </c>
      <c r="C2646" t="s">
        <v>10</v>
      </c>
      <c r="D2646" t="s">
        <v>14</v>
      </c>
      <c r="E2646">
        <v>202602</v>
      </c>
      <c r="F2646" t="s">
        <v>593</v>
      </c>
      <c r="G2646">
        <v>0</v>
      </c>
      <c r="H2646">
        <v>1</v>
      </c>
      <c r="I2646">
        <v>2</v>
      </c>
      <c r="J2646">
        <v>2</v>
      </c>
      <c r="K2646">
        <v>0</v>
      </c>
      <c r="L2646">
        <v>2</v>
      </c>
      <c r="M2646">
        <v>0</v>
      </c>
      <c r="N2646">
        <v>0</v>
      </c>
      <c r="O2646">
        <v>1</v>
      </c>
      <c r="P2646">
        <v>0</v>
      </c>
      <c r="Q2646">
        <v>2</v>
      </c>
      <c r="R2646">
        <v>1</v>
      </c>
      <c r="S2646">
        <v>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2</v>
      </c>
      <c r="Z2646">
        <v>3</v>
      </c>
      <c r="AA2646">
        <v>0</v>
      </c>
      <c r="AB2646">
        <v>0</v>
      </c>
      <c r="AC2646">
        <v>3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20</v>
      </c>
      <c r="AM2646">
        <v>2.6666666666666665</v>
      </c>
      <c r="AN2646">
        <v>31.473931423202</v>
      </c>
    </row>
    <row r="2647" spans="1:40" x14ac:dyDescent="0.3">
      <c r="A2647" t="s">
        <v>573</v>
      </c>
      <c r="B2647" t="s">
        <v>59</v>
      </c>
      <c r="C2647" t="s">
        <v>10</v>
      </c>
      <c r="D2647" t="s">
        <v>14</v>
      </c>
      <c r="E2647">
        <v>202602</v>
      </c>
      <c r="F2647" t="s">
        <v>79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1</v>
      </c>
      <c r="AM2647">
        <v>0</v>
      </c>
      <c r="AN2647">
        <v>1</v>
      </c>
    </row>
    <row r="2648" spans="1:40" x14ac:dyDescent="0.3">
      <c r="A2648" t="s">
        <v>573</v>
      </c>
      <c r="B2648" t="s">
        <v>59</v>
      </c>
      <c r="C2648" t="s">
        <v>10</v>
      </c>
      <c r="D2648" t="s">
        <v>14</v>
      </c>
      <c r="E2648">
        <v>202602</v>
      </c>
      <c r="F2648" t="s">
        <v>697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3</v>
      </c>
      <c r="AM2648">
        <v>0.33333333333333331</v>
      </c>
      <c r="AN2648">
        <v>4.4342414279002504</v>
      </c>
    </row>
    <row r="2649" spans="1:40" x14ac:dyDescent="0.3">
      <c r="A2649" t="s">
        <v>573</v>
      </c>
      <c r="B2649" t="s">
        <v>81</v>
      </c>
      <c r="C2649" t="s">
        <v>10</v>
      </c>
      <c r="D2649" t="s">
        <v>11</v>
      </c>
      <c r="E2649">
        <v>202602</v>
      </c>
      <c r="F2649" t="s">
        <v>595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1</v>
      </c>
      <c r="AM2649">
        <v>0</v>
      </c>
      <c r="AN2649">
        <v>1</v>
      </c>
    </row>
    <row r="2650" spans="1:40" x14ac:dyDescent="0.3">
      <c r="A2650" t="s">
        <v>573</v>
      </c>
      <c r="B2650" t="s">
        <v>81</v>
      </c>
      <c r="C2650" t="s">
        <v>10</v>
      </c>
      <c r="D2650" t="s">
        <v>11</v>
      </c>
      <c r="E2650">
        <v>202602</v>
      </c>
      <c r="F2650" t="s">
        <v>427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3</v>
      </c>
      <c r="AM2650">
        <v>0.66666666666666663</v>
      </c>
      <c r="AN2650">
        <v>6.3593372454261221</v>
      </c>
    </row>
    <row r="2651" spans="1:40" x14ac:dyDescent="0.3">
      <c r="A2651" t="s">
        <v>573</v>
      </c>
      <c r="B2651" t="s">
        <v>81</v>
      </c>
      <c r="C2651" t="s">
        <v>10</v>
      </c>
      <c r="D2651" t="s">
        <v>11</v>
      </c>
      <c r="E2651">
        <v>202602</v>
      </c>
      <c r="F2651" t="s">
        <v>736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1</v>
      </c>
      <c r="AM2651">
        <v>0</v>
      </c>
      <c r="AN2651">
        <v>1</v>
      </c>
    </row>
    <row r="2652" spans="1:40" x14ac:dyDescent="0.3">
      <c r="A2652" t="s">
        <v>573</v>
      </c>
      <c r="B2652" t="s">
        <v>81</v>
      </c>
      <c r="C2652" t="s">
        <v>10</v>
      </c>
      <c r="D2652" t="s">
        <v>11</v>
      </c>
      <c r="E2652">
        <v>202602</v>
      </c>
      <c r="F2652" t="s">
        <v>587</v>
      </c>
      <c r="G2652">
        <v>0</v>
      </c>
      <c r="H2652">
        <v>1</v>
      </c>
      <c r="I2652">
        <v>0</v>
      </c>
      <c r="J2652">
        <v>1</v>
      </c>
      <c r="K2652">
        <v>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2</v>
      </c>
      <c r="R2652">
        <v>0</v>
      </c>
      <c r="S2652">
        <v>1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2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9</v>
      </c>
      <c r="AM2652">
        <v>0.66666666666666663</v>
      </c>
      <c r="AN2652">
        <v>12.359337245426122</v>
      </c>
    </row>
    <row r="2653" spans="1:40" x14ac:dyDescent="0.3">
      <c r="A2653" t="s">
        <v>573</v>
      </c>
      <c r="B2653" t="s">
        <v>81</v>
      </c>
      <c r="C2653" t="s">
        <v>10</v>
      </c>
      <c r="D2653" t="s">
        <v>11</v>
      </c>
      <c r="E2653">
        <v>202602</v>
      </c>
      <c r="F2653" t="s">
        <v>596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1</v>
      </c>
      <c r="AM2653">
        <v>0</v>
      </c>
      <c r="AN2653">
        <v>1</v>
      </c>
    </row>
    <row r="2654" spans="1:40" x14ac:dyDescent="0.3">
      <c r="A2654" t="s">
        <v>573</v>
      </c>
      <c r="B2654" t="s">
        <v>81</v>
      </c>
      <c r="C2654" t="s">
        <v>10</v>
      </c>
      <c r="D2654" t="s">
        <v>11</v>
      </c>
      <c r="E2654">
        <v>202602</v>
      </c>
      <c r="F2654" t="s">
        <v>751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>
        <v>0</v>
      </c>
      <c r="AN2654">
        <v>1</v>
      </c>
    </row>
    <row r="2655" spans="1:40" x14ac:dyDescent="0.3">
      <c r="A2655" t="s">
        <v>573</v>
      </c>
      <c r="B2655" t="s">
        <v>81</v>
      </c>
      <c r="C2655" t="s">
        <v>10</v>
      </c>
      <c r="D2655" t="s">
        <v>11</v>
      </c>
      <c r="E2655">
        <v>202602</v>
      </c>
      <c r="F2655" t="s">
        <v>737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1</v>
      </c>
      <c r="AM2655">
        <v>0</v>
      </c>
      <c r="AN2655">
        <v>1</v>
      </c>
    </row>
    <row r="2656" spans="1:40" x14ac:dyDescent="0.3">
      <c r="A2656" t="s">
        <v>573</v>
      </c>
      <c r="B2656" t="s">
        <v>81</v>
      </c>
      <c r="C2656" t="s">
        <v>10</v>
      </c>
      <c r="D2656" t="s">
        <v>14</v>
      </c>
      <c r="E2656">
        <v>202602</v>
      </c>
      <c r="F2656" t="s">
        <v>595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1</v>
      </c>
      <c r="AM2656">
        <v>0</v>
      </c>
      <c r="AN2656">
        <v>1</v>
      </c>
    </row>
    <row r="2657" spans="1:40" x14ac:dyDescent="0.3">
      <c r="A2657" t="s">
        <v>573</v>
      </c>
      <c r="B2657" t="s">
        <v>81</v>
      </c>
      <c r="C2657" t="s">
        <v>10</v>
      </c>
      <c r="D2657" t="s">
        <v>14</v>
      </c>
      <c r="E2657">
        <v>202602</v>
      </c>
      <c r="F2657" t="s">
        <v>427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5</v>
      </c>
      <c r="AM2657">
        <v>0.66666666666666663</v>
      </c>
      <c r="AN2657">
        <v>7.8684828558005</v>
      </c>
    </row>
    <row r="2658" spans="1:40" x14ac:dyDescent="0.3">
      <c r="A2658" t="s">
        <v>573</v>
      </c>
      <c r="B2658" t="s">
        <v>81</v>
      </c>
      <c r="C2658" t="s">
        <v>10</v>
      </c>
      <c r="D2658" t="s">
        <v>14</v>
      </c>
      <c r="E2658">
        <v>202602</v>
      </c>
      <c r="F2658" t="s">
        <v>736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1</v>
      </c>
      <c r="AM2658">
        <v>0</v>
      </c>
      <c r="AN2658">
        <v>1</v>
      </c>
    </row>
    <row r="2659" spans="1:40" x14ac:dyDescent="0.3">
      <c r="A2659" t="s">
        <v>573</v>
      </c>
      <c r="B2659" t="s">
        <v>81</v>
      </c>
      <c r="C2659" t="s">
        <v>10</v>
      </c>
      <c r="D2659" t="s">
        <v>14</v>
      </c>
      <c r="E2659">
        <v>202602</v>
      </c>
      <c r="F2659" t="s">
        <v>587</v>
      </c>
      <c r="G2659">
        <v>0</v>
      </c>
      <c r="H2659">
        <v>0</v>
      </c>
      <c r="I2659">
        <v>1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2</v>
      </c>
      <c r="R2659">
        <v>1</v>
      </c>
      <c r="S2659">
        <v>2</v>
      </c>
      <c r="T2659">
        <v>1</v>
      </c>
      <c r="U2659">
        <v>0</v>
      </c>
      <c r="V2659">
        <v>0</v>
      </c>
      <c r="W2659">
        <v>0</v>
      </c>
      <c r="X2659">
        <v>0</v>
      </c>
      <c r="Y2659">
        <v>2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11</v>
      </c>
      <c r="AM2659">
        <v>0.66666666666666663</v>
      </c>
      <c r="AN2659">
        <v>13.868482855800501</v>
      </c>
    </row>
    <row r="2660" spans="1:40" x14ac:dyDescent="0.3">
      <c r="A2660" t="s">
        <v>573</v>
      </c>
      <c r="B2660" t="s">
        <v>81</v>
      </c>
      <c r="C2660" t="s">
        <v>10</v>
      </c>
      <c r="D2660" t="s">
        <v>14</v>
      </c>
      <c r="E2660">
        <v>202602</v>
      </c>
      <c r="F2660" t="s">
        <v>596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1</v>
      </c>
      <c r="AM2660">
        <v>0</v>
      </c>
      <c r="AN2660">
        <v>1</v>
      </c>
    </row>
    <row r="2661" spans="1:40" x14ac:dyDescent="0.3">
      <c r="A2661" t="s">
        <v>573</v>
      </c>
      <c r="B2661" t="s">
        <v>81</v>
      </c>
      <c r="C2661" t="s">
        <v>10</v>
      </c>
      <c r="D2661" t="s">
        <v>14</v>
      </c>
      <c r="E2661">
        <v>202602</v>
      </c>
      <c r="F2661" t="s">
        <v>751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1</v>
      </c>
      <c r="AM2661">
        <v>0.33333333333333331</v>
      </c>
      <c r="AN2661">
        <v>2.43424142790025</v>
      </c>
    </row>
    <row r="2662" spans="1:40" x14ac:dyDescent="0.3">
      <c r="A2662" t="s">
        <v>573</v>
      </c>
      <c r="B2662" t="s">
        <v>81</v>
      </c>
      <c r="C2662" t="s">
        <v>10</v>
      </c>
      <c r="D2662" t="s">
        <v>14</v>
      </c>
      <c r="E2662">
        <v>202602</v>
      </c>
      <c r="F2662" t="s">
        <v>737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2</v>
      </c>
      <c r="AM2662">
        <v>0.33333333333333331</v>
      </c>
      <c r="AN2662">
        <v>3.43424142790025</v>
      </c>
    </row>
    <row r="2663" spans="1:40" x14ac:dyDescent="0.3">
      <c r="A2663" t="s">
        <v>573</v>
      </c>
      <c r="B2663" t="s">
        <v>81</v>
      </c>
      <c r="C2663" t="s">
        <v>10</v>
      </c>
      <c r="D2663" t="s">
        <v>14</v>
      </c>
      <c r="E2663">
        <v>202602</v>
      </c>
      <c r="F2663" t="s">
        <v>760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1</v>
      </c>
      <c r="AM2663">
        <v>0.33333333333333331</v>
      </c>
      <c r="AN2663">
        <v>2.43424142790025</v>
      </c>
    </row>
    <row r="2664" spans="1:40" x14ac:dyDescent="0.3">
      <c r="A2664" t="s">
        <v>573</v>
      </c>
      <c r="B2664" t="s">
        <v>643</v>
      </c>
      <c r="C2664" t="s">
        <v>10</v>
      </c>
      <c r="D2664" t="s">
        <v>11</v>
      </c>
      <c r="E2664">
        <v>202602</v>
      </c>
      <c r="F2664" t="s">
        <v>56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2</v>
      </c>
      <c r="AM2664">
        <v>0.33333333333333331</v>
      </c>
      <c r="AN2664">
        <v>3.6796686227130611</v>
      </c>
    </row>
    <row r="2665" spans="1:40" x14ac:dyDescent="0.3">
      <c r="A2665" t="s">
        <v>573</v>
      </c>
      <c r="B2665" t="s">
        <v>643</v>
      </c>
      <c r="C2665" t="s">
        <v>10</v>
      </c>
      <c r="D2665" t="s">
        <v>11</v>
      </c>
      <c r="E2665">
        <v>202602</v>
      </c>
      <c r="F2665" t="s">
        <v>61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1</v>
      </c>
      <c r="AM2665">
        <v>0</v>
      </c>
      <c r="AN2665">
        <v>1</v>
      </c>
    </row>
    <row r="2666" spans="1:40" x14ac:dyDescent="0.3">
      <c r="A2666" t="s">
        <v>573</v>
      </c>
      <c r="B2666" t="s">
        <v>643</v>
      </c>
      <c r="C2666" t="s">
        <v>10</v>
      </c>
      <c r="D2666" t="s">
        <v>11</v>
      </c>
      <c r="E2666">
        <v>202602</v>
      </c>
      <c r="F2666" t="s">
        <v>112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1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4</v>
      </c>
      <c r="AM2666">
        <v>0.33333333333333331</v>
      </c>
      <c r="AN2666">
        <v>5.6796686227130611</v>
      </c>
    </row>
    <row r="2667" spans="1:40" x14ac:dyDescent="0.3">
      <c r="A2667" t="s">
        <v>573</v>
      </c>
      <c r="B2667" t="s">
        <v>643</v>
      </c>
      <c r="C2667" t="s">
        <v>10</v>
      </c>
      <c r="D2667" t="s">
        <v>11</v>
      </c>
      <c r="E2667">
        <v>202602</v>
      </c>
      <c r="F2667" t="s">
        <v>365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2</v>
      </c>
      <c r="AM2667">
        <v>0</v>
      </c>
      <c r="AN2667">
        <v>2</v>
      </c>
    </row>
    <row r="2668" spans="1:40" x14ac:dyDescent="0.3">
      <c r="A2668" t="s">
        <v>573</v>
      </c>
      <c r="B2668" t="s">
        <v>643</v>
      </c>
      <c r="C2668" t="s">
        <v>10</v>
      </c>
      <c r="D2668" t="s">
        <v>11</v>
      </c>
      <c r="E2668">
        <v>202602</v>
      </c>
      <c r="F2668" t="s">
        <v>278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1</v>
      </c>
      <c r="AM2668">
        <v>0</v>
      </c>
      <c r="AN2668">
        <v>1</v>
      </c>
    </row>
    <row r="2669" spans="1:40" x14ac:dyDescent="0.3">
      <c r="A2669" t="s">
        <v>573</v>
      </c>
      <c r="B2669" t="s">
        <v>643</v>
      </c>
      <c r="C2669" t="s">
        <v>10</v>
      </c>
      <c r="D2669" t="s">
        <v>11</v>
      </c>
      <c r="E2669">
        <v>202602</v>
      </c>
      <c r="F2669" t="s">
        <v>114</v>
      </c>
      <c r="G2669">
        <v>0</v>
      </c>
      <c r="H2669">
        <v>2</v>
      </c>
      <c r="I2669">
        <v>0</v>
      </c>
      <c r="J2669">
        <v>1</v>
      </c>
      <c r="K2669">
        <v>4</v>
      </c>
      <c r="L2669">
        <v>0</v>
      </c>
      <c r="M2669">
        <v>3</v>
      </c>
      <c r="N2669">
        <v>0</v>
      </c>
      <c r="O2669">
        <v>1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2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16</v>
      </c>
      <c r="AM2669">
        <v>0.33333333333333331</v>
      </c>
      <c r="AN2669">
        <v>17.679668622713059</v>
      </c>
    </row>
    <row r="2670" spans="1:40" x14ac:dyDescent="0.3">
      <c r="A2670" t="s">
        <v>573</v>
      </c>
      <c r="B2670" t="s">
        <v>643</v>
      </c>
      <c r="C2670" t="s">
        <v>10</v>
      </c>
      <c r="D2670" t="s">
        <v>11</v>
      </c>
      <c r="E2670">
        <v>202602</v>
      </c>
      <c r="F2670" t="s">
        <v>115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2</v>
      </c>
      <c r="AM2670">
        <v>0</v>
      </c>
      <c r="AN2670">
        <v>2</v>
      </c>
    </row>
    <row r="2671" spans="1:40" x14ac:dyDescent="0.3">
      <c r="A2671" t="s">
        <v>573</v>
      </c>
      <c r="B2671" t="s">
        <v>643</v>
      </c>
      <c r="C2671" t="s">
        <v>10</v>
      </c>
      <c r="D2671" t="s">
        <v>11</v>
      </c>
      <c r="E2671">
        <v>202602</v>
      </c>
      <c r="F2671" t="s">
        <v>628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1</v>
      </c>
      <c r="AM2671">
        <v>0</v>
      </c>
      <c r="AN2671">
        <v>1</v>
      </c>
    </row>
    <row r="2672" spans="1:40" x14ac:dyDescent="0.3">
      <c r="A2672" t="s">
        <v>573</v>
      </c>
      <c r="B2672" t="s">
        <v>643</v>
      </c>
      <c r="C2672" t="s">
        <v>10</v>
      </c>
      <c r="D2672" t="s">
        <v>11</v>
      </c>
      <c r="E2672">
        <v>202602</v>
      </c>
      <c r="F2672" t="s">
        <v>130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1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1</v>
      </c>
      <c r="AA2672">
        <v>3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8</v>
      </c>
      <c r="AM2672">
        <v>0.33333333333333331</v>
      </c>
      <c r="AN2672">
        <v>9.6796686227130611</v>
      </c>
    </row>
    <row r="2673" spans="1:40" x14ac:dyDescent="0.3">
      <c r="A2673" t="s">
        <v>573</v>
      </c>
      <c r="B2673" t="s">
        <v>643</v>
      </c>
      <c r="C2673" t="s">
        <v>10</v>
      </c>
      <c r="D2673" t="s">
        <v>11</v>
      </c>
      <c r="E2673">
        <v>202602</v>
      </c>
      <c r="F2673" t="s">
        <v>117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</v>
      </c>
      <c r="W2673">
        <v>0</v>
      </c>
      <c r="X2673">
        <v>0</v>
      </c>
      <c r="Y2673">
        <v>0</v>
      </c>
      <c r="Z2673">
        <v>2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3</v>
      </c>
      <c r="AM2673">
        <v>0.66666666666666663</v>
      </c>
      <c r="AN2673">
        <v>6.3593372454261221</v>
      </c>
    </row>
    <row r="2674" spans="1:40" x14ac:dyDescent="0.3">
      <c r="A2674" t="s">
        <v>573</v>
      </c>
      <c r="B2674" t="s">
        <v>643</v>
      </c>
      <c r="C2674" t="s">
        <v>10</v>
      </c>
      <c r="D2674" t="s">
        <v>11</v>
      </c>
      <c r="E2674">
        <v>202602</v>
      </c>
      <c r="F2674" t="s">
        <v>118</v>
      </c>
      <c r="G2674">
        <v>0</v>
      </c>
      <c r="H2674">
        <v>0</v>
      </c>
      <c r="I2674">
        <v>1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  <c r="Z2674">
        <v>1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5</v>
      </c>
      <c r="AM2674">
        <v>0.66666666666666663</v>
      </c>
      <c r="AN2674">
        <v>8.3593372454261221</v>
      </c>
    </row>
    <row r="2675" spans="1:40" x14ac:dyDescent="0.3">
      <c r="A2675" t="s">
        <v>573</v>
      </c>
      <c r="B2675" t="s">
        <v>643</v>
      </c>
      <c r="C2675" t="s">
        <v>10</v>
      </c>
      <c r="D2675" t="s">
        <v>11</v>
      </c>
      <c r="E2675">
        <v>202602</v>
      </c>
      <c r="F2675" t="s">
        <v>131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2</v>
      </c>
      <c r="AM2675">
        <v>0</v>
      </c>
      <c r="AN2675">
        <v>2</v>
      </c>
    </row>
    <row r="2676" spans="1:40" x14ac:dyDescent="0.3">
      <c r="A2676" t="s">
        <v>573</v>
      </c>
      <c r="B2676" t="s">
        <v>643</v>
      </c>
      <c r="C2676" t="s">
        <v>10</v>
      </c>
      <c r="D2676" t="s">
        <v>11</v>
      </c>
      <c r="E2676">
        <v>202602</v>
      </c>
      <c r="F2676" t="s">
        <v>132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1</v>
      </c>
      <c r="AM2676">
        <v>0</v>
      </c>
      <c r="AN2676">
        <v>1</v>
      </c>
    </row>
    <row r="2677" spans="1:40" x14ac:dyDescent="0.3">
      <c r="A2677" t="s">
        <v>573</v>
      </c>
      <c r="B2677" t="s">
        <v>643</v>
      </c>
      <c r="C2677" t="s">
        <v>10</v>
      </c>
      <c r="D2677" t="s">
        <v>11</v>
      </c>
      <c r="E2677">
        <v>202602</v>
      </c>
      <c r="F2677" t="s">
        <v>223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1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5</v>
      </c>
      <c r="AM2677">
        <v>0</v>
      </c>
      <c r="AN2677">
        <v>5</v>
      </c>
    </row>
    <row r="2678" spans="1:40" x14ac:dyDescent="0.3">
      <c r="A2678" t="s">
        <v>573</v>
      </c>
      <c r="B2678" t="s">
        <v>643</v>
      </c>
      <c r="C2678" t="s">
        <v>10</v>
      </c>
      <c r="D2678" t="s">
        <v>11</v>
      </c>
      <c r="E2678">
        <v>202602</v>
      </c>
      <c r="F2678" t="s">
        <v>121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1</v>
      </c>
      <c r="AM2678">
        <v>0.33333333333333331</v>
      </c>
      <c r="AN2678">
        <v>2.6796686227130611</v>
      </c>
    </row>
    <row r="2679" spans="1:40" x14ac:dyDescent="0.3">
      <c r="A2679" t="s">
        <v>573</v>
      </c>
      <c r="B2679" t="s">
        <v>643</v>
      </c>
      <c r="C2679" t="s">
        <v>10</v>
      </c>
      <c r="D2679" t="s">
        <v>11</v>
      </c>
      <c r="E2679">
        <v>202602</v>
      </c>
      <c r="F2679" t="s">
        <v>134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1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2</v>
      </c>
      <c r="AM2679">
        <v>0.33333333333333331</v>
      </c>
      <c r="AN2679">
        <v>3.6796686227130611</v>
      </c>
    </row>
    <row r="2680" spans="1:40" x14ac:dyDescent="0.3">
      <c r="A2680" t="s">
        <v>573</v>
      </c>
      <c r="B2680" t="s">
        <v>643</v>
      </c>
      <c r="C2680" t="s">
        <v>10</v>
      </c>
      <c r="D2680" t="s">
        <v>11</v>
      </c>
      <c r="E2680">
        <v>202602</v>
      </c>
      <c r="F2680" t="s">
        <v>224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</v>
      </c>
      <c r="AM2680">
        <v>0</v>
      </c>
      <c r="AN2680">
        <v>1</v>
      </c>
    </row>
    <row r="2681" spans="1:40" x14ac:dyDescent="0.3">
      <c r="A2681" t="s">
        <v>573</v>
      </c>
      <c r="B2681" t="s">
        <v>643</v>
      </c>
      <c r="C2681" t="s">
        <v>10</v>
      </c>
      <c r="D2681" t="s">
        <v>11</v>
      </c>
      <c r="E2681">
        <v>202602</v>
      </c>
      <c r="F2681" t="s">
        <v>321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1</v>
      </c>
      <c r="AM2681">
        <v>0.33333333333333331</v>
      </c>
      <c r="AN2681">
        <v>2.6796686227130611</v>
      </c>
    </row>
    <row r="2682" spans="1:40" x14ac:dyDescent="0.3">
      <c r="A2682" t="s">
        <v>573</v>
      </c>
      <c r="B2682" t="s">
        <v>643</v>
      </c>
      <c r="C2682" t="s">
        <v>10</v>
      </c>
      <c r="D2682" t="s">
        <v>11</v>
      </c>
      <c r="E2682">
        <v>202602</v>
      </c>
      <c r="F2682" t="s">
        <v>122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0</v>
      </c>
      <c r="AN2682">
        <v>1</v>
      </c>
    </row>
    <row r="2683" spans="1:40" x14ac:dyDescent="0.3">
      <c r="A2683" t="s">
        <v>573</v>
      </c>
      <c r="B2683" t="s">
        <v>643</v>
      </c>
      <c r="C2683" t="s">
        <v>10</v>
      </c>
      <c r="D2683" t="s">
        <v>11</v>
      </c>
      <c r="E2683">
        <v>202602</v>
      </c>
      <c r="F2683" t="s">
        <v>124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1</v>
      </c>
      <c r="AM2683">
        <v>0.33333333333333331</v>
      </c>
      <c r="AN2683">
        <v>2.6796686227130611</v>
      </c>
    </row>
    <row r="2684" spans="1:40" x14ac:dyDescent="0.3">
      <c r="A2684" t="s">
        <v>573</v>
      </c>
      <c r="B2684" t="s">
        <v>643</v>
      </c>
      <c r="C2684" t="s">
        <v>10</v>
      </c>
      <c r="D2684" t="s">
        <v>11</v>
      </c>
      <c r="E2684">
        <v>202602</v>
      </c>
      <c r="F2684" t="s">
        <v>125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1</v>
      </c>
      <c r="AM2684">
        <v>0</v>
      </c>
      <c r="AN2684">
        <v>1</v>
      </c>
    </row>
    <row r="2685" spans="1:40" x14ac:dyDescent="0.3">
      <c r="A2685" t="s">
        <v>573</v>
      </c>
      <c r="B2685" t="s">
        <v>643</v>
      </c>
      <c r="C2685" t="s">
        <v>10</v>
      </c>
      <c r="D2685" t="s">
        <v>11</v>
      </c>
      <c r="E2685">
        <v>202602</v>
      </c>
      <c r="F2685" t="s">
        <v>127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2</v>
      </c>
      <c r="AM2685">
        <v>0</v>
      </c>
      <c r="AN2685">
        <v>2</v>
      </c>
    </row>
    <row r="2686" spans="1:40" x14ac:dyDescent="0.3">
      <c r="A2686" t="s">
        <v>573</v>
      </c>
      <c r="B2686" t="s">
        <v>643</v>
      </c>
      <c r="C2686" t="s">
        <v>10</v>
      </c>
      <c r="D2686" t="s">
        <v>11</v>
      </c>
      <c r="E2686">
        <v>202602</v>
      </c>
      <c r="F2686" t="s">
        <v>319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1</v>
      </c>
      <c r="AM2686">
        <v>0</v>
      </c>
      <c r="AN2686">
        <v>1</v>
      </c>
    </row>
    <row r="2687" spans="1:40" x14ac:dyDescent="0.3">
      <c r="A2687" t="s">
        <v>573</v>
      </c>
      <c r="B2687" t="s">
        <v>643</v>
      </c>
      <c r="C2687" t="s">
        <v>10</v>
      </c>
      <c r="D2687" t="s">
        <v>11</v>
      </c>
      <c r="E2687">
        <v>202602</v>
      </c>
      <c r="F2687" t="s">
        <v>226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2</v>
      </c>
      <c r="AM2687">
        <v>0</v>
      </c>
      <c r="AN2687">
        <v>2</v>
      </c>
    </row>
    <row r="2688" spans="1:40" x14ac:dyDescent="0.3">
      <c r="A2688" t="s">
        <v>573</v>
      </c>
      <c r="B2688" t="s">
        <v>643</v>
      </c>
      <c r="C2688" t="s">
        <v>10</v>
      </c>
      <c r="D2688" t="s">
        <v>11</v>
      </c>
      <c r="E2688">
        <v>202602</v>
      </c>
      <c r="F2688" t="s">
        <v>128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1</v>
      </c>
      <c r="AM2688">
        <v>0</v>
      </c>
      <c r="AN2688">
        <v>1</v>
      </c>
    </row>
    <row r="2689" spans="1:40" x14ac:dyDescent="0.3">
      <c r="A2689" t="s">
        <v>573</v>
      </c>
      <c r="B2689" t="s">
        <v>643</v>
      </c>
      <c r="C2689" t="s">
        <v>10</v>
      </c>
      <c r="D2689" t="s">
        <v>14</v>
      </c>
      <c r="E2689">
        <v>202602</v>
      </c>
      <c r="F2689" t="s">
        <v>56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1</v>
      </c>
      <c r="AM2689">
        <v>0.33333333333333331</v>
      </c>
      <c r="AN2689">
        <v>2.43424142790025</v>
      </c>
    </row>
    <row r="2690" spans="1:40" x14ac:dyDescent="0.3">
      <c r="A2690" t="s">
        <v>573</v>
      </c>
      <c r="B2690" t="s">
        <v>643</v>
      </c>
      <c r="C2690" t="s">
        <v>10</v>
      </c>
      <c r="D2690" t="s">
        <v>14</v>
      </c>
      <c r="E2690">
        <v>202602</v>
      </c>
      <c r="F2690" t="s">
        <v>111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1</v>
      </c>
      <c r="AM2690">
        <v>0</v>
      </c>
      <c r="AN2690">
        <v>1</v>
      </c>
    </row>
    <row r="2691" spans="1:40" x14ac:dyDescent="0.3">
      <c r="A2691" t="s">
        <v>573</v>
      </c>
      <c r="B2691" t="s">
        <v>643</v>
      </c>
      <c r="C2691" t="s">
        <v>10</v>
      </c>
      <c r="D2691" t="s">
        <v>14</v>
      </c>
      <c r="E2691">
        <v>202602</v>
      </c>
      <c r="F2691" t="s">
        <v>61</v>
      </c>
      <c r="G2691">
        <v>0</v>
      </c>
      <c r="H2691">
        <v>1</v>
      </c>
      <c r="I2691">
        <v>0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2</v>
      </c>
      <c r="AM2691">
        <v>0</v>
      </c>
      <c r="AN2691">
        <v>2</v>
      </c>
    </row>
    <row r="2692" spans="1:40" x14ac:dyDescent="0.3">
      <c r="A2692" t="s">
        <v>573</v>
      </c>
      <c r="B2692" t="s">
        <v>643</v>
      </c>
      <c r="C2692" t="s">
        <v>10</v>
      </c>
      <c r="D2692" t="s">
        <v>14</v>
      </c>
      <c r="E2692">
        <v>202602</v>
      </c>
      <c r="F2692" t="s">
        <v>112</v>
      </c>
      <c r="G2692">
        <v>0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4</v>
      </c>
      <c r="AM2692">
        <v>0</v>
      </c>
      <c r="AN2692">
        <v>4</v>
      </c>
    </row>
    <row r="2693" spans="1:40" x14ac:dyDescent="0.3">
      <c r="A2693" t="s">
        <v>573</v>
      </c>
      <c r="B2693" t="s">
        <v>643</v>
      </c>
      <c r="C2693" t="s">
        <v>10</v>
      </c>
      <c r="D2693" t="s">
        <v>14</v>
      </c>
      <c r="E2693">
        <v>202602</v>
      </c>
      <c r="F2693" t="s">
        <v>365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1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2</v>
      </c>
      <c r="AM2693">
        <v>0</v>
      </c>
      <c r="AN2693">
        <v>2</v>
      </c>
    </row>
    <row r="2694" spans="1:40" x14ac:dyDescent="0.3">
      <c r="A2694" t="s">
        <v>573</v>
      </c>
      <c r="B2694" t="s">
        <v>643</v>
      </c>
      <c r="C2694" t="s">
        <v>10</v>
      </c>
      <c r="D2694" t="s">
        <v>14</v>
      </c>
      <c r="E2694">
        <v>202602</v>
      </c>
      <c r="F2694" t="s">
        <v>278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2</v>
      </c>
      <c r="AM2694">
        <v>0</v>
      </c>
      <c r="AN2694">
        <v>2</v>
      </c>
    </row>
    <row r="2695" spans="1:40" x14ac:dyDescent="0.3">
      <c r="A2695" t="s">
        <v>573</v>
      </c>
      <c r="B2695" t="s">
        <v>643</v>
      </c>
      <c r="C2695" t="s">
        <v>10</v>
      </c>
      <c r="D2695" t="s">
        <v>14</v>
      </c>
      <c r="E2695">
        <v>202602</v>
      </c>
      <c r="F2695" t="s">
        <v>114</v>
      </c>
      <c r="G2695">
        <v>0</v>
      </c>
      <c r="H2695">
        <v>2</v>
      </c>
      <c r="I2695">
        <v>2</v>
      </c>
      <c r="J2695">
        <v>1</v>
      </c>
      <c r="K2695">
        <v>3</v>
      </c>
      <c r="L2695">
        <v>3</v>
      </c>
      <c r="M2695">
        <v>0</v>
      </c>
      <c r="N2695">
        <v>0</v>
      </c>
      <c r="O2695">
        <v>2</v>
      </c>
      <c r="P2695">
        <v>0</v>
      </c>
      <c r="Q2695">
        <v>1</v>
      </c>
      <c r="R2695">
        <v>0</v>
      </c>
      <c r="S2695">
        <v>2</v>
      </c>
      <c r="T2695">
        <v>0</v>
      </c>
      <c r="U2695">
        <v>0</v>
      </c>
      <c r="V2695">
        <v>0</v>
      </c>
      <c r="W2695">
        <v>5</v>
      </c>
      <c r="X2695">
        <v>0</v>
      </c>
      <c r="Y2695">
        <v>2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23</v>
      </c>
      <c r="AM2695">
        <v>0.66666666666666663</v>
      </c>
      <c r="AN2695">
        <v>25.868482855800501</v>
      </c>
    </row>
    <row r="2696" spans="1:40" x14ac:dyDescent="0.3">
      <c r="A2696" t="s">
        <v>573</v>
      </c>
      <c r="B2696" t="s">
        <v>643</v>
      </c>
      <c r="C2696" t="s">
        <v>10</v>
      </c>
      <c r="D2696" t="s">
        <v>14</v>
      </c>
      <c r="E2696">
        <v>202602</v>
      </c>
      <c r="F2696" t="s">
        <v>129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1</v>
      </c>
      <c r="AM2696">
        <v>0</v>
      </c>
      <c r="AN2696">
        <v>1</v>
      </c>
    </row>
    <row r="2697" spans="1:40" x14ac:dyDescent="0.3">
      <c r="A2697" t="s">
        <v>573</v>
      </c>
      <c r="B2697" t="s">
        <v>643</v>
      </c>
      <c r="C2697" t="s">
        <v>10</v>
      </c>
      <c r="D2697" t="s">
        <v>14</v>
      </c>
      <c r="E2697">
        <v>202602</v>
      </c>
      <c r="F2697" t="s">
        <v>115</v>
      </c>
      <c r="G2697">
        <v>0</v>
      </c>
      <c r="H2697">
        <v>0</v>
      </c>
      <c r="I2697">
        <v>1</v>
      </c>
      <c r="J2697">
        <v>4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5</v>
      </c>
      <c r="AM2697">
        <v>0</v>
      </c>
      <c r="AN2697">
        <v>5</v>
      </c>
    </row>
    <row r="2698" spans="1:40" x14ac:dyDescent="0.3">
      <c r="A2698" t="s">
        <v>573</v>
      </c>
      <c r="B2698" t="s">
        <v>643</v>
      </c>
      <c r="C2698" t="s">
        <v>10</v>
      </c>
      <c r="D2698" t="s">
        <v>14</v>
      </c>
      <c r="E2698">
        <v>202602</v>
      </c>
      <c r="F2698" t="s">
        <v>628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1</v>
      </c>
      <c r="AM2698">
        <v>0</v>
      </c>
      <c r="AN2698">
        <v>1</v>
      </c>
    </row>
    <row r="2699" spans="1:40" x14ac:dyDescent="0.3">
      <c r="A2699" t="s">
        <v>573</v>
      </c>
      <c r="B2699" t="s">
        <v>643</v>
      </c>
      <c r="C2699" t="s">
        <v>10</v>
      </c>
      <c r="D2699" t="s">
        <v>14</v>
      </c>
      <c r="E2699">
        <v>202602</v>
      </c>
      <c r="F2699" t="s">
        <v>116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2</v>
      </c>
      <c r="AM2699">
        <v>0</v>
      </c>
      <c r="AN2699">
        <v>2</v>
      </c>
    </row>
    <row r="2700" spans="1:40" x14ac:dyDescent="0.3">
      <c r="A2700" t="s">
        <v>573</v>
      </c>
      <c r="B2700" t="s">
        <v>643</v>
      </c>
      <c r="C2700" t="s">
        <v>10</v>
      </c>
      <c r="D2700" t="s">
        <v>14</v>
      </c>
      <c r="E2700">
        <v>202602</v>
      </c>
      <c r="F2700" t="s">
        <v>130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1</v>
      </c>
      <c r="P2700">
        <v>0</v>
      </c>
      <c r="Q2700">
        <v>1</v>
      </c>
      <c r="R2700">
        <v>3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2</v>
      </c>
      <c r="Z2700">
        <v>2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11</v>
      </c>
      <c r="AM2700">
        <v>1.3333333333333333</v>
      </c>
      <c r="AN2700">
        <v>16.736965711601002</v>
      </c>
    </row>
    <row r="2701" spans="1:40" x14ac:dyDescent="0.3">
      <c r="A2701" t="s">
        <v>573</v>
      </c>
      <c r="B2701" t="s">
        <v>643</v>
      </c>
      <c r="C2701" t="s">
        <v>10</v>
      </c>
      <c r="D2701" t="s">
        <v>14</v>
      </c>
      <c r="E2701">
        <v>202602</v>
      </c>
      <c r="F2701" t="s">
        <v>117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3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4</v>
      </c>
      <c r="AM2701">
        <v>1</v>
      </c>
      <c r="AN2701">
        <v>8.3027242837007513</v>
      </c>
    </row>
    <row r="2702" spans="1:40" x14ac:dyDescent="0.3">
      <c r="A2702" t="s">
        <v>573</v>
      </c>
      <c r="B2702" t="s">
        <v>643</v>
      </c>
      <c r="C2702" t="s">
        <v>10</v>
      </c>
      <c r="D2702" t="s">
        <v>14</v>
      </c>
      <c r="E2702">
        <v>202602</v>
      </c>
      <c r="F2702" t="s">
        <v>118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4</v>
      </c>
      <c r="AM2702">
        <v>0</v>
      </c>
      <c r="AN2702">
        <v>4</v>
      </c>
    </row>
    <row r="2703" spans="1:40" x14ac:dyDescent="0.3">
      <c r="A2703" t="s">
        <v>573</v>
      </c>
      <c r="B2703" t="s">
        <v>643</v>
      </c>
      <c r="C2703" t="s">
        <v>10</v>
      </c>
      <c r="D2703" t="s">
        <v>14</v>
      </c>
      <c r="E2703">
        <v>202602</v>
      </c>
      <c r="F2703" t="s">
        <v>131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2</v>
      </c>
      <c r="AM2703">
        <v>0</v>
      </c>
      <c r="AN2703">
        <v>2</v>
      </c>
    </row>
    <row r="2704" spans="1:40" x14ac:dyDescent="0.3">
      <c r="A2704" t="s">
        <v>573</v>
      </c>
      <c r="B2704" t="s">
        <v>643</v>
      </c>
      <c r="C2704" t="s">
        <v>10</v>
      </c>
      <c r="D2704" t="s">
        <v>14</v>
      </c>
      <c r="E2704">
        <v>202602</v>
      </c>
      <c r="F2704" t="s">
        <v>320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1</v>
      </c>
      <c r="AM2704">
        <v>0.33333333333333331</v>
      </c>
      <c r="AN2704">
        <v>2.43424142790025</v>
      </c>
    </row>
    <row r="2705" spans="1:40" x14ac:dyDescent="0.3">
      <c r="A2705" t="s">
        <v>573</v>
      </c>
      <c r="B2705" t="s">
        <v>643</v>
      </c>
      <c r="C2705" t="s">
        <v>10</v>
      </c>
      <c r="D2705" t="s">
        <v>14</v>
      </c>
      <c r="E2705">
        <v>202602</v>
      </c>
      <c r="F2705" t="s">
        <v>223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</v>
      </c>
      <c r="P2705">
        <v>0</v>
      </c>
      <c r="Q2705">
        <v>1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2</v>
      </c>
      <c r="Z2705">
        <v>0</v>
      </c>
      <c r="AA2705">
        <v>0</v>
      </c>
      <c r="AB2705">
        <v>0</v>
      </c>
      <c r="AC2705">
        <v>1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7</v>
      </c>
      <c r="AM2705">
        <v>1</v>
      </c>
      <c r="AN2705">
        <v>11.302724283700751</v>
      </c>
    </row>
    <row r="2706" spans="1:40" x14ac:dyDescent="0.3">
      <c r="A2706" t="s">
        <v>573</v>
      </c>
      <c r="B2706" t="s">
        <v>643</v>
      </c>
      <c r="C2706" t="s">
        <v>10</v>
      </c>
      <c r="D2706" t="s">
        <v>14</v>
      </c>
      <c r="E2706">
        <v>202602</v>
      </c>
      <c r="F2706" t="s">
        <v>121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2</v>
      </c>
      <c r="AM2706">
        <v>0</v>
      </c>
      <c r="AN2706">
        <v>2</v>
      </c>
    </row>
    <row r="2707" spans="1:40" x14ac:dyDescent="0.3">
      <c r="A2707" t="s">
        <v>573</v>
      </c>
      <c r="B2707" t="s">
        <v>643</v>
      </c>
      <c r="C2707" t="s">
        <v>10</v>
      </c>
      <c r="D2707" t="s">
        <v>14</v>
      </c>
      <c r="E2707">
        <v>202602</v>
      </c>
      <c r="F2707" t="s">
        <v>134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2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2</v>
      </c>
      <c r="AM2707">
        <v>0.66666666666666663</v>
      </c>
      <c r="AN2707">
        <v>4.8684828558005</v>
      </c>
    </row>
    <row r="2708" spans="1:40" x14ac:dyDescent="0.3">
      <c r="A2708" t="s">
        <v>573</v>
      </c>
      <c r="B2708" t="s">
        <v>643</v>
      </c>
      <c r="C2708" t="s">
        <v>10</v>
      </c>
      <c r="D2708" t="s">
        <v>14</v>
      </c>
      <c r="E2708">
        <v>202602</v>
      </c>
      <c r="F2708" t="s">
        <v>224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1</v>
      </c>
      <c r="AM2708">
        <v>0.33333333333333331</v>
      </c>
      <c r="AN2708">
        <v>2.43424142790025</v>
      </c>
    </row>
    <row r="2709" spans="1:40" x14ac:dyDescent="0.3">
      <c r="A2709" t="s">
        <v>573</v>
      </c>
      <c r="B2709" t="s">
        <v>643</v>
      </c>
      <c r="C2709" t="s">
        <v>10</v>
      </c>
      <c r="D2709" t="s">
        <v>14</v>
      </c>
      <c r="E2709">
        <v>202602</v>
      </c>
      <c r="F2709" t="s">
        <v>321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1</v>
      </c>
      <c r="AM2709">
        <v>0.33333333333333331</v>
      </c>
      <c r="AN2709">
        <v>2.43424142790025</v>
      </c>
    </row>
    <row r="2710" spans="1:40" x14ac:dyDescent="0.3">
      <c r="A2710" t="s">
        <v>573</v>
      </c>
      <c r="B2710" t="s">
        <v>643</v>
      </c>
      <c r="C2710" t="s">
        <v>10</v>
      </c>
      <c r="D2710" t="s">
        <v>14</v>
      </c>
      <c r="E2710">
        <v>202602</v>
      </c>
      <c r="F2710" t="s">
        <v>122</v>
      </c>
      <c r="G2710">
        <v>0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3</v>
      </c>
      <c r="AM2710">
        <v>0.33333333333333331</v>
      </c>
      <c r="AN2710">
        <v>4.4342414279002504</v>
      </c>
    </row>
    <row r="2711" spans="1:40" x14ac:dyDescent="0.3">
      <c r="A2711" t="s">
        <v>573</v>
      </c>
      <c r="B2711" t="s">
        <v>643</v>
      </c>
      <c r="C2711" t="s">
        <v>10</v>
      </c>
      <c r="D2711" t="s">
        <v>14</v>
      </c>
      <c r="E2711">
        <v>202602</v>
      </c>
      <c r="F2711" t="s">
        <v>124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4</v>
      </c>
      <c r="AM2711">
        <v>0.33333333333333331</v>
      </c>
      <c r="AN2711">
        <v>5.4342414279002504</v>
      </c>
    </row>
    <row r="2712" spans="1:40" x14ac:dyDescent="0.3">
      <c r="A2712" t="s">
        <v>573</v>
      </c>
      <c r="B2712" t="s">
        <v>643</v>
      </c>
      <c r="C2712" t="s">
        <v>10</v>
      </c>
      <c r="D2712" t="s">
        <v>14</v>
      </c>
      <c r="E2712">
        <v>202602</v>
      </c>
      <c r="F2712" t="s">
        <v>125</v>
      </c>
      <c r="G2712">
        <v>0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1</v>
      </c>
      <c r="AM2712">
        <v>0</v>
      </c>
      <c r="AN2712">
        <v>1</v>
      </c>
    </row>
    <row r="2713" spans="1:40" x14ac:dyDescent="0.3">
      <c r="A2713" t="s">
        <v>573</v>
      </c>
      <c r="B2713" t="s">
        <v>643</v>
      </c>
      <c r="C2713" t="s">
        <v>10</v>
      </c>
      <c r="D2713" t="s">
        <v>14</v>
      </c>
      <c r="E2713">
        <v>202602</v>
      </c>
      <c r="F2713" t="s">
        <v>127</v>
      </c>
      <c r="G2713">
        <v>0</v>
      </c>
      <c r="H2713">
        <v>0</v>
      </c>
      <c r="I2713">
        <v>1</v>
      </c>
      <c r="J2713">
        <v>0</v>
      </c>
      <c r="K2713">
        <v>3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5</v>
      </c>
      <c r="AM2713">
        <v>0</v>
      </c>
      <c r="AN2713">
        <v>5</v>
      </c>
    </row>
    <row r="2714" spans="1:40" x14ac:dyDescent="0.3">
      <c r="A2714" t="s">
        <v>573</v>
      </c>
      <c r="B2714" t="s">
        <v>643</v>
      </c>
      <c r="C2714" t="s">
        <v>10</v>
      </c>
      <c r="D2714" t="s">
        <v>14</v>
      </c>
      <c r="E2714">
        <v>202602</v>
      </c>
      <c r="F2714" t="s">
        <v>226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5</v>
      </c>
      <c r="AM2714">
        <v>0</v>
      </c>
      <c r="AN2714">
        <v>5</v>
      </c>
    </row>
    <row r="2715" spans="1:40" x14ac:dyDescent="0.3">
      <c r="A2715" t="s">
        <v>573</v>
      </c>
      <c r="B2715" t="s">
        <v>643</v>
      </c>
      <c r="C2715" t="s">
        <v>10</v>
      </c>
      <c r="D2715" t="s">
        <v>14</v>
      </c>
      <c r="E2715">
        <v>202602</v>
      </c>
      <c r="F2715" t="s">
        <v>128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1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3</v>
      </c>
      <c r="AM2715">
        <v>0.66666666666666663</v>
      </c>
      <c r="AN2715">
        <v>5.8684828558005</v>
      </c>
    </row>
    <row r="2716" spans="1:40" x14ac:dyDescent="0.3">
      <c r="A2716" t="s">
        <v>573</v>
      </c>
      <c r="B2716" t="s">
        <v>643</v>
      </c>
      <c r="C2716" t="s">
        <v>16</v>
      </c>
      <c r="D2716" t="s">
        <v>11</v>
      </c>
      <c r="E2716">
        <v>202602</v>
      </c>
      <c r="F2716" t="s">
        <v>110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0.33333333333333331</v>
      </c>
      <c r="AN2716">
        <v>2.6796686227130611</v>
      </c>
    </row>
    <row r="2717" spans="1:40" x14ac:dyDescent="0.3">
      <c r="A2717" t="s">
        <v>573</v>
      </c>
      <c r="B2717" t="s">
        <v>643</v>
      </c>
      <c r="C2717" t="s">
        <v>16</v>
      </c>
      <c r="D2717" t="s">
        <v>11</v>
      </c>
      <c r="E2717">
        <v>202602</v>
      </c>
      <c r="F2717" t="s">
        <v>597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1</v>
      </c>
      <c r="AM2717">
        <v>0</v>
      </c>
      <c r="AN2717">
        <v>1</v>
      </c>
    </row>
    <row r="2718" spans="1:40" x14ac:dyDescent="0.3">
      <c r="A2718" t="s">
        <v>573</v>
      </c>
      <c r="B2718" t="s">
        <v>643</v>
      </c>
      <c r="C2718" t="s">
        <v>16</v>
      </c>
      <c r="D2718" t="s">
        <v>14</v>
      </c>
      <c r="E2718">
        <v>202602</v>
      </c>
      <c r="F2718" t="s">
        <v>110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1</v>
      </c>
      <c r="AM2718">
        <v>0</v>
      </c>
      <c r="AN2718">
        <v>1</v>
      </c>
    </row>
    <row r="2719" spans="1:40" x14ac:dyDescent="0.3">
      <c r="A2719" t="s">
        <v>573</v>
      </c>
      <c r="B2719" t="s">
        <v>643</v>
      </c>
      <c r="C2719" t="s">
        <v>16</v>
      </c>
      <c r="D2719" t="s">
        <v>14</v>
      </c>
      <c r="E2719">
        <v>202602</v>
      </c>
      <c r="F2719" t="s">
        <v>130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1</v>
      </c>
      <c r="AM2719">
        <v>0.33333333333333331</v>
      </c>
      <c r="AN2719">
        <v>2.43424142790025</v>
      </c>
    </row>
    <row r="2720" spans="1:40" x14ac:dyDescent="0.3">
      <c r="A2720" t="s">
        <v>573</v>
      </c>
      <c r="B2720" t="s">
        <v>643</v>
      </c>
      <c r="C2720" t="s">
        <v>16</v>
      </c>
      <c r="D2720" t="s">
        <v>14</v>
      </c>
      <c r="E2720">
        <v>202602</v>
      </c>
      <c r="F2720" t="s">
        <v>597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1</v>
      </c>
      <c r="AM2720">
        <v>0</v>
      </c>
      <c r="AN2720">
        <v>1</v>
      </c>
    </row>
    <row r="2721" spans="1:40" x14ac:dyDescent="0.3">
      <c r="A2721" t="s">
        <v>573</v>
      </c>
      <c r="B2721" t="s">
        <v>136</v>
      </c>
      <c r="C2721" t="s">
        <v>10</v>
      </c>
      <c r="D2721" t="s">
        <v>11</v>
      </c>
      <c r="E2721">
        <v>202602</v>
      </c>
      <c r="F2721" t="s">
        <v>102</v>
      </c>
      <c r="G2721">
        <v>0</v>
      </c>
      <c r="H2721">
        <v>0</v>
      </c>
      <c r="I2721">
        <v>0</v>
      </c>
      <c r="J2721">
        <v>1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5</v>
      </c>
      <c r="R2721">
        <v>3</v>
      </c>
      <c r="S2721">
        <v>4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1</v>
      </c>
      <c r="AA2721">
        <v>2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19</v>
      </c>
      <c r="AM2721">
        <v>0.66666666666666663</v>
      </c>
      <c r="AN2721">
        <v>22.359337245426122</v>
      </c>
    </row>
    <row r="2722" spans="1:40" x14ac:dyDescent="0.3">
      <c r="A2722" t="s">
        <v>573</v>
      </c>
      <c r="B2722" t="s">
        <v>136</v>
      </c>
      <c r="C2722" t="s">
        <v>10</v>
      </c>
      <c r="D2722" t="s">
        <v>14</v>
      </c>
      <c r="E2722">
        <v>202602</v>
      </c>
      <c r="F2722" t="s">
        <v>102</v>
      </c>
      <c r="G2722">
        <v>0</v>
      </c>
      <c r="H2722">
        <v>1</v>
      </c>
      <c r="I2722">
        <v>3</v>
      </c>
      <c r="J2722">
        <v>2</v>
      </c>
      <c r="K2722">
        <v>1</v>
      </c>
      <c r="L2722">
        <v>3</v>
      </c>
      <c r="M2722">
        <v>1</v>
      </c>
      <c r="N2722">
        <v>0</v>
      </c>
      <c r="O2722">
        <v>8</v>
      </c>
      <c r="P2722">
        <v>2</v>
      </c>
      <c r="Q2722">
        <v>4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3</v>
      </c>
      <c r="Z2722">
        <v>3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32</v>
      </c>
      <c r="AM2722">
        <v>2</v>
      </c>
      <c r="AN2722">
        <v>40.605448567401503</v>
      </c>
    </row>
    <row r="2723" spans="1:40" x14ac:dyDescent="0.3">
      <c r="A2723" t="s">
        <v>573</v>
      </c>
      <c r="B2723" t="s">
        <v>136</v>
      </c>
      <c r="C2723" t="s">
        <v>10</v>
      </c>
      <c r="D2723" t="s">
        <v>14</v>
      </c>
      <c r="E2723">
        <v>202602</v>
      </c>
      <c r="F2723" t="s">
        <v>101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1</v>
      </c>
      <c r="AM2723">
        <v>0.33333333333333331</v>
      </c>
      <c r="AN2723">
        <v>2.43424142790025</v>
      </c>
    </row>
    <row r="2724" spans="1:40" x14ac:dyDescent="0.3">
      <c r="A2724" t="s">
        <v>573</v>
      </c>
      <c r="B2724" t="s">
        <v>644</v>
      </c>
      <c r="C2724" t="s">
        <v>10</v>
      </c>
      <c r="D2724" t="s">
        <v>11</v>
      </c>
      <c r="E2724">
        <v>202602</v>
      </c>
      <c r="F2724" t="s">
        <v>101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3</v>
      </c>
      <c r="AM2724">
        <v>0.33333333333333331</v>
      </c>
      <c r="AN2724">
        <v>4.6796686227130611</v>
      </c>
    </row>
    <row r="2725" spans="1:40" x14ac:dyDescent="0.3">
      <c r="A2725" t="s">
        <v>573</v>
      </c>
      <c r="B2725" t="s">
        <v>644</v>
      </c>
      <c r="C2725" t="s">
        <v>10</v>
      </c>
      <c r="D2725" t="s">
        <v>11</v>
      </c>
      <c r="E2725">
        <v>202602</v>
      </c>
      <c r="F2725" t="s">
        <v>138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</v>
      </c>
      <c r="AM2725">
        <v>0</v>
      </c>
      <c r="AN2725">
        <v>1</v>
      </c>
    </row>
    <row r="2726" spans="1:40" x14ac:dyDescent="0.3">
      <c r="A2726" t="s">
        <v>573</v>
      </c>
      <c r="B2726" t="s">
        <v>644</v>
      </c>
      <c r="C2726" t="s">
        <v>10</v>
      </c>
      <c r="D2726" t="s">
        <v>14</v>
      </c>
      <c r="E2726">
        <v>202602</v>
      </c>
      <c r="F2726" t="s">
        <v>101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3</v>
      </c>
      <c r="AM2726">
        <v>0.33333333333333331</v>
      </c>
      <c r="AN2726">
        <v>4.4342414279002504</v>
      </c>
    </row>
    <row r="2727" spans="1:40" x14ac:dyDescent="0.3">
      <c r="A2727" t="s">
        <v>573</v>
      </c>
      <c r="B2727" t="s">
        <v>644</v>
      </c>
      <c r="C2727" t="s">
        <v>10</v>
      </c>
      <c r="D2727" t="s">
        <v>14</v>
      </c>
      <c r="E2727">
        <v>202602</v>
      </c>
      <c r="F2727" t="s">
        <v>138</v>
      </c>
      <c r="G2727">
        <v>0</v>
      </c>
      <c r="H2727">
        <v>0</v>
      </c>
      <c r="I2727">
        <v>0</v>
      </c>
      <c r="J2727">
        <v>0</v>
      </c>
      <c r="K2727">
        <v>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3</v>
      </c>
      <c r="AM2727">
        <v>0.33333333333333331</v>
      </c>
      <c r="AN2727">
        <v>4.4342414279002504</v>
      </c>
    </row>
    <row r="2728" spans="1:40" x14ac:dyDescent="0.3">
      <c r="A2728" t="s">
        <v>573</v>
      </c>
      <c r="B2728" t="s">
        <v>139</v>
      </c>
      <c r="C2728" t="s">
        <v>10</v>
      </c>
      <c r="D2728" t="s">
        <v>11</v>
      </c>
      <c r="E2728">
        <v>202602</v>
      </c>
      <c r="F2728" t="s">
        <v>586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1</v>
      </c>
      <c r="AM2728">
        <v>0</v>
      </c>
      <c r="AN2728">
        <v>1</v>
      </c>
    </row>
    <row r="2729" spans="1:40" x14ac:dyDescent="0.3">
      <c r="A2729" t="s">
        <v>573</v>
      </c>
      <c r="B2729" t="s">
        <v>139</v>
      </c>
      <c r="C2729" t="s">
        <v>10</v>
      </c>
      <c r="D2729" t="s">
        <v>11</v>
      </c>
      <c r="E2729">
        <v>202602</v>
      </c>
      <c r="F2729" t="s">
        <v>156</v>
      </c>
      <c r="G2729">
        <v>0</v>
      </c>
      <c r="H2729">
        <v>0</v>
      </c>
      <c r="I2729">
        <v>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3</v>
      </c>
      <c r="AM2729">
        <v>0</v>
      </c>
      <c r="AN2729">
        <v>3</v>
      </c>
    </row>
    <row r="2730" spans="1:40" x14ac:dyDescent="0.3">
      <c r="A2730" t="s">
        <v>573</v>
      </c>
      <c r="B2730" t="s">
        <v>139</v>
      </c>
      <c r="C2730" t="s">
        <v>10</v>
      </c>
      <c r="D2730" t="s">
        <v>11</v>
      </c>
      <c r="E2730">
        <v>202602</v>
      </c>
      <c r="F2730" t="s">
        <v>143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0</v>
      </c>
      <c r="AN2730">
        <v>1</v>
      </c>
    </row>
    <row r="2731" spans="1:40" x14ac:dyDescent="0.3">
      <c r="A2731" t="s">
        <v>573</v>
      </c>
      <c r="B2731" t="s">
        <v>139</v>
      </c>
      <c r="C2731" t="s">
        <v>10</v>
      </c>
      <c r="D2731" t="s">
        <v>11</v>
      </c>
      <c r="E2731">
        <v>202602</v>
      </c>
      <c r="F2731" t="s">
        <v>594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2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3</v>
      </c>
      <c r="AM2731">
        <v>0.33333333333333331</v>
      </c>
      <c r="AN2731">
        <v>4.6796686227130611</v>
      </c>
    </row>
    <row r="2732" spans="1:40" x14ac:dyDescent="0.3">
      <c r="A2732" t="s">
        <v>573</v>
      </c>
      <c r="B2732" t="s">
        <v>139</v>
      </c>
      <c r="C2732" t="s">
        <v>10</v>
      </c>
      <c r="D2732" t="s">
        <v>11</v>
      </c>
      <c r="E2732">
        <v>202602</v>
      </c>
      <c r="F2732" t="s">
        <v>148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2</v>
      </c>
      <c r="AM2732">
        <v>0</v>
      </c>
      <c r="AN2732">
        <v>2</v>
      </c>
    </row>
    <row r="2733" spans="1:40" x14ac:dyDescent="0.3">
      <c r="A2733" t="s">
        <v>573</v>
      </c>
      <c r="B2733" t="s">
        <v>139</v>
      </c>
      <c r="C2733" t="s">
        <v>10</v>
      </c>
      <c r="D2733" t="s">
        <v>11</v>
      </c>
      <c r="E2733">
        <v>202602</v>
      </c>
      <c r="F2733" t="s">
        <v>598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1</v>
      </c>
      <c r="AM2733">
        <v>0</v>
      </c>
      <c r="AN2733">
        <v>1</v>
      </c>
    </row>
    <row r="2734" spans="1:40" x14ac:dyDescent="0.3">
      <c r="A2734" t="s">
        <v>573</v>
      </c>
      <c r="B2734" t="s">
        <v>139</v>
      </c>
      <c r="C2734" t="s">
        <v>10</v>
      </c>
      <c r="D2734" t="s">
        <v>11</v>
      </c>
      <c r="E2734">
        <v>202602</v>
      </c>
      <c r="F2734" t="s">
        <v>588</v>
      </c>
      <c r="G2734">
        <v>0</v>
      </c>
      <c r="H2734">
        <v>0</v>
      </c>
      <c r="I2734">
        <v>0</v>
      </c>
      <c r="J2734">
        <v>1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4</v>
      </c>
      <c r="AM2734">
        <v>0.33333333333333331</v>
      </c>
      <c r="AN2734">
        <v>5.6796686227130611</v>
      </c>
    </row>
    <row r="2735" spans="1:40" x14ac:dyDescent="0.3">
      <c r="A2735" t="s">
        <v>573</v>
      </c>
      <c r="B2735" t="s">
        <v>139</v>
      </c>
      <c r="C2735" t="s">
        <v>10</v>
      </c>
      <c r="D2735" t="s">
        <v>11</v>
      </c>
      <c r="E2735">
        <v>202602</v>
      </c>
      <c r="F2735" t="s">
        <v>599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3</v>
      </c>
      <c r="AM2735">
        <v>0</v>
      </c>
      <c r="AN2735">
        <v>3</v>
      </c>
    </row>
    <row r="2736" spans="1:40" x14ac:dyDescent="0.3">
      <c r="A2736" t="s">
        <v>573</v>
      </c>
      <c r="B2736" t="s">
        <v>139</v>
      </c>
      <c r="C2736" t="s">
        <v>10</v>
      </c>
      <c r="D2736" t="s">
        <v>11</v>
      </c>
      <c r="E2736">
        <v>202602</v>
      </c>
      <c r="F2736" t="s">
        <v>600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0</v>
      </c>
      <c r="AN2736">
        <v>1</v>
      </c>
    </row>
    <row r="2737" spans="1:40" x14ac:dyDescent="0.3">
      <c r="A2737" t="s">
        <v>573</v>
      </c>
      <c r="B2737" t="s">
        <v>139</v>
      </c>
      <c r="C2737" t="s">
        <v>10</v>
      </c>
      <c r="D2737" t="s">
        <v>11</v>
      </c>
      <c r="E2737">
        <v>202602</v>
      </c>
      <c r="F2737" t="s">
        <v>601</v>
      </c>
      <c r="G2737">
        <v>0</v>
      </c>
      <c r="H2737">
        <v>2</v>
      </c>
      <c r="I2737">
        <v>0</v>
      </c>
      <c r="J2737">
        <v>0</v>
      </c>
      <c r="K2737">
        <v>0</v>
      </c>
      <c r="L2737">
        <v>0</v>
      </c>
      <c r="M2737">
        <v>2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6</v>
      </c>
      <c r="AM2737">
        <v>0</v>
      </c>
      <c r="AN2737">
        <v>6</v>
      </c>
    </row>
    <row r="2738" spans="1:40" x14ac:dyDescent="0.3">
      <c r="A2738" t="s">
        <v>573</v>
      </c>
      <c r="B2738" t="s">
        <v>139</v>
      </c>
      <c r="C2738" t="s">
        <v>10</v>
      </c>
      <c r="D2738" t="s">
        <v>11</v>
      </c>
      <c r="E2738">
        <v>202602</v>
      </c>
      <c r="F2738" t="s">
        <v>602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2</v>
      </c>
      <c r="AM2738">
        <v>0</v>
      </c>
      <c r="AN2738">
        <v>2</v>
      </c>
    </row>
    <row r="2739" spans="1:40" x14ac:dyDescent="0.3">
      <c r="A2739" t="s">
        <v>573</v>
      </c>
      <c r="B2739" t="s">
        <v>139</v>
      </c>
      <c r="C2739" t="s">
        <v>10</v>
      </c>
      <c r="D2739" t="s">
        <v>11</v>
      </c>
      <c r="E2739">
        <v>202602</v>
      </c>
      <c r="F2739" t="s">
        <v>237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</v>
      </c>
      <c r="AM2739">
        <v>0</v>
      </c>
      <c r="AN2739">
        <v>1</v>
      </c>
    </row>
    <row r="2740" spans="1:40" x14ac:dyDescent="0.3">
      <c r="A2740" t="s">
        <v>573</v>
      </c>
      <c r="B2740" t="s">
        <v>139</v>
      </c>
      <c r="C2740" t="s">
        <v>10</v>
      </c>
      <c r="D2740" t="s">
        <v>11</v>
      </c>
      <c r="E2740">
        <v>202602</v>
      </c>
      <c r="F2740" t="s">
        <v>591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1</v>
      </c>
      <c r="AM2740">
        <v>0</v>
      </c>
      <c r="AN2740">
        <v>1</v>
      </c>
    </row>
    <row r="2741" spans="1:40" x14ac:dyDescent="0.3">
      <c r="A2741" t="s">
        <v>573</v>
      </c>
      <c r="B2741" t="s">
        <v>139</v>
      </c>
      <c r="C2741" t="s">
        <v>10</v>
      </c>
      <c r="D2741" t="s">
        <v>14</v>
      </c>
      <c r="E2741">
        <v>202602</v>
      </c>
      <c r="F2741" t="s">
        <v>586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1</v>
      </c>
      <c r="AM2741">
        <v>0</v>
      </c>
      <c r="AN2741">
        <v>1</v>
      </c>
    </row>
    <row r="2742" spans="1:40" x14ac:dyDescent="0.3">
      <c r="A2742" t="s">
        <v>573</v>
      </c>
      <c r="B2742" t="s">
        <v>139</v>
      </c>
      <c r="C2742" t="s">
        <v>10</v>
      </c>
      <c r="D2742" t="s">
        <v>14</v>
      </c>
      <c r="E2742">
        <v>202602</v>
      </c>
      <c r="F2742" t="s">
        <v>156</v>
      </c>
      <c r="G2742">
        <v>0</v>
      </c>
      <c r="H2742">
        <v>2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3</v>
      </c>
      <c r="AM2742">
        <v>0</v>
      </c>
      <c r="AN2742">
        <v>3</v>
      </c>
    </row>
    <row r="2743" spans="1:40" x14ac:dyDescent="0.3">
      <c r="A2743" t="s">
        <v>573</v>
      </c>
      <c r="B2743" t="s">
        <v>139</v>
      </c>
      <c r="C2743" t="s">
        <v>10</v>
      </c>
      <c r="D2743" t="s">
        <v>14</v>
      </c>
      <c r="E2743">
        <v>202602</v>
      </c>
      <c r="F2743" t="s">
        <v>143</v>
      </c>
      <c r="G2743">
        <v>0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1</v>
      </c>
      <c r="AM2743">
        <v>0</v>
      </c>
      <c r="AN2743">
        <v>1</v>
      </c>
    </row>
    <row r="2744" spans="1:40" x14ac:dyDescent="0.3">
      <c r="A2744" t="s">
        <v>573</v>
      </c>
      <c r="B2744" t="s">
        <v>139</v>
      </c>
      <c r="C2744" t="s">
        <v>10</v>
      </c>
      <c r="D2744" t="s">
        <v>14</v>
      </c>
      <c r="E2744">
        <v>202602</v>
      </c>
      <c r="F2744" t="s">
        <v>594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2</v>
      </c>
      <c r="Q2744">
        <v>1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6</v>
      </c>
      <c r="AM2744">
        <v>0.33333333333333331</v>
      </c>
      <c r="AN2744">
        <v>7.4342414279002504</v>
      </c>
    </row>
    <row r="2745" spans="1:40" x14ac:dyDescent="0.3">
      <c r="A2745" t="s">
        <v>573</v>
      </c>
      <c r="B2745" t="s">
        <v>139</v>
      </c>
      <c r="C2745" t="s">
        <v>10</v>
      </c>
      <c r="D2745" t="s">
        <v>14</v>
      </c>
      <c r="E2745">
        <v>202602</v>
      </c>
      <c r="F2745" t="s">
        <v>148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1</v>
      </c>
      <c r="R2745">
        <v>1</v>
      </c>
      <c r="S2745">
        <v>2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5</v>
      </c>
      <c r="AM2745">
        <v>0</v>
      </c>
      <c r="AN2745">
        <v>5</v>
      </c>
    </row>
    <row r="2746" spans="1:40" x14ac:dyDescent="0.3">
      <c r="A2746" t="s">
        <v>573</v>
      </c>
      <c r="B2746" t="s">
        <v>139</v>
      </c>
      <c r="C2746" t="s">
        <v>10</v>
      </c>
      <c r="D2746" t="s">
        <v>14</v>
      </c>
      <c r="E2746">
        <v>202602</v>
      </c>
      <c r="F2746" t="s">
        <v>598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1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2</v>
      </c>
      <c r="AM2746">
        <v>0.33333333333333331</v>
      </c>
      <c r="AN2746">
        <v>3.43424142790025</v>
      </c>
    </row>
    <row r="2747" spans="1:40" x14ac:dyDescent="0.3">
      <c r="A2747" t="s">
        <v>573</v>
      </c>
      <c r="B2747" t="s">
        <v>139</v>
      </c>
      <c r="C2747" t="s">
        <v>10</v>
      </c>
      <c r="D2747" t="s">
        <v>14</v>
      </c>
      <c r="E2747">
        <v>202602</v>
      </c>
      <c r="F2747" t="s">
        <v>588</v>
      </c>
      <c r="G2747">
        <v>0</v>
      </c>
      <c r="H2747">
        <v>0</v>
      </c>
      <c r="I2747">
        <v>1</v>
      </c>
      <c r="J2747">
        <v>1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3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7</v>
      </c>
      <c r="AM2747">
        <v>1.3333333333333333</v>
      </c>
      <c r="AN2747">
        <v>12.736965711601</v>
      </c>
    </row>
    <row r="2748" spans="1:40" x14ac:dyDescent="0.3">
      <c r="A2748" t="s">
        <v>573</v>
      </c>
      <c r="B2748" t="s">
        <v>139</v>
      </c>
      <c r="C2748" t="s">
        <v>10</v>
      </c>
      <c r="D2748" t="s">
        <v>14</v>
      </c>
      <c r="E2748">
        <v>202602</v>
      </c>
      <c r="F2748" t="s">
        <v>603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1</v>
      </c>
      <c r="AM2748">
        <v>0</v>
      </c>
      <c r="AN2748">
        <v>1</v>
      </c>
    </row>
    <row r="2749" spans="1:40" x14ac:dyDescent="0.3">
      <c r="A2749" t="s">
        <v>573</v>
      </c>
      <c r="B2749" t="s">
        <v>139</v>
      </c>
      <c r="C2749" t="s">
        <v>10</v>
      </c>
      <c r="D2749" t="s">
        <v>14</v>
      </c>
      <c r="E2749">
        <v>202602</v>
      </c>
      <c r="F2749" t="s">
        <v>599</v>
      </c>
      <c r="G2749">
        <v>0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1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4</v>
      </c>
      <c r="AM2749">
        <v>0</v>
      </c>
      <c r="AN2749">
        <v>4</v>
      </c>
    </row>
    <row r="2750" spans="1:40" x14ac:dyDescent="0.3">
      <c r="A2750" t="s">
        <v>573</v>
      </c>
      <c r="B2750" t="s">
        <v>139</v>
      </c>
      <c r="C2750" t="s">
        <v>10</v>
      </c>
      <c r="D2750" t="s">
        <v>14</v>
      </c>
      <c r="E2750">
        <v>202602</v>
      </c>
      <c r="F2750" t="s">
        <v>600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1</v>
      </c>
      <c r="AM2750">
        <v>0</v>
      </c>
      <c r="AN2750">
        <v>1</v>
      </c>
    </row>
    <row r="2751" spans="1:40" x14ac:dyDescent="0.3">
      <c r="A2751" t="s">
        <v>573</v>
      </c>
      <c r="B2751" t="s">
        <v>139</v>
      </c>
      <c r="C2751" t="s">
        <v>10</v>
      </c>
      <c r="D2751" t="s">
        <v>14</v>
      </c>
      <c r="E2751">
        <v>202602</v>
      </c>
      <c r="F2751" t="s">
        <v>601</v>
      </c>
      <c r="G2751">
        <v>0</v>
      </c>
      <c r="H2751">
        <v>0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2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1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5</v>
      </c>
      <c r="AM2751">
        <v>0.33333333333333331</v>
      </c>
      <c r="AN2751">
        <v>6.4342414279002504</v>
      </c>
    </row>
    <row r="2752" spans="1:40" x14ac:dyDescent="0.3">
      <c r="A2752" t="s">
        <v>573</v>
      </c>
      <c r="B2752" t="s">
        <v>139</v>
      </c>
      <c r="C2752" t="s">
        <v>10</v>
      </c>
      <c r="D2752" t="s">
        <v>14</v>
      </c>
      <c r="E2752">
        <v>202602</v>
      </c>
      <c r="F2752" t="s">
        <v>602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2</v>
      </c>
      <c r="AM2752">
        <v>0</v>
      </c>
      <c r="AN2752">
        <v>2</v>
      </c>
    </row>
    <row r="2753" spans="1:40" x14ac:dyDescent="0.3">
      <c r="A2753" t="s">
        <v>573</v>
      </c>
      <c r="B2753" t="s">
        <v>139</v>
      </c>
      <c r="C2753" t="s">
        <v>10</v>
      </c>
      <c r="D2753" t="s">
        <v>14</v>
      </c>
      <c r="E2753">
        <v>202602</v>
      </c>
      <c r="F2753" t="s">
        <v>591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1</v>
      </c>
      <c r="AM2753">
        <v>0</v>
      </c>
      <c r="AN2753">
        <v>1</v>
      </c>
    </row>
    <row r="2754" spans="1:40" x14ac:dyDescent="0.3">
      <c r="A2754" t="s">
        <v>573</v>
      </c>
      <c r="B2754" t="s">
        <v>238</v>
      </c>
      <c r="C2754" t="s">
        <v>10</v>
      </c>
      <c r="D2754" t="s">
        <v>11</v>
      </c>
      <c r="E2754">
        <v>202602</v>
      </c>
      <c r="F2754" t="s">
        <v>604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3</v>
      </c>
      <c r="AM2754">
        <v>0</v>
      </c>
      <c r="AN2754">
        <v>3</v>
      </c>
    </row>
    <row r="2755" spans="1:40" x14ac:dyDescent="0.3">
      <c r="A2755" t="s">
        <v>573</v>
      </c>
      <c r="B2755" t="s">
        <v>238</v>
      </c>
      <c r="C2755" t="s">
        <v>10</v>
      </c>
      <c r="D2755" t="s">
        <v>14</v>
      </c>
      <c r="E2755">
        <v>202602</v>
      </c>
      <c r="F2755" t="s">
        <v>203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1</v>
      </c>
      <c r="AM2755">
        <v>0</v>
      </c>
      <c r="AN2755">
        <v>1</v>
      </c>
    </row>
    <row r="2756" spans="1:40" x14ac:dyDescent="0.3">
      <c r="A2756" t="s">
        <v>573</v>
      </c>
      <c r="B2756" t="s">
        <v>238</v>
      </c>
      <c r="C2756" t="s">
        <v>10</v>
      </c>
      <c r="D2756" t="s">
        <v>14</v>
      </c>
      <c r="E2756">
        <v>202602</v>
      </c>
      <c r="F2756" t="s">
        <v>571</v>
      </c>
      <c r="G2756">
        <v>0</v>
      </c>
      <c r="H2756">
        <v>0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0</v>
      </c>
      <c r="AN2756">
        <v>1</v>
      </c>
    </row>
    <row r="2757" spans="1:40" x14ac:dyDescent="0.3">
      <c r="A2757" t="s">
        <v>573</v>
      </c>
      <c r="B2757" t="s">
        <v>238</v>
      </c>
      <c r="C2757" t="s">
        <v>10</v>
      </c>
      <c r="D2757" t="s">
        <v>14</v>
      </c>
      <c r="E2757">
        <v>202602</v>
      </c>
      <c r="F2757" t="s">
        <v>604</v>
      </c>
      <c r="G2757">
        <v>0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3</v>
      </c>
      <c r="AM2757">
        <v>0</v>
      </c>
      <c r="AN2757">
        <v>3</v>
      </c>
    </row>
    <row r="2758" spans="1:40" x14ac:dyDescent="0.3">
      <c r="A2758" t="s">
        <v>573</v>
      </c>
      <c r="B2758" t="s">
        <v>656</v>
      </c>
      <c r="C2758" t="s">
        <v>10</v>
      </c>
      <c r="D2758" t="s">
        <v>11</v>
      </c>
      <c r="E2758">
        <v>202602</v>
      </c>
      <c r="F2758" t="s">
        <v>171</v>
      </c>
      <c r="G2758">
        <v>0</v>
      </c>
      <c r="H2758">
        <v>2</v>
      </c>
      <c r="I2758">
        <v>0</v>
      </c>
      <c r="J2758">
        <v>3</v>
      </c>
      <c r="K2758">
        <v>1</v>
      </c>
      <c r="L2758">
        <v>2</v>
      </c>
      <c r="M2758">
        <v>2</v>
      </c>
      <c r="N2758">
        <v>0</v>
      </c>
      <c r="O2758">
        <v>0</v>
      </c>
      <c r="P2758">
        <v>4</v>
      </c>
      <c r="Q2758">
        <v>3</v>
      </c>
      <c r="R2758">
        <v>1</v>
      </c>
      <c r="S2758">
        <v>3</v>
      </c>
      <c r="T2758">
        <v>1</v>
      </c>
      <c r="U2758">
        <v>0</v>
      </c>
      <c r="V2758">
        <v>1</v>
      </c>
      <c r="W2758">
        <v>0</v>
      </c>
      <c r="X2758">
        <v>2</v>
      </c>
      <c r="Y2758">
        <v>1</v>
      </c>
      <c r="Z2758">
        <v>3</v>
      </c>
      <c r="AA2758">
        <v>0</v>
      </c>
      <c r="AB2758">
        <v>0</v>
      </c>
      <c r="AC2758">
        <v>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30</v>
      </c>
      <c r="AM2758">
        <v>1.6666666666666667</v>
      </c>
      <c r="AN2758">
        <v>38.398343113565303</v>
      </c>
    </row>
    <row r="2759" spans="1:40" x14ac:dyDescent="0.3">
      <c r="A2759" t="s">
        <v>573</v>
      </c>
      <c r="B2759" t="s">
        <v>656</v>
      </c>
      <c r="C2759" t="s">
        <v>10</v>
      </c>
      <c r="D2759" t="s">
        <v>14</v>
      </c>
      <c r="E2759">
        <v>202602</v>
      </c>
      <c r="F2759" t="s">
        <v>171</v>
      </c>
      <c r="G2759">
        <v>0</v>
      </c>
      <c r="H2759">
        <v>2</v>
      </c>
      <c r="I2759">
        <v>1</v>
      </c>
      <c r="J2759">
        <v>3</v>
      </c>
      <c r="K2759">
        <v>1</v>
      </c>
      <c r="L2759">
        <v>2</v>
      </c>
      <c r="M2759">
        <v>1</v>
      </c>
      <c r="N2759">
        <v>0</v>
      </c>
      <c r="O2759">
        <v>3</v>
      </c>
      <c r="P2759">
        <v>3</v>
      </c>
      <c r="Q2759">
        <v>2</v>
      </c>
      <c r="R2759">
        <v>4</v>
      </c>
      <c r="S2759">
        <v>0</v>
      </c>
      <c r="T2759">
        <v>2</v>
      </c>
      <c r="U2759">
        <v>0</v>
      </c>
      <c r="V2759">
        <v>1</v>
      </c>
      <c r="W2759">
        <v>0</v>
      </c>
      <c r="X2759">
        <v>1</v>
      </c>
      <c r="Y2759">
        <v>3</v>
      </c>
      <c r="Z2759">
        <v>0</v>
      </c>
      <c r="AA2759">
        <v>0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30</v>
      </c>
      <c r="AM2759">
        <v>1.3333333333333333</v>
      </c>
      <c r="AN2759">
        <v>35.736965711601002</v>
      </c>
    </row>
    <row r="2760" spans="1:40" x14ac:dyDescent="0.3">
      <c r="A2760" t="s">
        <v>573</v>
      </c>
      <c r="B2760" t="s">
        <v>164</v>
      </c>
      <c r="C2760" t="s">
        <v>10</v>
      </c>
      <c r="D2760" t="s">
        <v>11</v>
      </c>
      <c r="E2760">
        <v>202602</v>
      </c>
      <c r="F2760" t="s">
        <v>18</v>
      </c>
      <c r="G2760">
        <v>0</v>
      </c>
      <c r="H2760">
        <v>1</v>
      </c>
      <c r="I2760">
        <v>4</v>
      </c>
      <c r="J2760">
        <v>3</v>
      </c>
      <c r="K2760">
        <v>3</v>
      </c>
      <c r="L2760">
        <v>2</v>
      </c>
      <c r="M2760">
        <v>3</v>
      </c>
      <c r="N2760">
        <v>0</v>
      </c>
      <c r="O2760">
        <v>0</v>
      </c>
      <c r="P2760">
        <v>0</v>
      </c>
      <c r="Q2760">
        <v>0</v>
      </c>
      <c r="R2760">
        <v>2</v>
      </c>
      <c r="S2760">
        <v>0</v>
      </c>
      <c r="T2760">
        <v>1</v>
      </c>
      <c r="U2760">
        <v>0</v>
      </c>
      <c r="V2760">
        <v>3</v>
      </c>
      <c r="W2760">
        <v>0</v>
      </c>
      <c r="X2760">
        <v>2</v>
      </c>
      <c r="Y2760">
        <v>1</v>
      </c>
      <c r="Z2760">
        <v>3</v>
      </c>
      <c r="AA2760">
        <v>3</v>
      </c>
      <c r="AB2760">
        <v>1</v>
      </c>
      <c r="AC2760">
        <v>2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34</v>
      </c>
      <c r="AM2760">
        <v>2</v>
      </c>
      <c r="AN2760">
        <v>44.078011736278363</v>
      </c>
    </row>
    <row r="2761" spans="1:40" x14ac:dyDescent="0.3">
      <c r="A2761" t="s">
        <v>573</v>
      </c>
      <c r="B2761" t="s">
        <v>164</v>
      </c>
      <c r="C2761" t="s">
        <v>10</v>
      </c>
      <c r="D2761" t="s">
        <v>11</v>
      </c>
      <c r="E2761">
        <v>202602</v>
      </c>
      <c r="F2761" t="s">
        <v>138</v>
      </c>
      <c r="G2761">
        <v>0</v>
      </c>
      <c r="H2761">
        <v>5</v>
      </c>
      <c r="I2761">
        <v>1</v>
      </c>
      <c r="J2761">
        <v>2</v>
      </c>
      <c r="K2761">
        <v>5</v>
      </c>
      <c r="L2761">
        <v>2</v>
      </c>
      <c r="M2761">
        <v>1</v>
      </c>
      <c r="N2761">
        <v>0</v>
      </c>
      <c r="O2761">
        <v>2</v>
      </c>
      <c r="P2761">
        <v>2</v>
      </c>
      <c r="Q2761">
        <v>3</v>
      </c>
      <c r="R2761">
        <v>5</v>
      </c>
      <c r="S2761">
        <v>5</v>
      </c>
      <c r="T2761">
        <v>3</v>
      </c>
      <c r="U2761">
        <v>0</v>
      </c>
      <c r="V2761">
        <v>5</v>
      </c>
      <c r="W2761">
        <v>0</v>
      </c>
      <c r="X2761">
        <v>2</v>
      </c>
      <c r="Y2761">
        <v>4</v>
      </c>
      <c r="Z2761">
        <v>5</v>
      </c>
      <c r="AA2761">
        <v>1</v>
      </c>
      <c r="AB2761">
        <v>1</v>
      </c>
      <c r="AC2761">
        <v>3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57</v>
      </c>
      <c r="AM2761">
        <v>4</v>
      </c>
      <c r="AN2761">
        <v>77.156023472556726</v>
      </c>
    </row>
    <row r="2762" spans="1:40" x14ac:dyDescent="0.3">
      <c r="A2762" t="s">
        <v>573</v>
      </c>
      <c r="B2762" t="s">
        <v>164</v>
      </c>
      <c r="C2762" t="s">
        <v>10</v>
      </c>
      <c r="D2762" t="s">
        <v>14</v>
      </c>
      <c r="E2762">
        <v>202602</v>
      </c>
      <c r="F2762" t="s">
        <v>18</v>
      </c>
      <c r="G2762">
        <v>0</v>
      </c>
      <c r="H2762">
        <v>1</v>
      </c>
      <c r="I2762">
        <v>5</v>
      </c>
      <c r="J2762">
        <v>4</v>
      </c>
      <c r="K2762">
        <v>2</v>
      </c>
      <c r="L2762">
        <v>3</v>
      </c>
      <c r="M2762">
        <v>1</v>
      </c>
      <c r="N2762">
        <v>0</v>
      </c>
      <c r="O2762">
        <v>1</v>
      </c>
      <c r="P2762">
        <v>2</v>
      </c>
      <c r="Q2762">
        <v>1</v>
      </c>
      <c r="R2762">
        <v>1</v>
      </c>
      <c r="S2762">
        <v>4</v>
      </c>
      <c r="T2762">
        <v>3</v>
      </c>
      <c r="U2762">
        <v>0</v>
      </c>
      <c r="V2762">
        <v>0</v>
      </c>
      <c r="W2762">
        <v>1</v>
      </c>
      <c r="X2762">
        <v>3</v>
      </c>
      <c r="Y2762">
        <v>4</v>
      </c>
      <c r="Z2762">
        <v>4</v>
      </c>
      <c r="AA2762">
        <v>2</v>
      </c>
      <c r="AB2762">
        <v>0</v>
      </c>
      <c r="AC2762">
        <v>2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44</v>
      </c>
      <c r="AM2762">
        <v>3.3333333333333335</v>
      </c>
      <c r="AN2762">
        <v>58.342414279002497</v>
      </c>
    </row>
    <row r="2763" spans="1:40" x14ac:dyDescent="0.3">
      <c r="A2763" t="s">
        <v>573</v>
      </c>
      <c r="B2763" t="s">
        <v>164</v>
      </c>
      <c r="C2763" t="s">
        <v>10</v>
      </c>
      <c r="D2763" t="s">
        <v>14</v>
      </c>
      <c r="E2763">
        <v>202602</v>
      </c>
      <c r="F2763" t="s">
        <v>138</v>
      </c>
      <c r="G2763">
        <v>0</v>
      </c>
      <c r="H2763">
        <v>4</v>
      </c>
      <c r="I2763">
        <v>3</v>
      </c>
      <c r="J2763">
        <v>7</v>
      </c>
      <c r="K2763">
        <v>1</v>
      </c>
      <c r="L2763">
        <v>4</v>
      </c>
      <c r="M2763">
        <v>2</v>
      </c>
      <c r="N2763">
        <v>0</v>
      </c>
      <c r="O2763">
        <v>2</v>
      </c>
      <c r="P2763">
        <v>8</v>
      </c>
      <c r="Q2763">
        <v>8</v>
      </c>
      <c r="R2763">
        <v>4</v>
      </c>
      <c r="S2763">
        <v>10</v>
      </c>
      <c r="T2763">
        <v>1</v>
      </c>
      <c r="U2763">
        <v>0</v>
      </c>
      <c r="V2763">
        <v>3</v>
      </c>
      <c r="W2763">
        <v>1</v>
      </c>
      <c r="X2763">
        <v>5</v>
      </c>
      <c r="Y2763">
        <v>6</v>
      </c>
      <c r="Z2763">
        <v>7</v>
      </c>
      <c r="AA2763">
        <v>3</v>
      </c>
      <c r="AB2763">
        <v>0</v>
      </c>
      <c r="AC2763">
        <v>5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84</v>
      </c>
      <c r="AM2763">
        <v>6</v>
      </c>
      <c r="AN2763">
        <v>109.8163457022045</v>
      </c>
    </row>
    <row r="2764" spans="1:40" x14ac:dyDescent="0.3">
      <c r="A2764" t="s">
        <v>573</v>
      </c>
      <c r="B2764" t="s">
        <v>164</v>
      </c>
      <c r="C2764" t="s">
        <v>16</v>
      </c>
      <c r="D2764" t="s">
        <v>11</v>
      </c>
      <c r="E2764">
        <v>202602</v>
      </c>
      <c r="F2764" t="s">
        <v>165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1</v>
      </c>
      <c r="AM2764">
        <v>0</v>
      </c>
      <c r="AN2764">
        <v>1</v>
      </c>
    </row>
    <row r="2765" spans="1:40" x14ac:dyDescent="0.3">
      <c r="A2765" t="s">
        <v>573</v>
      </c>
      <c r="B2765" t="s">
        <v>164</v>
      </c>
      <c r="C2765" t="s">
        <v>16</v>
      </c>
      <c r="D2765" t="s">
        <v>11</v>
      </c>
      <c r="E2765">
        <v>202602</v>
      </c>
      <c r="F2765" t="s">
        <v>18</v>
      </c>
      <c r="G2765">
        <v>0</v>
      </c>
      <c r="H2765">
        <v>1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3</v>
      </c>
      <c r="AM2765">
        <v>0.33333333333333331</v>
      </c>
      <c r="AN2765">
        <v>4.6796686227130611</v>
      </c>
    </row>
    <row r="2766" spans="1:40" x14ac:dyDescent="0.3">
      <c r="A2766" t="s">
        <v>573</v>
      </c>
      <c r="B2766" t="s">
        <v>164</v>
      </c>
      <c r="C2766" t="s">
        <v>16</v>
      </c>
      <c r="D2766" t="s">
        <v>11</v>
      </c>
      <c r="E2766">
        <v>202602</v>
      </c>
      <c r="F2766" t="s">
        <v>138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1</v>
      </c>
      <c r="AM2766">
        <v>0</v>
      </c>
      <c r="AN2766">
        <v>1</v>
      </c>
    </row>
    <row r="2767" spans="1:40" x14ac:dyDescent="0.3">
      <c r="A2767" t="s">
        <v>573</v>
      </c>
      <c r="B2767" t="s">
        <v>164</v>
      </c>
      <c r="C2767" t="s">
        <v>16</v>
      </c>
      <c r="D2767" t="s">
        <v>14</v>
      </c>
      <c r="E2767">
        <v>202602</v>
      </c>
      <c r="F2767" t="s">
        <v>165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1</v>
      </c>
      <c r="AM2767">
        <v>0</v>
      </c>
      <c r="AN2767">
        <v>1</v>
      </c>
    </row>
    <row r="2768" spans="1:40" x14ac:dyDescent="0.3">
      <c r="A2768" t="s">
        <v>573</v>
      </c>
      <c r="B2768" t="s">
        <v>164</v>
      </c>
      <c r="C2768" t="s">
        <v>16</v>
      </c>
      <c r="D2768" t="s">
        <v>14</v>
      </c>
      <c r="E2768">
        <v>202602</v>
      </c>
      <c r="F2768" t="s">
        <v>18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2</v>
      </c>
      <c r="AM2768">
        <v>0</v>
      </c>
      <c r="AN2768">
        <v>2</v>
      </c>
    </row>
    <row r="2769" spans="1:40" x14ac:dyDescent="0.3">
      <c r="A2769" t="s">
        <v>573</v>
      </c>
      <c r="B2769" t="s">
        <v>164</v>
      </c>
      <c r="C2769" t="s">
        <v>16</v>
      </c>
      <c r="D2769" t="s">
        <v>14</v>
      </c>
      <c r="E2769">
        <v>202602</v>
      </c>
      <c r="F2769" t="s">
        <v>138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1</v>
      </c>
      <c r="AM2769">
        <v>0</v>
      </c>
      <c r="AN2769">
        <v>1</v>
      </c>
    </row>
    <row r="2770" spans="1:40" x14ac:dyDescent="0.3">
      <c r="A2770" t="s">
        <v>573</v>
      </c>
      <c r="B2770" t="s">
        <v>168</v>
      </c>
      <c r="C2770" t="s">
        <v>10</v>
      </c>
      <c r="D2770" t="s">
        <v>11</v>
      </c>
      <c r="E2770">
        <v>202602</v>
      </c>
      <c r="F2770" t="s">
        <v>169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1</v>
      </c>
      <c r="AM2770">
        <v>0</v>
      </c>
      <c r="AN2770">
        <v>1</v>
      </c>
    </row>
    <row r="2771" spans="1:40" x14ac:dyDescent="0.3">
      <c r="A2771" t="s">
        <v>573</v>
      </c>
      <c r="B2771" t="s">
        <v>168</v>
      </c>
      <c r="C2771" t="s">
        <v>10</v>
      </c>
      <c r="D2771" t="s">
        <v>14</v>
      </c>
      <c r="E2771">
        <v>202602</v>
      </c>
      <c r="F2771" t="s">
        <v>169</v>
      </c>
      <c r="G2771">
        <v>0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1</v>
      </c>
      <c r="AM2771">
        <v>0</v>
      </c>
      <c r="AN2771">
        <v>1</v>
      </c>
    </row>
    <row r="2772" spans="1:40" x14ac:dyDescent="0.3">
      <c r="A2772" t="s">
        <v>573</v>
      </c>
      <c r="B2772" t="s">
        <v>170</v>
      </c>
      <c r="C2772" t="s">
        <v>10</v>
      </c>
      <c r="D2772" t="s">
        <v>11</v>
      </c>
      <c r="E2772">
        <v>202602</v>
      </c>
      <c r="F2772" t="s">
        <v>50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2</v>
      </c>
      <c r="AM2772">
        <v>0.33333333333333331</v>
      </c>
      <c r="AN2772">
        <v>3.6796686227130611</v>
      </c>
    </row>
    <row r="2773" spans="1:40" x14ac:dyDescent="0.3">
      <c r="A2773" t="s">
        <v>573</v>
      </c>
      <c r="B2773" t="s">
        <v>170</v>
      </c>
      <c r="C2773" t="s">
        <v>10</v>
      </c>
      <c r="D2773" t="s">
        <v>14</v>
      </c>
      <c r="E2773">
        <v>202602</v>
      </c>
      <c r="F2773" t="s">
        <v>50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1</v>
      </c>
      <c r="AM2773">
        <v>0</v>
      </c>
      <c r="AN2773">
        <v>1</v>
      </c>
    </row>
    <row r="2774" spans="1:40" x14ac:dyDescent="0.3">
      <c r="A2774" t="s">
        <v>573</v>
      </c>
      <c r="B2774" t="s">
        <v>172</v>
      </c>
      <c r="C2774" t="s">
        <v>10</v>
      </c>
      <c r="D2774" t="s">
        <v>11</v>
      </c>
      <c r="E2774">
        <v>202602</v>
      </c>
      <c r="F2774" t="s">
        <v>171</v>
      </c>
      <c r="G2774">
        <v>0</v>
      </c>
      <c r="H2774">
        <v>1</v>
      </c>
      <c r="I2774">
        <v>0</v>
      </c>
      <c r="J2774">
        <v>1</v>
      </c>
      <c r="K2774">
        <v>4</v>
      </c>
      <c r="L2774">
        <v>7</v>
      </c>
      <c r="M2774">
        <v>5</v>
      </c>
      <c r="N2774">
        <v>1</v>
      </c>
      <c r="O2774">
        <v>2</v>
      </c>
      <c r="P2774">
        <v>0</v>
      </c>
      <c r="Q2774">
        <v>6</v>
      </c>
      <c r="R2774">
        <v>4</v>
      </c>
      <c r="S2774">
        <v>7</v>
      </c>
      <c r="T2774">
        <v>5</v>
      </c>
      <c r="U2774">
        <v>0</v>
      </c>
      <c r="V2774">
        <v>3</v>
      </c>
      <c r="W2774">
        <v>0</v>
      </c>
      <c r="X2774">
        <v>0</v>
      </c>
      <c r="Y2774">
        <v>2</v>
      </c>
      <c r="Z2774">
        <v>5</v>
      </c>
      <c r="AA2774">
        <v>4</v>
      </c>
      <c r="AB2774">
        <v>0</v>
      </c>
      <c r="AC2774">
        <v>5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62</v>
      </c>
      <c r="AM2774">
        <v>4</v>
      </c>
      <c r="AN2774">
        <v>82.156023472556726</v>
      </c>
    </row>
    <row r="2775" spans="1:40" x14ac:dyDescent="0.3">
      <c r="A2775" t="s">
        <v>573</v>
      </c>
      <c r="B2775" t="s">
        <v>172</v>
      </c>
      <c r="C2775" t="s">
        <v>10</v>
      </c>
      <c r="D2775" t="s">
        <v>14</v>
      </c>
      <c r="E2775">
        <v>202602</v>
      </c>
      <c r="F2775" t="s">
        <v>171</v>
      </c>
      <c r="G2775">
        <v>0</v>
      </c>
      <c r="H2775">
        <v>1</v>
      </c>
      <c r="I2775">
        <v>3</v>
      </c>
      <c r="J2775">
        <v>5</v>
      </c>
      <c r="K2775">
        <v>8</v>
      </c>
      <c r="L2775">
        <v>5</v>
      </c>
      <c r="M2775">
        <v>2</v>
      </c>
      <c r="N2775">
        <v>0</v>
      </c>
      <c r="O2775">
        <v>7</v>
      </c>
      <c r="P2775">
        <v>6</v>
      </c>
      <c r="Q2775">
        <v>10</v>
      </c>
      <c r="R2775">
        <v>5</v>
      </c>
      <c r="S2775">
        <v>3</v>
      </c>
      <c r="T2775">
        <v>1</v>
      </c>
      <c r="U2775">
        <v>0</v>
      </c>
      <c r="V2775">
        <v>2</v>
      </c>
      <c r="W2775">
        <v>0</v>
      </c>
      <c r="X2775">
        <v>3</v>
      </c>
      <c r="Y2775">
        <v>8</v>
      </c>
      <c r="Z2775">
        <v>6</v>
      </c>
      <c r="AA2775">
        <v>2</v>
      </c>
      <c r="AB2775">
        <v>0</v>
      </c>
      <c r="AC2775">
        <v>9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86</v>
      </c>
      <c r="AM2775">
        <v>7.666666666666667</v>
      </c>
      <c r="AN2775">
        <v>118.98755284170576</v>
      </c>
    </row>
    <row r="2776" spans="1:40" x14ac:dyDescent="0.3">
      <c r="A2776" t="s">
        <v>573</v>
      </c>
      <c r="B2776" t="s">
        <v>172</v>
      </c>
      <c r="C2776" t="s">
        <v>16</v>
      </c>
      <c r="D2776" t="s">
        <v>11</v>
      </c>
      <c r="E2776">
        <v>202602</v>
      </c>
      <c r="F2776" t="s">
        <v>171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1</v>
      </c>
      <c r="AM2776">
        <v>0</v>
      </c>
      <c r="AN2776">
        <v>1</v>
      </c>
    </row>
    <row r="2777" spans="1:40" x14ac:dyDescent="0.3">
      <c r="A2777" t="s">
        <v>573</v>
      </c>
      <c r="B2777" t="s">
        <v>172</v>
      </c>
      <c r="C2777" t="s">
        <v>16</v>
      </c>
      <c r="D2777" t="s">
        <v>14</v>
      </c>
      <c r="E2777">
        <v>202602</v>
      </c>
      <c r="F2777" t="s">
        <v>171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1</v>
      </c>
      <c r="AM2777">
        <v>0</v>
      </c>
      <c r="AN2777">
        <v>1</v>
      </c>
    </row>
    <row r="2778" spans="1:40" x14ac:dyDescent="0.3">
      <c r="A2778" t="s">
        <v>605</v>
      </c>
      <c r="B2778" t="s">
        <v>9</v>
      </c>
      <c r="C2778" t="s">
        <v>10</v>
      </c>
      <c r="D2778" t="s">
        <v>11</v>
      </c>
      <c r="E2778">
        <v>202602</v>
      </c>
      <c r="F2778" t="s">
        <v>606</v>
      </c>
      <c r="G2778">
        <v>0</v>
      </c>
      <c r="H2778">
        <v>6</v>
      </c>
      <c r="I2778">
        <v>2</v>
      </c>
      <c r="J2778">
        <v>1</v>
      </c>
      <c r="K2778">
        <v>2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2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15</v>
      </c>
      <c r="AM2778">
        <v>0.66666666666666663</v>
      </c>
      <c r="AN2778">
        <v>18.359337245426122</v>
      </c>
    </row>
    <row r="2779" spans="1:40" x14ac:dyDescent="0.3">
      <c r="A2779" t="s">
        <v>605</v>
      </c>
      <c r="B2779" t="s">
        <v>9</v>
      </c>
      <c r="C2779" t="s">
        <v>10</v>
      </c>
      <c r="D2779" t="s">
        <v>14</v>
      </c>
      <c r="E2779">
        <v>202602</v>
      </c>
      <c r="F2779" t="s">
        <v>606</v>
      </c>
      <c r="G2779">
        <v>0</v>
      </c>
      <c r="H2779">
        <v>1</v>
      </c>
      <c r="I2779">
        <v>2</v>
      </c>
      <c r="J2779">
        <v>1</v>
      </c>
      <c r="K2779">
        <v>1</v>
      </c>
      <c r="L2779">
        <v>0</v>
      </c>
      <c r="M2779">
        <v>0</v>
      </c>
      <c r="N2779">
        <v>0</v>
      </c>
      <c r="O2779">
        <v>1</v>
      </c>
      <c r="P2779">
        <v>2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3</v>
      </c>
      <c r="Y2779">
        <v>1</v>
      </c>
      <c r="Z2779">
        <v>0</v>
      </c>
      <c r="AA2779">
        <v>0</v>
      </c>
      <c r="AB2779">
        <v>0</v>
      </c>
      <c r="AC2779">
        <v>3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16</v>
      </c>
      <c r="AM2779">
        <v>1.3333333333333333</v>
      </c>
      <c r="AN2779">
        <v>21.736965711601002</v>
      </c>
    </row>
    <row r="2780" spans="1:40" x14ac:dyDescent="0.3">
      <c r="A2780" t="s">
        <v>605</v>
      </c>
      <c r="B2780" t="s">
        <v>9</v>
      </c>
      <c r="C2780" t="s">
        <v>16</v>
      </c>
      <c r="D2780" t="s">
        <v>11</v>
      </c>
      <c r="E2780">
        <v>202602</v>
      </c>
      <c r="F2780" t="s">
        <v>606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1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3</v>
      </c>
      <c r="AM2780">
        <v>0</v>
      </c>
      <c r="AN2780">
        <v>3</v>
      </c>
    </row>
    <row r="2781" spans="1:40" x14ac:dyDescent="0.3">
      <c r="A2781" t="s">
        <v>605</v>
      </c>
      <c r="B2781" t="s">
        <v>9</v>
      </c>
      <c r="C2781" t="s">
        <v>16</v>
      </c>
      <c r="D2781" t="s">
        <v>14</v>
      </c>
      <c r="E2781">
        <v>202602</v>
      </c>
      <c r="F2781" t="s">
        <v>606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3</v>
      </c>
      <c r="AM2781">
        <v>0.33333333333333331</v>
      </c>
      <c r="AN2781">
        <v>4.4342414279002504</v>
      </c>
    </row>
    <row r="2782" spans="1:40" x14ac:dyDescent="0.3">
      <c r="A2782" t="s">
        <v>605</v>
      </c>
      <c r="B2782" t="s">
        <v>17</v>
      </c>
      <c r="C2782" t="s">
        <v>10</v>
      </c>
      <c r="D2782" t="s">
        <v>11</v>
      </c>
      <c r="E2782">
        <v>202602</v>
      </c>
      <c r="F2782" t="s">
        <v>18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2</v>
      </c>
      <c r="AM2782">
        <v>0</v>
      </c>
      <c r="AN2782">
        <v>2</v>
      </c>
    </row>
    <row r="2783" spans="1:40" x14ac:dyDescent="0.3">
      <c r="A2783" t="s">
        <v>605</v>
      </c>
      <c r="B2783" t="s">
        <v>17</v>
      </c>
      <c r="C2783" t="s">
        <v>10</v>
      </c>
      <c r="D2783" t="s">
        <v>11</v>
      </c>
      <c r="E2783">
        <v>202602</v>
      </c>
      <c r="F2783" t="s">
        <v>607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2</v>
      </c>
      <c r="AM2783">
        <v>0</v>
      </c>
      <c r="AN2783">
        <v>2</v>
      </c>
    </row>
    <row r="2784" spans="1:40" x14ac:dyDescent="0.3">
      <c r="A2784" t="s">
        <v>605</v>
      </c>
      <c r="B2784" t="s">
        <v>17</v>
      </c>
      <c r="C2784" t="s">
        <v>10</v>
      </c>
      <c r="D2784" t="s">
        <v>11</v>
      </c>
      <c r="E2784">
        <v>202602</v>
      </c>
      <c r="F2784" t="s">
        <v>608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2</v>
      </c>
      <c r="AM2784">
        <v>0</v>
      </c>
      <c r="AN2784">
        <v>2</v>
      </c>
    </row>
    <row r="2785" spans="1:40" x14ac:dyDescent="0.3">
      <c r="A2785" t="s">
        <v>605</v>
      </c>
      <c r="B2785" t="s">
        <v>17</v>
      </c>
      <c r="C2785" t="s">
        <v>10</v>
      </c>
      <c r="D2785" t="s">
        <v>11</v>
      </c>
      <c r="E2785">
        <v>202602</v>
      </c>
      <c r="F2785" t="s">
        <v>609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2</v>
      </c>
      <c r="AM2785">
        <v>0</v>
      </c>
      <c r="AN2785">
        <v>2</v>
      </c>
    </row>
    <row r="2786" spans="1:40" x14ac:dyDescent="0.3">
      <c r="A2786" t="s">
        <v>605</v>
      </c>
      <c r="B2786" t="s">
        <v>17</v>
      </c>
      <c r="C2786" t="s">
        <v>10</v>
      </c>
      <c r="D2786" t="s">
        <v>11</v>
      </c>
      <c r="E2786">
        <v>202602</v>
      </c>
      <c r="F2786" t="s">
        <v>610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2</v>
      </c>
      <c r="AM2786">
        <v>0.33333333333333331</v>
      </c>
      <c r="AN2786">
        <v>3.6796686227130611</v>
      </c>
    </row>
    <row r="2787" spans="1:40" x14ac:dyDescent="0.3">
      <c r="A2787" t="s">
        <v>605</v>
      </c>
      <c r="B2787" t="s">
        <v>17</v>
      </c>
      <c r="C2787" t="s">
        <v>10</v>
      </c>
      <c r="D2787" t="s">
        <v>11</v>
      </c>
      <c r="E2787">
        <v>202602</v>
      </c>
      <c r="F2787" t="s">
        <v>738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1</v>
      </c>
      <c r="AM2787">
        <v>0.33333333333333331</v>
      </c>
      <c r="AN2787">
        <v>2.6796686227130611</v>
      </c>
    </row>
    <row r="2788" spans="1:40" x14ac:dyDescent="0.3">
      <c r="A2788" t="s">
        <v>605</v>
      </c>
      <c r="B2788" t="s">
        <v>17</v>
      </c>
      <c r="C2788" t="s">
        <v>10</v>
      </c>
      <c r="D2788" t="s">
        <v>11</v>
      </c>
      <c r="E2788">
        <v>202602</v>
      </c>
      <c r="F2788" t="s">
        <v>611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2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4</v>
      </c>
      <c r="AM2788">
        <v>0.33333333333333331</v>
      </c>
      <c r="AN2788">
        <v>5.6796686227130611</v>
      </c>
    </row>
    <row r="2789" spans="1:40" x14ac:dyDescent="0.3">
      <c r="A2789" t="s">
        <v>605</v>
      </c>
      <c r="B2789" t="s">
        <v>17</v>
      </c>
      <c r="C2789" t="s">
        <v>10</v>
      </c>
      <c r="D2789" t="s">
        <v>11</v>
      </c>
      <c r="E2789">
        <v>202602</v>
      </c>
      <c r="F2789" t="s">
        <v>612</v>
      </c>
      <c r="G2789">
        <v>0</v>
      </c>
      <c r="H2789">
        <v>0</v>
      </c>
      <c r="I2789">
        <v>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2</v>
      </c>
      <c r="AM2789">
        <v>0</v>
      </c>
      <c r="AN2789">
        <v>2</v>
      </c>
    </row>
    <row r="2790" spans="1:40" x14ac:dyDescent="0.3">
      <c r="A2790" t="s">
        <v>605</v>
      </c>
      <c r="B2790" t="s">
        <v>17</v>
      </c>
      <c r="C2790" t="s">
        <v>10</v>
      </c>
      <c r="D2790" t="s">
        <v>11</v>
      </c>
      <c r="E2790">
        <v>202602</v>
      </c>
      <c r="F2790" t="s">
        <v>613</v>
      </c>
      <c r="G2790">
        <v>0</v>
      </c>
      <c r="H2790">
        <v>0</v>
      </c>
      <c r="I2790">
        <v>0</v>
      </c>
      <c r="J2790">
        <v>1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2</v>
      </c>
      <c r="AM2790">
        <v>0</v>
      </c>
      <c r="AN2790">
        <v>2</v>
      </c>
    </row>
    <row r="2791" spans="1:40" x14ac:dyDescent="0.3">
      <c r="A2791" t="s">
        <v>605</v>
      </c>
      <c r="B2791" t="s">
        <v>17</v>
      </c>
      <c r="C2791" t="s">
        <v>10</v>
      </c>
      <c r="D2791" t="s">
        <v>11</v>
      </c>
      <c r="E2791">
        <v>202602</v>
      </c>
      <c r="F2791" t="s">
        <v>614</v>
      </c>
      <c r="G2791">
        <v>0</v>
      </c>
      <c r="H2791">
        <v>1</v>
      </c>
      <c r="I2791">
        <v>0</v>
      </c>
      <c r="J2791">
        <v>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2</v>
      </c>
      <c r="AM2791">
        <v>0</v>
      </c>
      <c r="AN2791">
        <v>2</v>
      </c>
    </row>
    <row r="2792" spans="1:40" x14ac:dyDescent="0.3">
      <c r="A2792" t="s">
        <v>605</v>
      </c>
      <c r="B2792" t="s">
        <v>17</v>
      </c>
      <c r="C2792" t="s">
        <v>10</v>
      </c>
      <c r="D2792" t="s">
        <v>11</v>
      </c>
      <c r="E2792">
        <v>202602</v>
      </c>
      <c r="F2792" t="s">
        <v>616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0</v>
      </c>
      <c r="AB2792">
        <v>0</v>
      </c>
      <c r="AC2792">
        <v>1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4</v>
      </c>
      <c r="AM2792">
        <v>0.66666666666666663</v>
      </c>
      <c r="AN2792">
        <v>7.3593372454261221</v>
      </c>
    </row>
    <row r="2793" spans="1:40" x14ac:dyDescent="0.3">
      <c r="A2793" t="s">
        <v>605</v>
      </c>
      <c r="B2793" t="s">
        <v>17</v>
      </c>
      <c r="C2793" t="s">
        <v>10</v>
      </c>
      <c r="D2793" t="s">
        <v>14</v>
      </c>
      <c r="E2793">
        <v>202602</v>
      </c>
      <c r="F2793" t="s">
        <v>42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2</v>
      </c>
      <c r="AM2793">
        <v>0.33333333333333331</v>
      </c>
      <c r="AN2793">
        <v>3.43424142790025</v>
      </c>
    </row>
    <row r="2794" spans="1:40" x14ac:dyDescent="0.3">
      <c r="A2794" t="s">
        <v>605</v>
      </c>
      <c r="B2794" t="s">
        <v>17</v>
      </c>
      <c r="C2794" t="s">
        <v>10</v>
      </c>
      <c r="D2794" t="s">
        <v>14</v>
      </c>
      <c r="E2794">
        <v>202602</v>
      </c>
      <c r="F2794" t="s">
        <v>18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1</v>
      </c>
      <c r="Y2794">
        <v>0</v>
      </c>
      <c r="Z2794">
        <v>1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4</v>
      </c>
      <c r="AM2794">
        <v>0.33333333333333331</v>
      </c>
      <c r="AN2794">
        <v>5.4342414279002504</v>
      </c>
    </row>
    <row r="2795" spans="1:40" x14ac:dyDescent="0.3">
      <c r="A2795" t="s">
        <v>605</v>
      </c>
      <c r="B2795" t="s">
        <v>17</v>
      </c>
      <c r="C2795" t="s">
        <v>10</v>
      </c>
      <c r="D2795" t="s">
        <v>14</v>
      </c>
      <c r="E2795">
        <v>202602</v>
      </c>
      <c r="F2795" t="s">
        <v>607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3</v>
      </c>
      <c r="AM2795">
        <v>0.66666666666666663</v>
      </c>
      <c r="AN2795">
        <v>5.8684828558005</v>
      </c>
    </row>
    <row r="2796" spans="1:40" x14ac:dyDescent="0.3">
      <c r="A2796" t="s">
        <v>605</v>
      </c>
      <c r="B2796" t="s">
        <v>17</v>
      </c>
      <c r="C2796" t="s">
        <v>10</v>
      </c>
      <c r="D2796" t="s">
        <v>14</v>
      </c>
      <c r="E2796">
        <v>202602</v>
      </c>
      <c r="F2796" t="s">
        <v>608</v>
      </c>
      <c r="G2796">
        <v>1</v>
      </c>
      <c r="H2796">
        <v>0</v>
      </c>
      <c r="I2796">
        <v>0</v>
      </c>
      <c r="J2796">
        <v>0</v>
      </c>
      <c r="K2796">
        <v>1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3</v>
      </c>
      <c r="AM2796">
        <v>0</v>
      </c>
      <c r="AN2796">
        <v>3</v>
      </c>
    </row>
    <row r="2797" spans="1:40" x14ac:dyDescent="0.3">
      <c r="A2797" t="s">
        <v>605</v>
      </c>
      <c r="B2797" t="s">
        <v>17</v>
      </c>
      <c r="C2797" t="s">
        <v>10</v>
      </c>
      <c r="D2797" t="s">
        <v>14</v>
      </c>
      <c r="E2797">
        <v>202602</v>
      </c>
      <c r="F2797" t="s">
        <v>609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2</v>
      </c>
      <c r="AM2797">
        <v>0.33333333333333331</v>
      </c>
      <c r="AN2797">
        <v>3.43424142790025</v>
      </c>
    </row>
    <row r="2798" spans="1:40" x14ac:dyDescent="0.3">
      <c r="A2798" t="s">
        <v>605</v>
      </c>
      <c r="B2798" t="s">
        <v>17</v>
      </c>
      <c r="C2798" t="s">
        <v>10</v>
      </c>
      <c r="D2798" t="s">
        <v>14</v>
      </c>
      <c r="E2798">
        <v>202602</v>
      </c>
      <c r="F2798" t="s">
        <v>610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1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1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5</v>
      </c>
      <c r="AM2798">
        <v>0.66666666666666663</v>
      </c>
      <c r="AN2798">
        <v>7.8684828558005</v>
      </c>
    </row>
    <row r="2799" spans="1:40" x14ac:dyDescent="0.3">
      <c r="A2799" t="s">
        <v>605</v>
      </c>
      <c r="B2799" t="s">
        <v>17</v>
      </c>
      <c r="C2799" t="s">
        <v>10</v>
      </c>
      <c r="D2799" t="s">
        <v>14</v>
      </c>
      <c r="E2799">
        <v>202602</v>
      </c>
      <c r="F2799" t="s">
        <v>738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2</v>
      </c>
      <c r="AM2799">
        <v>0.33333333333333331</v>
      </c>
      <c r="AN2799">
        <v>3.43424142790025</v>
      </c>
    </row>
    <row r="2800" spans="1:40" x14ac:dyDescent="0.3">
      <c r="A2800" t="s">
        <v>605</v>
      </c>
      <c r="B2800" t="s">
        <v>17</v>
      </c>
      <c r="C2800" t="s">
        <v>10</v>
      </c>
      <c r="D2800" t="s">
        <v>14</v>
      </c>
      <c r="E2800">
        <v>202602</v>
      </c>
      <c r="F2800" t="s">
        <v>611</v>
      </c>
      <c r="G2800">
        <v>0</v>
      </c>
      <c r="H2800">
        <v>1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4</v>
      </c>
      <c r="AM2800">
        <v>0</v>
      </c>
      <c r="AN2800">
        <v>4</v>
      </c>
    </row>
    <row r="2801" spans="1:40" x14ac:dyDescent="0.3">
      <c r="A2801" t="s">
        <v>605</v>
      </c>
      <c r="B2801" t="s">
        <v>17</v>
      </c>
      <c r="C2801" t="s">
        <v>10</v>
      </c>
      <c r="D2801" t="s">
        <v>14</v>
      </c>
      <c r="E2801">
        <v>202602</v>
      </c>
      <c r="F2801" t="s">
        <v>615</v>
      </c>
      <c r="G2801">
        <v>0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1</v>
      </c>
      <c r="AM2801">
        <v>0</v>
      </c>
      <c r="AN2801">
        <v>1</v>
      </c>
    </row>
    <row r="2802" spans="1:40" x14ac:dyDescent="0.3">
      <c r="A2802" t="s">
        <v>605</v>
      </c>
      <c r="B2802" t="s">
        <v>17</v>
      </c>
      <c r="C2802" t="s">
        <v>10</v>
      </c>
      <c r="D2802" t="s">
        <v>14</v>
      </c>
      <c r="E2802">
        <v>202602</v>
      </c>
      <c r="F2802" t="s">
        <v>612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0</v>
      </c>
      <c r="AN2802">
        <v>1</v>
      </c>
    </row>
    <row r="2803" spans="1:40" x14ac:dyDescent="0.3">
      <c r="A2803" t="s">
        <v>605</v>
      </c>
      <c r="B2803" t="s">
        <v>17</v>
      </c>
      <c r="C2803" t="s">
        <v>10</v>
      </c>
      <c r="D2803" t="s">
        <v>14</v>
      </c>
      <c r="E2803">
        <v>202602</v>
      </c>
      <c r="F2803" t="s">
        <v>613</v>
      </c>
      <c r="G2803">
        <v>0</v>
      </c>
      <c r="H2803">
        <v>1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3</v>
      </c>
      <c r="AM2803">
        <v>0</v>
      </c>
      <c r="AN2803">
        <v>3</v>
      </c>
    </row>
    <row r="2804" spans="1:40" x14ac:dyDescent="0.3">
      <c r="A2804" t="s">
        <v>605</v>
      </c>
      <c r="B2804" t="s">
        <v>17</v>
      </c>
      <c r="C2804" t="s">
        <v>10</v>
      </c>
      <c r="D2804" t="s">
        <v>14</v>
      </c>
      <c r="E2804">
        <v>202602</v>
      </c>
      <c r="F2804" t="s">
        <v>614</v>
      </c>
      <c r="G2804">
        <v>1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2</v>
      </c>
      <c r="AM2804">
        <v>0</v>
      </c>
      <c r="AN2804">
        <v>2</v>
      </c>
    </row>
    <row r="2805" spans="1:40" x14ac:dyDescent="0.3">
      <c r="A2805" t="s">
        <v>605</v>
      </c>
      <c r="B2805" t="s">
        <v>17</v>
      </c>
      <c r="C2805" t="s">
        <v>10</v>
      </c>
      <c r="D2805" t="s">
        <v>14</v>
      </c>
      <c r="E2805">
        <v>202602</v>
      </c>
      <c r="F2805" t="s">
        <v>616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1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5</v>
      </c>
      <c r="AM2805">
        <v>0.33333333333333331</v>
      </c>
      <c r="AN2805">
        <v>6.4342414279002504</v>
      </c>
    </row>
    <row r="2806" spans="1:40" x14ac:dyDescent="0.3">
      <c r="A2806" t="s">
        <v>605</v>
      </c>
      <c r="B2806" t="s">
        <v>17</v>
      </c>
      <c r="C2806" t="s">
        <v>16</v>
      </c>
      <c r="D2806" t="s">
        <v>11</v>
      </c>
      <c r="E2806">
        <v>202602</v>
      </c>
      <c r="F2806" t="s">
        <v>609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1</v>
      </c>
      <c r="AM2806">
        <v>0</v>
      </c>
      <c r="AN2806">
        <v>1</v>
      </c>
    </row>
    <row r="2807" spans="1:40" x14ac:dyDescent="0.3">
      <c r="A2807" t="s">
        <v>605</v>
      </c>
      <c r="B2807" t="s">
        <v>17</v>
      </c>
      <c r="C2807" t="s">
        <v>16</v>
      </c>
      <c r="D2807" t="s">
        <v>14</v>
      </c>
      <c r="E2807">
        <v>202602</v>
      </c>
      <c r="F2807" t="s">
        <v>609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2</v>
      </c>
      <c r="AM2807">
        <v>0</v>
      </c>
      <c r="AN2807">
        <v>2</v>
      </c>
    </row>
    <row r="2808" spans="1:40" x14ac:dyDescent="0.3">
      <c r="A2808" t="s">
        <v>605</v>
      </c>
      <c r="B2808" t="s">
        <v>17</v>
      </c>
      <c r="C2808" t="s">
        <v>16</v>
      </c>
      <c r="D2808" t="s">
        <v>14</v>
      </c>
      <c r="E2808">
        <v>202602</v>
      </c>
      <c r="F2808" t="s">
        <v>610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2</v>
      </c>
      <c r="AM2808">
        <v>0</v>
      </c>
      <c r="AN2808">
        <v>2</v>
      </c>
    </row>
    <row r="2809" spans="1:40" x14ac:dyDescent="0.3">
      <c r="A2809" t="s">
        <v>605</v>
      </c>
      <c r="B2809" t="s">
        <v>49</v>
      </c>
      <c r="C2809" t="s">
        <v>16</v>
      </c>
      <c r="D2809" t="s">
        <v>11</v>
      </c>
      <c r="E2809">
        <v>202602</v>
      </c>
      <c r="F2809" t="s">
        <v>50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1</v>
      </c>
      <c r="AM2809">
        <v>0</v>
      </c>
      <c r="AN2809">
        <v>1</v>
      </c>
    </row>
    <row r="2810" spans="1:40" x14ac:dyDescent="0.3">
      <c r="A2810" t="s">
        <v>605</v>
      </c>
      <c r="B2810" t="s">
        <v>49</v>
      </c>
      <c r="C2810" t="s">
        <v>16</v>
      </c>
      <c r="D2810" t="s">
        <v>14</v>
      </c>
      <c r="E2810">
        <v>202602</v>
      </c>
      <c r="F2810" t="s">
        <v>50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2</v>
      </c>
      <c r="AM2810">
        <v>0</v>
      </c>
      <c r="AN2810">
        <v>2</v>
      </c>
    </row>
    <row r="2811" spans="1:40" x14ac:dyDescent="0.3">
      <c r="A2811" t="s">
        <v>605</v>
      </c>
      <c r="B2811" t="s">
        <v>54</v>
      </c>
      <c r="C2811" t="s">
        <v>10</v>
      </c>
      <c r="D2811" t="s">
        <v>11</v>
      </c>
      <c r="E2811">
        <v>202602</v>
      </c>
      <c r="F2811" t="s">
        <v>55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2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3</v>
      </c>
      <c r="AM2811">
        <v>0.66666666666666663</v>
      </c>
      <c r="AN2811">
        <v>6.3593372454261221</v>
      </c>
    </row>
    <row r="2812" spans="1:40" x14ac:dyDescent="0.3">
      <c r="A2812" t="s">
        <v>605</v>
      </c>
      <c r="B2812" t="s">
        <v>54</v>
      </c>
      <c r="C2812" t="s">
        <v>10</v>
      </c>
      <c r="D2812" t="s">
        <v>11</v>
      </c>
      <c r="E2812">
        <v>202602</v>
      </c>
      <c r="F2812" t="s">
        <v>56</v>
      </c>
      <c r="G2812">
        <v>0</v>
      </c>
      <c r="H2812">
        <v>1</v>
      </c>
      <c r="I2812">
        <v>1</v>
      </c>
      <c r="J2812">
        <v>0</v>
      </c>
      <c r="K2812">
        <v>1</v>
      </c>
      <c r="L2812">
        <v>0</v>
      </c>
      <c r="M2812">
        <v>0</v>
      </c>
      <c r="N2812">
        <v>0</v>
      </c>
      <c r="O2812">
        <v>1</v>
      </c>
      <c r="P2812">
        <v>3</v>
      </c>
      <c r="Q2812">
        <v>1</v>
      </c>
      <c r="R2812">
        <v>2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2</v>
      </c>
      <c r="AA2812">
        <v>2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15</v>
      </c>
      <c r="AM2812">
        <v>0.66666666666666663</v>
      </c>
      <c r="AN2812">
        <v>18.359337245426122</v>
      </c>
    </row>
    <row r="2813" spans="1:40" x14ac:dyDescent="0.3">
      <c r="A2813" t="s">
        <v>605</v>
      </c>
      <c r="B2813" t="s">
        <v>54</v>
      </c>
      <c r="C2813" t="s">
        <v>10</v>
      </c>
      <c r="D2813" t="s">
        <v>11</v>
      </c>
      <c r="E2813">
        <v>202602</v>
      </c>
      <c r="F2813" t="s">
        <v>57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1</v>
      </c>
      <c r="AM2813">
        <v>0</v>
      </c>
      <c r="AN2813">
        <v>1</v>
      </c>
    </row>
    <row r="2814" spans="1:40" x14ac:dyDescent="0.3">
      <c r="A2814" t="s">
        <v>605</v>
      </c>
      <c r="B2814" t="s">
        <v>54</v>
      </c>
      <c r="C2814" t="s">
        <v>10</v>
      </c>
      <c r="D2814" t="s">
        <v>11</v>
      </c>
      <c r="E2814">
        <v>202602</v>
      </c>
      <c r="F2814" t="s">
        <v>58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2</v>
      </c>
      <c r="AM2814">
        <v>0.33333333333333331</v>
      </c>
      <c r="AN2814">
        <v>3.6796686227130611</v>
      </c>
    </row>
    <row r="2815" spans="1:40" x14ac:dyDescent="0.3">
      <c r="A2815" t="s">
        <v>605</v>
      </c>
      <c r="B2815" t="s">
        <v>54</v>
      </c>
      <c r="C2815" t="s">
        <v>10</v>
      </c>
      <c r="D2815" t="s">
        <v>14</v>
      </c>
      <c r="E2815">
        <v>202602</v>
      </c>
      <c r="F2815" t="s">
        <v>55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4</v>
      </c>
      <c r="AM2815">
        <v>0.33333333333333331</v>
      </c>
      <c r="AN2815">
        <v>5.4342414279002504</v>
      </c>
    </row>
    <row r="2816" spans="1:40" x14ac:dyDescent="0.3">
      <c r="A2816" t="s">
        <v>605</v>
      </c>
      <c r="B2816" t="s">
        <v>54</v>
      </c>
      <c r="C2816" t="s">
        <v>10</v>
      </c>
      <c r="D2816" t="s">
        <v>14</v>
      </c>
      <c r="E2816">
        <v>202602</v>
      </c>
      <c r="F2816" t="s">
        <v>56</v>
      </c>
      <c r="G2816">
        <v>0</v>
      </c>
      <c r="H2816">
        <v>3</v>
      </c>
      <c r="I2816">
        <v>3</v>
      </c>
      <c r="J2816">
        <v>2</v>
      </c>
      <c r="K2816">
        <v>2</v>
      </c>
      <c r="L2816">
        <v>0</v>
      </c>
      <c r="M2816">
        <v>1</v>
      </c>
      <c r="N2816">
        <v>0</v>
      </c>
      <c r="O2816">
        <v>7</v>
      </c>
      <c r="P2816">
        <v>2</v>
      </c>
      <c r="Q2816">
        <v>2</v>
      </c>
      <c r="R2816">
        <v>1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2</v>
      </c>
      <c r="Y2816">
        <v>1</v>
      </c>
      <c r="Z2816">
        <v>1</v>
      </c>
      <c r="AA2816">
        <v>1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29</v>
      </c>
      <c r="AM2816">
        <v>0.66666666666666663</v>
      </c>
      <c r="AN2816">
        <v>31.868482855800501</v>
      </c>
    </row>
    <row r="2817" spans="1:40" x14ac:dyDescent="0.3">
      <c r="A2817" t="s">
        <v>605</v>
      </c>
      <c r="B2817" t="s">
        <v>54</v>
      </c>
      <c r="C2817" t="s">
        <v>10</v>
      </c>
      <c r="D2817" t="s">
        <v>14</v>
      </c>
      <c r="E2817">
        <v>202602</v>
      </c>
      <c r="F2817" t="s">
        <v>57</v>
      </c>
      <c r="G2817">
        <v>0</v>
      </c>
      <c r="H2817">
        <v>2</v>
      </c>
      <c r="I2817">
        <v>1</v>
      </c>
      <c r="J2817">
        <v>0</v>
      </c>
      <c r="K2817">
        <v>1</v>
      </c>
      <c r="L2817">
        <v>1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6</v>
      </c>
      <c r="AM2817">
        <v>0</v>
      </c>
      <c r="AN2817">
        <v>6</v>
      </c>
    </row>
    <row r="2818" spans="1:40" x14ac:dyDescent="0.3">
      <c r="A2818" t="s">
        <v>605</v>
      </c>
      <c r="B2818" t="s">
        <v>54</v>
      </c>
      <c r="C2818" t="s">
        <v>10</v>
      </c>
      <c r="D2818" t="s">
        <v>14</v>
      </c>
      <c r="E2818">
        <v>202602</v>
      </c>
      <c r="F2818" t="s">
        <v>58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2</v>
      </c>
      <c r="AM2818">
        <v>0</v>
      </c>
      <c r="AN2818">
        <v>2</v>
      </c>
    </row>
    <row r="2819" spans="1:40" x14ac:dyDescent="0.3">
      <c r="A2819" t="s">
        <v>605</v>
      </c>
      <c r="B2819" t="s">
        <v>54</v>
      </c>
      <c r="C2819" t="s">
        <v>16</v>
      </c>
      <c r="D2819" t="s">
        <v>11</v>
      </c>
      <c r="E2819">
        <v>202602</v>
      </c>
      <c r="F2819" t="s">
        <v>55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2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2</v>
      </c>
      <c r="AM2819">
        <v>0.66666666666666663</v>
      </c>
      <c r="AN2819">
        <v>5.3593372454261221</v>
      </c>
    </row>
    <row r="2820" spans="1:40" x14ac:dyDescent="0.3">
      <c r="A2820" t="s">
        <v>605</v>
      </c>
      <c r="B2820" t="s">
        <v>54</v>
      </c>
      <c r="C2820" t="s">
        <v>16</v>
      </c>
      <c r="D2820" t="s">
        <v>14</v>
      </c>
      <c r="E2820">
        <v>202602</v>
      </c>
      <c r="F2820" t="s">
        <v>55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2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2</v>
      </c>
      <c r="AM2820">
        <v>0</v>
      </c>
      <c r="AN2820">
        <v>2</v>
      </c>
    </row>
    <row r="2821" spans="1:40" x14ac:dyDescent="0.3">
      <c r="A2821" t="s">
        <v>605</v>
      </c>
      <c r="B2821" t="s">
        <v>59</v>
      </c>
      <c r="C2821" t="s">
        <v>10</v>
      </c>
      <c r="D2821" t="s">
        <v>11</v>
      </c>
      <c r="E2821">
        <v>202602</v>
      </c>
      <c r="F2821" t="s">
        <v>204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4</v>
      </c>
      <c r="AM2821">
        <v>0.33333333333333331</v>
      </c>
      <c r="AN2821">
        <v>5.6796686227130611</v>
      </c>
    </row>
    <row r="2822" spans="1:40" x14ac:dyDescent="0.3">
      <c r="A2822" t="s">
        <v>605</v>
      </c>
      <c r="B2822" t="s">
        <v>59</v>
      </c>
      <c r="C2822" t="s">
        <v>10</v>
      </c>
      <c r="D2822" t="s">
        <v>11</v>
      </c>
      <c r="E2822">
        <v>202602</v>
      </c>
      <c r="F2822" t="s">
        <v>61</v>
      </c>
      <c r="G2822">
        <v>0</v>
      </c>
      <c r="H2822">
        <v>1</v>
      </c>
      <c r="I2822">
        <v>2</v>
      </c>
      <c r="J2822">
        <v>1</v>
      </c>
      <c r="K2822">
        <v>1</v>
      </c>
      <c r="L2822">
        <v>1</v>
      </c>
      <c r="M2822">
        <v>1</v>
      </c>
      <c r="N2822">
        <v>0</v>
      </c>
      <c r="O2822">
        <v>1</v>
      </c>
      <c r="P2822">
        <v>0</v>
      </c>
      <c r="Q2822">
        <v>4</v>
      </c>
      <c r="R2822">
        <v>2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1</v>
      </c>
      <c r="AA2822">
        <v>0</v>
      </c>
      <c r="AB2822">
        <v>0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17</v>
      </c>
      <c r="AM2822">
        <v>0.66666666666666663</v>
      </c>
      <c r="AN2822">
        <v>20.359337245426122</v>
      </c>
    </row>
    <row r="2823" spans="1:40" x14ac:dyDescent="0.3">
      <c r="A2823" t="s">
        <v>605</v>
      </c>
      <c r="B2823" t="s">
        <v>59</v>
      </c>
      <c r="C2823" t="s">
        <v>10</v>
      </c>
      <c r="D2823" t="s">
        <v>11</v>
      </c>
      <c r="E2823">
        <v>202602</v>
      </c>
      <c r="F2823" t="s">
        <v>63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1</v>
      </c>
      <c r="AM2823">
        <v>0</v>
      </c>
      <c r="AN2823">
        <v>1</v>
      </c>
    </row>
    <row r="2824" spans="1:40" x14ac:dyDescent="0.3">
      <c r="A2824" t="s">
        <v>605</v>
      </c>
      <c r="B2824" t="s">
        <v>59</v>
      </c>
      <c r="C2824" t="s">
        <v>10</v>
      </c>
      <c r="D2824" t="s">
        <v>11</v>
      </c>
      <c r="E2824">
        <v>202602</v>
      </c>
      <c r="F2824" t="s">
        <v>586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1</v>
      </c>
      <c r="AM2824">
        <v>0</v>
      </c>
      <c r="AN2824">
        <v>1</v>
      </c>
    </row>
    <row r="2825" spans="1:40" x14ac:dyDescent="0.3">
      <c r="A2825" t="s">
        <v>605</v>
      </c>
      <c r="B2825" t="s">
        <v>59</v>
      </c>
      <c r="C2825" t="s">
        <v>10</v>
      </c>
      <c r="D2825" t="s">
        <v>11</v>
      </c>
      <c r="E2825">
        <v>202602</v>
      </c>
      <c r="F2825" t="s">
        <v>414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1</v>
      </c>
      <c r="AM2825">
        <v>0</v>
      </c>
      <c r="AN2825">
        <v>1</v>
      </c>
    </row>
    <row r="2826" spans="1:40" x14ac:dyDescent="0.3">
      <c r="A2826" t="s">
        <v>605</v>
      </c>
      <c r="B2826" t="s">
        <v>59</v>
      </c>
      <c r="C2826" t="s">
        <v>10</v>
      </c>
      <c r="D2826" t="s">
        <v>11</v>
      </c>
      <c r="E2826">
        <v>202602</v>
      </c>
      <c r="F2826" t="s">
        <v>69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</v>
      </c>
      <c r="N2826">
        <v>0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  <c r="Z2826">
        <v>2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6</v>
      </c>
      <c r="AM2826">
        <v>1</v>
      </c>
      <c r="AN2826">
        <v>11.039005868139181</v>
      </c>
    </row>
    <row r="2827" spans="1:40" x14ac:dyDescent="0.3">
      <c r="A2827" t="s">
        <v>605</v>
      </c>
      <c r="B2827" t="s">
        <v>59</v>
      </c>
      <c r="C2827" t="s">
        <v>10</v>
      </c>
      <c r="D2827" t="s">
        <v>11</v>
      </c>
      <c r="E2827">
        <v>202602</v>
      </c>
      <c r="F2827" t="s">
        <v>617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1</v>
      </c>
      <c r="AA2827">
        <v>1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4</v>
      </c>
      <c r="AM2827">
        <v>0.33333333333333331</v>
      </c>
      <c r="AN2827">
        <v>5.6796686227130611</v>
      </c>
    </row>
    <row r="2828" spans="1:40" x14ac:dyDescent="0.3">
      <c r="A2828" t="s">
        <v>605</v>
      </c>
      <c r="B2828" t="s">
        <v>59</v>
      </c>
      <c r="C2828" t="s">
        <v>10</v>
      </c>
      <c r="D2828" t="s">
        <v>11</v>
      </c>
      <c r="E2828">
        <v>202602</v>
      </c>
      <c r="F2828" t="s">
        <v>618</v>
      </c>
      <c r="G2828">
        <v>0</v>
      </c>
      <c r="H2828">
        <v>1</v>
      </c>
      <c r="I2828">
        <v>3</v>
      </c>
      <c r="J2828">
        <v>1</v>
      </c>
      <c r="K2828">
        <v>1</v>
      </c>
      <c r="L2828">
        <v>4</v>
      </c>
      <c r="M2828">
        <v>0</v>
      </c>
      <c r="N2828">
        <v>0</v>
      </c>
      <c r="O2828">
        <v>0</v>
      </c>
      <c r="P2828">
        <v>1</v>
      </c>
      <c r="Q2828">
        <v>2</v>
      </c>
      <c r="R2828">
        <v>0</v>
      </c>
      <c r="S2828">
        <v>2</v>
      </c>
      <c r="T2828">
        <v>2</v>
      </c>
      <c r="U2828">
        <v>0</v>
      </c>
      <c r="V2828">
        <v>0</v>
      </c>
      <c r="W2828">
        <v>0</v>
      </c>
      <c r="X2828">
        <v>0</v>
      </c>
      <c r="Y2828">
        <v>3</v>
      </c>
      <c r="Z2828">
        <v>0</v>
      </c>
      <c r="AA2828">
        <v>1</v>
      </c>
      <c r="AB2828">
        <v>0</v>
      </c>
      <c r="AC2828">
        <v>2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23</v>
      </c>
      <c r="AM2828">
        <v>1.6666666666666667</v>
      </c>
      <c r="AN2828">
        <v>31.398343113565303</v>
      </c>
    </row>
    <row r="2829" spans="1:40" x14ac:dyDescent="0.3">
      <c r="A2829" t="s">
        <v>605</v>
      </c>
      <c r="B2829" t="s">
        <v>59</v>
      </c>
      <c r="C2829" t="s">
        <v>10</v>
      </c>
      <c r="D2829" t="s">
        <v>11</v>
      </c>
      <c r="E2829">
        <v>202602</v>
      </c>
      <c r="F2829" t="s">
        <v>264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0</v>
      </c>
      <c r="AN2829">
        <v>1</v>
      </c>
    </row>
    <row r="2830" spans="1:40" x14ac:dyDescent="0.3">
      <c r="A2830" t="s">
        <v>605</v>
      </c>
      <c r="B2830" t="s">
        <v>59</v>
      </c>
      <c r="C2830" t="s">
        <v>10</v>
      </c>
      <c r="D2830" t="s">
        <v>11</v>
      </c>
      <c r="E2830">
        <v>202602</v>
      </c>
      <c r="F2830" t="s">
        <v>619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1</v>
      </c>
      <c r="AM2830">
        <v>0</v>
      </c>
      <c r="AN2830">
        <v>1</v>
      </c>
    </row>
    <row r="2831" spans="1:40" x14ac:dyDescent="0.3">
      <c r="A2831" t="s">
        <v>605</v>
      </c>
      <c r="B2831" t="s">
        <v>59</v>
      </c>
      <c r="C2831" t="s">
        <v>10</v>
      </c>
      <c r="D2831" t="s">
        <v>11</v>
      </c>
      <c r="E2831">
        <v>202602</v>
      </c>
      <c r="F2831" t="s">
        <v>620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2</v>
      </c>
      <c r="AM2831">
        <v>0</v>
      </c>
      <c r="AN2831">
        <v>2</v>
      </c>
    </row>
    <row r="2832" spans="1:40" x14ac:dyDescent="0.3">
      <c r="A2832" t="s">
        <v>605</v>
      </c>
      <c r="B2832" t="s">
        <v>59</v>
      </c>
      <c r="C2832" t="s">
        <v>10</v>
      </c>
      <c r="D2832" t="s">
        <v>11</v>
      </c>
      <c r="E2832">
        <v>202602</v>
      </c>
      <c r="F2832" t="s">
        <v>621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1</v>
      </c>
      <c r="AM2832">
        <v>0</v>
      </c>
      <c r="AN2832">
        <v>1</v>
      </c>
    </row>
    <row r="2833" spans="1:40" x14ac:dyDescent="0.3">
      <c r="A2833" t="s">
        <v>605</v>
      </c>
      <c r="B2833" t="s">
        <v>59</v>
      </c>
      <c r="C2833" t="s">
        <v>10</v>
      </c>
      <c r="D2833" t="s">
        <v>14</v>
      </c>
      <c r="E2833">
        <v>202602</v>
      </c>
      <c r="F2833" t="s">
        <v>463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1</v>
      </c>
      <c r="AM2833">
        <v>0.33333333333333331</v>
      </c>
      <c r="AN2833">
        <v>2.43424142790025</v>
      </c>
    </row>
    <row r="2834" spans="1:40" x14ac:dyDescent="0.3">
      <c r="A2834" t="s">
        <v>605</v>
      </c>
      <c r="B2834" t="s">
        <v>59</v>
      </c>
      <c r="C2834" t="s">
        <v>10</v>
      </c>
      <c r="D2834" t="s">
        <v>14</v>
      </c>
      <c r="E2834">
        <v>202602</v>
      </c>
      <c r="F2834" t="s">
        <v>60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2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4</v>
      </c>
      <c r="AM2834">
        <v>0.33333333333333331</v>
      </c>
      <c r="AN2834">
        <v>5.4342414279002504</v>
      </c>
    </row>
    <row r="2835" spans="1:40" x14ac:dyDescent="0.3">
      <c r="A2835" t="s">
        <v>605</v>
      </c>
      <c r="B2835" t="s">
        <v>59</v>
      </c>
      <c r="C2835" t="s">
        <v>10</v>
      </c>
      <c r="D2835" t="s">
        <v>14</v>
      </c>
      <c r="E2835">
        <v>202602</v>
      </c>
      <c r="F2835" t="s">
        <v>204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2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7</v>
      </c>
      <c r="AM2835">
        <v>1</v>
      </c>
      <c r="AN2835">
        <v>11.302724283700751</v>
      </c>
    </row>
    <row r="2836" spans="1:40" x14ac:dyDescent="0.3">
      <c r="A2836" t="s">
        <v>605</v>
      </c>
      <c r="B2836" t="s">
        <v>59</v>
      </c>
      <c r="C2836" t="s">
        <v>10</v>
      </c>
      <c r="D2836" t="s">
        <v>14</v>
      </c>
      <c r="E2836">
        <v>202602</v>
      </c>
      <c r="F2836" t="s">
        <v>61</v>
      </c>
      <c r="G2836">
        <v>0</v>
      </c>
      <c r="H2836">
        <v>0</v>
      </c>
      <c r="I2836">
        <v>5</v>
      </c>
      <c r="J2836">
        <v>2</v>
      </c>
      <c r="K2836">
        <v>1</v>
      </c>
      <c r="L2836">
        <v>1</v>
      </c>
      <c r="M2836">
        <v>0</v>
      </c>
      <c r="N2836">
        <v>0</v>
      </c>
      <c r="O2836">
        <v>6</v>
      </c>
      <c r="P2836">
        <v>2</v>
      </c>
      <c r="Q2836">
        <v>2</v>
      </c>
      <c r="R2836">
        <v>1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3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25</v>
      </c>
      <c r="AM2836">
        <v>1.3333333333333333</v>
      </c>
      <c r="AN2836">
        <v>30.736965711601002</v>
      </c>
    </row>
    <row r="2837" spans="1:40" x14ac:dyDescent="0.3">
      <c r="A2837" t="s">
        <v>605</v>
      </c>
      <c r="B2837" t="s">
        <v>59</v>
      </c>
      <c r="C2837" t="s">
        <v>10</v>
      </c>
      <c r="D2837" t="s">
        <v>14</v>
      </c>
      <c r="E2837">
        <v>202602</v>
      </c>
      <c r="F2837" t="s">
        <v>63</v>
      </c>
      <c r="G2837">
        <v>0</v>
      </c>
      <c r="H2837">
        <v>0</v>
      </c>
      <c r="I2837">
        <v>0</v>
      </c>
      <c r="J2837">
        <v>1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2</v>
      </c>
      <c r="AM2837">
        <v>0</v>
      </c>
      <c r="AN2837">
        <v>2</v>
      </c>
    </row>
    <row r="2838" spans="1:40" x14ac:dyDescent="0.3">
      <c r="A2838" t="s">
        <v>605</v>
      </c>
      <c r="B2838" t="s">
        <v>59</v>
      </c>
      <c r="C2838" t="s">
        <v>10</v>
      </c>
      <c r="D2838" t="s">
        <v>14</v>
      </c>
      <c r="E2838">
        <v>202602</v>
      </c>
      <c r="F2838" t="s">
        <v>464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1</v>
      </c>
      <c r="AM2838">
        <v>0.33333333333333331</v>
      </c>
      <c r="AN2838">
        <v>2.43424142790025</v>
      </c>
    </row>
    <row r="2839" spans="1:40" x14ac:dyDescent="0.3">
      <c r="A2839" t="s">
        <v>605</v>
      </c>
      <c r="B2839" t="s">
        <v>59</v>
      </c>
      <c r="C2839" t="s">
        <v>10</v>
      </c>
      <c r="D2839" t="s">
        <v>14</v>
      </c>
      <c r="E2839">
        <v>202602</v>
      </c>
      <c r="F2839" t="s">
        <v>586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1</v>
      </c>
      <c r="AM2839">
        <v>0</v>
      </c>
      <c r="AN2839">
        <v>1</v>
      </c>
    </row>
    <row r="2840" spans="1:40" x14ac:dyDescent="0.3">
      <c r="A2840" t="s">
        <v>605</v>
      </c>
      <c r="B2840" t="s">
        <v>59</v>
      </c>
      <c r="C2840" t="s">
        <v>10</v>
      </c>
      <c r="D2840" t="s">
        <v>14</v>
      </c>
      <c r="E2840">
        <v>202602</v>
      </c>
      <c r="F2840" t="s">
        <v>68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1</v>
      </c>
      <c r="AM2840">
        <v>0</v>
      </c>
      <c r="AN2840">
        <v>1</v>
      </c>
    </row>
    <row r="2841" spans="1:40" x14ac:dyDescent="0.3">
      <c r="A2841" t="s">
        <v>605</v>
      </c>
      <c r="B2841" t="s">
        <v>59</v>
      </c>
      <c r="C2841" t="s">
        <v>10</v>
      </c>
      <c r="D2841" t="s">
        <v>14</v>
      </c>
      <c r="E2841">
        <v>202602</v>
      </c>
      <c r="F2841" t="s">
        <v>414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1</v>
      </c>
      <c r="AM2841">
        <v>0</v>
      </c>
      <c r="AN2841">
        <v>1</v>
      </c>
    </row>
    <row r="2842" spans="1:40" x14ac:dyDescent="0.3">
      <c r="A2842" t="s">
        <v>605</v>
      </c>
      <c r="B2842" t="s">
        <v>59</v>
      </c>
      <c r="C2842" t="s">
        <v>10</v>
      </c>
      <c r="D2842" t="s">
        <v>14</v>
      </c>
      <c r="E2842">
        <v>202602</v>
      </c>
      <c r="F2842" t="s">
        <v>69</v>
      </c>
      <c r="G2842">
        <v>0</v>
      </c>
      <c r="H2842">
        <v>0</v>
      </c>
      <c r="I2842">
        <v>0</v>
      </c>
      <c r="J2842">
        <v>0</v>
      </c>
      <c r="K2842">
        <v>1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2</v>
      </c>
      <c r="AA2842">
        <v>0</v>
      </c>
      <c r="AB2842">
        <v>0</v>
      </c>
      <c r="AC2842">
        <v>2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9</v>
      </c>
      <c r="AM2842">
        <v>1.3333333333333333</v>
      </c>
      <c r="AN2842">
        <v>14.736965711601</v>
      </c>
    </row>
    <row r="2843" spans="1:40" x14ac:dyDescent="0.3">
      <c r="A2843" t="s">
        <v>605</v>
      </c>
      <c r="B2843" t="s">
        <v>59</v>
      </c>
      <c r="C2843" t="s">
        <v>10</v>
      </c>
      <c r="D2843" t="s">
        <v>14</v>
      </c>
      <c r="E2843">
        <v>202602</v>
      </c>
      <c r="F2843" t="s">
        <v>617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2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4</v>
      </c>
      <c r="AM2843">
        <v>0.66666666666666663</v>
      </c>
      <c r="AN2843">
        <v>6.8684828558005</v>
      </c>
    </row>
    <row r="2844" spans="1:40" x14ac:dyDescent="0.3">
      <c r="A2844" t="s">
        <v>605</v>
      </c>
      <c r="B2844" t="s">
        <v>59</v>
      </c>
      <c r="C2844" t="s">
        <v>10</v>
      </c>
      <c r="D2844" t="s">
        <v>14</v>
      </c>
      <c r="E2844">
        <v>202602</v>
      </c>
      <c r="F2844" t="s">
        <v>72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1</v>
      </c>
      <c r="AM2844">
        <v>0</v>
      </c>
      <c r="AN2844">
        <v>1</v>
      </c>
    </row>
    <row r="2845" spans="1:40" x14ac:dyDescent="0.3">
      <c r="A2845" t="s">
        <v>605</v>
      </c>
      <c r="B2845" t="s">
        <v>59</v>
      </c>
      <c r="C2845" t="s">
        <v>10</v>
      </c>
      <c r="D2845" t="s">
        <v>14</v>
      </c>
      <c r="E2845">
        <v>202602</v>
      </c>
      <c r="F2845" t="s">
        <v>618</v>
      </c>
      <c r="G2845">
        <v>0</v>
      </c>
      <c r="H2845">
        <v>3</v>
      </c>
      <c r="I2845">
        <v>1</v>
      </c>
      <c r="J2845">
        <v>3</v>
      </c>
      <c r="K2845">
        <v>2</v>
      </c>
      <c r="L2845">
        <v>2</v>
      </c>
      <c r="M2845">
        <v>0</v>
      </c>
      <c r="N2845">
        <v>0</v>
      </c>
      <c r="O2845">
        <v>3</v>
      </c>
      <c r="P2845">
        <v>2</v>
      </c>
      <c r="Q2845">
        <v>1</v>
      </c>
      <c r="R2845">
        <v>4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1</v>
      </c>
      <c r="Y2845">
        <v>2</v>
      </c>
      <c r="Z2845">
        <v>2</v>
      </c>
      <c r="AA2845">
        <v>0</v>
      </c>
      <c r="AB2845">
        <v>0</v>
      </c>
      <c r="AC2845">
        <v>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28</v>
      </c>
      <c r="AM2845">
        <v>1.6666666666666667</v>
      </c>
      <c r="AN2845">
        <v>35.171207139501249</v>
      </c>
    </row>
    <row r="2846" spans="1:40" x14ac:dyDescent="0.3">
      <c r="A2846" t="s">
        <v>605</v>
      </c>
      <c r="B2846" t="s">
        <v>59</v>
      </c>
      <c r="C2846" t="s">
        <v>10</v>
      </c>
      <c r="D2846" t="s">
        <v>14</v>
      </c>
      <c r="E2846">
        <v>202602</v>
      </c>
      <c r="F2846" t="s">
        <v>472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1</v>
      </c>
      <c r="AM2846">
        <v>0</v>
      </c>
      <c r="AN2846">
        <v>1</v>
      </c>
    </row>
    <row r="2847" spans="1:40" x14ac:dyDescent="0.3">
      <c r="A2847" t="s">
        <v>605</v>
      </c>
      <c r="B2847" t="s">
        <v>59</v>
      </c>
      <c r="C2847" t="s">
        <v>10</v>
      </c>
      <c r="D2847" t="s">
        <v>14</v>
      </c>
      <c r="E2847">
        <v>202602</v>
      </c>
      <c r="F2847" t="s">
        <v>619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1</v>
      </c>
      <c r="AM2847">
        <v>0</v>
      </c>
      <c r="AN2847">
        <v>1</v>
      </c>
    </row>
    <row r="2848" spans="1:40" x14ac:dyDescent="0.3">
      <c r="A2848" t="s">
        <v>605</v>
      </c>
      <c r="B2848" t="s">
        <v>59</v>
      </c>
      <c r="C2848" t="s">
        <v>10</v>
      </c>
      <c r="D2848" t="s">
        <v>14</v>
      </c>
      <c r="E2848">
        <v>202602</v>
      </c>
      <c r="F2848" t="s">
        <v>620</v>
      </c>
      <c r="G2848">
        <v>0</v>
      </c>
      <c r="H2848">
        <v>0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2</v>
      </c>
      <c r="AM2848">
        <v>0</v>
      </c>
      <c r="AN2848">
        <v>2</v>
      </c>
    </row>
    <row r="2849" spans="1:40" x14ac:dyDescent="0.3">
      <c r="A2849" t="s">
        <v>605</v>
      </c>
      <c r="B2849" t="s">
        <v>59</v>
      </c>
      <c r="C2849" t="s">
        <v>10</v>
      </c>
      <c r="D2849" t="s">
        <v>14</v>
      </c>
      <c r="E2849">
        <v>202602</v>
      </c>
      <c r="F2849" t="s">
        <v>621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1</v>
      </c>
      <c r="AM2849">
        <v>0</v>
      </c>
      <c r="AN2849">
        <v>1</v>
      </c>
    </row>
    <row r="2850" spans="1:40" x14ac:dyDescent="0.3">
      <c r="A2850" t="s">
        <v>605</v>
      </c>
      <c r="B2850" t="s">
        <v>81</v>
      </c>
      <c r="C2850" t="s">
        <v>10</v>
      </c>
      <c r="D2850" t="s">
        <v>11</v>
      </c>
      <c r="E2850">
        <v>202602</v>
      </c>
      <c r="F2850" t="s">
        <v>482</v>
      </c>
      <c r="G2850">
        <v>0</v>
      </c>
      <c r="H2850">
        <v>2</v>
      </c>
      <c r="I2850">
        <v>0</v>
      </c>
      <c r="J2850">
        <v>0</v>
      </c>
      <c r="K2850">
        <v>3</v>
      </c>
      <c r="L2850">
        <v>4</v>
      </c>
      <c r="M2850">
        <v>1</v>
      </c>
      <c r="N2850">
        <v>0</v>
      </c>
      <c r="O2850">
        <v>1</v>
      </c>
      <c r="P2850">
        <v>1</v>
      </c>
      <c r="Q2850">
        <v>4</v>
      </c>
      <c r="R2850">
        <v>2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2</v>
      </c>
      <c r="Z2850">
        <v>0</v>
      </c>
      <c r="AA2850">
        <v>0</v>
      </c>
      <c r="AB2850">
        <v>0</v>
      </c>
      <c r="AC2850">
        <v>1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21</v>
      </c>
      <c r="AM2850">
        <v>1</v>
      </c>
      <c r="AN2850">
        <v>26.039005868139181</v>
      </c>
    </row>
    <row r="2851" spans="1:40" x14ac:dyDescent="0.3">
      <c r="A2851" t="s">
        <v>605</v>
      </c>
      <c r="B2851" t="s">
        <v>81</v>
      </c>
      <c r="C2851" t="s">
        <v>10</v>
      </c>
      <c r="D2851" t="s">
        <v>11</v>
      </c>
      <c r="E2851">
        <v>202602</v>
      </c>
      <c r="F2851" t="s">
        <v>268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2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2</v>
      </c>
      <c r="AM2851">
        <v>0</v>
      </c>
      <c r="AN2851">
        <v>2</v>
      </c>
    </row>
    <row r="2852" spans="1:40" x14ac:dyDescent="0.3">
      <c r="A2852" t="s">
        <v>605</v>
      </c>
      <c r="B2852" t="s">
        <v>81</v>
      </c>
      <c r="C2852" t="s">
        <v>10</v>
      </c>
      <c r="D2852" t="s">
        <v>11</v>
      </c>
      <c r="E2852">
        <v>202602</v>
      </c>
      <c r="F2852" t="s">
        <v>622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3</v>
      </c>
      <c r="AM2852">
        <v>0.33333333333333331</v>
      </c>
      <c r="AN2852">
        <v>4.6796686227130611</v>
      </c>
    </row>
    <row r="2853" spans="1:40" x14ac:dyDescent="0.3">
      <c r="A2853" t="s">
        <v>605</v>
      </c>
      <c r="B2853" t="s">
        <v>81</v>
      </c>
      <c r="C2853" t="s">
        <v>10</v>
      </c>
      <c r="D2853" t="s">
        <v>11</v>
      </c>
      <c r="E2853">
        <v>202602</v>
      </c>
      <c r="F2853" t="s">
        <v>623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1</v>
      </c>
      <c r="P2853">
        <v>3</v>
      </c>
      <c r="Q2853">
        <v>1</v>
      </c>
      <c r="R2853">
        <v>4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2</v>
      </c>
      <c r="AB2853">
        <v>0</v>
      </c>
      <c r="AC2853">
        <v>3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16</v>
      </c>
      <c r="AM2853">
        <v>1</v>
      </c>
      <c r="AN2853">
        <v>21.039005868139181</v>
      </c>
    </row>
    <row r="2854" spans="1:40" x14ac:dyDescent="0.3">
      <c r="A2854" t="s">
        <v>605</v>
      </c>
      <c r="B2854" t="s">
        <v>81</v>
      </c>
      <c r="C2854" t="s">
        <v>10</v>
      </c>
      <c r="D2854" t="s">
        <v>11</v>
      </c>
      <c r="E2854">
        <v>202602</v>
      </c>
      <c r="F2854" t="s">
        <v>624</v>
      </c>
      <c r="G2854">
        <v>0</v>
      </c>
      <c r="H2854">
        <v>2</v>
      </c>
      <c r="I2854">
        <v>1</v>
      </c>
      <c r="J2854">
        <v>0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3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2</v>
      </c>
      <c r="Y2854">
        <v>1</v>
      </c>
      <c r="Z2854">
        <v>3</v>
      </c>
      <c r="AA2854">
        <v>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16</v>
      </c>
      <c r="AM2854">
        <v>1.3333333333333333</v>
      </c>
      <c r="AN2854">
        <v>22.718674490852244</v>
      </c>
    </row>
    <row r="2855" spans="1:40" x14ac:dyDescent="0.3">
      <c r="A2855" t="s">
        <v>605</v>
      </c>
      <c r="B2855" t="s">
        <v>81</v>
      </c>
      <c r="C2855" t="s">
        <v>10</v>
      </c>
      <c r="D2855" t="s">
        <v>11</v>
      </c>
      <c r="E2855">
        <v>202602</v>
      </c>
      <c r="F2855" t="s">
        <v>620</v>
      </c>
      <c r="G2855">
        <v>0</v>
      </c>
      <c r="H2855">
        <v>0</v>
      </c>
      <c r="I2855">
        <v>0</v>
      </c>
      <c r="J2855">
        <v>2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3</v>
      </c>
      <c r="AM2855">
        <v>0.33333333333333331</v>
      </c>
      <c r="AN2855">
        <v>4.6796686227130611</v>
      </c>
    </row>
    <row r="2856" spans="1:40" x14ac:dyDescent="0.3">
      <c r="A2856" t="s">
        <v>605</v>
      </c>
      <c r="B2856" t="s">
        <v>81</v>
      </c>
      <c r="C2856" t="s">
        <v>10</v>
      </c>
      <c r="D2856" t="s">
        <v>11</v>
      </c>
      <c r="E2856">
        <v>202602</v>
      </c>
      <c r="F2856" t="s">
        <v>625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3</v>
      </c>
      <c r="AM2856">
        <v>0</v>
      </c>
      <c r="AN2856">
        <v>3</v>
      </c>
    </row>
    <row r="2857" spans="1:40" x14ac:dyDescent="0.3">
      <c r="A2857" t="s">
        <v>605</v>
      </c>
      <c r="B2857" t="s">
        <v>81</v>
      </c>
      <c r="C2857" t="s">
        <v>10</v>
      </c>
      <c r="D2857" t="s">
        <v>14</v>
      </c>
      <c r="E2857">
        <v>202602</v>
      </c>
      <c r="F2857" t="s">
        <v>482</v>
      </c>
      <c r="G2857">
        <v>0</v>
      </c>
      <c r="H2857">
        <v>0</v>
      </c>
      <c r="I2857">
        <v>1</v>
      </c>
      <c r="J2857">
        <v>3</v>
      </c>
      <c r="K2857">
        <v>6</v>
      </c>
      <c r="L2857">
        <v>1</v>
      </c>
      <c r="M2857">
        <v>1</v>
      </c>
      <c r="N2857">
        <v>0</v>
      </c>
      <c r="O2857">
        <v>3</v>
      </c>
      <c r="P2857">
        <v>3</v>
      </c>
      <c r="Q2857">
        <v>2</v>
      </c>
      <c r="R2857">
        <v>1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1</v>
      </c>
      <c r="AA2857">
        <v>0</v>
      </c>
      <c r="AB2857">
        <v>0</v>
      </c>
      <c r="AC2857">
        <v>2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26</v>
      </c>
      <c r="AM2857">
        <v>1.3333333333333333</v>
      </c>
      <c r="AN2857">
        <v>31.736965711601002</v>
      </c>
    </row>
    <row r="2858" spans="1:40" x14ac:dyDescent="0.3">
      <c r="A2858" t="s">
        <v>605</v>
      </c>
      <c r="B2858" t="s">
        <v>81</v>
      </c>
      <c r="C2858" t="s">
        <v>10</v>
      </c>
      <c r="D2858" t="s">
        <v>14</v>
      </c>
      <c r="E2858">
        <v>202602</v>
      </c>
      <c r="F2858" t="s">
        <v>268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2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3</v>
      </c>
      <c r="AM2858">
        <v>0.33333333333333331</v>
      </c>
      <c r="AN2858">
        <v>4.4342414279002504</v>
      </c>
    </row>
    <row r="2859" spans="1:40" x14ac:dyDescent="0.3">
      <c r="A2859" t="s">
        <v>605</v>
      </c>
      <c r="B2859" t="s">
        <v>81</v>
      </c>
      <c r="C2859" t="s">
        <v>10</v>
      </c>
      <c r="D2859" t="s">
        <v>14</v>
      </c>
      <c r="E2859">
        <v>202602</v>
      </c>
      <c r="F2859" t="s">
        <v>622</v>
      </c>
      <c r="G2859">
        <v>0</v>
      </c>
      <c r="H2859">
        <v>0</v>
      </c>
      <c r="I2859">
        <v>1</v>
      </c>
      <c r="J2859">
        <v>0</v>
      </c>
      <c r="K2859">
        <v>2</v>
      </c>
      <c r="L2859">
        <v>0</v>
      </c>
      <c r="M2859">
        <v>1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1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6</v>
      </c>
      <c r="AM2859">
        <v>0.66666666666666663</v>
      </c>
      <c r="AN2859">
        <v>8.8684828558005009</v>
      </c>
    </row>
    <row r="2860" spans="1:40" x14ac:dyDescent="0.3">
      <c r="A2860" t="s">
        <v>605</v>
      </c>
      <c r="B2860" t="s">
        <v>81</v>
      </c>
      <c r="C2860" t="s">
        <v>10</v>
      </c>
      <c r="D2860" t="s">
        <v>14</v>
      </c>
      <c r="E2860">
        <v>202602</v>
      </c>
      <c r="F2860" t="s">
        <v>623</v>
      </c>
      <c r="G2860">
        <v>0</v>
      </c>
      <c r="H2860">
        <v>1</v>
      </c>
      <c r="I2860">
        <v>1</v>
      </c>
      <c r="J2860">
        <v>0</v>
      </c>
      <c r="K2860">
        <v>1</v>
      </c>
      <c r="L2860">
        <v>4</v>
      </c>
      <c r="M2860">
        <v>2</v>
      </c>
      <c r="N2860">
        <v>0</v>
      </c>
      <c r="O2860">
        <v>3</v>
      </c>
      <c r="P2860">
        <v>1</v>
      </c>
      <c r="Q2860">
        <v>3</v>
      </c>
      <c r="R2860">
        <v>1</v>
      </c>
      <c r="S2860">
        <v>2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4</v>
      </c>
      <c r="AA2860">
        <v>0</v>
      </c>
      <c r="AB2860">
        <v>0</v>
      </c>
      <c r="AC2860">
        <v>1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25</v>
      </c>
      <c r="AM2860">
        <v>1.6666666666666667</v>
      </c>
      <c r="AN2860">
        <v>32.171207139501249</v>
      </c>
    </row>
    <row r="2861" spans="1:40" x14ac:dyDescent="0.3">
      <c r="A2861" t="s">
        <v>605</v>
      </c>
      <c r="B2861" t="s">
        <v>81</v>
      </c>
      <c r="C2861" t="s">
        <v>10</v>
      </c>
      <c r="D2861" t="s">
        <v>14</v>
      </c>
      <c r="E2861">
        <v>202602</v>
      </c>
      <c r="F2861" t="s">
        <v>626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2</v>
      </c>
      <c r="AM2861">
        <v>0.33333333333333331</v>
      </c>
      <c r="AN2861">
        <v>3.43424142790025</v>
      </c>
    </row>
    <row r="2862" spans="1:40" x14ac:dyDescent="0.3">
      <c r="A2862" t="s">
        <v>605</v>
      </c>
      <c r="B2862" t="s">
        <v>81</v>
      </c>
      <c r="C2862" t="s">
        <v>10</v>
      </c>
      <c r="D2862" t="s">
        <v>14</v>
      </c>
      <c r="E2862">
        <v>202602</v>
      </c>
      <c r="F2862" t="s">
        <v>624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3</v>
      </c>
      <c r="Q2862">
        <v>1</v>
      </c>
      <c r="R2862">
        <v>1</v>
      </c>
      <c r="S2862">
        <v>3</v>
      </c>
      <c r="T2862">
        <v>0</v>
      </c>
      <c r="U2862">
        <v>0</v>
      </c>
      <c r="V2862">
        <v>0</v>
      </c>
      <c r="W2862">
        <v>0</v>
      </c>
      <c r="X2862">
        <v>3</v>
      </c>
      <c r="Y2862">
        <v>3</v>
      </c>
      <c r="Z2862">
        <v>1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17</v>
      </c>
      <c r="AM2862">
        <v>1.6666666666666667</v>
      </c>
      <c r="AN2862">
        <v>24.171207139501249</v>
      </c>
    </row>
    <row r="2863" spans="1:40" x14ac:dyDescent="0.3">
      <c r="A2863" t="s">
        <v>605</v>
      </c>
      <c r="B2863" t="s">
        <v>81</v>
      </c>
      <c r="C2863" t="s">
        <v>10</v>
      </c>
      <c r="D2863" t="s">
        <v>14</v>
      </c>
      <c r="E2863">
        <v>202602</v>
      </c>
      <c r="F2863" t="s">
        <v>620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2</v>
      </c>
      <c r="AM2863">
        <v>0</v>
      </c>
      <c r="AN2863">
        <v>2</v>
      </c>
    </row>
    <row r="2864" spans="1:40" x14ac:dyDescent="0.3">
      <c r="A2864" t="s">
        <v>605</v>
      </c>
      <c r="B2864" t="s">
        <v>81</v>
      </c>
      <c r="C2864" t="s">
        <v>10</v>
      </c>
      <c r="D2864" t="s">
        <v>14</v>
      </c>
      <c r="E2864">
        <v>202602</v>
      </c>
      <c r="F2864" t="s">
        <v>625</v>
      </c>
      <c r="G2864">
        <v>0</v>
      </c>
      <c r="H2864">
        <v>0</v>
      </c>
      <c r="I2864">
        <v>0</v>
      </c>
      <c r="J2864">
        <v>2</v>
      </c>
      <c r="K2864">
        <v>0</v>
      </c>
      <c r="L2864">
        <v>1</v>
      </c>
      <c r="M2864">
        <v>0</v>
      </c>
      <c r="N2864">
        <v>0</v>
      </c>
      <c r="O2864">
        <v>1</v>
      </c>
      <c r="P2864">
        <v>0</v>
      </c>
      <c r="Q2864">
        <v>2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8</v>
      </c>
      <c r="AM2864">
        <v>0</v>
      </c>
      <c r="AN2864">
        <v>8</v>
      </c>
    </row>
    <row r="2865" spans="1:40" x14ac:dyDescent="0.3">
      <c r="A2865" t="s">
        <v>605</v>
      </c>
      <c r="B2865" t="s">
        <v>81</v>
      </c>
      <c r="C2865" t="s">
        <v>16</v>
      </c>
      <c r="D2865" t="s">
        <v>11</v>
      </c>
      <c r="E2865">
        <v>202602</v>
      </c>
      <c r="F2865" t="s">
        <v>627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1</v>
      </c>
      <c r="AM2865">
        <v>0</v>
      </c>
      <c r="AN2865">
        <v>1</v>
      </c>
    </row>
    <row r="2866" spans="1:40" x14ac:dyDescent="0.3">
      <c r="A2866" t="s">
        <v>605</v>
      </c>
      <c r="B2866" t="s">
        <v>81</v>
      </c>
      <c r="C2866" t="s">
        <v>16</v>
      </c>
      <c r="D2866" t="s">
        <v>14</v>
      </c>
      <c r="E2866">
        <v>202602</v>
      </c>
      <c r="F2866" t="s">
        <v>627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1</v>
      </c>
      <c r="AM2866">
        <v>0</v>
      </c>
      <c r="AN2866">
        <v>1</v>
      </c>
    </row>
    <row r="2867" spans="1:40" x14ac:dyDescent="0.3">
      <c r="A2867" t="s">
        <v>605</v>
      </c>
      <c r="B2867" t="s">
        <v>643</v>
      </c>
      <c r="C2867" t="s">
        <v>10</v>
      </c>
      <c r="D2867" t="s">
        <v>11</v>
      </c>
      <c r="E2867">
        <v>202602</v>
      </c>
      <c r="F2867" t="s">
        <v>56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1</v>
      </c>
      <c r="AM2867">
        <v>0.33333333333333331</v>
      </c>
      <c r="AN2867">
        <v>2.6796686227130611</v>
      </c>
    </row>
    <row r="2868" spans="1:40" x14ac:dyDescent="0.3">
      <c r="A2868" t="s">
        <v>605</v>
      </c>
      <c r="B2868" t="s">
        <v>643</v>
      </c>
      <c r="C2868" t="s">
        <v>10</v>
      </c>
      <c r="D2868" t="s">
        <v>11</v>
      </c>
      <c r="E2868">
        <v>202602</v>
      </c>
      <c r="F2868" t="s">
        <v>110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1</v>
      </c>
      <c r="AM2868">
        <v>0.33333333333333331</v>
      </c>
      <c r="AN2868">
        <v>2.6796686227130611</v>
      </c>
    </row>
    <row r="2869" spans="1:40" x14ac:dyDescent="0.3">
      <c r="A2869" t="s">
        <v>605</v>
      </c>
      <c r="B2869" t="s">
        <v>643</v>
      </c>
      <c r="C2869" t="s">
        <v>10</v>
      </c>
      <c r="D2869" t="s">
        <v>11</v>
      </c>
      <c r="E2869">
        <v>202602</v>
      </c>
      <c r="F2869" t="s">
        <v>112</v>
      </c>
      <c r="G2869">
        <v>0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2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3</v>
      </c>
      <c r="AM2869">
        <v>0.66666666666666663</v>
      </c>
      <c r="AN2869">
        <v>6.3593372454261221</v>
      </c>
    </row>
    <row r="2870" spans="1:40" x14ac:dyDescent="0.3">
      <c r="A2870" t="s">
        <v>605</v>
      </c>
      <c r="B2870" t="s">
        <v>643</v>
      </c>
      <c r="C2870" t="s">
        <v>10</v>
      </c>
      <c r="D2870" t="s">
        <v>11</v>
      </c>
      <c r="E2870">
        <v>202602</v>
      </c>
      <c r="F2870" t="s">
        <v>114</v>
      </c>
      <c r="G2870">
        <v>0</v>
      </c>
      <c r="H2870">
        <v>0</v>
      </c>
      <c r="I2870">
        <v>0</v>
      </c>
      <c r="J2870">
        <v>1</v>
      </c>
      <c r="K2870">
        <v>2</v>
      </c>
      <c r="L2870">
        <v>1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1</v>
      </c>
      <c r="AA2870">
        <v>1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7</v>
      </c>
      <c r="AM2870">
        <v>0.33333333333333331</v>
      </c>
      <c r="AN2870">
        <v>8.6796686227130611</v>
      </c>
    </row>
    <row r="2871" spans="1:40" x14ac:dyDescent="0.3">
      <c r="A2871" t="s">
        <v>605</v>
      </c>
      <c r="B2871" t="s">
        <v>643</v>
      </c>
      <c r="C2871" t="s">
        <v>10</v>
      </c>
      <c r="D2871" t="s">
        <v>11</v>
      </c>
      <c r="E2871">
        <v>202602</v>
      </c>
      <c r="F2871" t="s">
        <v>628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1</v>
      </c>
      <c r="AM2871">
        <v>0</v>
      </c>
      <c r="AN2871">
        <v>1</v>
      </c>
    </row>
    <row r="2872" spans="1:40" x14ac:dyDescent="0.3">
      <c r="A2872" t="s">
        <v>605</v>
      </c>
      <c r="B2872" t="s">
        <v>643</v>
      </c>
      <c r="C2872" t="s">
        <v>10</v>
      </c>
      <c r="D2872" t="s">
        <v>11</v>
      </c>
      <c r="E2872">
        <v>202602</v>
      </c>
      <c r="F2872" t="s">
        <v>116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1</v>
      </c>
      <c r="AM2872">
        <v>0.33333333333333331</v>
      </c>
      <c r="AN2872">
        <v>2.6796686227130611</v>
      </c>
    </row>
    <row r="2873" spans="1:40" x14ac:dyDescent="0.3">
      <c r="A2873" t="s">
        <v>605</v>
      </c>
      <c r="B2873" t="s">
        <v>643</v>
      </c>
      <c r="C2873" t="s">
        <v>10</v>
      </c>
      <c r="D2873" t="s">
        <v>11</v>
      </c>
      <c r="E2873">
        <v>202602</v>
      </c>
      <c r="F2873" t="s">
        <v>130</v>
      </c>
      <c r="G2873">
        <v>0</v>
      </c>
      <c r="H2873">
        <v>0</v>
      </c>
      <c r="I2873">
        <v>1</v>
      </c>
      <c r="J2873">
        <v>1</v>
      </c>
      <c r="K2873">
        <v>1</v>
      </c>
      <c r="L2873">
        <v>0</v>
      </c>
      <c r="M2873">
        <v>0</v>
      </c>
      <c r="N2873">
        <v>0</v>
      </c>
      <c r="O2873">
        <v>1</v>
      </c>
      <c r="P2873">
        <v>1</v>
      </c>
      <c r="Q2873">
        <v>1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7</v>
      </c>
      <c r="AM2873">
        <v>0</v>
      </c>
      <c r="AN2873">
        <v>7</v>
      </c>
    </row>
    <row r="2874" spans="1:40" x14ac:dyDescent="0.3">
      <c r="A2874" t="s">
        <v>605</v>
      </c>
      <c r="B2874" t="s">
        <v>643</v>
      </c>
      <c r="C2874" t="s">
        <v>10</v>
      </c>
      <c r="D2874" t="s">
        <v>11</v>
      </c>
      <c r="E2874">
        <v>202602</v>
      </c>
      <c r="F2874" t="s">
        <v>117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1</v>
      </c>
      <c r="AM2874">
        <v>0</v>
      </c>
      <c r="AN2874">
        <v>1</v>
      </c>
    </row>
    <row r="2875" spans="1:40" x14ac:dyDescent="0.3">
      <c r="A2875" t="s">
        <v>605</v>
      </c>
      <c r="B2875" t="s">
        <v>643</v>
      </c>
      <c r="C2875" t="s">
        <v>10</v>
      </c>
      <c r="D2875" t="s">
        <v>11</v>
      </c>
      <c r="E2875">
        <v>202602</v>
      </c>
      <c r="F2875" t="s">
        <v>132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1</v>
      </c>
      <c r="AM2875">
        <v>0</v>
      </c>
      <c r="AN2875">
        <v>1</v>
      </c>
    </row>
    <row r="2876" spans="1:40" x14ac:dyDescent="0.3">
      <c r="A2876" t="s">
        <v>605</v>
      </c>
      <c r="B2876" t="s">
        <v>643</v>
      </c>
      <c r="C2876" t="s">
        <v>10</v>
      </c>
      <c r="D2876" t="s">
        <v>11</v>
      </c>
      <c r="E2876">
        <v>202602</v>
      </c>
      <c r="F2876" t="s">
        <v>119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2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3</v>
      </c>
      <c r="AM2876">
        <v>0.66666666666666663</v>
      </c>
      <c r="AN2876">
        <v>6.3593372454261221</v>
      </c>
    </row>
    <row r="2877" spans="1:40" x14ac:dyDescent="0.3">
      <c r="A2877" t="s">
        <v>605</v>
      </c>
      <c r="B2877" t="s">
        <v>643</v>
      </c>
      <c r="C2877" t="s">
        <v>10</v>
      </c>
      <c r="D2877" t="s">
        <v>11</v>
      </c>
      <c r="E2877">
        <v>202602</v>
      </c>
      <c r="F2877" t="s">
        <v>122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0</v>
      </c>
      <c r="AN2877">
        <v>1</v>
      </c>
    </row>
    <row r="2878" spans="1:40" x14ac:dyDescent="0.3">
      <c r="A2878" t="s">
        <v>605</v>
      </c>
      <c r="B2878" t="s">
        <v>643</v>
      </c>
      <c r="C2878" t="s">
        <v>10</v>
      </c>
      <c r="D2878" t="s">
        <v>11</v>
      </c>
      <c r="E2878">
        <v>202602</v>
      </c>
      <c r="F2878" t="s">
        <v>127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</v>
      </c>
      <c r="AM2878">
        <v>0</v>
      </c>
      <c r="AN2878">
        <v>1</v>
      </c>
    </row>
    <row r="2879" spans="1:40" x14ac:dyDescent="0.3">
      <c r="A2879" t="s">
        <v>605</v>
      </c>
      <c r="B2879" t="s">
        <v>643</v>
      </c>
      <c r="C2879" t="s">
        <v>10</v>
      </c>
      <c r="D2879" t="s">
        <v>11</v>
      </c>
      <c r="E2879">
        <v>202602</v>
      </c>
      <c r="F2879" t="s">
        <v>629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1</v>
      </c>
      <c r="AM2879">
        <v>0</v>
      </c>
      <c r="AN2879">
        <v>1</v>
      </c>
    </row>
    <row r="2880" spans="1:40" x14ac:dyDescent="0.3">
      <c r="A2880" t="s">
        <v>605</v>
      </c>
      <c r="B2880" t="s">
        <v>643</v>
      </c>
      <c r="C2880" t="s">
        <v>10</v>
      </c>
      <c r="D2880" t="s">
        <v>14</v>
      </c>
      <c r="E2880">
        <v>202602</v>
      </c>
      <c r="F2880" t="s">
        <v>56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1</v>
      </c>
      <c r="AM2880">
        <v>0.33333333333333331</v>
      </c>
      <c r="AN2880">
        <v>2.43424142790025</v>
      </c>
    </row>
    <row r="2881" spans="1:40" x14ac:dyDescent="0.3">
      <c r="A2881" t="s">
        <v>605</v>
      </c>
      <c r="B2881" t="s">
        <v>643</v>
      </c>
      <c r="C2881" t="s">
        <v>10</v>
      </c>
      <c r="D2881" t="s">
        <v>14</v>
      </c>
      <c r="E2881">
        <v>202602</v>
      </c>
      <c r="F2881" t="s">
        <v>110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2</v>
      </c>
      <c r="AM2881">
        <v>0</v>
      </c>
      <c r="AN2881">
        <v>2</v>
      </c>
    </row>
    <row r="2882" spans="1:40" x14ac:dyDescent="0.3">
      <c r="A2882" t="s">
        <v>605</v>
      </c>
      <c r="B2882" t="s">
        <v>643</v>
      </c>
      <c r="C2882" t="s">
        <v>10</v>
      </c>
      <c r="D2882" t="s">
        <v>14</v>
      </c>
      <c r="E2882">
        <v>202602</v>
      </c>
      <c r="F2882" t="s">
        <v>111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2</v>
      </c>
      <c r="AM2882">
        <v>0.33333333333333331</v>
      </c>
      <c r="AN2882">
        <v>3.43424142790025</v>
      </c>
    </row>
    <row r="2883" spans="1:40" x14ac:dyDescent="0.3">
      <c r="A2883" t="s">
        <v>605</v>
      </c>
      <c r="B2883" t="s">
        <v>643</v>
      </c>
      <c r="C2883" t="s">
        <v>10</v>
      </c>
      <c r="D2883" t="s">
        <v>14</v>
      </c>
      <c r="E2883">
        <v>202602</v>
      </c>
      <c r="F2883" t="s">
        <v>61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2</v>
      </c>
      <c r="AM2883">
        <v>0</v>
      </c>
      <c r="AN2883">
        <v>2</v>
      </c>
    </row>
    <row r="2884" spans="1:40" x14ac:dyDescent="0.3">
      <c r="A2884" t="s">
        <v>605</v>
      </c>
      <c r="B2884" t="s">
        <v>643</v>
      </c>
      <c r="C2884" t="s">
        <v>10</v>
      </c>
      <c r="D2884" t="s">
        <v>14</v>
      </c>
      <c r="E2884">
        <v>202602</v>
      </c>
      <c r="F2884" t="s">
        <v>112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2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2</v>
      </c>
      <c r="AM2884">
        <v>0.66666666666666663</v>
      </c>
      <c r="AN2884">
        <v>4.8684828558005</v>
      </c>
    </row>
    <row r="2885" spans="1:40" x14ac:dyDescent="0.3">
      <c r="A2885" t="s">
        <v>605</v>
      </c>
      <c r="B2885" t="s">
        <v>643</v>
      </c>
      <c r="C2885" t="s">
        <v>10</v>
      </c>
      <c r="D2885" t="s">
        <v>14</v>
      </c>
      <c r="E2885">
        <v>202602</v>
      </c>
      <c r="F2885" t="s">
        <v>114</v>
      </c>
      <c r="G2885">
        <v>0</v>
      </c>
      <c r="H2885">
        <v>0</v>
      </c>
      <c r="I2885">
        <v>1</v>
      </c>
      <c r="J2885">
        <v>2</v>
      </c>
      <c r="K2885">
        <v>2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2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10</v>
      </c>
      <c r="AM2885">
        <v>0.33333333333333331</v>
      </c>
      <c r="AN2885">
        <v>11.43424142790025</v>
      </c>
    </row>
    <row r="2886" spans="1:40" x14ac:dyDescent="0.3">
      <c r="A2886" t="s">
        <v>605</v>
      </c>
      <c r="B2886" t="s">
        <v>643</v>
      </c>
      <c r="C2886" t="s">
        <v>10</v>
      </c>
      <c r="D2886" t="s">
        <v>14</v>
      </c>
      <c r="E2886">
        <v>202602</v>
      </c>
      <c r="F2886" t="s">
        <v>115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1</v>
      </c>
      <c r="AM2886">
        <v>0</v>
      </c>
      <c r="AN2886">
        <v>1</v>
      </c>
    </row>
    <row r="2887" spans="1:40" x14ac:dyDescent="0.3">
      <c r="A2887" t="s">
        <v>605</v>
      </c>
      <c r="B2887" t="s">
        <v>643</v>
      </c>
      <c r="C2887" t="s">
        <v>10</v>
      </c>
      <c r="D2887" t="s">
        <v>14</v>
      </c>
      <c r="E2887">
        <v>202602</v>
      </c>
      <c r="F2887" t="s">
        <v>628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1</v>
      </c>
      <c r="AM2887">
        <v>0</v>
      </c>
      <c r="AN2887">
        <v>1</v>
      </c>
    </row>
    <row r="2888" spans="1:40" x14ac:dyDescent="0.3">
      <c r="A2888" t="s">
        <v>605</v>
      </c>
      <c r="B2888" t="s">
        <v>643</v>
      </c>
      <c r="C2888" t="s">
        <v>10</v>
      </c>
      <c r="D2888" t="s">
        <v>14</v>
      </c>
      <c r="E2888">
        <v>202602</v>
      </c>
      <c r="F2888" t="s">
        <v>116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1</v>
      </c>
      <c r="N2888">
        <v>0</v>
      </c>
      <c r="O2888">
        <v>0</v>
      </c>
      <c r="P2888">
        <v>1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2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6</v>
      </c>
      <c r="AM2888">
        <v>0</v>
      </c>
      <c r="AN2888">
        <v>6</v>
      </c>
    </row>
    <row r="2889" spans="1:40" x14ac:dyDescent="0.3">
      <c r="A2889" t="s">
        <v>605</v>
      </c>
      <c r="B2889" t="s">
        <v>643</v>
      </c>
      <c r="C2889" t="s">
        <v>10</v>
      </c>
      <c r="D2889" t="s">
        <v>14</v>
      </c>
      <c r="E2889">
        <v>202602</v>
      </c>
      <c r="F2889" t="s">
        <v>130</v>
      </c>
      <c r="G2889">
        <v>0</v>
      </c>
      <c r="H2889">
        <v>1</v>
      </c>
      <c r="I2889">
        <v>2</v>
      </c>
      <c r="J2889">
        <v>1</v>
      </c>
      <c r="K2889">
        <v>0</v>
      </c>
      <c r="L2889">
        <v>2</v>
      </c>
      <c r="M2889">
        <v>0</v>
      </c>
      <c r="N2889">
        <v>0</v>
      </c>
      <c r="O2889">
        <v>1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8</v>
      </c>
      <c r="AM2889">
        <v>0</v>
      </c>
      <c r="AN2889">
        <v>8</v>
      </c>
    </row>
    <row r="2890" spans="1:40" x14ac:dyDescent="0.3">
      <c r="A2890" t="s">
        <v>605</v>
      </c>
      <c r="B2890" t="s">
        <v>643</v>
      </c>
      <c r="C2890" t="s">
        <v>10</v>
      </c>
      <c r="D2890" t="s">
        <v>14</v>
      </c>
      <c r="E2890">
        <v>202602</v>
      </c>
      <c r="F2890" t="s">
        <v>117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1</v>
      </c>
      <c r="AM2890">
        <v>0</v>
      </c>
      <c r="AN2890">
        <v>1</v>
      </c>
    </row>
    <row r="2891" spans="1:40" x14ac:dyDescent="0.3">
      <c r="A2891" t="s">
        <v>605</v>
      </c>
      <c r="B2891" t="s">
        <v>643</v>
      </c>
      <c r="C2891" t="s">
        <v>10</v>
      </c>
      <c r="D2891" t="s">
        <v>14</v>
      </c>
      <c r="E2891">
        <v>202602</v>
      </c>
      <c r="F2891" t="s">
        <v>118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1</v>
      </c>
      <c r="AM2891">
        <v>0.33333333333333331</v>
      </c>
      <c r="AN2891">
        <v>2.43424142790025</v>
      </c>
    </row>
    <row r="2892" spans="1:40" x14ac:dyDescent="0.3">
      <c r="A2892" t="s">
        <v>605</v>
      </c>
      <c r="B2892" t="s">
        <v>643</v>
      </c>
      <c r="C2892" t="s">
        <v>10</v>
      </c>
      <c r="D2892" t="s">
        <v>14</v>
      </c>
      <c r="E2892">
        <v>202602</v>
      </c>
      <c r="F2892" t="s">
        <v>132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</v>
      </c>
      <c r="AM2892">
        <v>0</v>
      </c>
      <c r="AN2892">
        <v>1</v>
      </c>
    </row>
    <row r="2893" spans="1:40" x14ac:dyDescent="0.3">
      <c r="A2893" t="s">
        <v>605</v>
      </c>
      <c r="B2893" t="s">
        <v>643</v>
      </c>
      <c r="C2893" t="s">
        <v>10</v>
      </c>
      <c r="D2893" t="s">
        <v>14</v>
      </c>
      <c r="E2893">
        <v>202602</v>
      </c>
      <c r="F2893" t="s">
        <v>119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2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4</v>
      </c>
      <c r="AM2893">
        <v>0</v>
      </c>
      <c r="AN2893">
        <v>4</v>
      </c>
    </row>
    <row r="2894" spans="1:40" x14ac:dyDescent="0.3">
      <c r="A2894" t="s">
        <v>605</v>
      </c>
      <c r="B2894" t="s">
        <v>643</v>
      </c>
      <c r="C2894" t="s">
        <v>10</v>
      </c>
      <c r="D2894" t="s">
        <v>14</v>
      </c>
      <c r="E2894">
        <v>202602</v>
      </c>
      <c r="F2894" t="s">
        <v>122</v>
      </c>
      <c r="G2894">
        <v>0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1</v>
      </c>
      <c r="AM2894">
        <v>0</v>
      </c>
      <c r="AN2894">
        <v>1</v>
      </c>
    </row>
    <row r="2895" spans="1:40" x14ac:dyDescent="0.3">
      <c r="A2895" t="s">
        <v>605</v>
      </c>
      <c r="B2895" t="s">
        <v>643</v>
      </c>
      <c r="C2895" t="s">
        <v>10</v>
      </c>
      <c r="D2895" t="s">
        <v>14</v>
      </c>
      <c r="E2895">
        <v>202602</v>
      </c>
      <c r="F2895" t="s">
        <v>123</v>
      </c>
      <c r="G2895">
        <v>0</v>
      </c>
      <c r="H2895">
        <v>0</v>
      </c>
      <c r="I2895">
        <v>0</v>
      </c>
      <c r="J2895">
        <v>0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1</v>
      </c>
      <c r="AM2895">
        <v>0</v>
      </c>
      <c r="AN2895">
        <v>1</v>
      </c>
    </row>
    <row r="2896" spans="1:40" x14ac:dyDescent="0.3">
      <c r="A2896" t="s">
        <v>605</v>
      </c>
      <c r="B2896" t="s">
        <v>643</v>
      </c>
      <c r="C2896" t="s">
        <v>10</v>
      </c>
      <c r="D2896" t="s">
        <v>14</v>
      </c>
      <c r="E2896">
        <v>202602</v>
      </c>
      <c r="F2896" t="s">
        <v>127</v>
      </c>
      <c r="G2896">
        <v>0</v>
      </c>
      <c r="H2896">
        <v>0</v>
      </c>
      <c r="I2896">
        <v>0</v>
      </c>
      <c r="J2896">
        <v>0</v>
      </c>
      <c r="K2896">
        <v>1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2</v>
      </c>
      <c r="AM2896">
        <v>0</v>
      </c>
      <c r="AN2896">
        <v>2</v>
      </c>
    </row>
    <row r="2897" spans="1:40" x14ac:dyDescent="0.3">
      <c r="A2897" t="s">
        <v>605</v>
      </c>
      <c r="B2897" t="s">
        <v>643</v>
      </c>
      <c r="C2897" t="s">
        <v>10</v>
      </c>
      <c r="D2897" t="s">
        <v>14</v>
      </c>
      <c r="E2897">
        <v>202602</v>
      </c>
      <c r="F2897" t="s">
        <v>226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1</v>
      </c>
      <c r="AM2897">
        <v>0</v>
      </c>
      <c r="AN2897">
        <v>1</v>
      </c>
    </row>
    <row r="2898" spans="1:40" x14ac:dyDescent="0.3">
      <c r="A2898" t="s">
        <v>605</v>
      </c>
      <c r="B2898" t="s">
        <v>643</v>
      </c>
      <c r="C2898" t="s">
        <v>10</v>
      </c>
      <c r="D2898" t="s">
        <v>14</v>
      </c>
      <c r="E2898">
        <v>202602</v>
      </c>
      <c r="F2898" t="s">
        <v>629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1</v>
      </c>
      <c r="AM2898">
        <v>0</v>
      </c>
      <c r="AN2898">
        <v>1</v>
      </c>
    </row>
    <row r="2899" spans="1:40" x14ac:dyDescent="0.3">
      <c r="A2899" t="s">
        <v>605</v>
      </c>
      <c r="B2899" t="s">
        <v>643</v>
      </c>
      <c r="C2899" t="s">
        <v>10</v>
      </c>
      <c r="D2899" t="s">
        <v>14</v>
      </c>
      <c r="E2899">
        <v>202602</v>
      </c>
      <c r="F2899" t="s">
        <v>630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1</v>
      </c>
      <c r="AM2899">
        <v>0</v>
      </c>
      <c r="AN2899">
        <v>1</v>
      </c>
    </row>
    <row r="2900" spans="1:40" x14ac:dyDescent="0.3">
      <c r="A2900" t="s">
        <v>605</v>
      </c>
      <c r="B2900" t="s">
        <v>136</v>
      </c>
      <c r="C2900" t="s">
        <v>10</v>
      </c>
      <c r="D2900" t="s">
        <v>11</v>
      </c>
      <c r="E2900">
        <v>202602</v>
      </c>
      <c r="F2900" t="s">
        <v>631</v>
      </c>
      <c r="G2900">
        <v>0</v>
      </c>
      <c r="H2900">
        <v>1</v>
      </c>
      <c r="I2900">
        <v>1</v>
      </c>
      <c r="J2900">
        <v>1</v>
      </c>
      <c r="K2900">
        <v>0</v>
      </c>
      <c r="L2900">
        <v>1</v>
      </c>
      <c r="M2900">
        <v>0</v>
      </c>
      <c r="N2900">
        <v>0</v>
      </c>
      <c r="O2900">
        <v>1</v>
      </c>
      <c r="P2900">
        <v>2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2</v>
      </c>
      <c r="Z2900">
        <v>1</v>
      </c>
      <c r="AA2900">
        <v>1</v>
      </c>
      <c r="AB2900">
        <v>0</v>
      </c>
      <c r="AC2900">
        <v>2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14</v>
      </c>
      <c r="AM2900">
        <v>1.6666666666666667</v>
      </c>
      <c r="AN2900">
        <v>22.398343113565303</v>
      </c>
    </row>
    <row r="2901" spans="1:40" x14ac:dyDescent="0.3">
      <c r="A2901" t="s">
        <v>605</v>
      </c>
      <c r="B2901" t="s">
        <v>136</v>
      </c>
      <c r="C2901" t="s">
        <v>10</v>
      </c>
      <c r="D2901" t="s">
        <v>11</v>
      </c>
      <c r="E2901">
        <v>202602</v>
      </c>
      <c r="F2901" t="s">
        <v>137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1</v>
      </c>
      <c r="AM2901">
        <v>0.33333333333333331</v>
      </c>
      <c r="AN2901">
        <v>2.6796686227130611</v>
      </c>
    </row>
    <row r="2902" spans="1:40" x14ac:dyDescent="0.3">
      <c r="A2902" t="s">
        <v>605</v>
      </c>
      <c r="B2902" t="s">
        <v>136</v>
      </c>
      <c r="C2902" t="s">
        <v>10</v>
      </c>
      <c r="D2902" t="s">
        <v>14</v>
      </c>
      <c r="E2902">
        <v>202602</v>
      </c>
      <c r="F2902" t="s">
        <v>631</v>
      </c>
      <c r="G2902">
        <v>0</v>
      </c>
      <c r="H2902">
        <v>1</v>
      </c>
      <c r="I2902">
        <v>1</v>
      </c>
      <c r="J2902">
        <v>2</v>
      </c>
      <c r="K2902">
        <v>1</v>
      </c>
      <c r="L2902">
        <v>1</v>
      </c>
      <c r="M2902">
        <v>0</v>
      </c>
      <c r="N2902">
        <v>0</v>
      </c>
      <c r="O2902">
        <v>2</v>
      </c>
      <c r="P2902">
        <v>0</v>
      </c>
      <c r="Q2902">
        <v>2</v>
      </c>
      <c r="R2902">
        <v>1</v>
      </c>
      <c r="S2902">
        <v>2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2</v>
      </c>
      <c r="AA2902">
        <v>0</v>
      </c>
      <c r="AB2902">
        <v>0</v>
      </c>
      <c r="AC2902">
        <v>3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19</v>
      </c>
      <c r="AM2902">
        <v>2</v>
      </c>
      <c r="AN2902">
        <v>27.605448567401503</v>
      </c>
    </row>
    <row r="2903" spans="1:40" x14ac:dyDescent="0.3">
      <c r="A2903" t="s">
        <v>605</v>
      </c>
      <c r="B2903" t="s">
        <v>136</v>
      </c>
      <c r="C2903" t="s">
        <v>10</v>
      </c>
      <c r="D2903" t="s">
        <v>14</v>
      </c>
      <c r="E2903">
        <v>202602</v>
      </c>
      <c r="F2903" t="s">
        <v>137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1</v>
      </c>
      <c r="AM2903">
        <v>0.33333333333333331</v>
      </c>
      <c r="AN2903">
        <v>2.43424142790025</v>
      </c>
    </row>
    <row r="2904" spans="1:40" x14ac:dyDescent="0.3">
      <c r="A2904" t="s">
        <v>605</v>
      </c>
      <c r="B2904" t="s">
        <v>644</v>
      </c>
      <c r="C2904" t="s">
        <v>10</v>
      </c>
      <c r="D2904" t="s">
        <v>11</v>
      </c>
      <c r="E2904">
        <v>202602</v>
      </c>
      <c r="F2904" t="s">
        <v>101</v>
      </c>
      <c r="G2904">
        <v>0</v>
      </c>
      <c r="H2904">
        <v>0</v>
      </c>
      <c r="I2904">
        <v>0</v>
      </c>
      <c r="J2904">
        <v>0</v>
      </c>
      <c r="K2904">
        <v>1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1</v>
      </c>
      <c r="AM2904">
        <v>0</v>
      </c>
      <c r="AN2904">
        <v>1</v>
      </c>
    </row>
    <row r="2905" spans="1:40" x14ac:dyDescent="0.3">
      <c r="A2905" t="s">
        <v>605</v>
      </c>
      <c r="B2905" t="s">
        <v>644</v>
      </c>
      <c r="C2905" t="s">
        <v>10</v>
      </c>
      <c r="D2905" t="s">
        <v>14</v>
      </c>
      <c r="E2905">
        <v>202602</v>
      </c>
      <c r="F2905" t="s">
        <v>101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1</v>
      </c>
      <c r="AM2905">
        <v>0</v>
      </c>
      <c r="AN2905">
        <v>1</v>
      </c>
    </row>
    <row r="2906" spans="1:40" x14ac:dyDescent="0.3">
      <c r="A2906" t="s">
        <v>605</v>
      </c>
      <c r="B2906" t="s">
        <v>644</v>
      </c>
      <c r="C2906" t="s">
        <v>10</v>
      </c>
      <c r="D2906" t="s">
        <v>14</v>
      </c>
      <c r="E2906">
        <v>202602</v>
      </c>
      <c r="F2906" t="s">
        <v>138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1</v>
      </c>
      <c r="AM2906">
        <v>0</v>
      </c>
      <c r="AN2906">
        <v>1</v>
      </c>
    </row>
    <row r="2907" spans="1:40" x14ac:dyDescent="0.3">
      <c r="A2907" t="s">
        <v>605</v>
      </c>
      <c r="B2907" t="s">
        <v>139</v>
      </c>
      <c r="C2907" t="s">
        <v>10</v>
      </c>
      <c r="D2907" t="s">
        <v>11</v>
      </c>
      <c r="E2907">
        <v>202602</v>
      </c>
      <c r="F2907" t="s">
        <v>141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2</v>
      </c>
      <c r="AM2907">
        <v>0.33333333333333331</v>
      </c>
      <c r="AN2907">
        <v>3.6796686227130611</v>
      </c>
    </row>
    <row r="2908" spans="1:40" x14ac:dyDescent="0.3">
      <c r="A2908" t="s">
        <v>605</v>
      </c>
      <c r="B2908" t="s">
        <v>139</v>
      </c>
      <c r="C2908" t="s">
        <v>10</v>
      </c>
      <c r="D2908" t="s">
        <v>11</v>
      </c>
      <c r="E2908">
        <v>202602</v>
      </c>
      <c r="F2908" t="s">
        <v>622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4</v>
      </c>
      <c r="AM2908">
        <v>0</v>
      </c>
      <c r="AN2908">
        <v>4</v>
      </c>
    </row>
    <row r="2909" spans="1:40" x14ac:dyDescent="0.3">
      <c r="A2909" t="s">
        <v>605</v>
      </c>
      <c r="B2909" t="s">
        <v>139</v>
      </c>
      <c r="C2909" t="s">
        <v>10</v>
      </c>
      <c r="D2909" t="s">
        <v>11</v>
      </c>
      <c r="E2909">
        <v>202602</v>
      </c>
      <c r="F2909" t="s">
        <v>632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1</v>
      </c>
      <c r="AM2909">
        <v>0</v>
      </c>
      <c r="AN2909">
        <v>1</v>
      </c>
    </row>
    <row r="2910" spans="1:40" x14ac:dyDescent="0.3">
      <c r="A2910" t="s">
        <v>605</v>
      </c>
      <c r="B2910" t="s">
        <v>139</v>
      </c>
      <c r="C2910" t="s">
        <v>10</v>
      </c>
      <c r="D2910" t="s">
        <v>11</v>
      </c>
      <c r="E2910">
        <v>202602</v>
      </c>
      <c r="F2910" t="s">
        <v>698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2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2</v>
      </c>
      <c r="AM2910">
        <v>0.66666666666666663</v>
      </c>
      <c r="AN2910">
        <v>5.3593372454261221</v>
      </c>
    </row>
    <row r="2911" spans="1:40" x14ac:dyDescent="0.3">
      <c r="A2911" t="s">
        <v>605</v>
      </c>
      <c r="B2911" t="s">
        <v>139</v>
      </c>
      <c r="C2911" t="s">
        <v>10</v>
      </c>
      <c r="D2911" t="s">
        <v>11</v>
      </c>
      <c r="E2911">
        <v>202602</v>
      </c>
      <c r="F2911" t="s">
        <v>633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1</v>
      </c>
      <c r="AM2911">
        <v>0</v>
      </c>
      <c r="AN2911">
        <v>1</v>
      </c>
    </row>
    <row r="2912" spans="1:40" x14ac:dyDescent="0.3">
      <c r="A2912" t="s">
        <v>605</v>
      </c>
      <c r="B2912" t="s">
        <v>139</v>
      </c>
      <c r="C2912" t="s">
        <v>10</v>
      </c>
      <c r="D2912" t="s">
        <v>11</v>
      </c>
      <c r="E2912">
        <v>202602</v>
      </c>
      <c r="F2912" t="s">
        <v>634</v>
      </c>
      <c r="G2912">
        <v>0</v>
      </c>
      <c r="H2912">
        <v>0</v>
      </c>
      <c r="I2912">
        <v>1</v>
      </c>
      <c r="J2912">
        <v>0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4</v>
      </c>
      <c r="AM2912">
        <v>0.33333333333333331</v>
      </c>
      <c r="AN2912">
        <v>5.6796686227130611</v>
      </c>
    </row>
    <row r="2913" spans="1:40" x14ac:dyDescent="0.3">
      <c r="A2913" t="s">
        <v>605</v>
      </c>
      <c r="B2913" t="s">
        <v>139</v>
      </c>
      <c r="C2913" t="s">
        <v>10</v>
      </c>
      <c r="D2913" t="s">
        <v>11</v>
      </c>
      <c r="E2913">
        <v>202602</v>
      </c>
      <c r="F2913" t="s">
        <v>234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1</v>
      </c>
      <c r="AM2913">
        <v>0.33333333333333331</v>
      </c>
      <c r="AN2913">
        <v>2.6796686227130611</v>
      </c>
    </row>
    <row r="2914" spans="1:40" x14ac:dyDescent="0.3">
      <c r="A2914" t="s">
        <v>605</v>
      </c>
      <c r="B2914" t="s">
        <v>139</v>
      </c>
      <c r="C2914" t="s">
        <v>10</v>
      </c>
      <c r="D2914" t="s">
        <v>11</v>
      </c>
      <c r="E2914">
        <v>202602</v>
      </c>
      <c r="F2914" t="s">
        <v>739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1</v>
      </c>
      <c r="AM2914">
        <v>0.33333333333333331</v>
      </c>
      <c r="AN2914">
        <v>2.6796686227130611</v>
      </c>
    </row>
    <row r="2915" spans="1:40" x14ac:dyDescent="0.3">
      <c r="A2915" t="s">
        <v>605</v>
      </c>
      <c r="B2915" t="s">
        <v>139</v>
      </c>
      <c r="C2915" t="s">
        <v>10</v>
      </c>
      <c r="D2915" t="s">
        <v>11</v>
      </c>
      <c r="E2915">
        <v>202602</v>
      </c>
      <c r="F2915" t="s">
        <v>635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1</v>
      </c>
      <c r="AM2915">
        <v>0</v>
      </c>
      <c r="AN2915">
        <v>1</v>
      </c>
    </row>
    <row r="2916" spans="1:40" x14ac:dyDescent="0.3">
      <c r="A2916" t="s">
        <v>605</v>
      </c>
      <c r="B2916" t="s">
        <v>139</v>
      </c>
      <c r="C2916" t="s">
        <v>10</v>
      </c>
      <c r="D2916" t="s">
        <v>11</v>
      </c>
      <c r="E2916">
        <v>202602</v>
      </c>
      <c r="F2916" t="s">
        <v>636</v>
      </c>
      <c r="G2916">
        <v>0</v>
      </c>
      <c r="H2916">
        <v>0</v>
      </c>
      <c r="I2916">
        <v>0</v>
      </c>
      <c r="J2916">
        <v>1</v>
      </c>
      <c r="K2916">
        <v>1</v>
      </c>
      <c r="L2916">
        <v>1</v>
      </c>
      <c r="M2916">
        <v>2</v>
      </c>
      <c r="N2916">
        <v>0</v>
      </c>
      <c r="O2916">
        <v>0</v>
      </c>
      <c r="P2916">
        <v>0</v>
      </c>
      <c r="Q2916">
        <v>1</v>
      </c>
      <c r="R2916">
        <v>2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1</v>
      </c>
      <c r="AA2916">
        <v>0</v>
      </c>
      <c r="AB2916">
        <v>0</v>
      </c>
      <c r="AC2916">
        <v>1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11</v>
      </c>
      <c r="AM2916">
        <v>0.66666666666666663</v>
      </c>
      <c r="AN2916">
        <v>14.359337245426122</v>
      </c>
    </row>
    <row r="2917" spans="1:40" x14ac:dyDescent="0.3">
      <c r="A2917" t="s">
        <v>605</v>
      </c>
      <c r="B2917" t="s">
        <v>139</v>
      </c>
      <c r="C2917" t="s">
        <v>10</v>
      </c>
      <c r="D2917" t="s">
        <v>11</v>
      </c>
      <c r="E2917">
        <v>202602</v>
      </c>
      <c r="F2917" t="s">
        <v>637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1</v>
      </c>
      <c r="AM2917">
        <v>0</v>
      </c>
      <c r="AN2917">
        <v>1</v>
      </c>
    </row>
    <row r="2918" spans="1:40" x14ac:dyDescent="0.3">
      <c r="A2918" t="s">
        <v>605</v>
      </c>
      <c r="B2918" t="s">
        <v>139</v>
      </c>
      <c r="C2918" t="s">
        <v>10</v>
      </c>
      <c r="D2918" t="s">
        <v>11</v>
      </c>
      <c r="E2918">
        <v>202602</v>
      </c>
      <c r="F2918" t="s">
        <v>638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2</v>
      </c>
      <c r="AM2918">
        <v>0.33333333333333331</v>
      </c>
      <c r="AN2918">
        <v>3.6796686227130611</v>
      </c>
    </row>
    <row r="2919" spans="1:40" x14ac:dyDescent="0.3">
      <c r="A2919" t="s">
        <v>605</v>
      </c>
      <c r="B2919" t="s">
        <v>139</v>
      </c>
      <c r="C2919" t="s">
        <v>10</v>
      </c>
      <c r="D2919" t="s">
        <v>11</v>
      </c>
      <c r="E2919">
        <v>202602</v>
      </c>
      <c r="F2919" t="s">
        <v>639</v>
      </c>
      <c r="G2919">
        <v>0</v>
      </c>
      <c r="H2919">
        <v>0</v>
      </c>
      <c r="I2919">
        <v>0</v>
      </c>
      <c r="J2919">
        <v>0</v>
      </c>
      <c r="K2919">
        <v>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2</v>
      </c>
      <c r="AM2919">
        <v>0</v>
      </c>
      <c r="AN2919">
        <v>2</v>
      </c>
    </row>
    <row r="2920" spans="1:40" x14ac:dyDescent="0.3">
      <c r="A2920" t="s">
        <v>605</v>
      </c>
      <c r="B2920" t="s">
        <v>139</v>
      </c>
      <c r="C2920" t="s">
        <v>10</v>
      </c>
      <c r="D2920" t="s">
        <v>14</v>
      </c>
      <c r="E2920">
        <v>202602</v>
      </c>
      <c r="F2920" t="s">
        <v>141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2</v>
      </c>
      <c r="AM2920">
        <v>0</v>
      </c>
      <c r="AN2920">
        <v>2</v>
      </c>
    </row>
    <row r="2921" spans="1:40" x14ac:dyDescent="0.3">
      <c r="A2921" t="s">
        <v>605</v>
      </c>
      <c r="B2921" t="s">
        <v>139</v>
      </c>
      <c r="C2921" t="s">
        <v>10</v>
      </c>
      <c r="D2921" t="s">
        <v>14</v>
      </c>
      <c r="E2921">
        <v>202602</v>
      </c>
      <c r="F2921" t="s">
        <v>622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3</v>
      </c>
      <c r="AM2921">
        <v>0</v>
      </c>
      <c r="AN2921">
        <v>3</v>
      </c>
    </row>
    <row r="2922" spans="1:40" x14ac:dyDescent="0.3">
      <c r="A2922" t="s">
        <v>605</v>
      </c>
      <c r="B2922" t="s">
        <v>139</v>
      </c>
      <c r="C2922" t="s">
        <v>10</v>
      </c>
      <c r="D2922" t="s">
        <v>14</v>
      </c>
      <c r="E2922">
        <v>202602</v>
      </c>
      <c r="F2922" t="s">
        <v>632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1</v>
      </c>
      <c r="AM2922">
        <v>0</v>
      </c>
      <c r="AN2922">
        <v>1</v>
      </c>
    </row>
    <row r="2923" spans="1:40" x14ac:dyDescent="0.3">
      <c r="A2923" t="s">
        <v>605</v>
      </c>
      <c r="B2923" t="s">
        <v>139</v>
      </c>
      <c r="C2923" t="s">
        <v>10</v>
      </c>
      <c r="D2923" t="s">
        <v>14</v>
      </c>
      <c r="E2923">
        <v>202602</v>
      </c>
      <c r="F2923" t="s">
        <v>698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2</v>
      </c>
      <c r="AM2923">
        <v>0</v>
      </c>
      <c r="AN2923">
        <v>2</v>
      </c>
    </row>
    <row r="2924" spans="1:40" x14ac:dyDescent="0.3">
      <c r="A2924" t="s">
        <v>605</v>
      </c>
      <c r="B2924" t="s">
        <v>139</v>
      </c>
      <c r="C2924" t="s">
        <v>10</v>
      </c>
      <c r="D2924" t="s">
        <v>14</v>
      </c>
      <c r="E2924">
        <v>202602</v>
      </c>
      <c r="F2924" t="s">
        <v>633</v>
      </c>
      <c r="G2924">
        <v>0</v>
      </c>
      <c r="H2924">
        <v>1</v>
      </c>
      <c r="I2924">
        <v>0</v>
      </c>
      <c r="J2924">
        <v>0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2</v>
      </c>
      <c r="AM2924">
        <v>0</v>
      </c>
      <c r="AN2924">
        <v>2</v>
      </c>
    </row>
    <row r="2925" spans="1:40" x14ac:dyDescent="0.3">
      <c r="A2925" t="s">
        <v>605</v>
      </c>
      <c r="B2925" t="s">
        <v>139</v>
      </c>
      <c r="C2925" t="s">
        <v>10</v>
      </c>
      <c r="D2925" t="s">
        <v>14</v>
      </c>
      <c r="E2925">
        <v>202602</v>
      </c>
      <c r="F2925" t="s">
        <v>634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5</v>
      </c>
      <c r="AM2925">
        <v>0.33333333333333331</v>
      </c>
      <c r="AN2925">
        <v>6.4342414279002504</v>
      </c>
    </row>
    <row r="2926" spans="1:40" x14ac:dyDescent="0.3">
      <c r="A2926" t="s">
        <v>605</v>
      </c>
      <c r="B2926" t="s">
        <v>139</v>
      </c>
      <c r="C2926" t="s">
        <v>10</v>
      </c>
      <c r="D2926" t="s">
        <v>14</v>
      </c>
      <c r="E2926">
        <v>202602</v>
      </c>
      <c r="F2926" t="s">
        <v>234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1</v>
      </c>
      <c r="AM2926">
        <v>0</v>
      </c>
      <c r="AN2926">
        <v>1</v>
      </c>
    </row>
    <row r="2927" spans="1:40" x14ac:dyDescent="0.3">
      <c r="A2927" t="s">
        <v>605</v>
      </c>
      <c r="B2927" t="s">
        <v>139</v>
      </c>
      <c r="C2927" t="s">
        <v>10</v>
      </c>
      <c r="D2927" t="s">
        <v>14</v>
      </c>
      <c r="E2927">
        <v>202602</v>
      </c>
      <c r="F2927" t="s">
        <v>739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1</v>
      </c>
      <c r="AM2927">
        <v>0</v>
      </c>
      <c r="AN2927">
        <v>1</v>
      </c>
    </row>
    <row r="2928" spans="1:40" x14ac:dyDescent="0.3">
      <c r="A2928" t="s">
        <v>605</v>
      </c>
      <c r="B2928" t="s">
        <v>139</v>
      </c>
      <c r="C2928" t="s">
        <v>10</v>
      </c>
      <c r="D2928" t="s">
        <v>14</v>
      </c>
      <c r="E2928">
        <v>202602</v>
      </c>
      <c r="F2928" t="s">
        <v>635</v>
      </c>
      <c r="G2928">
        <v>0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2</v>
      </c>
      <c r="AM2928">
        <v>0.33333333333333331</v>
      </c>
      <c r="AN2928">
        <v>3.43424142790025</v>
      </c>
    </row>
    <row r="2929" spans="1:40" x14ac:dyDescent="0.3">
      <c r="A2929" t="s">
        <v>605</v>
      </c>
      <c r="B2929" t="s">
        <v>139</v>
      </c>
      <c r="C2929" t="s">
        <v>10</v>
      </c>
      <c r="D2929" t="s">
        <v>14</v>
      </c>
      <c r="E2929">
        <v>202602</v>
      </c>
      <c r="F2929" t="s">
        <v>636</v>
      </c>
      <c r="G2929">
        <v>0</v>
      </c>
      <c r="H2929">
        <v>0</v>
      </c>
      <c r="I2929">
        <v>2</v>
      </c>
      <c r="J2929">
        <v>0</v>
      </c>
      <c r="K2929">
        <v>2</v>
      </c>
      <c r="L2929">
        <v>1</v>
      </c>
      <c r="M2929">
        <v>0</v>
      </c>
      <c r="N2929">
        <v>0</v>
      </c>
      <c r="O2929">
        <v>2</v>
      </c>
      <c r="P2929">
        <v>2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  <c r="Z2929">
        <v>2</v>
      </c>
      <c r="AA2929">
        <v>0</v>
      </c>
      <c r="AB2929">
        <v>0</v>
      </c>
      <c r="AC2929">
        <v>1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14</v>
      </c>
      <c r="AM2929">
        <v>1.3333333333333333</v>
      </c>
      <c r="AN2929">
        <v>19.736965711601002</v>
      </c>
    </row>
    <row r="2930" spans="1:40" x14ac:dyDescent="0.3">
      <c r="A2930" t="s">
        <v>605</v>
      </c>
      <c r="B2930" t="s">
        <v>139</v>
      </c>
      <c r="C2930" t="s">
        <v>10</v>
      </c>
      <c r="D2930" t="s">
        <v>14</v>
      </c>
      <c r="E2930">
        <v>202602</v>
      </c>
      <c r="F2930" t="s">
        <v>637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1</v>
      </c>
      <c r="AM2930">
        <v>0</v>
      </c>
      <c r="AN2930">
        <v>1</v>
      </c>
    </row>
    <row r="2931" spans="1:40" x14ac:dyDescent="0.3">
      <c r="A2931" t="s">
        <v>605</v>
      </c>
      <c r="B2931" t="s">
        <v>139</v>
      </c>
      <c r="C2931" t="s">
        <v>10</v>
      </c>
      <c r="D2931" t="s">
        <v>14</v>
      </c>
      <c r="E2931">
        <v>202602</v>
      </c>
      <c r="F2931" t="s">
        <v>638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2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4</v>
      </c>
      <c r="AM2931">
        <v>0</v>
      </c>
      <c r="AN2931">
        <v>4</v>
      </c>
    </row>
    <row r="2932" spans="1:40" x14ac:dyDescent="0.3">
      <c r="A2932" t="s">
        <v>605</v>
      </c>
      <c r="B2932" t="s">
        <v>139</v>
      </c>
      <c r="C2932" t="s">
        <v>10</v>
      </c>
      <c r="D2932" t="s">
        <v>14</v>
      </c>
      <c r="E2932">
        <v>202602</v>
      </c>
      <c r="F2932" t="s">
        <v>639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2</v>
      </c>
      <c r="AM2932">
        <v>0</v>
      </c>
      <c r="AN2932">
        <v>2</v>
      </c>
    </row>
    <row r="2933" spans="1:40" x14ac:dyDescent="0.3">
      <c r="A2933" t="s">
        <v>605</v>
      </c>
      <c r="B2933" t="s">
        <v>139</v>
      </c>
      <c r="C2933" t="s">
        <v>10</v>
      </c>
      <c r="D2933" t="s">
        <v>14</v>
      </c>
      <c r="E2933">
        <v>202602</v>
      </c>
      <c r="F2933" t="s">
        <v>768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1</v>
      </c>
      <c r="AM2933">
        <v>0.33333333333333331</v>
      </c>
      <c r="AN2933">
        <v>2.43424142790025</v>
      </c>
    </row>
    <row r="2934" spans="1:40" x14ac:dyDescent="0.3">
      <c r="A2934" t="s">
        <v>605</v>
      </c>
      <c r="B2934" t="s">
        <v>238</v>
      </c>
      <c r="C2934" t="s">
        <v>10</v>
      </c>
      <c r="D2934" t="s">
        <v>11</v>
      </c>
      <c r="E2934">
        <v>202602</v>
      </c>
      <c r="F2934" t="s">
        <v>203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1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3</v>
      </c>
      <c r="AM2934">
        <v>0.33333333333333331</v>
      </c>
      <c r="AN2934">
        <v>4.6796686227130611</v>
      </c>
    </row>
    <row r="2935" spans="1:40" x14ac:dyDescent="0.3">
      <c r="A2935" t="s">
        <v>605</v>
      </c>
      <c r="B2935" t="s">
        <v>238</v>
      </c>
      <c r="C2935" t="s">
        <v>10</v>
      </c>
      <c r="D2935" t="s">
        <v>14</v>
      </c>
      <c r="E2935">
        <v>202602</v>
      </c>
      <c r="F2935" t="s">
        <v>203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3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6</v>
      </c>
      <c r="AM2935">
        <v>0.33333333333333331</v>
      </c>
      <c r="AN2935">
        <v>7.4342414279002504</v>
      </c>
    </row>
    <row r="2936" spans="1:40" x14ac:dyDescent="0.3">
      <c r="A2936" t="s">
        <v>605</v>
      </c>
      <c r="B2936" t="s">
        <v>656</v>
      </c>
      <c r="C2936" t="s">
        <v>10</v>
      </c>
      <c r="D2936" t="s">
        <v>11</v>
      </c>
      <c r="E2936">
        <v>202602</v>
      </c>
      <c r="F2936" t="s">
        <v>171</v>
      </c>
      <c r="G2936">
        <v>0</v>
      </c>
      <c r="H2936">
        <v>0</v>
      </c>
      <c r="I2936">
        <v>3</v>
      </c>
      <c r="J2936">
        <v>0</v>
      </c>
      <c r="K2936">
        <v>2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2</v>
      </c>
      <c r="R2936">
        <v>1</v>
      </c>
      <c r="S2936">
        <v>1</v>
      </c>
      <c r="T2936">
        <v>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12</v>
      </c>
      <c r="AM2936">
        <v>0.33333333333333331</v>
      </c>
      <c r="AN2936">
        <v>13.679668622713061</v>
      </c>
    </row>
    <row r="2937" spans="1:40" x14ac:dyDescent="0.3">
      <c r="A2937" t="s">
        <v>605</v>
      </c>
      <c r="B2937" t="s">
        <v>656</v>
      </c>
      <c r="C2937" t="s">
        <v>10</v>
      </c>
      <c r="D2937" t="s">
        <v>11</v>
      </c>
      <c r="E2937">
        <v>202602</v>
      </c>
      <c r="F2937" t="s">
        <v>572</v>
      </c>
      <c r="G2937">
        <v>0</v>
      </c>
      <c r="H2937">
        <v>0</v>
      </c>
      <c r="I2937">
        <v>4</v>
      </c>
      <c r="J2937">
        <v>7</v>
      </c>
      <c r="K2937">
        <v>5</v>
      </c>
      <c r="L2937">
        <v>10</v>
      </c>
      <c r="M2937">
        <v>3</v>
      </c>
      <c r="N2937">
        <v>0</v>
      </c>
      <c r="O2937">
        <v>6</v>
      </c>
      <c r="P2937">
        <v>8</v>
      </c>
      <c r="Q2937">
        <v>7</v>
      </c>
      <c r="R2937">
        <v>7</v>
      </c>
      <c r="S2937">
        <v>3</v>
      </c>
      <c r="T2937">
        <v>2</v>
      </c>
      <c r="U2937">
        <v>0</v>
      </c>
      <c r="V2937">
        <v>0</v>
      </c>
      <c r="W2937">
        <v>0</v>
      </c>
      <c r="X2937">
        <v>0</v>
      </c>
      <c r="Y2937">
        <v>6</v>
      </c>
      <c r="Z2937">
        <v>8</v>
      </c>
      <c r="AA2937">
        <v>2</v>
      </c>
      <c r="AB2937">
        <v>0</v>
      </c>
      <c r="AC2937">
        <v>5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83</v>
      </c>
      <c r="AM2937">
        <v>6.333333333333333</v>
      </c>
      <c r="AN2937">
        <v>114.91370383154816</v>
      </c>
    </row>
    <row r="2938" spans="1:40" x14ac:dyDescent="0.3">
      <c r="A2938" t="s">
        <v>605</v>
      </c>
      <c r="B2938" t="s">
        <v>656</v>
      </c>
      <c r="C2938" t="s">
        <v>10</v>
      </c>
      <c r="D2938" t="s">
        <v>14</v>
      </c>
      <c r="E2938">
        <v>202602</v>
      </c>
      <c r="F2938" t="s">
        <v>171</v>
      </c>
      <c r="G2938">
        <v>0</v>
      </c>
      <c r="H2938">
        <v>4</v>
      </c>
      <c r="I2938">
        <v>1</v>
      </c>
      <c r="J2938">
        <v>2</v>
      </c>
      <c r="K2938">
        <v>0</v>
      </c>
      <c r="L2938">
        <v>1</v>
      </c>
      <c r="M2938">
        <v>0</v>
      </c>
      <c r="N2938">
        <v>0</v>
      </c>
      <c r="O2938">
        <v>2</v>
      </c>
      <c r="P2938">
        <v>0</v>
      </c>
      <c r="Q2938">
        <v>1</v>
      </c>
      <c r="R2938">
        <v>3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1</v>
      </c>
      <c r="Z2938">
        <v>2</v>
      </c>
      <c r="AA2938">
        <v>2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21</v>
      </c>
      <c r="AM2938">
        <v>1</v>
      </c>
      <c r="AN2938">
        <v>25.302724283700751</v>
      </c>
    </row>
    <row r="2939" spans="1:40" x14ac:dyDescent="0.3">
      <c r="A2939" t="s">
        <v>605</v>
      </c>
      <c r="B2939" t="s">
        <v>656</v>
      </c>
      <c r="C2939" t="s">
        <v>10</v>
      </c>
      <c r="D2939" t="s">
        <v>14</v>
      </c>
      <c r="E2939">
        <v>202602</v>
      </c>
      <c r="F2939" t="s">
        <v>572</v>
      </c>
      <c r="G2939">
        <v>0</v>
      </c>
      <c r="H2939">
        <v>6</v>
      </c>
      <c r="I2939">
        <v>7</v>
      </c>
      <c r="J2939">
        <v>4</v>
      </c>
      <c r="K2939">
        <v>16</v>
      </c>
      <c r="L2939">
        <v>9</v>
      </c>
      <c r="M2939">
        <v>5</v>
      </c>
      <c r="N2939">
        <v>0</v>
      </c>
      <c r="O2939">
        <v>6</v>
      </c>
      <c r="P2939">
        <v>10</v>
      </c>
      <c r="Q2939">
        <v>6</v>
      </c>
      <c r="R2939">
        <v>7</v>
      </c>
      <c r="S2939">
        <v>7</v>
      </c>
      <c r="T2939">
        <v>1</v>
      </c>
      <c r="U2939">
        <v>0</v>
      </c>
      <c r="V2939">
        <v>4</v>
      </c>
      <c r="W2939">
        <v>0</v>
      </c>
      <c r="X2939">
        <v>3</v>
      </c>
      <c r="Y2939">
        <v>11</v>
      </c>
      <c r="Z2939">
        <v>4</v>
      </c>
      <c r="AA2939">
        <v>4</v>
      </c>
      <c r="AB2939">
        <v>0</v>
      </c>
      <c r="AC2939">
        <v>10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120</v>
      </c>
      <c r="AM2939">
        <v>8.3333333333333339</v>
      </c>
      <c r="AN2939">
        <v>155.85603569750626</v>
      </c>
    </row>
    <row r="2940" spans="1:40" x14ac:dyDescent="0.3">
      <c r="A2940" t="s">
        <v>605</v>
      </c>
      <c r="B2940" t="s">
        <v>656</v>
      </c>
      <c r="C2940" t="s">
        <v>16</v>
      </c>
      <c r="D2940" t="s">
        <v>11</v>
      </c>
      <c r="E2940">
        <v>202602</v>
      </c>
      <c r="F2940" t="s">
        <v>572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2</v>
      </c>
      <c r="AM2940">
        <v>0</v>
      </c>
      <c r="AN2940">
        <v>2</v>
      </c>
    </row>
    <row r="2941" spans="1:40" x14ac:dyDescent="0.3">
      <c r="A2941" t="s">
        <v>605</v>
      </c>
      <c r="B2941" t="s">
        <v>656</v>
      </c>
      <c r="C2941" t="s">
        <v>16</v>
      </c>
      <c r="D2941" t="s">
        <v>14</v>
      </c>
      <c r="E2941">
        <v>202602</v>
      </c>
      <c r="F2941" t="s">
        <v>572</v>
      </c>
      <c r="G2941">
        <v>0</v>
      </c>
      <c r="H2941">
        <v>0</v>
      </c>
      <c r="I2941">
        <v>1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2</v>
      </c>
      <c r="AM2941">
        <v>0</v>
      </c>
      <c r="AN2941">
        <v>2</v>
      </c>
    </row>
    <row r="2942" spans="1:40" x14ac:dyDescent="0.3">
      <c r="A2942" t="s">
        <v>605</v>
      </c>
      <c r="B2942" t="s">
        <v>164</v>
      </c>
      <c r="C2942" t="s">
        <v>10</v>
      </c>
      <c r="D2942" t="s">
        <v>11</v>
      </c>
      <c r="E2942">
        <v>202602</v>
      </c>
      <c r="F2942" t="s">
        <v>18</v>
      </c>
      <c r="G2942">
        <v>0</v>
      </c>
      <c r="H2942">
        <v>1</v>
      </c>
      <c r="I2942">
        <v>3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1</v>
      </c>
      <c r="Q2942">
        <v>1</v>
      </c>
      <c r="R2942">
        <v>1</v>
      </c>
      <c r="S2942">
        <v>2</v>
      </c>
      <c r="T2942">
        <v>1</v>
      </c>
      <c r="U2942">
        <v>0</v>
      </c>
      <c r="V2942">
        <v>0</v>
      </c>
      <c r="W2942">
        <v>0</v>
      </c>
      <c r="X2942">
        <v>0</v>
      </c>
      <c r="Y2942">
        <v>3</v>
      </c>
      <c r="Z2942">
        <v>1</v>
      </c>
      <c r="AA2942">
        <v>1</v>
      </c>
      <c r="AB2942">
        <v>0</v>
      </c>
      <c r="AC2942">
        <v>3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19</v>
      </c>
      <c r="AM2942">
        <v>2.3333333333333335</v>
      </c>
      <c r="AN2942">
        <v>30.757680358991426</v>
      </c>
    </row>
    <row r="2943" spans="1:40" x14ac:dyDescent="0.3">
      <c r="A2943" t="s">
        <v>605</v>
      </c>
      <c r="B2943" t="s">
        <v>164</v>
      </c>
      <c r="C2943" t="s">
        <v>10</v>
      </c>
      <c r="D2943" t="s">
        <v>11</v>
      </c>
      <c r="E2943">
        <v>202602</v>
      </c>
      <c r="F2943" t="s">
        <v>138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1</v>
      </c>
      <c r="P2943">
        <v>1</v>
      </c>
      <c r="Q2943">
        <v>0</v>
      </c>
      <c r="R2943">
        <v>1</v>
      </c>
      <c r="S2943">
        <v>3</v>
      </c>
      <c r="T2943">
        <v>1</v>
      </c>
      <c r="U2943">
        <v>0</v>
      </c>
      <c r="V2943">
        <v>0</v>
      </c>
      <c r="W2943">
        <v>0</v>
      </c>
      <c r="X2943">
        <v>4</v>
      </c>
      <c r="Y2943">
        <v>3</v>
      </c>
      <c r="Z2943">
        <v>3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18</v>
      </c>
      <c r="AM2943">
        <v>2</v>
      </c>
      <c r="AN2943">
        <v>28.078011736278363</v>
      </c>
    </row>
    <row r="2944" spans="1:40" x14ac:dyDescent="0.3">
      <c r="A2944" t="s">
        <v>605</v>
      </c>
      <c r="B2944" t="s">
        <v>164</v>
      </c>
      <c r="C2944" t="s">
        <v>10</v>
      </c>
      <c r="D2944" t="s">
        <v>14</v>
      </c>
      <c r="E2944">
        <v>202602</v>
      </c>
      <c r="F2944" t="s">
        <v>18</v>
      </c>
      <c r="G2944">
        <v>1</v>
      </c>
      <c r="H2944">
        <v>1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1</v>
      </c>
      <c r="P2944">
        <v>3</v>
      </c>
      <c r="Q2944">
        <v>4</v>
      </c>
      <c r="R2944">
        <v>1</v>
      </c>
      <c r="S2944">
        <v>2</v>
      </c>
      <c r="T2944">
        <v>2</v>
      </c>
      <c r="U2944">
        <v>1</v>
      </c>
      <c r="V2944">
        <v>0</v>
      </c>
      <c r="W2944">
        <v>0</v>
      </c>
      <c r="X2944">
        <v>2</v>
      </c>
      <c r="Y2944">
        <v>0</v>
      </c>
      <c r="Z2944">
        <v>3</v>
      </c>
      <c r="AA2944">
        <v>1</v>
      </c>
      <c r="AB2944">
        <v>0</v>
      </c>
      <c r="AC2944">
        <v>1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24</v>
      </c>
      <c r="AM2944">
        <v>1.3333333333333333</v>
      </c>
      <c r="AN2944">
        <v>29.736965711601002</v>
      </c>
    </row>
    <row r="2945" spans="1:40" x14ac:dyDescent="0.3">
      <c r="A2945" t="s">
        <v>605</v>
      </c>
      <c r="B2945" t="s">
        <v>164</v>
      </c>
      <c r="C2945" t="s">
        <v>10</v>
      </c>
      <c r="D2945" t="s">
        <v>14</v>
      </c>
      <c r="E2945">
        <v>202602</v>
      </c>
      <c r="F2945" t="s">
        <v>138</v>
      </c>
      <c r="G2945">
        <v>0</v>
      </c>
      <c r="H2945">
        <v>0</v>
      </c>
      <c r="I2945">
        <v>1</v>
      </c>
      <c r="J2945">
        <v>3</v>
      </c>
      <c r="K2945">
        <v>1</v>
      </c>
      <c r="L2945">
        <v>3</v>
      </c>
      <c r="M2945">
        <v>0</v>
      </c>
      <c r="N2945">
        <v>0</v>
      </c>
      <c r="O2945">
        <v>1</v>
      </c>
      <c r="P2945">
        <v>3</v>
      </c>
      <c r="Q2945">
        <v>3</v>
      </c>
      <c r="R2945">
        <v>2</v>
      </c>
      <c r="S2945">
        <v>4</v>
      </c>
      <c r="T2945">
        <v>0</v>
      </c>
      <c r="U2945">
        <v>0</v>
      </c>
      <c r="V2945">
        <v>1</v>
      </c>
      <c r="W2945">
        <v>2</v>
      </c>
      <c r="X2945">
        <v>3</v>
      </c>
      <c r="Y2945">
        <v>0</v>
      </c>
      <c r="Z2945">
        <v>2</v>
      </c>
      <c r="AA2945">
        <v>4</v>
      </c>
      <c r="AB2945">
        <v>0</v>
      </c>
      <c r="AC2945">
        <v>4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37</v>
      </c>
      <c r="AM2945">
        <v>2</v>
      </c>
      <c r="AN2945">
        <v>45.605448567401503</v>
      </c>
    </row>
    <row r="2946" spans="1:40" x14ac:dyDescent="0.3">
      <c r="A2946" t="s">
        <v>605</v>
      </c>
      <c r="B2946" t="s">
        <v>168</v>
      </c>
      <c r="C2946" t="s">
        <v>10</v>
      </c>
      <c r="D2946" t="s">
        <v>11</v>
      </c>
      <c r="E2946">
        <v>202602</v>
      </c>
      <c r="F2946" t="s">
        <v>169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1</v>
      </c>
      <c r="AM2946">
        <v>0</v>
      </c>
      <c r="AN2946">
        <v>1</v>
      </c>
    </row>
    <row r="2947" spans="1:40" x14ac:dyDescent="0.3">
      <c r="A2947" t="s">
        <v>605</v>
      </c>
      <c r="B2947" t="s">
        <v>168</v>
      </c>
      <c r="C2947" t="s">
        <v>10</v>
      </c>
      <c r="D2947" t="s">
        <v>14</v>
      </c>
      <c r="E2947">
        <v>202602</v>
      </c>
      <c r="F2947" t="s">
        <v>169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1</v>
      </c>
      <c r="AM2947">
        <v>0</v>
      </c>
      <c r="AN2947">
        <v>1</v>
      </c>
    </row>
    <row r="2948" spans="1:40" x14ac:dyDescent="0.3">
      <c r="A2948" t="s">
        <v>605</v>
      </c>
      <c r="B2948" t="s">
        <v>170</v>
      </c>
      <c r="C2948" t="s">
        <v>10</v>
      </c>
      <c r="D2948" t="s">
        <v>11</v>
      </c>
      <c r="E2948">
        <v>202602</v>
      </c>
      <c r="F2948" t="s">
        <v>50</v>
      </c>
      <c r="G2948">
        <v>0</v>
      </c>
      <c r="H2948">
        <v>0</v>
      </c>
      <c r="I2948">
        <v>0</v>
      </c>
      <c r="J2948">
        <v>0</v>
      </c>
      <c r="K2948">
        <v>1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2</v>
      </c>
      <c r="AM2948">
        <v>0</v>
      </c>
      <c r="AN2948">
        <v>2</v>
      </c>
    </row>
    <row r="2949" spans="1:40" x14ac:dyDescent="0.3">
      <c r="A2949" t="s">
        <v>605</v>
      </c>
      <c r="B2949" t="s">
        <v>170</v>
      </c>
      <c r="C2949" t="s">
        <v>10</v>
      </c>
      <c r="D2949" t="s">
        <v>14</v>
      </c>
      <c r="E2949">
        <v>202602</v>
      </c>
      <c r="F2949" t="s">
        <v>50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2</v>
      </c>
      <c r="AM2949">
        <v>0</v>
      </c>
      <c r="AN2949">
        <v>2</v>
      </c>
    </row>
    <row r="2950" spans="1:40" x14ac:dyDescent="0.3">
      <c r="AL2950">
        <v>0</v>
      </c>
      <c r="AM2950" t="s">
        <v>649</v>
      </c>
      <c r="AN2950" t="s">
        <v>649</v>
      </c>
    </row>
    <row r="2951" spans="1:40" x14ac:dyDescent="0.3">
      <c r="AL2951">
        <v>0</v>
      </c>
      <c r="AM2951" t="s">
        <v>649</v>
      </c>
      <c r="AN2951" t="s">
        <v>649</v>
      </c>
    </row>
    <row r="2952" spans="1:40" x14ac:dyDescent="0.3">
      <c r="AL2952">
        <v>0</v>
      </c>
      <c r="AM2952" t="s">
        <v>649</v>
      </c>
      <c r="AN2952" t="s">
        <v>649</v>
      </c>
    </row>
    <row r="2953" spans="1:40" x14ac:dyDescent="0.3">
      <c r="AL2953">
        <v>0</v>
      </c>
      <c r="AM2953" t="s">
        <v>649</v>
      </c>
      <c r="AN2953" t="s">
        <v>649</v>
      </c>
    </row>
    <row r="2954" spans="1:40" x14ac:dyDescent="0.3">
      <c r="AL2954">
        <v>0</v>
      </c>
      <c r="AM2954" t="s">
        <v>649</v>
      </c>
      <c r="AN2954" t="s">
        <v>649</v>
      </c>
    </row>
    <row r="2955" spans="1:40" x14ac:dyDescent="0.3">
      <c r="AL2955">
        <v>0</v>
      </c>
      <c r="AM2955" t="s">
        <v>649</v>
      </c>
      <c r="AN2955" t="s">
        <v>649</v>
      </c>
    </row>
    <row r="2956" spans="1:40" x14ac:dyDescent="0.3">
      <c r="AL2956">
        <v>0</v>
      </c>
      <c r="AM2956" t="s">
        <v>649</v>
      </c>
      <c r="AN2956" t="s">
        <v>649</v>
      </c>
    </row>
    <row r="2957" spans="1:40" x14ac:dyDescent="0.3">
      <c r="AL2957">
        <v>0</v>
      </c>
      <c r="AM2957" t="s">
        <v>649</v>
      </c>
      <c r="AN2957" t="s">
        <v>649</v>
      </c>
    </row>
    <row r="2958" spans="1:40" x14ac:dyDescent="0.3">
      <c r="AL2958">
        <v>0</v>
      </c>
      <c r="AM2958" t="s">
        <v>649</v>
      </c>
      <c r="AN2958" t="s">
        <v>649</v>
      </c>
    </row>
    <row r="2959" spans="1:40" x14ac:dyDescent="0.3">
      <c r="AL2959">
        <v>0</v>
      </c>
      <c r="AM2959" t="s">
        <v>649</v>
      </c>
      <c r="AN2959" t="s">
        <v>649</v>
      </c>
    </row>
    <row r="2960" spans="1:40" x14ac:dyDescent="0.3">
      <c r="AL2960">
        <v>0</v>
      </c>
      <c r="AM2960" t="s">
        <v>649</v>
      </c>
      <c r="AN2960" t="s">
        <v>649</v>
      </c>
    </row>
    <row r="2961" spans="38:40" x14ac:dyDescent="0.3">
      <c r="AL2961">
        <v>0</v>
      </c>
      <c r="AM2961" t="s">
        <v>649</v>
      </c>
      <c r="AN2961" t="s">
        <v>649</v>
      </c>
    </row>
    <row r="2962" spans="38:40" x14ac:dyDescent="0.3">
      <c r="AL2962">
        <v>0</v>
      </c>
      <c r="AM2962" t="s">
        <v>649</v>
      </c>
      <c r="AN2962" t="s">
        <v>649</v>
      </c>
    </row>
    <row r="2963" spans="38:40" x14ac:dyDescent="0.3">
      <c r="AL2963">
        <v>0</v>
      </c>
      <c r="AM2963" t="s">
        <v>649</v>
      </c>
      <c r="AN2963" t="s">
        <v>649</v>
      </c>
    </row>
    <row r="2964" spans="38:40" x14ac:dyDescent="0.3">
      <c r="AL2964">
        <v>0</v>
      </c>
      <c r="AM2964" t="s">
        <v>649</v>
      </c>
      <c r="AN2964" t="s">
        <v>649</v>
      </c>
    </row>
    <row r="2965" spans="38:40" x14ac:dyDescent="0.3">
      <c r="AL2965">
        <v>0</v>
      </c>
      <c r="AM2965" t="s">
        <v>649</v>
      </c>
      <c r="AN2965" t="s">
        <v>649</v>
      </c>
    </row>
    <row r="2966" spans="38:40" x14ac:dyDescent="0.3">
      <c r="AL2966">
        <v>0</v>
      </c>
      <c r="AM2966" t="s">
        <v>649</v>
      </c>
      <c r="AN2966" t="s">
        <v>649</v>
      </c>
    </row>
    <row r="2967" spans="38:40" x14ac:dyDescent="0.3">
      <c r="AL2967">
        <v>0</v>
      </c>
      <c r="AM2967" t="s">
        <v>649</v>
      </c>
      <c r="AN2967" t="s">
        <v>649</v>
      </c>
    </row>
    <row r="2968" spans="38:40" x14ac:dyDescent="0.3">
      <c r="AL2968">
        <v>0</v>
      </c>
      <c r="AM2968" t="s">
        <v>649</v>
      </c>
      <c r="AN2968" t="s">
        <v>649</v>
      </c>
    </row>
    <row r="2969" spans="38:40" x14ac:dyDescent="0.3">
      <c r="AL2969">
        <v>0</v>
      </c>
      <c r="AM2969" t="s">
        <v>649</v>
      </c>
      <c r="AN2969" t="s">
        <v>649</v>
      </c>
    </row>
    <row r="2970" spans="38:40" x14ac:dyDescent="0.3">
      <c r="AL2970">
        <v>0</v>
      </c>
      <c r="AM2970" t="s">
        <v>649</v>
      </c>
      <c r="AN2970" t="s">
        <v>649</v>
      </c>
    </row>
    <row r="2971" spans="38:40" x14ac:dyDescent="0.3">
      <c r="AL2971">
        <v>0</v>
      </c>
      <c r="AM2971" t="s">
        <v>649</v>
      </c>
      <c r="AN2971" t="s">
        <v>649</v>
      </c>
    </row>
    <row r="2972" spans="38:40" x14ac:dyDescent="0.3">
      <c r="AL2972">
        <v>0</v>
      </c>
      <c r="AM2972" t="s">
        <v>649</v>
      </c>
      <c r="AN2972" t="s">
        <v>649</v>
      </c>
    </row>
    <row r="2973" spans="38:40" x14ac:dyDescent="0.3">
      <c r="AL2973">
        <v>0</v>
      </c>
      <c r="AM2973" t="s">
        <v>649</v>
      </c>
      <c r="AN2973" t="s">
        <v>649</v>
      </c>
    </row>
    <row r="2974" spans="38:40" x14ac:dyDescent="0.3">
      <c r="AL2974">
        <v>0</v>
      </c>
      <c r="AM2974" t="s">
        <v>649</v>
      </c>
      <c r="AN2974" t="s">
        <v>649</v>
      </c>
    </row>
    <row r="2975" spans="38:40" x14ac:dyDescent="0.3">
      <c r="AL2975">
        <v>0</v>
      </c>
      <c r="AM2975" t="s">
        <v>649</v>
      </c>
      <c r="AN2975" t="s">
        <v>649</v>
      </c>
    </row>
    <row r="2976" spans="38:40" x14ac:dyDescent="0.3">
      <c r="AL2976">
        <v>0</v>
      </c>
      <c r="AM2976" t="s">
        <v>649</v>
      </c>
      <c r="AN2976" t="s">
        <v>649</v>
      </c>
    </row>
    <row r="2977" spans="38:40" x14ac:dyDescent="0.3">
      <c r="AL2977">
        <v>0</v>
      </c>
      <c r="AM2977" t="s">
        <v>649</v>
      </c>
      <c r="AN2977" t="s">
        <v>649</v>
      </c>
    </row>
    <row r="2978" spans="38:40" x14ac:dyDescent="0.3">
      <c r="AL2978">
        <v>0</v>
      </c>
      <c r="AM2978" t="s">
        <v>649</v>
      </c>
      <c r="AN2978" t="s">
        <v>649</v>
      </c>
    </row>
    <row r="2979" spans="38:40" x14ac:dyDescent="0.3">
      <c r="AL2979">
        <v>0</v>
      </c>
      <c r="AM2979" t="s">
        <v>649</v>
      </c>
      <c r="AN2979" t="s">
        <v>649</v>
      </c>
    </row>
    <row r="2980" spans="38:40" x14ac:dyDescent="0.3">
      <c r="AL2980">
        <v>0</v>
      </c>
      <c r="AM2980" t="s">
        <v>649</v>
      </c>
      <c r="AN2980" t="s">
        <v>649</v>
      </c>
    </row>
    <row r="2981" spans="38:40" x14ac:dyDescent="0.3">
      <c r="AL2981">
        <v>0</v>
      </c>
      <c r="AM2981" t="s">
        <v>649</v>
      </c>
      <c r="AN2981" t="s">
        <v>649</v>
      </c>
    </row>
    <row r="2982" spans="38:40" x14ac:dyDescent="0.3">
      <c r="AL2982">
        <v>0</v>
      </c>
      <c r="AM2982" t="s">
        <v>649</v>
      </c>
      <c r="AN2982" t="s">
        <v>649</v>
      </c>
    </row>
    <row r="2983" spans="38:40" x14ac:dyDescent="0.3">
      <c r="AL2983">
        <v>0</v>
      </c>
      <c r="AM2983" t="s">
        <v>649</v>
      </c>
      <c r="AN2983" t="s">
        <v>649</v>
      </c>
    </row>
    <row r="2984" spans="38:40" x14ac:dyDescent="0.3">
      <c r="AL2984">
        <v>0</v>
      </c>
      <c r="AM2984" t="s">
        <v>649</v>
      </c>
      <c r="AN2984" t="s">
        <v>649</v>
      </c>
    </row>
    <row r="2985" spans="38:40" x14ac:dyDescent="0.3">
      <c r="AL2985">
        <v>0</v>
      </c>
      <c r="AM2985" t="s">
        <v>649</v>
      </c>
      <c r="AN2985" t="s">
        <v>649</v>
      </c>
    </row>
    <row r="2986" spans="38:40" x14ac:dyDescent="0.3">
      <c r="AL2986">
        <v>0</v>
      </c>
      <c r="AM2986" t="s">
        <v>649</v>
      </c>
      <c r="AN2986" t="s">
        <v>649</v>
      </c>
    </row>
    <row r="2987" spans="38:40" x14ac:dyDescent="0.3">
      <c r="AL2987">
        <v>0</v>
      </c>
      <c r="AM2987" t="s">
        <v>649</v>
      </c>
      <c r="AN2987" t="s">
        <v>649</v>
      </c>
    </row>
    <row r="2988" spans="38:40" x14ac:dyDescent="0.3">
      <c r="AL2988">
        <v>0</v>
      </c>
      <c r="AM2988" t="s">
        <v>649</v>
      </c>
      <c r="AN2988" t="s">
        <v>649</v>
      </c>
    </row>
    <row r="2989" spans="38:40" x14ac:dyDescent="0.3">
      <c r="AL2989">
        <v>0</v>
      </c>
      <c r="AM2989" t="s">
        <v>649</v>
      </c>
      <c r="AN2989" t="s">
        <v>649</v>
      </c>
    </row>
    <row r="2990" spans="38:40" x14ac:dyDescent="0.3">
      <c r="AL2990">
        <v>0</v>
      </c>
      <c r="AM2990" t="s">
        <v>649</v>
      </c>
      <c r="AN2990" t="s">
        <v>649</v>
      </c>
    </row>
    <row r="2991" spans="38:40" x14ac:dyDescent="0.3">
      <c r="AL2991">
        <v>0</v>
      </c>
      <c r="AM2991" t="s">
        <v>649</v>
      </c>
      <c r="AN2991" t="s">
        <v>649</v>
      </c>
    </row>
    <row r="2992" spans="38:40" x14ac:dyDescent="0.3">
      <c r="AL2992">
        <v>0</v>
      </c>
      <c r="AM2992" t="s">
        <v>649</v>
      </c>
      <c r="AN2992" t="s">
        <v>649</v>
      </c>
    </row>
    <row r="2993" spans="38:40" x14ac:dyDescent="0.3">
      <c r="AL2993">
        <v>0</v>
      </c>
      <c r="AM2993" t="s">
        <v>649</v>
      </c>
      <c r="AN2993" t="s">
        <v>649</v>
      </c>
    </row>
    <row r="2994" spans="38:40" x14ac:dyDescent="0.3">
      <c r="AL2994">
        <v>0</v>
      </c>
      <c r="AM2994" t="s">
        <v>649</v>
      </c>
      <c r="AN2994" t="s">
        <v>649</v>
      </c>
    </row>
    <row r="2995" spans="38:40" x14ac:dyDescent="0.3">
      <c r="AL2995">
        <v>0</v>
      </c>
      <c r="AM2995" t="s">
        <v>649</v>
      </c>
      <c r="AN2995" t="s">
        <v>649</v>
      </c>
    </row>
    <row r="2996" spans="38:40" x14ac:dyDescent="0.3">
      <c r="AL2996">
        <v>0</v>
      </c>
      <c r="AM2996" t="s">
        <v>649</v>
      </c>
      <c r="AN2996" t="s">
        <v>649</v>
      </c>
    </row>
    <row r="2997" spans="38:40" x14ac:dyDescent="0.3">
      <c r="AL2997">
        <v>0</v>
      </c>
      <c r="AM2997" t="s">
        <v>649</v>
      </c>
      <c r="AN2997" t="s">
        <v>649</v>
      </c>
    </row>
    <row r="2998" spans="38:40" x14ac:dyDescent="0.3">
      <c r="AL2998">
        <v>0</v>
      </c>
      <c r="AM2998" t="s">
        <v>649</v>
      </c>
      <c r="AN2998" t="s">
        <v>649</v>
      </c>
    </row>
    <row r="2999" spans="38:40" x14ac:dyDescent="0.3">
      <c r="AL2999">
        <v>0</v>
      </c>
      <c r="AM2999" t="s">
        <v>649</v>
      </c>
      <c r="AN2999" t="s">
        <v>649</v>
      </c>
    </row>
    <row r="3000" spans="38:40" x14ac:dyDescent="0.3">
      <c r="AL3000">
        <v>0</v>
      </c>
      <c r="AM3000" t="s">
        <v>649</v>
      </c>
      <c r="AN3000" t="s">
        <v>649</v>
      </c>
    </row>
    <row r="3001" spans="38:40" x14ac:dyDescent="0.3">
      <c r="AL3001">
        <v>0</v>
      </c>
      <c r="AM3001" t="s">
        <v>649</v>
      </c>
      <c r="AN3001" t="s">
        <v>649</v>
      </c>
    </row>
    <row r="3002" spans="38:40" x14ac:dyDescent="0.3">
      <c r="AL3002">
        <v>0</v>
      </c>
      <c r="AM3002" t="s">
        <v>649</v>
      </c>
      <c r="AN3002" t="s">
        <v>649</v>
      </c>
    </row>
    <row r="3003" spans="38:40" x14ac:dyDescent="0.3">
      <c r="AL3003">
        <v>0</v>
      </c>
      <c r="AM3003" t="s">
        <v>649</v>
      </c>
      <c r="AN3003" t="s">
        <v>649</v>
      </c>
    </row>
    <row r="3004" spans="38:40" x14ac:dyDescent="0.3">
      <c r="AL3004">
        <v>0</v>
      </c>
      <c r="AM3004" t="s">
        <v>649</v>
      </c>
      <c r="AN3004" t="s">
        <v>649</v>
      </c>
    </row>
    <row r="3005" spans="38:40" x14ac:dyDescent="0.3">
      <c r="AL3005">
        <v>0</v>
      </c>
      <c r="AM3005" t="s">
        <v>649</v>
      </c>
      <c r="AN3005" t="s">
        <v>649</v>
      </c>
    </row>
    <row r="3006" spans="38:40" x14ac:dyDescent="0.3">
      <c r="AL3006">
        <v>0</v>
      </c>
      <c r="AM3006" t="s">
        <v>649</v>
      </c>
      <c r="AN3006" t="s">
        <v>649</v>
      </c>
    </row>
    <row r="3007" spans="38:40" x14ac:dyDescent="0.3">
      <c r="AL3007">
        <v>0</v>
      </c>
      <c r="AM3007" t="s">
        <v>649</v>
      </c>
      <c r="AN3007" t="s">
        <v>649</v>
      </c>
    </row>
    <row r="3008" spans="38:40" x14ac:dyDescent="0.3">
      <c r="AL3008">
        <v>0</v>
      </c>
      <c r="AM3008" t="s">
        <v>649</v>
      </c>
      <c r="AN3008" t="s">
        <v>649</v>
      </c>
    </row>
    <row r="3009" spans="38:40" x14ac:dyDescent="0.3">
      <c r="AL3009">
        <v>0</v>
      </c>
      <c r="AM3009" t="s">
        <v>649</v>
      </c>
      <c r="AN3009" t="s">
        <v>649</v>
      </c>
    </row>
    <row r="3010" spans="38:40" x14ac:dyDescent="0.3">
      <c r="AL3010">
        <v>0</v>
      </c>
      <c r="AM3010" t="s">
        <v>649</v>
      </c>
      <c r="AN3010" t="s">
        <v>649</v>
      </c>
    </row>
    <row r="3011" spans="38:40" x14ac:dyDescent="0.3">
      <c r="AL3011">
        <v>0</v>
      </c>
      <c r="AM3011" t="s">
        <v>649</v>
      </c>
      <c r="AN3011" t="s">
        <v>649</v>
      </c>
    </row>
    <row r="3012" spans="38:40" x14ac:dyDescent="0.3">
      <c r="AL3012">
        <v>0</v>
      </c>
      <c r="AM3012" t="s">
        <v>649</v>
      </c>
      <c r="AN3012" t="s">
        <v>649</v>
      </c>
    </row>
    <row r="3013" spans="38:40" x14ac:dyDescent="0.3">
      <c r="AL3013">
        <v>0</v>
      </c>
      <c r="AM3013" t="s">
        <v>649</v>
      </c>
      <c r="AN3013" t="s">
        <v>649</v>
      </c>
    </row>
    <row r="3014" spans="38:40" x14ac:dyDescent="0.3">
      <c r="AL3014">
        <v>0</v>
      </c>
      <c r="AM3014" t="s">
        <v>649</v>
      </c>
      <c r="AN3014" t="s">
        <v>649</v>
      </c>
    </row>
    <row r="3015" spans="38:40" x14ac:dyDescent="0.3">
      <c r="AL3015">
        <v>0</v>
      </c>
      <c r="AM3015" t="s">
        <v>649</v>
      </c>
      <c r="AN3015" t="s">
        <v>649</v>
      </c>
    </row>
    <row r="3016" spans="38:40" x14ac:dyDescent="0.3">
      <c r="AL3016">
        <v>0</v>
      </c>
      <c r="AM3016" t="s">
        <v>649</v>
      </c>
      <c r="AN3016" t="s">
        <v>649</v>
      </c>
    </row>
    <row r="3017" spans="38:40" x14ac:dyDescent="0.3">
      <c r="AL3017">
        <v>0</v>
      </c>
      <c r="AM3017" t="s">
        <v>649</v>
      </c>
      <c r="AN3017" t="s">
        <v>649</v>
      </c>
    </row>
    <row r="3018" spans="38:40" x14ac:dyDescent="0.3">
      <c r="AL3018">
        <v>0</v>
      </c>
      <c r="AM3018" t="s">
        <v>649</v>
      </c>
      <c r="AN3018" t="s">
        <v>649</v>
      </c>
    </row>
    <row r="3019" spans="38:40" x14ac:dyDescent="0.3">
      <c r="AL3019">
        <v>0</v>
      </c>
      <c r="AM3019" t="s">
        <v>649</v>
      </c>
      <c r="AN3019" t="s">
        <v>649</v>
      </c>
    </row>
    <row r="3020" spans="38:40" x14ac:dyDescent="0.3">
      <c r="AL3020">
        <v>0</v>
      </c>
      <c r="AM3020" t="s">
        <v>649</v>
      </c>
      <c r="AN3020" t="s">
        <v>649</v>
      </c>
    </row>
    <row r="3021" spans="38:40" x14ac:dyDescent="0.3">
      <c r="AL3021">
        <v>0</v>
      </c>
      <c r="AM3021" t="s">
        <v>649</v>
      </c>
      <c r="AN3021" t="s">
        <v>649</v>
      </c>
    </row>
    <row r="3022" spans="38:40" x14ac:dyDescent="0.3">
      <c r="AL3022">
        <v>0</v>
      </c>
      <c r="AM3022" t="s">
        <v>649</v>
      </c>
      <c r="AN3022" t="s">
        <v>649</v>
      </c>
    </row>
    <row r="3023" spans="38:40" x14ac:dyDescent="0.3">
      <c r="AL3023">
        <v>0</v>
      </c>
      <c r="AM3023" t="s">
        <v>649</v>
      </c>
      <c r="AN3023" t="s">
        <v>649</v>
      </c>
    </row>
    <row r="3024" spans="38:40" x14ac:dyDescent="0.3">
      <c r="AL3024">
        <v>0</v>
      </c>
      <c r="AM3024" t="s">
        <v>649</v>
      </c>
      <c r="AN3024" t="s">
        <v>649</v>
      </c>
    </row>
    <row r="3025" spans="38:40" x14ac:dyDescent="0.3">
      <c r="AL3025">
        <v>0</v>
      </c>
      <c r="AM3025" t="s">
        <v>649</v>
      </c>
      <c r="AN3025" t="s">
        <v>649</v>
      </c>
    </row>
    <row r="3026" spans="38:40" x14ac:dyDescent="0.3">
      <c r="AL3026">
        <v>0</v>
      </c>
      <c r="AM3026" t="s">
        <v>649</v>
      </c>
      <c r="AN3026" t="s">
        <v>649</v>
      </c>
    </row>
    <row r="3027" spans="38:40" x14ac:dyDescent="0.3">
      <c r="AL3027">
        <v>0</v>
      </c>
      <c r="AM3027" t="s">
        <v>649</v>
      </c>
      <c r="AN3027" t="s">
        <v>649</v>
      </c>
    </row>
    <row r="3028" spans="38:40" x14ac:dyDescent="0.3">
      <c r="AL3028">
        <v>0</v>
      </c>
      <c r="AM3028" t="s">
        <v>649</v>
      </c>
      <c r="AN3028" t="s">
        <v>649</v>
      </c>
    </row>
    <row r="3029" spans="38:40" x14ac:dyDescent="0.3">
      <c r="AL3029">
        <v>0</v>
      </c>
      <c r="AM3029" t="s">
        <v>649</v>
      </c>
      <c r="AN3029" t="s">
        <v>649</v>
      </c>
    </row>
    <row r="3030" spans="38:40" x14ac:dyDescent="0.3">
      <c r="AL3030">
        <v>0</v>
      </c>
      <c r="AM3030" t="s">
        <v>649</v>
      </c>
      <c r="AN3030" t="s">
        <v>649</v>
      </c>
    </row>
    <row r="3031" spans="38:40" x14ac:dyDescent="0.3">
      <c r="AL3031">
        <v>0</v>
      </c>
      <c r="AM3031" t="s">
        <v>649</v>
      </c>
      <c r="AN3031" t="s">
        <v>649</v>
      </c>
    </row>
    <row r="3032" spans="38:40" x14ac:dyDescent="0.3">
      <c r="AL3032">
        <v>0</v>
      </c>
      <c r="AM3032" t="s">
        <v>649</v>
      </c>
      <c r="AN3032" t="s">
        <v>649</v>
      </c>
    </row>
    <row r="3033" spans="38:40" x14ac:dyDescent="0.3">
      <c r="AL3033">
        <v>0</v>
      </c>
      <c r="AM3033" t="s">
        <v>649</v>
      </c>
      <c r="AN3033" t="s">
        <v>649</v>
      </c>
    </row>
    <row r="3034" spans="38:40" x14ac:dyDescent="0.3">
      <c r="AL3034">
        <v>0</v>
      </c>
      <c r="AM3034" t="s">
        <v>649</v>
      </c>
      <c r="AN3034" t="s">
        <v>649</v>
      </c>
    </row>
    <row r="3035" spans="38:40" x14ac:dyDescent="0.3">
      <c r="AL3035">
        <v>0</v>
      </c>
      <c r="AM3035" t="s">
        <v>649</v>
      </c>
      <c r="AN3035" t="s">
        <v>649</v>
      </c>
    </row>
    <row r="3036" spans="38:40" x14ac:dyDescent="0.3">
      <c r="AL3036">
        <v>0</v>
      </c>
      <c r="AM3036" t="s">
        <v>649</v>
      </c>
      <c r="AN3036" t="s">
        <v>649</v>
      </c>
    </row>
    <row r="3037" spans="38:40" x14ac:dyDescent="0.3">
      <c r="AL3037">
        <v>0</v>
      </c>
      <c r="AM3037" t="s">
        <v>649</v>
      </c>
      <c r="AN3037" t="s">
        <v>649</v>
      </c>
    </row>
    <row r="3038" spans="38:40" x14ac:dyDescent="0.3">
      <c r="AL3038">
        <v>0</v>
      </c>
      <c r="AM3038" t="s">
        <v>649</v>
      </c>
      <c r="AN3038" t="s">
        <v>649</v>
      </c>
    </row>
    <row r="3039" spans="38:40" x14ac:dyDescent="0.3">
      <c r="AL3039">
        <v>0</v>
      </c>
      <c r="AM3039" t="s">
        <v>649</v>
      </c>
      <c r="AN3039" t="s">
        <v>649</v>
      </c>
    </row>
    <row r="3040" spans="38:40" x14ac:dyDescent="0.3">
      <c r="AL3040">
        <v>0</v>
      </c>
      <c r="AM3040" t="s">
        <v>649</v>
      </c>
      <c r="AN3040" t="s">
        <v>649</v>
      </c>
    </row>
    <row r="3041" spans="38:40" x14ac:dyDescent="0.3">
      <c r="AL3041">
        <v>0</v>
      </c>
      <c r="AM3041" t="s">
        <v>649</v>
      </c>
      <c r="AN3041" t="s">
        <v>649</v>
      </c>
    </row>
    <row r="3042" spans="38:40" x14ac:dyDescent="0.3">
      <c r="AL3042">
        <v>0</v>
      </c>
      <c r="AM3042" t="s">
        <v>649</v>
      </c>
      <c r="AN3042" t="s">
        <v>649</v>
      </c>
    </row>
    <row r="3043" spans="38:40" x14ac:dyDescent="0.3">
      <c r="AL3043">
        <v>0</v>
      </c>
      <c r="AM3043" t="s">
        <v>649</v>
      </c>
      <c r="AN3043" t="s">
        <v>649</v>
      </c>
    </row>
    <row r="3044" spans="38:40" x14ac:dyDescent="0.3">
      <c r="AL3044">
        <v>0</v>
      </c>
      <c r="AM3044" t="s">
        <v>649</v>
      </c>
      <c r="AN3044" t="s">
        <v>649</v>
      </c>
    </row>
    <row r="3045" spans="38:40" x14ac:dyDescent="0.3">
      <c r="AL3045">
        <v>0</v>
      </c>
      <c r="AM3045" t="s">
        <v>649</v>
      </c>
      <c r="AN3045" t="s">
        <v>649</v>
      </c>
    </row>
    <row r="3046" spans="38:40" x14ac:dyDescent="0.3">
      <c r="AL3046">
        <v>0</v>
      </c>
      <c r="AM3046" t="s">
        <v>649</v>
      </c>
      <c r="AN3046" t="s">
        <v>649</v>
      </c>
    </row>
    <row r="3047" spans="38:40" x14ac:dyDescent="0.3">
      <c r="AL3047">
        <v>0</v>
      </c>
      <c r="AM3047" t="s">
        <v>649</v>
      </c>
      <c r="AN3047" t="s">
        <v>649</v>
      </c>
    </row>
    <row r="3048" spans="38:40" x14ac:dyDescent="0.3">
      <c r="AL3048">
        <v>0</v>
      </c>
      <c r="AM3048" t="s">
        <v>649</v>
      </c>
      <c r="AN3048" t="s">
        <v>649</v>
      </c>
    </row>
    <row r="3049" spans="38:40" x14ac:dyDescent="0.3">
      <c r="AL3049">
        <v>0</v>
      </c>
      <c r="AM3049" t="s">
        <v>649</v>
      </c>
      <c r="AN3049" t="s">
        <v>649</v>
      </c>
    </row>
    <row r="3050" spans="38:40" x14ac:dyDescent="0.3">
      <c r="AL3050">
        <v>0</v>
      </c>
      <c r="AM3050" t="s">
        <v>649</v>
      </c>
      <c r="AN3050" t="s">
        <v>649</v>
      </c>
    </row>
    <row r="3051" spans="38:40" x14ac:dyDescent="0.3">
      <c r="AL3051">
        <v>0</v>
      </c>
      <c r="AM3051" t="s">
        <v>649</v>
      </c>
      <c r="AN3051" t="s">
        <v>649</v>
      </c>
    </row>
    <row r="3052" spans="38:40" x14ac:dyDescent="0.3">
      <c r="AL3052">
        <v>0</v>
      </c>
      <c r="AM3052" t="s">
        <v>649</v>
      </c>
      <c r="AN3052" t="s">
        <v>649</v>
      </c>
    </row>
    <row r="3053" spans="38:40" x14ac:dyDescent="0.3">
      <c r="AL3053">
        <v>0</v>
      </c>
      <c r="AM3053" t="s">
        <v>649</v>
      </c>
      <c r="AN3053" t="s">
        <v>649</v>
      </c>
    </row>
    <row r="3054" spans="38:40" x14ac:dyDescent="0.3">
      <c r="AL3054">
        <v>0</v>
      </c>
      <c r="AM3054" t="s">
        <v>649</v>
      </c>
      <c r="AN3054" t="s">
        <v>649</v>
      </c>
    </row>
    <row r="3055" spans="38:40" x14ac:dyDescent="0.3">
      <c r="AL3055">
        <v>0</v>
      </c>
      <c r="AM3055" t="s">
        <v>649</v>
      </c>
      <c r="AN3055" t="s">
        <v>649</v>
      </c>
    </row>
    <row r="3056" spans="38:40" x14ac:dyDescent="0.3">
      <c r="AL3056">
        <v>0</v>
      </c>
      <c r="AM3056" t="s">
        <v>649</v>
      </c>
      <c r="AN3056" t="s">
        <v>649</v>
      </c>
    </row>
    <row r="3057" spans="38:40" x14ac:dyDescent="0.3">
      <c r="AL3057">
        <v>0</v>
      </c>
      <c r="AM3057" t="s">
        <v>649</v>
      </c>
      <c r="AN3057" t="s">
        <v>649</v>
      </c>
    </row>
    <row r="3058" spans="38:40" x14ac:dyDescent="0.3">
      <c r="AL3058">
        <v>0</v>
      </c>
      <c r="AM3058" t="s">
        <v>649</v>
      </c>
      <c r="AN3058" t="s">
        <v>649</v>
      </c>
    </row>
    <row r="3059" spans="38:40" x14ac:dyDescent="0.3">
      <c r="AL3059">
        <v>0</v>
      </c>
      <c r="AM3059" t="s">
        <v>649</v>
      </c>
      <c r="AN3059" t="s">
        <v>649</v>
      </c>
    </row>
    <row r="3060" spans="38:40" x14ac:dyDescent="0.3">
      <c r="AL3060">
        <v>0</v>
      </c>
      <c r="AM3060" t="s">
        <v>649</v>
      </c>
      <c r="AN3060" t="s">
        <v>649</v>
      </c>
    </row>
    <row r="3061" spans="38:40" x14ac:dyDescent="0.3">
      <c r="AL3061">
        <v>0</v>
      </c>
      <c r="AM3061" t="s">
        <v>649</v>
      </c>
      <c r="AN3061" t="s">
        <v>649</v>
      </c>
    </row>
    <row r="3062" spans="38:40" x14ac:dyDescent="0.3">
      <c r="AL3062">
        <v>0</v>
      </c>
      <c r="AM3062" t="s">
        <v>649</v>
      </c>
      <c r="AN3062" t="s">
        <v>649</v>
      </c>
    </row>
    <row r="3063" spans="38:40" x14ac:dyDescent="0.3">
      <c r="AL3063">
        <v>0</v>
      </c>
      <c r="AM3063" t="s">
        <v>649</v>
      </c>
      <c r="AN3063" t="s">
        <v>649</v>
      </c>
    </row>
    <row r="3064" spans="38:40" x14ac:dyDescent="0.3">
      <c r="AL3064">
        <v>0</v>
      </c>
      <c r="AM3064" t="s">
        <v>649</v>
      </c>
      <c r="AN3064" t="s">
        <v>649</v>
      </c>
    </row>
    <row r="3065" spans="38:40" x14ac:dyDescent="0.3">
      <c r="AL3065">
        <v>0</v>
      </c>
      <c r="AM3065" t="s">
        <v>649</v>
      </c>
      <c r="AN3065" t="s">
        <v>649</v>
      </c>
    </row>
    <row r="3066" spans="38:40" x14ac:dyDescent="0.3">
      <c r="AL3066">
        <v>0</v>
      </c>
      <c r="AM3066" t="s">
        <v>649</v>
      </c>
      <c r="AN3066" t="s">
        <v>649</v>
      </c>
    </row>
    <row r="3067" spans="38:40" x14ac:dyDescent="0.3">
      <c r="AL3067">
        <v>0</v>
      </c>
      <c r="AM3067" t="s">
        <v>649</v>
      </c>
      <c r="AN3067" t="s">
        <v>649</v>
      </c>
    </row>
    <row r="3068" spans="38:40" x14ac:dyDescent="0.3">
      <c r="AL3068">
        <v>0</v>
      </c>
      <c r="AM3068" t="s">
        <v>649</v>
      </c>
      <c r="AN3068" t="s">
        <v>649</v>
      </c>
    </row>
    <row r="3069" spans="38:40" x14ac:dyDescent="0.3">
      <c r="AL3069">
        <v>0</v>
      </c>
      <c r="AM3069" t="s">
        <v>649</v>
      </c>
      <c r="AN3069" t="s">
        <v>649</v>
      </c>
    </row>
    <row r="3070" spans="38:40" x14ac:dyDescent="0.3">
      <c r="AL3070">
        <v>0</v>
      </c>
      <c r="AM3070" t="s">
        <v>649</v>
      </c>
      <c r="AN3070" t="s">
        <v>649</v>
      </c>
    </row>
    <row r="3071" spans="38:40" x14ac:dyDescent="0.3">
      <c r="AL3071">
        <v>0</v>
      </c>
      <c r="AM3071" t="s">
        <v>649</v>
      </c>
      <c r="AN3071" t="s">
        <v>649</v>
      </c>
    </row>
    <row r="3072" spans="38:40" x14ac:dyDescent="0.3">
      <c r="AL3072">
        <v>0</v>
      </c>
      <c r="AM3072" t="s">
        <v>649</v>
      </c>
      <c r="AN3072" t="s">
        <v>649</v>
      </c>
    </row>
    <row r="3073" spans="38:40" x14ac:dyDescent="0.3">
      <c r="AL3073">
        <v>0</v>
      </c>
      <c r="AM3073" t="s">
        <v>649</v>
      </c>
      <c r="AN3073" t="s">
        <v>649</v>
      </c>
    </row>
    <row r="3074" spans="38:40" x14ac:dyDescent="0.3">
      <c r="AL3074">
        <v>0</v>
      </c>
      <c r="AM3074" t="s">
        <v>649</v>
      </c>
      <c r="AN3074" t="s">
        <v>649</v>
      </c>
    </row>
    <row r="3075" spans="38:40" x14ac:dyDescent="0.3">
      <c r="AL3075">
        <v>0</v>
      </c>
      <c r="AM3075" t="s">
        <v>649</v>
      </c>
      <c r="AN3075" t="s">
        <v>649</v>
      </c>
    </row>
    <row r="3076" spans="38:40" x14ac:dyDescent="0.3">
      <c r="AL3076">
        <v>0</v>
      </c>
      <c r="AM3076" t="s">
        <v>649</v>
      </c>
      <c r="AN3076" t="s">
        <v>649</v>
      </c>
    </row>
    <row r="3077" spans="38:40" x14ac:dyDescent="0.3">
      <c r="AL3077">
        <v>0</v>
      </c>
      <c r="AM3077" t="s">
        <v>649</v>
      </c>
      <c r="AN3077" t="s">
        <v>649</v>
      </c>
    </row>
    <row r="3078" spans="38:40" x14ac:dyDescent="0.3">
      <c r="AL3078">
        <v>0</v>
      </c>
      <c r="AM3078" t="s">
        <v>649</v>
      </c>
      <c r="AN3078" t="s">
        <v>649</v>
      </c>
    </row>
    <row r="3079" spans="38:40" x14ac:dyDescent="0.3">
      <c r="AL3079">
        <v>0</v>
      </c>
      <c r="AM3079" t="s">
        <v>649</v>
      </c>
      <c r="AN3079" t="s">
        <v>649</v>
      </c>
    </row>
    <row r="3080" spans="38:40" x14ac:dyDescent="0.3">
      <c r="AL3080">
        <v>0</v>
      </c>
      <c r="AM3080" t="s">
        <v>649</v>
      </c>
      <c r="AN3080" t="s">
        <v>649</v>
      </c>
    </row>
    <row r="3081" spans="38:40" x14ac:dyDescent="0.3">
      <c r="AL3081">
        <v>0</v>
      </c>
      <c r="AM3081" t="s">
        <v>649</v>
      </c>
      <c r="AN3081" t="s">
        <v>649</v>
      </c>
    </row>
    <row r="3082" spans="38:40" x14ac:dyDescent="0.3">
      <c r="AL3082">
        <v>0</v>
      </c>
      <c r="AM3082" t="s">
        <v>649</v>
      </c>
      <c r="AN3082" t="s">
        <v>649</v>
      </c>
    </row>
    <row r="3083" spans="38:40" x14ac:dyDescent="0.3">
      <c r="AL3083">
        <v>0</v>
      </c>
      <c r="AM3083" t="s">
        <v>649</v>
      </c>
      <c r="AN3083" t="s">
        <v>649</v>
      </c>
    </row>
    <row r="3084" spans="38:40" x14ac:dyDescent="0.3">
      <c r="AL3084">
        <v>0</v>
      </c>
      <c r="AM3084" t="s">
        <v>649</v>
      </c>
      <c r="AN3084" t="s">
        <v>649</v>
      </c>
    </row>
    <row r="3085" spans="38:40" x14ac:dyDescent="0.3">
      <c r="AL3085">
        <v>0</v>
      </c>
      <c r="AM3085" t="s">
        <v>649</v>
      </c>
      <c r="AN3085" t="s">
        <v>649</v>
      </c>
    </row>
    <row r="3086" spans="38:40" x14ac:dyDescent="0.3">
      <c r="AL3086">
        <v>0</v>
      </c>
      <c r="AM3086" t="s">
        <v>649</v>
      </c>
      <c r="AN3086" t="s">
        <v>649</v>
      </c>
    </row>
    <row r="3087" spans="38:40" x14ac:dyDescent="0.3">
      <c r="AL3087">
        <v>0</v>
      </c>
      <c r="AM3087" t="s">
        <v>649</v>
      </c>
      <c r="AN3087" t="s">
        <v>649</v>
      </c>
    </row>
    <row r="3088" spans="38:40" x14ac:dyDescent="0.3">
      <c r="AL3088">
        <v>0</v>
      </c>
      <c r="AM3088" t="s">
        <v>649</v>
      </c>
      <c r="AN3088" t="s">
        <v>649</v>
      </c>
    </row>
    <row r="3089" spans="38:40" x14ac:dyDescent="0.3">
      <c r="AL3089">
        <v>0</v>
      </c>
      <c r="AM3089" t="s">
        <v>649</v>
      </c>
      <c r="AN3089" t="s">
        <v>649</v>
      </c>
    </row>
    <row r="3090" spans="38:40" x14ac:dyDescent="0.3">
      <c r="AL3090">
        <v>0</v>
      </c>
      <c r="AM3090" t="s">
        <v>649</v>
      </c>
      <c r="AN3090" t="s">
        <v>649</v>
      </c>
    </row>
    <row r="3091" spans="38:40" x14ac:dyDescent="0.3">
      <c r="AL3091">
        <v>0</v>
      </c>
      <c r="AM3091" t="s">
        <v>649</v>
      </c>
      <c r="AN3091" t="s">
        <v>649</v>
      </c>
    </row>
    <row r="3092" spans="38:40" x14ac:dyDescent="0.3">
      <c r="AL3092">
        <v>0</v>
      </c>
      <c r="AM3092" t="s">
        <v>649</v>
      </c>
      <c r="AN3092" t="s">
        <v>649</v>
      </c>
    </row>
    <row r="3093" spans="38:40" x14ac:dyDescent="0.3">
      <c r="AL3093">
        <v>0</v>
      </c>
      <c r="AM3093" t="s">
        <v>649</v>
      </c>
      <c r="AN3093" t="s">
        <v>649</v>
      </c>
    </row>
    <row r="3094" spans="38:40" x14ac:dyDescent="0.3">
      <c r="AL3094">
        <v>0</v>
      </c>
      <c r="AM3094" t="s">
        <v>649</v>
      </c>
      <c r="AN3094" t="s">
        <v>649</v>
      </c>
    </row>
    <row r="3095" spans="38:40" x14ac:dyDescent="0.3">
      <c r="AL3095">
        <v>0</v>
      </c>
      <c r="AM3095" t="s">
        <v>649</v>
      </c>
      <c r="AN3095" t="s">
        <v>649</v>
      </c>
    </row>
    <row r="3096" spans="38:40" x14ac:dyDescent="0.3">
      <c r="AL3096">
        <v>0</v>
      </c>
      <c r="AM3096" t="s">
        <v>649</v>
      </c>
      <c r="AN3096" t="s">
        <v>649</v>
      </c>
    </row>
    <row r="3097" spans="38:40" x14ac:dyDescent="0.3">
      <c r="AL3097">
        <v>0</v>
      </c>
      <c r="AM3097" t="s">
        <v>649</v>
      </c>
      <c r="AN3097" t="s">
        <v>649</v>
      </c>
    </row>
    <row r="3098" spans="38:40" x14ac:dyDescent="0.3">
      <c r="AL3098">
        <v>0</v>
      </c>
      <c r="AM3098" t="s">
        <v>649</v>
      </c>
      <c r="AN3098" t="s">
        <v>649</v>
      </c>
    </row>
    <row r="3099" spans="38:40" x14ac:dyDescent="0.3">
      <c r="AL3099">
        <v>0</v>
      </c>
      <c r="AM3099" t="s">
        <v>649</v>
      </c>
      <c r="AN3099" t="s">
        <v>649</v>
      </c>
    </row>
    <row r="3100" spans="38:40" x14ac:dyDescent="0.3">
      <c r="AL3100">
        <v>0</v>
      </c>
      <c r="AM3100" t="s">
        <v>649</v>
      </c>
      <c r="AN3100" t="s">
        <v>649</v>
      </c>
    </row>
    <row r="3101" spans="38:40" x14ac:dyDescent="0.3">
      <c r="AL3101">
        <v>0</v>
      </c>
      <c r="AM3101" t="s">
        <v>649</v>
      </c>
      <c r="AN3101" t="s">
        <v>649</v>
      </c>
    </row>
    <row r="3102" spans="38:40" x14ac:dyDescent="0.3">
      <c r="AL3102">
        <v>0</v>
      </c>
      <c r="AM3102" t="s">
        <v>649</v>
      </c>
      <c r="AN3102" t="s">
        <v>649</v>
      </c>
    </row>
    <row r="3103" spans="38:40" x14ac:dyDescent="0.3">
      <c r="AL3103">
        <v>0</v>
      </c>
      <c r="AM3103" t="s">
        <v>649</v>
      </c>
      <c r="AN3103" t="s">
        <v>649</v>
      </c>
    </row>
    <row r="3104" spans="38:40" x14ac:dyDescent="0.3">
      <c r="AL3104">
        <v>0</v>
      </c>
      <c r="AM3104" t="s">
        <v>649</v>
      </c>
      <c r="AN3104" t="s">
        <v>649</v>
      </c>
    </row>
    <row r="3105" spans="38:40" x14ac:dyDescent="0.3">
      <c r="AL3105">
        <v>0</v>
      </c>
      <c r="AM3105" t="s">
        <v>649</v>
      </c>
      <c r="AN3105" t="s">
        <v>649</v>
      </c>
    </row>
    <row r="3106" spans="38:40" x14ac:dyDescent="0.3">
      <c r="AL3106">
        <v>0</v>
      </c>
      <c r="AM3106" t="s">
        <v>649</v>
      </c>
      <c r="AN3106" t="s">
        <v>649</v>
      </c>
    </row>
    <row r="3107" spans="38:40" x14ac:dyDescent="0.3">
      <c r="AL3107">
        <v>0</v>
      </c>
      <c r="AM3107" t="s">
        <v>649</v>
      </c>
      <c r="AN3107" t="s">
        <v>649</v>
      </c>
    </row>
    <row r="3108" spans="38:40" x14ac:dyDescent="0.3">
      <c r="AL3108">
        <v>0</v>
      </c>
      <c r="AM3108" t="s">
        <v>649</v>
      </c>
      <c r="AN3108" t="s">
        <v>649</v>
      </c>
    </row>
    <row r="3109" spans="38:40" x14ac:dyDescent="0.3">
      <c r="AL3109">
        <v>0</v>
      </c>
      <c r="AM3109" t="s">
        <v>649</v>
      </c>
      <c r="AN3109" t="s">
        <v>649</v>
      </c>
    </row>
    <row r="3110" spans="38:40" x14ac:dyDescent="0.3">
      <c r="AL3110">
        <v>0</v>
      </c>
      <c r="AM3110" t="s">
        <v>649</v>
      </c>
      <c r="AN3110" t="s">
        <v>649</v>
      </c>
    </row>
    <row r="3111" spans="38:40" x14ac:dyDescent="0.3">
      <c r="AL3111">
        <v>0</v>
      </c>
      <c r="AM3111" t="s">
        <v>649</v>
      </c>
      <c r="AN3111" t="s">
        <v>649</v>
      </c>
    </row>
    <row r="3112" spans="38:40" x14ac:dyDescent="0.3">
      <c r="AL3112">
        <v>0</v>
      </c>
      <c r="AM3112" t="s">
        <v>649</v>
      </c>
      <c r="AN3112" t="s">
        <v>649</v>
      </c>
    </row>
    <row r="3113" spans="38:40" x14ac:dyDescent="0.3">
      <c r="AL3113">
        <v>0</v>
      </c>
      <c r="AM3113" t="s">
        <v>649</v>
      </c>
      <c r="AN3113" t="s">
        <v>649</v>
      </c>
    </row>
    <row r="3114" spans="38:40" x14ac:dyDescent="0.3">
      <c r="AL3114">
        <v>0</v>
      </c>
      <c r="AM3114" t="s">
        <v>649</v>
      </c>
      <c r="AN3114" t="s">
        <v>649</v>
      </c>
    </row>
    <row r="3115" spans="38:40" x14ac:dyDescent="0.3">
      <c r="AL3115">
        <v>0</v>
      </c>
      <c r="AM3115" t="s">
        <v>649</v>
      </c>
      <c r="AN3115" t="s">
        <v>649</v>
      </c>
    </row>
    <row r="3116" spans="38:40" x14ac:dyDescent="0.3">
      <c r="AL3116">
        <v>0</v>
      </c>
      <c r="AM3116" t="s">
        <v>649</v>
      </c>
      <c r="AN3116" t="s">
        <v>649</v>
      </c>
    </row>
    <row r="3117" spans="38:40" x14ac:dyDescent="0.3">
      <c r="AL3117">
        <v>0</v>
      </c>
      <c r="AM3117" t="s">
        <v>649</v>
      </c>
      <c r="AN3117" t="s">
        <v>649</v>
      </c>
    </row>
    <row r="3118" spans="38:40" x14ac:dyDescent="0.3">
      <c r="AL3118">
        <v>0</v>
      </c>
      <c r="AM3118" t="s">
        <v>649</v>
      </c>
      <c r="AN3118" t="s">
        <v>649</v>
      </c>
    </row>
    <row r="3119" spans="38:40" x14ac:dyDescent="0.3">
      <c r="AL3119">
        <v>0</v>
      </c>
      <c r="AM3119" t="s">
        <v>649</v>
      </c>
      <c r="AN3119" t="s">
        <v>649</v>
      </c>
    </row>
    <row r="3120" spans="38:40" x14ac:dyDescent="0.3">
      <c r="AL3120">
        <v>0</v>
      </c>
      <c r="AM3120" t="s">
        <v>649</v>
      </c>
      <c r="AN3120" t="s">
        <v>649</v>
      </c>
    </row>
    <row r="3121" spans="38:40" x14ac:dyDescent="0.3">
      <c r="AL3121">
        <v>0</v>
      </c>
      <c r="AM3121" t="s">
        <v>649</v>
      </c>
      <c r="AN3121" t="s">
        <v>649</v>
      </c>
    </row>
    <row r="3122" spans="38:40" x14ac:dyDescent="0.3">
      <c r="AL3122">
        <v>0</v>
      </c>
      <c r="AM3122" t="s">
        <v>649</v>
      </c>
      <c r="AN3122" t="s">
        <v>649</v>
      </c>
    </row>
    <row r="3123" spans="38:40" x14ac:dyDescent="0.3">
      <c r="AL3123">
        <v>0</v>
      </c>
      <c r="AM3123" t="s">
        <v>649</v>
      </c>
      <c r="AN3123" t="s">
        <v>649</v>
      </c>
    </row>
    <row r="3124" spans="38:40" x14ac:dyDescent="0.3">
      <c r="AL3124">
        <v>0</v>
      </c>
      <c r="AM3124" t="s">
        <v>649</v>
      </c>
      <c r="AN3124" t="s">
        <v>649</v>
      </c>
    </row>
    <row r="3125" spans="38:40" x14ac:dyDescent="0.3">
      <c r="AL3125">
        <v>0</v>
      </c>
      <c r="AM3125" t="s">
        <v>649</v>
      </c>
      <c r="AN3125" t="s">
        <v>649</v>
      </c>
    </row>
    <row r="3126" spans="38:40" x14ac:dyDescent="0.3">
      <c r="AL3126">
        <v>0</v>
      </c>
      <c r="AM3126" t="s">
        <v>649</v>
      </c>
      <c r="AN3126" t="s">
        <v>649</v>
      </c>
    </row>
    <row r="3127" spans="38:40" x14ac:dyDescent="0.3">
      <c r="AL3127">
        <v>0</v>
      </c>
      <c r="AM3127" t="s">
        <v>649</v>
      </c>
      <c r="AN3127" t="s">
        <v>649</v>
      </c>
    </row>
    <row r="3128" spans="38:40" x14ac:dyDescent="0.3">
      <c r="AL3128">
        <v>0</v>
      </c>
      <c r="AM3128" t="s">
        <v>649</v>
      </c>
      <c r="AN3128" t="s">
        <v>649</v>
      </c>
    </row>
    <row r="3129" spans="38:40" x14ac:dyDescent="0.3">
      <c r="AL3129">
        <v>0</v>
      </c>
      <c r="AM3129" t="s">
        <v>649</v>
      </c>
      <c r="AN3129" t="s">
        <v>649</v>
      </c>
    </row>
    <row r="3130" spans="38:40" x14ac:dyDescent="0.3">
      <c r="AL3130">
        <v>0</v>
      </c>
      <c r="AM3130" t="s">
        <v>649</v>
      </c>
      <c r="AN3130" t="s">
        <v>649</v>
      </c>
    </row>
    <row r="3131" spans="38:40" x14ac:dyDescent="0.3">
      <c r="AL3131">
        <v>0</v>
      </c>
      <c r="AM3131" t="s">
        <v>649</v>
      </c>
      <c r="AN3131" t="s">
        <v>649</v>
      </c>
    </row>
    <row r="3132" spans="38:40" x14ac:dyDescent="0.3">
      <c r="AL3132">
        <v>0</v>
      </c>
      <c r="AM3132" t="s">
        <v>649</v>
      </c>
      <c r="AN3132" t="s">
        <v>649</v>
      </c>
    </row>
    <row r="3133" spans="38:40" x14ac:dyDescent="0.3">
      <c r="AL3133">
        <v>0</v>
      </c>
      <c r="AM3133" t="s">
        <v>649</v>
      </c>
      <c r="AN3133" t="s">
        <v>649</v>
      </c>
    </row>
    <row r="3134" spans="38:40" x14ac:dyDescent="0.3">
      <c r="AL3134">
        <v>0</v>
      </c>
      <c r="AM3134" t="s">
        <v>649</v>
      </c>
      <c r="AN3134" t="s">
        <v>649</v>
      </c>
    </row>
    <row r="3135" spans="38:40" x14ac:dyDescent="0.3">
      <c r="AL3135">
        <v>0</v>
      </c>
      <c r="AM3135" t="s">
        <v>649</v>
      </c>
      <c r="AN3135" t="s">
        <v>649</v>
      </c>
    </row>
    <row r="3136" spans="38:40" x14ac:dyDescent="0.3">
      <c r="AL3136">
        <v>0</v>
      </c>
      <c r="AM3136" t="s">
        <v>649</v>
      </c>
      <c r="AN3136" t="s">
        <v>649</v>
      </c>
    </row>
    <row r="3137" spans="38:40" x14ac:dyDescent="0.3">
      <c r="AL3137">
        <v>0</v>
      </c>
      <c r="AM3137" t="s">
        <v>649</v>
      </c>
      <c r="AN3137" t="s">
        <v>649</v>
      </c>
    </row>
    <row r="3138" spans="38:40" x14ac:dyDescent="0.3">
      <c r="AL3138">
        <v>0</v>
      </c>
      <c r="AM3138" t="s">
        <v>649</v>
      </c>
      <c r="AN3138" t="s">
        <v>649</v>
      </c>
    </row>
    <row r="3139" spans="38:40" x14ac:dyDescent="0.3">
      <c r="AL3139">
        <v>0</v>
      </c>
      <c r="AM3139" t="s">
        <v>649</v>
      </c>
      <c r="AN3139" t="s">
        <v>649</v>
      </c>
    </row>
    <row r="3140" spans="38:40" x14ac:dyDescent="0.3">
      <c r="AL3140">
        <v>0</v>
      </c>
      <c r="AM3140" t="s">
        <v>649</v>
      </c>
      <c r="AN3140" t="s">
        <v>649</v>
      </c>
    </row>
    <row r="3141" spans="38:40" x14ac:dyDescent="0.3">
      <c r="AL3141">
        <v>0</v>
      </c>
      <c r="AM3141" t="s">
        <v>649</v>
      </c>
      <c r="AN3141" t="s">
        <v>649</v>
      </c>
    </row>
    <row r="3142" spans="38:40" x14ac:dyDescent="0.3">
      <c r="AL3142">
        <v>0</v>
      </c>
      <c r="AM3142" t="s">
        <v>649</v>
      </c>
      <c r="AN3142" t="s">
        <v>649</v>
      </c>
    </row>
    <row r="3143" spans="38:40" x14ac:dyDescent="0.3">
      <c r="AL3143">
        <v>0</v>
      </c>
      <c r="AM3143" t="s">
        <v>649</v>
      </c>
      <c r="AN3143" t="s">
        <v>649</v>
      </c>
    </row>
    <row r="3144" spans="38:40" x14ac:dyDescent="0.3">
      <c r="AL3144">
        <v>0</v>
      </c>
      <c r="AM3144" t="s">
        <v>649</v>
      </c>
      <c r="AN3144" t="s">
        <v>649</v>
      </c>
    </row>
    <row r="3145" spans="38:40" x14ac:dyDescent="0.3">
      <c r="AL3145">
        <v>0</v>
      </c>
      <c r="AM3145" t="s">
        <v>649</v>
      </c>
      <c r="AN3145" t="s">
        <v>649</v>
      </c>
    </row>
    <row r="3146" spans="38:40" x14ac:dyDescent="0.3">
      <c r="AL3146">
        <v>0</v>
      </c>
      <c r="AM3146" t="s">
        <v>649</v>
      </c>
      <c r="AN3146" t="s">
        <v>649</v>
      </c>
    </row>
    <row r="3147" spans="38:40" x14ac:dyDescent="0.3">
      <c r="AL3147">
        <v>0</v>
      </c>
      <c r="AM3147" t="s">
        <v>649</v>
      </c>
      <c r="AN3147" t="s">
        <v>649</v>
      </c>
    </row>
    <row r="3148" spans="38:40" x14ac:dyDescent="0.3">
      <c r="AL3148">
        <v>0</v>
      </c>
      <c r="AM3148" t="s">
        <v>649</v>
      </c>
      <c r="AN3148" t="s">
        <v>649</v>
      </c>
    </row>
    <row r="3149" spans="38:40" x14ac:dyDescent="0.3">
      <c r="AL3149">
        <v>0</v>
      </c>
      <c r="AM3149" t="s">
        <v>649</v>
      </c>
      <c r="AN3149" t="s">
        <v>649</v>
      </c>
    </row>
    <row r="3150" spans="38:40" x14ac:dyDescent="0.3">
      <c r="AL3150">
        <v>0</v>
      </c>
      <c r="AM3150" t="s">
        <v>649</v>
      </c>
      <c r="AN3150" t="s">
        <v>649</v>
      </c>
    </row>
    <row r="3151" spans="38:40" x14ac:dyDescent="0.3">
      <c r="AL3151">
        <v>0</v>
      </c>
      <c r="AM3151" t="s">
        <v>649</v>
      </c>
      <c r="AN3151" t="s">
        <v>649</v>
      </c>
    </row>
    <row r="3152" spans="38:40" x14ac:dyDescent="0.3">
      <c r="AL3152">
        <v>0</v>
      </c>
      <c r="AM3152" t="s">
        <v>649</v>
      </c>
      <c r="AN3152" t="s">
        <v>649</v>
      </c>
    </row>
    <row r="3153" spans="38:40" x14ac:dyDescent="0.3">
      <c r="AL3153">
        <v>0</v>
      </c>
      <c r="AM3153" t="s">
        <v>649</v>
      </c>
      <c r="AN3153" t="s">
        <v>649</v>
      </c>
    </row>
    <row r="3154" spans="38:40" x14ac:dyDescent="0.3">
      <c r="AL3154">
        <v>0</v>
      </c>
      <c r="AM3154" t="s">
        <v>649</v>
      </c>
      <c r="AN3154" t="s">
        <v>649</v>
      </c>
    </row>
    <row r="3155" spans="38:40" x14ac:dyDescent="0.3">
      <c r="AL3155">
        <v>0</v>
      </c>
      <c r="AM3155" t="s">
        <v>649</v>
      </c>
      <c r="AN3155" t="s">
        <v>649</v>
      </c>
    </row>
    <row r="3156" spans="38:40" x14ac:dyDescent="0.3">
      <c r="AL3156">
        <v>0</v>
      </c>
      <c r="AM3156" t="s">
        <v>649</v>
      </c>
      <c r="AN3156" t="s">
        <v>649</v>
      </c>
    </row>
    <row r="3157" spans="38:40" x14ac:dyDescent="0.3">
      <c r="AL3157">
        <v>0</v>
      </c>
      <c r="AM3157" t="s">
        <v>649</v>
      </c>
      <c r="AN3157" t="s">
        <v>649</v>
      </c>
    </row>
    <row r="3158" spans="38:40" x14ac:dyDescent="0.3">
      <c r="AL3158">
        <v>0</v>
      </c>
      <c r="AM3158" t="s">
        <v>649</v>
      </c>
      <c r="AN3158" t="s">
        <v>649</v>
      </c>
    </row>
    <row r="3159" spans="38:40" x14ac:dyDescent="0.3">
      <c r="AL3159">
        <v>0</v>
      </c>
      <c r="AM3159" t="s">
        <v>649</v>
      </c>
      <c r="AN3159" t="s">
        <v>649</v>
      </c>
    </row>
    <row r="3160" spans="38:40" x14ac:dyDescent="0.3">
      <c r="AL3160">
        <v>0</v>
      </c>
      <c r="AM3160" t="s">
        <v>649</v>
      </c>
      <c r="AN3160" t="s">
        <v>649</v>
      </c>
    </row>
    <row r="3161" spans="38:40" x14ac:dyDescent="0.3">
      <c r="AL3161">
        <v>0</v>
      </c>
      <c r="AM3161" t="s">
        <v>649</v>
      </c>
      <c r="AN3161" t="s">
        <v>649</v>
      </c>
    </row>
    <row r="3162" spans="38:40" x14ac:dyDescent="0.3">
      <c r="AL3162">
        <v>0</v>
      </c>
      <c r="AM3162" t="s">
        <v>649</v>
      </c>
      <c r="AN3162" t="s">
        <v>649</v>
      </c>
    </row>
    <row r="3163" spans="38:40" x14ac:dyDescent="0.3">
      <c r="AL3163">
        <v>0</v>
      </c>
      <c r="AM3163" t="s">
        <v>649</v>
      </c>
      <c r="AN3163" t="s">
        <v>649</v>
      </c>
    </row>
    <row r="3164" spans="38:40" x14ac:dyDescent="0.3">
      <c r="AL3164">
        <v>0</v>
      </c>
      <c r="AM3164" t="s">
        <v>649</v>
      </c>
      <c r="AN3164" t="s">
        <v>649</v>
      </c>
    </row>
    <row r="3165" spans="38:40" x14ac:dyDescent="0.3">
      <c r="AL3165">
        <v>0</v>
      </c>
      <c r="AM3165" t="s">
        <v>649</v>
      </c>
      <c r="AN3165" t="s">
        <v>649</v>
      </c>
    </row>
    <row r="3166" spans="38:40" x14ac:dyDescent="0.3">
      <c r="AL3166">
        <v>0</v>
      </c>
      <c r="AM3166" t="s">
        <v>649</v>
      </c>
      <c r="AN3166" t="s">
        <v>649</v>
      </c>
    </row>
    <row r="3167" spans="38:40" x14ac:dyDescent="0.3">
      <c r="AL3167">
        <v>0</v>
      </c>
      <c r="AM3167" t="s">
        <v>649</v>
      </c>
      <c r="AN3167" t="s">
        <v>649</v>
      </c>
    </row>
    <row r="3168" spans="38:40" x14ac:dyDescent="0.3">
      <c r="AL3168">
        <v>0</v>
      </c>
      <c r="AM3168" t="s">
        <v>649</v>
      </c>
      <c r="AN3168" t="s">
        <v>649</v>
      </c>
    </row>
    <row r="3169" spans="38:40" x14ac:dyDescent="0.3">
      <c r="AL3169">
        <v>0</v>
      </c>
      <c r="AM3169" t="s">
        <v>649</v>
      </c>
      <c r="AN3169" t="s">
        <v>649</v>
      </c>
    </row>
    <row r="3170" spans="38:40" x14ac:dyDescent="0.3">
      <c r="AL3170">
        <v>0</v>
      </c>
      <c r="AM3170" t="s">
        <v>649</v>
      </c>
      <c r="AN3170" t="s">
        <v>649</v>
      </c>
    </row>
    <row r="3171" spans="38:40" x14ac:dyDescent="0.3">
      <c r="AL3171">
        <v>0</v>
      </c>
      <c r="AM3171" t="s">
        <v>649</v>
      </c>
      <c r="AN3171" t="s">
        <v>649</v>
      </c>
    </row>
    <row r="3172" spans="38:40" x14ac:dyDescent="0.3">
      <c r="AL3172">
        <v>0</v>
      </c>
      <c r="AM3172" t="s">
        <v>649</v>
      </c>
      <c r="AN3172" t="s">
        <v>649</v>
      </c>
    </row>
    <row r="3173" spans="38:40" x14ac:dyDescent="0.3">
      <c r="AL3173">
        <v>0</v>
      </c>
      <c r="AM3173" t="s">
        <v>649</v>
      </c>
      <c r="AN3173" t="s">
        <v>649</v>
      </c>
    </row>
    <row r="3174" spans="38:40" x14ac:dyDescent="0.3">
      <c r="AL3174">
        <v>0</v>
      </c>
      <c r="AM3174" t="s">
        <v>649</v>
      </c>
      <c r="AN3174" t="s">
        <v>649</v>
      </c>
    </row>
    <row r="3175" spans="38:40" x14ac:dyDescent="0.3">
      <c r="AL3175">
        <v>0</v>
      </c>
      <c r="AM3175" t="s">
        <v>649</v>
      </c>
      <c r="AN3175" t="s">
        <v>649</v>
      </c>
    </row>
    <row r="3176" spans="38:40" x14ac:dyDescent="0.3">
      <c r="AL3176">
        <v>0</v>
      </c>
      <c r="AM3176" t="s">
        <v>649</v>
      </c>
      <c r="AN3176" t="s">
        <v>649</v>
      </c>
    </row>
    <row r="3177" spans="38:40" x14ac:dyDescent="0.3">
      <c r="AL3177">
        <v>0</v>
      </c>
      <c r="AM3177" t="s">
        <v>649</v>
      </c>
      <c r="AN3177" t="s">
        <v>649</v>
      </c>
    </row>
    <row r="3178" spans="38:40" x14ac:dyDescent="0.3">
      <c r="AL3178">
        <v>0</v>
      </c>
      <c r="AM3178" t="s">
        <v>649</v>
      </c>
      <c r="AN3178" t="s">
        <v>649</v>
      </c>
    </row>
    <row r="3179" spans="38:40" x14ac:dyDescent="0.3">
      <c r="AL3179">
        <v>0</v>
      </c>
      <c r="AM3179" t="s">
        <v>649</v>
      </c>
      <c r="AN3179" t="s">
        <v>649</v>
      </c>
    </row>
    <row r="3180" spans="38:40" x14ac:dyDescent="0.3">
      <c r="AL3180">
        <v>0</v>
      </c>
      <c r="AM3180" t="s">
        <v>649</v>
      </c>
      <c r="AN3180" t="s">
        <v>649</v>
      </c>
    </row>
    <row r="3181" spans="38:40" x14ac:dyDescent="0.3">
      <c r="AL3181">
        <v>0</v>
      </c>
      <c r="AM3181" t="s">
        <v>649</v>
      </c>
      <c r="AN3181" t="s">
        <v>649</v>
      </c>
    </row>
    <row r="3182" spans="38:40" x14ac:dyDescent="0.3">
      <c r="AL3182">
        <v>0</v>
      </c>
      <c r="AM3182" t="s">
        <v>649</v>
      </c>
      <c r="AN3182" t="s">
        <v>649</v>
      </c>
    </row>
    <row r="3183" spans="38:40" x14ac:dyDescent="0.3">
      <c r="AL3183">
        <v>0</v>
      </c>
      <c r="AM3183" t="s">
        <v>649</v>
      </c>
      <c r="AN3183" t="s">
        <v>649</v>
      </c>
    </row>
    <row r="3184" spans="38:40" x14ac:dyDescent="0.3">
      <c r="AL3184">
        <v>0</v>
      </c>
      <c r="AM3184" t="s">
        <v>649</v>
      </c>
      <c r="AN3184" t="s">
        <v>649</v>
      </c>
    </row>
    <row r="3185" spans="38:40" x14ac:dyDescent="0.3">
      <c r="AL3185">
        <v>0</v>
      </c>
      <c r="AM3185" t="s">
        <v>649</v>
      </c>
      <c r="AN3185" t="s">
        <v>649</v>
      </c>
    </row>
    <row r="3186" spans="38:40" x14ac:dyDescent="0.3">
      <c r="AL3186">
        <v>0</v>
      </c>
      <c r="AM3186" t="s">
        <v>649</v>
      </c>
      <c r="AN3186" t="s">
        <v>649</v>
      </c>
    </row>
    <row r="3187" spans="38:40" x14ac:dyDescent="0.3">
      <c r="AL3187">
        <v>0</v>
      </c>
      <c r="AM3187" t="s">
        <v>649</v>
      </c>
      <c r="AN3187" t="s">
        <v>649</v>
      </c>
    </row>
    <row r="3188" spans="38:40" x14ac:dyDescent="0.3">
      <c r="AL3188">
        <v>0</v>
      </c>
      <c r="AM3188" t="s">
        <v>649</v>
      </c>
      <c r="AN3188" t="s">
        <v>649</v>
      </c>
    </row>
    <row r="3189" spans="38:40" x14ac:dyDescent="0.3">
      <c r="AL3189">
        <v>0</v>
      </c>
      <c r="AM3189" t="s">
        <v>649</v>
      </c>
      <c r="AN3189" t="s">
        <v>649</v>
      </c>
    </row>
    <row r="3190" spans="38:40" x14ac:dyDescent="0.3">
      <c r="AL3190">
        <v>0</v>
      </c>
      <c r="AM3190" t="s">
        <v>649</v>
      </c>
      <c r="AN3190" t="s">
        <v>649</v>
      </c>
    </row>
    <row r="3191" spans="38:40" x14ac:dyDescent="0.3">
      <c r="AL3191">
        <v>0</v>
      </c>
      <c r="AM3191" t="s">
        <v>649</v>
      </c>
      <c r="AN3191" t="s">
        <v>649</v>
      </c>
    </row>
    <row r="3192" spans="38:40" x14ac:dyDescent="0.3">
      <c r="AL3192">
        <v>0</v>
      </c>
      <c r="AM3192" t="s">
        <v>649</v>
      </c>
      <c r="AN3192" t="s">
        <v>649</v>
      </c>
    </row>
    <row r="3193" spans="38:40" x14ac:dyDescent="0.3">
      <c r="AL3193">
        <v>0</v>
      </c>
      <c r="AM3193" t="s">
        <v>649</v>
      </c>
      <c r="AN3193" t="s">
        <v>649</v>
      </c>
    </row>
    <row r="3194" spans="38:40" x14ac:dyDescent="0.3">
      <c r="AL3194">
        <v>0</v>
      </c>
      <c r="AM3194" t="s">
        <v>649</v>
      </c>
      <c r="AN3194" t="s">
        <v>649</v>
      </c>
    </row>
    <row r="3195" spans="38:40" x14ac:dyDescent="0.3">
      <c r="AL3195">
        <v>0</v>
      </c>
      <c r="AM3195" t="s">
        <v>649</v>
      </c>
      <c r="AN3195" t="s">
        <v>649</v>
      </c>
    </row>
    <row r="3196" spans="38:40" x14ac:dyDescent="0.3">
      <c r="AL3196">
        <v>0</v>
      </c>
      <c r="AM3196" t="s">
        <v>649</v>
      </c>
      <c r="AN3196" t="s">
        <v>649</v>
      </c>
    </row>
    <row r="3197" spans="38:40" x14ac:dyDescent="0.3">
      <c r="AL3197">
        <v>0</v>
      </c>
      <c r="AM3197" t="s">
        <v>649</v>
      </c>
      <c r="AN3197" t="s">
        <v>649</v>
      </c>
    </row>
    <row r="3198" spans="38:40" x14ac:dyDescent="0.3">
      <c r="AL3198">
        <v>0</v>
      </c>
      <c r="AM3198" t="s">
        <v>649</v>
      </c>
      <c r="AN3198" t="s">
        <v>649</v>
      </c>
    </row>
    <row r="3199" spans="38:40" x14ac:dyDescent="0.3">
      <c r="AL3199">
        <v>0</v>
      </c>
      <c r="AM3199" t="s">
        <v>649</v>
      </c>
      <c r="AN3199" t="s">
        <v>649</v>
      </c>
    </row>
    <row r="3200" spans="38:40" x14ac:dyDescent="0.3">
      <c r="AL3200">
        <v>0</v>
      </c>
      <c r="AM3200" t="s">
        <v>649</v>
      </c>
      <c r="AN3200" t="s">
        <v>649</v>
      </c>
    </row>
    <row r="3201" spans="38:40" x14ac:dyDescent="0.3">
      <c r="AL3201">
        <v>0</v>
      </c>
      <c r="AM3201" t="s">
        <v>649</v>
      </c>
      <c r="AN3201" t="s">
        <v>649</v>
      </c>
    </row>
    <row r="3202" spans="38:40" x14ac:dyDescent="0.3">
      <c r="AL3202">
        <v>0</v>
      </c>
      <c r="AM3202" t="s">
        <v>649</v>
      </c>
      <c r="AN3202" t="s">
        <v>649</v>
      </c>
    </row>
    <row r="3203" spans="38:40" x14ac:dyDescent="0.3">
      <c r="AL3203">
        <v>0</v>
      </c>
      <c r="AM3203" t="s">
        <v>649</v>
      </c>
      <c r="AN3203" t="s">
        <v>649</v>
      </c>
    </row>
    <row r="3204" spans="38:40" x14ac:dyDescent="0.3">
      <c r="AL3204">
        <v>0</v>
      </c>
      <c r="AM3204" t="s">
        <v>649</v>
      </c>
      <c r="AN3204" t="s">
        <v>649</v>
      </c>
    </row>
    <row r="3205" spans="38:40" x14ac:dyDescent="0.3">
      <c r="AL3205">
        <v>0</v>
      </c>
      <c r="AM3205" t="s">
        <v>649</v>
      </c>
      <c r="AN3205" t="s">
        <v>649</v>
      </c>
    </row>
    <row r="3206" spans="38:40" x14ac:dyDescent="0.3">
      <c r="AL3206">
        <v>0</v>
      </c>
      <c r="AM3206" t="s">
        <v>649</v>
      </c>
      <c r="AN3206" t="s">
        <v>649</v>
      </c>
    </row>
    <row r="3207" spans="38:40" x14ac:dyDescent="0.3">
      <c r="AL3207">
        <v>0</v>
      </c>
      <c r="AM3207" t="s">
        <v>649</v>
      </c>
      <c r="AN3207" t="s">
        <v>649</v>
      </c>
    </row>
    <row r="3208" spans="38:40" x14ac:dyDescent="0.3">
      <c r="AL3208">
        <v>0</v>
      </c>
      <c r="AM3208" t="s">
        <v>649</v>
      </c>
      <c r="AN3208" t="s">
        <v>649</v>
      </c>
    </row>
    <row r="3209" spans="38:40" x14ac:dyDescent="0.3">
      <c r="AL3209">
        <v>0</v>
      </c>
      <c r="AM3209" t="s">
        <v>649</v>
      </c>
      <c r="AN3209" t="s">
        <v>649</v>
      </c>
    </row>
    <row r="3210" spans="38:40" x14ac:dyDescent="0.3">
      <c r="AL3210">
        <v>0</v>
      </c>
      <c r="AM3210" t="s">
        <v>649</v>
      </c>
      <c r="AN3210" t="s">
        <v>649</v>
      </c>
    </row>
    <row r="3211" spans="38:40" x14ac:dyDescent="0.3">
      <c r="AL3211">
        <v>0</v>
      </c>
      <c r="AM3211" t="s">
        <v>649</v>
      </c>
      <c r="AN3211" t="s">
        <v>649</v>
      </c>
    </row>
    <row r="3212" spans="38:40" x14ac:dyDescent="0.3">
      <c r="AL3212">
        <v>0</v>
      </c>
      <c r="AM3212" t="s">
        <v>649</v>
      </c>
      <c r="AN3212" t="s">
        <v>649</v>
      </c>
    </row>
    <row r="3213" spans="38:40" x14ac:dyDescent="0.3">
      <c r="AL3213">
        <v>0</v>
      </c>
      <c r="AM3213" t="s">
        <v>649</v>
      </c>
      <c r="AN3213" t="s">
        <v>649</v>
      </c>
    </row>
    <row r="3214" spans="38:40" x14ac:dyDescent="0.3">
      <c r="AL3214">
        <v>0</v>
      </c>
      <c r="AM3214" t="s">
        <v>649</v>
      </c>
      <c r="AN3214" t="s">
        <v>649</v>
      </c>
    </row>
    <row r="3215" spans="38:40" x14ac:dyDescent="0.3">
      <c r="AL3215">
        <v>0</v>
      </c>
      <c r="AM3215" t="s">
        <v>649</v>
      </c>
      <c r="AN3215" t="s">
        <v>649</v>
      </c>
    </row>
    <row r="3216" spans="38:40" x14ac:dyDescent="0.3">
      <c r="AL3216">
        <v>0</v>
      </c>
      <c r="AM3216" t="s">
        <v>649</v>
      </c>
      <c r="AN3216" t="s">
        <v>649</v>
      </c>
    </row>
    <row r="3217" spans="38:40" x14ac:dyDescent="0.3">
      <c r="AL3217">
        <v>0</v>
      </c>
      <c r="AM3217" t="s">
        <v>649</v>
      </c>
      <c r="AN3217" t="s">
        <v>649</v>
      </c>
    </row>
    <row r="3218" spans="38:40" x14ac:dyDescent="0.3">
      <c r="AL3218">
        <v>0</v>
      </c>
      <c r="AM3218" t="s">
        <v>649</v>
      </c>
      <c r="AN3218" t="s">
        <v>649</v>
      </c>
    </row>
    <row r="3219" spans="38:40" x14ac:dyDescent="0.3">
      <c r="AL3219">
        <v>0</v>
      </c>
      <c r="AM3219" t="s">
        <v>649</v>
      </c>
      <c r="AN3219" t="s">
        <v>649</v>
      </c>
    </row>
    <row r="3220" spans="38:40" x14ac:dyDescent="0.3">
      <c r="AL3220">
        <v>0</v>
      </c>
      <c r="AM3220" t="s">
        <v>649</v>
      </c>
      <c r="AN3220" t="s">
        <v>649</v>
      </c>
    </row>
    <row r="3221" spans="38:40" x14ac:dyDescent="0.3">
      <c r="AL3221">
        <v>0</v>
      </c>
      <c r="AM3221" t="s">
        <v>649</v>
      </c>
      <c r="AN3221" t="s">
        <v>649</v>
      </c>
    </row>
    <row r="3222" spans="38:40" x14ac:dyDescent="0.3">
      <c r="AL3222">
        <v>0</v>
      </c>
      <c r="AM3222" t="s">
        <v>649</v>
      </c>
      <c r="AN3222" t="s">
        <v>649</v>
      </c>
    </row>
    <row r="3223" spans="38:40" x14ac:dyDescent="0.3">
      <c r="AL3223">
        <v>0</v>
      </c>
      <c r="AM3223" t="s">
        <v>649</v>
      </c>
      <c r="AN3223" t="s">
        <v>649</v>
      </c>
    </row>
    <row r="3224" spans="38:40" x14ac:dyDescent="0.3">
      <c r="AL3224">
        <v>0</v>
      </c>
      <c r="AM3224" t="s">
        <v>649</v>
      </c>
      <c r="AN3224" t="s">
        <v>649</v>
      </c>
    </row>
    <row r="3225" spans="38:40" x14ac:dyDescent="0.3">
      <c r="AL3225">
        <v>0</v>
      </c>
      <c r="AM3225" t="s">
        <v>649</v>
      </c>
      <c r="AN3225" t="s">
        <v>649</v>
      </c>
    </row>
    <row r="3226" spans="38:40" x14ac:dyDescent="0.3">
      <c r="AL3226">
        <v>0</v>
      </c>
      <c r="AM3226" t="s">
        <v>649</v>
      </c>
      <c r="AN3226" t="s">
        <v>649</v>
      </c>
    </row>
    <row r="3227" spans="38:40" x14ac:dyDescent="0.3">
      <c r="AL3227">
        <v>0</v>
      </c>
      <c r="AM3227" t="s">
        <v>649</v>
      </c>
      <c r="AN3227" t="s">
        <v>649</v>
      </c>
    </row>
    <row r="3228" spans="38:40" x14ac:dyDescent="0.3">
      <c r="AL3228">
        <v>0</v>
      </c>
      <c r="AM3228" t="s">
        <v>649</v>
      </c>
      <c r="AN3228" t="s">
        <v>649</v>
      </c>
    </row>
    <row r="3229" spans="38:40" x14ac:dyDescent="0.3">
      <c r="AL3229">
        <v>0</v>
      </c>
      <c r="AM3229" t="s">
        <v>649</v>
      </c>
      <c r="AN3229" t="s">
        <v>649</v>
      </c>
    </row>
    <row r="3230" spans="38:40" x14ac:dyDescent="0.3">
      <c r="AL3230">
        <v>0</v>
      </c>
      <c r="AM3230" t="s">
        <v>649</v>
      </c>
      <c r="AN3230" t="s">
        <v>649</v>
      </c>
    </row>
    <row r="3231" spans="38:40" x14ac:dyDescent="0.3">
      <c r="AL3231">
        <v>0</v>
      </c>
      <c r="AM3231" t="s">
        <v>649</v>
      </c>
      <c r="AN3231" t="s">
        <v>649</v>
      </c>
    </row>
    <row r="3232" spans="38:40" x14ac:dyDescent="0.3">
      <c r="AL3232">
        <v>0</v>
      </c>
      <c r="AM3232" t="s">
        <v>649</v>
      </c>
      <c r="AN3232" t="s">
        <v>649</v>
      </c>
    </row>
    <row r="3233" spans="38:40" x14ac:dyDescent="0.3">
      <c r="AL3233">
        <v>0</v>
      </c>
      <c r="AM3233" t="s">
        <v>649</v>
      </c>
      <c r="AN3233" t="s">
        <v>649</v>
      </c>
    </row>
    <row r="3234" spans="38:40" x14ac:dyDescent="0.3">
      <c r="AL3234">
        <v>0</v>
      </c>
      <c r="AM3234" t="s">
        <v>649</v>
      </c>
      <c r="AN3234" t="s">
        <v>649</v>
      </c>
    </row>
    <row r="3235" spans="38:40" x14ac:dyDescent="0.3">
      <c r="AL3235">
        <v>0</v>
      </c>
      <c r="AM3235" t="s">
        <v>649</v>
      </c>
      <c r="AN3235" t="s">
        <v>649</v>
      </c>
    </row>
    <row r="3236" spans="38:40" x14ac:dyDescent="0.3">
      <c r="AL3236">
        <v>0</v>
      </c>
      <c r="AM3236" t="s">
        <v>649</v>
      </c>
      <c r="AN3236" t="s">
        <v>649</v>
      </c>
    </row>
    <row r="3237" spans="38:40" x14ac:dyDescent="0.3">
      <c r="AL3237">
        <v>0</v>
      </c>
      <c r="AM3237" t="s">
        <v>649</v>
      </c>
      <c r="AN3237" t="s">
        <v>649</v>
      </c>
    </row>
    <row r="3238" spans="38:40" x14ac:dyDescent="0.3">
      <c r="AL3238">
        <v>0</v>
      </c>
      <c r="AM3238" t="s">
        <v>649</v>
      </c>
      <c r="AN3238" t="s">
        <v>649</v>
      </c>
    </row>
    <row r="3239" spans="38:40" x14ac:dyDescent="0.3">
      <c r="AL3239">
        <v>0</v>
      </c>
      <c r="AM3239" t="s">
        <v>649</v>
      </c>
      <c r="AN3239" t="s">
        <v>649</v>
      </c>
    </row>
    <row r="3240" spans="38:40" x14ac:dyDescent="0.3">
      <c r="AL3240">
        <v>0</v>
      </c>
      <c r="AM3240" t="s">
        <v>649</v>
      </c>
      <c r="AN3240" t="s">
        <v>649</v>
      </c>
    </row>
    <row r="3241" spans="38:40" x14ac:dyDescent="0.3">
      <c r="AL3241">
        <v>0</v>
      </c>
      <c r="AM3241" t="s">
        <v>649</v>
      </c>
      <c r="AN3241" t="s">
        <v>649</v>
      </c>
    </row>
    <row r="3242" spans="38:40" x14ac:dyDescent="0.3">
      <c r="AL3242">
        <v>0</v>
      </c>
      <c r="AM3242" t="s">
        <v>649</v>
      </c>
      <c r="AN3242" t="s">
        <v>649</v>
      </c>
    </row>
    <row r="3243" spans="38:40" x14ac:dyDescent="0.3">
      <c r="AL3243">
        <v>0</v>
      </c>
      <c r="AM3243" t="s">
        <v>649</v>
      </c>
      <c r="AN3243" t="s">
        <v>649</v>
      </c>
    </row>
    <row r="3244" spans="38:40" x14ac:dyDescent="0.3">
      <c r="AL3244">
        <v>0</v>
      </c>
      <c r="AM3244" t="s">
        <v>649</v>
      </c>
      <c r="AN3244" t="s">
        <v>649</v>
      </c>
    </row>
    <row r="3245" spans="38:40" x14ac:dyDescent="0.3">
      <c r="AL3245">
        <v>0</v>
      </c>
      <c r="AM3245" t="s">
        <v>649</v>
      </c>
      <c r="AN3245" t="s">
        <v>649</v>
      </c>
    </row>
    <row r="3246" spans="38:40" x14ac:dyDescent="0.3">
      <c r="AL3246">
        <v>0</v>
      </c>
      <c r="AM3246" t="s">
        <v>649</v>
      </c>
      <c r="AN3246" t="s">
        <v>649</v>
      </c>
    </row>
    <row r="3247" spans="38:40" x14ac:dyDescent="0.3">
      <c r="AL3247">
        <v>0</v>
      </c>
      <c r="AM3247" t="s">
        <v>649</v>
      </c>
      <c r="AN3247" t="s">
        <v>649</v>
      </c>
    </row>
    <row r="3248" spans="38:40" x14ac:dyDescent="0.3">
      <c r="AL3248">
        <v>0</v>
      </c>
      <c r="AM3248" t="s">
        <v>649</v>
      </c>
      <c r="AN3248" t="s">
        <v>649</v>
      </c>
    </row>
    <row r="3249" spans="38:40" x14ac:dyDescent="0.3">
      <c r="AL3249">
        <v>0</v>
      </c>
      <c r="AM3249" t="s">
        <v>649</v>
      </c>
      <c r="AN3249" t="s">
        <v>649</v>
      </c>
    </row>
    <row r="3250" spans="38:40" x14ac:dyDescent="0.3">
      <c r="AL3250">
        <v>0</v>
      </c>
      <c r="AM3250" t="s">
        <v>649</v>
      </c>
      <c r="AN3250" t="s">
        <v>649</v>
      </c>
    </row>
    <row r="3251" spans="38:40" x14ac:dyDescent="0.3">
      <c r="AL3251">
        <v>0</v>
      </c>
      <c r="AM3251" t="s">
        <v>649</v>
      </c>
      <c r="AN3251" t="s">
        <v>649</v>
      </c>
    </row>
    <row r="3252" spans="38:40" x14ac:dyDescent="0.3">
      <c r="AL3252">
        <v>0</v>
      </c>
      <c r="AM3252" t="s">
        <v>649</v>
      </c>
      <c r="AN3252" t="s">
        <v>649</v>
      </c>
    </row>
    <row r="3253" spans="38:40" x14ac:dyDescent="0.3">
      <c r="AL3253">
        <v>0</v>
      </c>
      <c r="AM3253" t="s">
        <v>649</v>
      </c>
      <c r="AN3253" t="s">
        <v>649</v>
      </c>
    </row>
    <row r="3254" spans="38:40" x14ac:dyDescent="0.3">
      <c r="AL3254">
        <v>0</v>
      </c>
      <c r="AM3254" t="s">
        <v>649</v>
      </c>
      <c r="AN3254" t="s">
        <v>649</v>
      </c>
    </row>
    <row r="3255" spans="38:40" x14ac:dyDescent="0.3">
      <c r="AL3255">
        <v>0</v>
      </c>
      <c r="AM3255" t="s">
        <v>649</v>
      </c>
      <c r="AN3255" t="s">
        <v>649</v>
      </c>
    </row>
    <row r="3256" spans="38:40" x14ac:dyDescent="0.3">
      <c r="AL3256">
        <v>0</v>
      </c>
      <c r="AM3256" t="s">
        <v>649</v>
      </c>
      <c r="AN3256" t="s">
        <v>649</v>
      </c>
    </row>
    <row r="3257" spans="38:40" x14ac:dyDescent="0.3">
      <c r="AL3257">
        <v>0</v>
      </c>
      <c r="AM3257" t="s">
        <v>649</v>
      </c>
      <c r="AN3257" t="s">
        <v>649</v>
      </c>
    </row>
    <row r="3258" spans="38:40" x14ac:dyDescent="0.3">
      <c r="AL3258">
        <v>0</v>
      </c>
      <c r="AM3258" t="s">
        <v>649</v>
      </c>
      <c r="AN3258" t="s">
        <v>649</v>
      </c>
    </row>
    <row r="3259" spans="38:40" x14ac:dyDescent="0.3">
      <c r="AL3259">
        <v>0</v>
      </c>
      <c r="AM3259" t="s">
        <v>649</v>
      </c>
      <c r="AN3259" t="s">
        <v>649</v>
      </c>
    </row>
    <row r="3260" spans="38:40" x14ac:dyDescent="0.3">
      <c r="AL3260">
        <v>0</v>
      </c>
      <c r="AM3260" t="s">
        <v>649</v>
      </c>
      <c r="AN3260" t="s">
        <v>649</v>
      </c>
    </row>
    <row r="3261" spans="38:40" x14ac:dyDescent="0.3">
      <c r="AL3261">
        <v>0</v>
      </c>
      <c r="AM3261" t="s">
        <v>649</v>
      </c>
      <c r="AN3261" t="s">
        <v>649</v>
      </c>
    </row>
    <row r="3262" spans="38:40" x14ac:dyDescent="0.3">
      <c r="AL3262">
        <v>0</v>
      </c>
      <c r="AM3262" t="s">
        <v>649</v>
      </c>
      <c r="AN3262" t="s">
        <v>649</v>
      </c>
    </row>
    <row r="3263" spans="38:40" x14ac:dyDescent="0.3">
      <c r="AL3263">
        <v>0</v>
      </c>
      <c r="AM3263" t="s">
        <v>649</v>
      </c>
      <c r="AN3263" t="s">
        <v>649</v>
      </c>
    </row>
    <row r="3264" spans="38:40" x14ac:dyDescent="0.3">
      <c r="AL3264">
        <v>0</v>
      </c>
      <c r="AM3264" t="s">
        <v>649</v>
      </c>
      <c r="AN3264" t="s">
        <v>649</v>
      </c>
    </row>
    <row r="3265" spans="38:40" x14ac:dyDescent="0.3">
      <c r="AL3265">
        <v>0</v>
      </c>
      <c r="AM3265" t="s">
        <v>649</v>
      </c>
      <c r="AN3265" t="s">
        <v>649</v>
      </c>
    </row>
    <row r="3266" spans="38:40" x14ac:dyDescent="0.3">
      <c r="AL3266">
        <v>0</v>
      </c>
      <c r="AM3266" t="s">
        <v>649</v>
      </c>
      <c r="AN3266" t="s">
        <v>649</v>
      </c>
    </row>
    <row r="3267" spans="38:40" x14ac:dyDescent="0.3">
      <c r="AL3267">
        <v>0</v>
      </c>
      <c r="AM3267" t="s">
        <v>649</v>
      </c>
      <c r="AN3267" t="s">
        <v>649</v>
      </c>
    </row>
    <row r="3268" spans="38:40" x14ac:dyDescent="0.3">
      <c r="AL3268">
        <v>0</v>
      </c>
      <c r="AM3268" t="s">
        <v>649</v>
      </c>
      <c r="AN3268" t="s">
        <v>649</v>
      </c>
    </row>
    <row r="3269" spans="38:40" x14ac:dyDescent="0.3">
      <c r="AL3269">
        <v>0</v>
      </c>
      <c r="AM3269" t="s">
        <v>649</v>
      </c>
      <c r="AN3269" t="s">
        <v>649</v>
      </c>
    </row>
    <row r="3270" spans="38:40" x14ac:dyDescent="0.3">
      <c r="AL3270">
        <v>0</v>
      </c>
      <c r="AM3270" t="s">
        <v>649</v>
      </c>
      <c r="AN3270" t="s">
        <v>649</v>
      </c>
    </row>
    <row r="3271" spans="38:40" x14ac:dyDescent="0.3">
      <c r="AL3271">
        <v>0</v>
      </c>
      <c r="AM3271" t="s">
        <v>649</v>
      </c>
      <c r="AN3271" t="s">
        <v>649</v>
      </c>
    </row>
    <row r="3272" spans="38:40" x14ac:dyDescent="0.3">
      <c r="AL3272">
        <v>0</v>
      </c>
      <c r="AM3272" t="s">
        <v>649</v>
      </c>
      <c r="AN3272" t="s">
        <v>649</v>
      </c>
    </row>
    <row r="3273" spans="38:40" x14ac:dyDescent="0.3">
      <c r="AL3273">
        <v>0</v>
      </c>
      <c r="AM3273" t="s">
        <v>649</v>
      </c>
      <c r="AN3273" t="s">
        <v>649</v>
      </c>
    </row>
    <row r="3274" spans="38:40" x14ac:dyDescent="0.3">
      <c r="AL3274">
        <v>0</v>
      </c>
      <c r="AM3274" t="s">
        <v>649</v>
      </c>
      <c r="AN3274" t="s">
        <v>649</v>
      </c>
    </row>
    <row r="3275" spans="38:40" x14ac:dyDescent="0.3">
      <c r="AL3275">
        <v>0</v>
      </c>
      <c r="AM3275" t="s">
        <v>649</v>
      </c>
      <c r="AN3275" t="s">
        <v>649</v>
      </c>
    </row>
    <row r="3276" spans="38:40" x14ac:dyDescent="0.3">
      <c r="AL3276">
        <v>0</v>
      </c>
      <c r="AM3276" t="s">
        <v>649</v>
      </c>
      <c r="AN3276" t="s">
        <v>649</v>
      </c>
    </row>
    <row r="3277" spans="38:40" x14ac:dyDescent="0.3">
      <c r="AL3277">
        <v>0</v>
      </c>
      <c r="AM3277" t="s">
        <v>649</v>
      </c>
      <c r="AN3277" t="s">
        <v>649</v>
      </c>
    </row>
    <row r="3278" spans="38:40" x14ac:dyDescent="0.3">
      <c r="AL3278">
        <v>0</v>
      </c>
      <c r="AM3278" t="s">
        <v>649</v>
      </c>
      <c r="AN3278" t="s">
        <v>649</v>
      </c>
    </row>
    <row r="3279" spans="38:40" x14ac:dyDescent="0.3">
      <c r="AL3279">
        <v>0</v>
      </c>
      <c r="AM3279" t="s">
        <v>649</v>
      </c>
      <c r="AN3279" t="s">
        <v>649</v>
      </c>
    </row>
    <row r="3280" spans="38:40" x14ac:dyDescent="0.3">
      <c r="AL3280">
        <v>0</v>
      </c>
      <c r="AM3280" t="s">
        <v>649</v>
      </c>
      <c r="AN3280" t="s">
        <v>649</v>
      </c>
    </row>
    <row r="3281" spans="38:40" x14ac:dyDescent="0.3">
      <c r="AL3281">
        <v>0</v>
      </c>
      <c r="AM3281" t="s">
        <v>649</v>
      </c>
      <c r="AN3281" t="s">
        <v>649</v>
      </c>
    </row>
    <row r="3282" spans="38:40" x14ac:dyDescent="0.3">
      <c r="AL3282">
        <v>0</v>
      </c>
      <c r="AM3282" t="s">
        <v>649</v>
      </c>
      <c r="AN3282" t="s">
        <v>649</v>
      </c>
    </row>
    <row r="3283" spans="38:40" x14ac:dyDescent="0.3">
      <c r="AL3283">
        <v>0</v>
      </c>
      <c r="AM3283" t="s">
        <v>649</v>
      </c>
      <c r="AN3283" t="s">
        <v>649</v>
      </c>
    </row>
    <row r="3284" spans="38:40" x14ac:dyDescent="0.3">
      <c r="AL3284">
        <v>0</v>
      </c>
      <c r="AM3284" t="s">
        <v>649</v>
      </c>
      <c r="AN3284" t="s">
        <v>649</v>
      </c>
    </row>
    <row r="3285" spans="38:40" x14ac:dyDescent="0.3">
      <c r="AL3285">
        <v>0</v>
      </c>
      <c r="AM3285" t="s">
        <v>649</v>
      </c>
      <c r="AN3285" t="s">
        <v>649</v>
      </c>
    </row>
    <row r="3286" spans="38:40" x14ac:dyDescent="0.3">
      <c r="AL3286">
        <v>0</v>
      </c>
      <c r="AM3286" t="s">
        <v>649</v>
      </c>
      <c r="AN3286" t="s">
        <v>649</v>
      </c>
    </row>
    <row r="3287" spans="38:40" x14ac:dyDescent="0.3">
      <c r="AL3287">
        <v>0</v>
      </c>
      <c r="AM3287" t="s">
        <v>649</v>
      </c>
      <c r="AN3287" t="s">
        <v>649</v>
      </c>
    </row>
    <row r="3288" spans="38:40" x14ac:dyDescent="0.3">
      <c r="AL3288">
        <v>0</v>
      </c>
      <c r="AM3288" t="s">
        <v>649</v>
      </c>
      <c r="AN3288" t="s">
        <v>649</v>
      </c>
    </row>
    <row r="3289" spans="38:40" x14ac:dyDescent="0.3">
      <c r="AL3289">
        <v>0</v>
      </c>
      <c r="AM3289" t="s">
        <v>649</v>
      </c>
      <c r="AN3289" t="s">
        <v>649</v>
      </c>
    </row>
    <row r="3290" spans="38:40" x14ac:dyDescent="0.3">
      <c r="AL3290">
        <v>0</v>
      </c>
      <c r="AM3290" t="s">
        <v>649</v>
      </c>
      <c r="AN3290" t="s">
        <v>649</v>
      </c>
    </row>
    <row r="3291" spans="38:40" x14ac:dyDescent="0.3">
      <c r="AL3291">
        <v>0</v>
      </c>
      <c r="AM3291" t="s">
        <v>649</v>
      </c>
      <c r="AN3291" t="s">
        <v>649</v>
      </c>
    </row>
    <row r="3292" spans="38:40" x14ac:dyDescent="0.3">
      <c r="AL3292">
        <v>0</v>
      </c>
      <c r="AM3292" t="s">
        <v>649</v>
      </c>
      <c r="AN3292" t="s">
        <v>649</v>
      </c>
    </row>
    <row r="3293" spans="38:40" x14ac:dyDescent="0.3">
      <c r="AL3293">
        <v>0</v>
      </c>
      <c r="AM3293" t="s">
        <v>649</v>
      </c>
      <c r="AN3293" t="s">
        <v>649</v>
      </c>
    </row>
    <row r="3294" spans="38:40" x14ac:dyDescent="0.3">
      <c r="AL3294">
        <v>0</v>
      </c>
      <c r="AM3294" t="s">
        <v>649</v>
      </c>
      <c r="AN3294" t="s">
        <v>649</v>
      </c>
    </row>
    <row r="3295" spans="38:40" x14ac:dyDescent="0.3">
      <c r="AL3295">
        <v>0</v>
      </c>
      <c r="AM3295" t="s">
        <v>649</v>
      </c>
      <c r="AN3295" t="s">
        <v>649</v>
      </c>
    </row>
    <row r="3296" spans="38:40" x14ac:dyDescent="0.3">
      <c r="AL3296">
        <v>0</v>
      </c>
      <c r="AM3296" t="s">
        <v>649</v>
      </c>
      <c r="AN3296" t="s">
        <v>649</v>
      </c>
    </row>
    <row r="3297" spans="38:40" x14ac:dyDescent="0.3">
      <c r="AL3297">
        <v>0</v>
      </c>
      <c r="AM3297" t="s">
        <v>649</v>
      </c>
      <c r="AN3297" t="s">
        <v>649</v>
      </c>
    </row>
    <row r="3298" spans="38:40" x14ac:dyDescent="0.3">
      <c r="AL3298">
        <v>0</v>
      </c>
      <c r="AM3298" t="s">
        <v>649</v>
      </c>
      <c r="AN3298" t="s">
        <v>649</v>
      </c>
    </row>
    <row r="3299" spans="38:40" x14ac:dyDescent="0.3">
      <c r="AL3299">
        <v>0</v>
      </c>
      <c r="AM3299" t="s">
        <v>649</v>
      </c>
      <c r="AN3299" t="s">
        <v>649</v>
      </c>
    </row>
    <row r="3300" spans="38:40" x14ac:dyDescent="0.3">
      <c r="AL3300">
        <v>0</v>
      </c>
      <c r="AM3300" t="s">
        <v>649</v>
      </c>
      <c r="AN3300" t="s">
        <v>649</v>
      </c>
    </row>
    <row r="3301" spans="38:40" x14ac:dyDescent="0.3">
      <c r="AL3301">
        <v>0</v>
      </c>
      <c r="AM3301" t="s">
        <v>649</v>
      </c>
      <c r="AN3301" t="s">
        <v>649</v>
      </c>
    </row>
    <row r="3302" spans="38:40" x14ac:dyDescent="0.3">
      <c r="AL3302">
        <v>0</v>
      </c>
      <c r="AM3302" t="s">
        <v>649</v>
      </c>
      <c r="AN3302" t="s">
        <v>649</v>
      </c>
    </row>
    <row r="3303" spans="38:40" x14ac:dyDescent="0.3">
      <c r="AL3303">
        <v>0</v>
      </c>
      <c r="AM3303" t="s">
        <v>649</v>
      </c>
      <c r="AN3303" t="s">
        <v>649</v>
      </c>
    </row>
    <row r="3304" spans="38:40" x14ac:dyDescent="0.3">
      <c r="AL3304">
        <v>0</v>
      </c>
      <c r="AM3304" t="s">
        <v>649</v>
      </c>
      <c r="AN3304" t="s">
        <v>649</v>
      </c>
    </row>
    <row r="3305" spans="38:40" x14ac:dyDescent="0.3">
      <c r="AL3305">
        <v>0</v>
      </c>
      <c r="AM3305" t="s">
        <v>649</v>
      </c>
      <c r="AN3305" t="s">
        <v>649</v>
      </c>
    </row>
    <row r="3306" spans="38:40" x14ac:dyDescent="0.3">
      <c r="AL3306">
        <v>0</v>
      </c>
      <c r="AM3306" t="s">
        <v>649</v>
      </c>
      <c r="AN3306" t="s">
        <v>649</v>
      </c>
    </row>
    <row r="3307" spans="38:40" x14ac:dyDescent="0.3">
      <c r="AL3307">
        <v>0</v>
      </c>
      <c r="AM3307" t="s">
        <v>649</v>
      </c>
      <c r="AN3307" t="s">
        <v>649</v>
      </c>
    </row>
    <row r="3308" spans="38:40" x14ac:dyDescent="0.3">
      <c r="AL3308">
        <v>0</v>
      </c>
      <c r="AM3308" t="s">
        <v>649</v>
      </c>
      <c r="AN3308" t="s">
        <v>649</v>
      </c>
    </row>
    <row r="3309" spans="38:40" x14ac:dyDescent="0.3">
      <c r="AL3309">
        <v>0</v>
      </c>
      <c r="AM3309" t="s">
        <v>649</v>
      </c>
      <c r="AN3309" t="s">
        <v>649</v>
      </c>
    </row>
    <row r="3310" spans="38:40" x14ac:dyDescent="0.3">
      <c r="AL3310">
        <v>0</v>
      </c>
      <c r="AM3310" t="s">
        <v>649</v>
      </c>
      <c r="AN3310" t="s">
        <v>649</v>
      </c>
    </row>
    <row r="3311" spans="38:40" x14ac:dyDescent="0.3">
      <c r="AL3311">
        <v>0</v>
      </c>
      <c r="AM3311" t="s">
        <v>649</v>
      </c>
      <c r="AN3311" t="s">
        <v>649</v>
      </c>
    </row>
    <row r="3312" spans="38:40" x14ac:dyDescent="0.3">
      <c r="AL3312">
        <v>0</v>
      </c>
      <c r="AM3312" t="s">
        <v>649</v>
      </c>
      <c r="AN3312" t="s">
        <v>649</v>
      </c>
    </row>
    <row r="3313" spans="38:40" x14ac:dyDescent="0.3">
      <c r="AL3313">
        <v>0</v>
      </c>
      <c r="AM3313" t="s">
        <v>649</v>
      </c>
      <c r="AN3313" t="s">
        <v>649</v>
      </c>
    </row>
    <row r="3314" spans="38:40" x14ac:dyDescent="0.3">
      <c r="AL3314">
        <v>0</v>
      </c>
      <c r="AM3314" t="s">
        <v>649</v>
      </c>
      <c r="AN3314" t="s">
        <v>649</v>
      </c>
    </row>
    <row r="3315" spans="38:40" x14ac:dyDescent="0.3">
      <c r="AL3315">
        <v>0</v>
      </c>
      <c r="AM3315" t="s">
        <v>649</v>
      </c>
      <c r="AN3315" t="s">
        <v>649</v>
      </c>
    </row>
    <row r="3316" spans="38:40" x14ac:dyDescent="0.3">
      <c r="AL3316">
        <v>0</v>
      </c>
      <c r="AM3316" t="s">
        <v>649</v>
      </c>
      <c r="AN3316" t="s">
        <v>649</v>
      </c>
    </row>
    <row r="3317" spans="38:40" x14ac:dyDescent="0.3">
      <c r="AL3317">
        <v>0</v>
      </c>
      <c r="AM3317" t="s">
        <v>649</v>
      </c>
      <c r="AN3317" t="s">
        <v>649</v>
      </c>
    </row>
    <row r="3318" spans="38:40" x14ac:dyDescent="0.3">
      <c r="AL3318">
        <v>0</v>
      </c>
      <c r="AM3318" t="s">
        <v>649</v>
      </c>
      <c r="AN3318" t="s">
        <v>649</v>
      </c>
    </row>
    <row r="3319" spans="38:40" x14ac:dyDescent="0.3">
      <c r="AL3319">
        <v>0</v>
      </c>
      <c r="AM3319" t="s">
        <v>649</v>
      </c>
      <c r="AN3319" t="s">
        <v>649</v>
      </c>
    </row>
    <row r="3320" spans="38:40" x14ac:dyDescent="0.3">
      <c r="AL3320">
        <v>0</v>
      </c>
      <c r="AM3320" t="s">
        <v>649</v>
      </c>
      <c r="AN3320" t="s">
        <v>649</v>
      </c>
    </row>
    <row r="3321" spans="38:40" x14ac:dyDescent="0.3">
      <c r="AL3321">
        <v>0</v>
      </c>
      <c r="AM3321" t="s">
        <v>649</v>
      </c>
      <c r="AN3321" t="s">
        <v>649</v>
      </c>
    </row>
    <row r="3322" spans="38:40" x14ac:dyDescent="0.3">
      <c r="AL3322">
        <v>0</v>
      </c>
      <c r="AM3322" t="s">
        <v>649</v>
      </c>
      <c r="AN3322" t="s">
        <v>649</v>
      </c>
    </row>
    <row r="3323" spans="38:40" x14ac:dyDescent="0.3">
      <c r="AL3323">
        <v>0</v>
      </c>
      <c r="AM3323" t="s">
        <v>649</v>
      </c>
      <c r="AN3323" t="s">
        <v>649</v>
      </c>
    </row>
    <row r="3324" spans="38:40" x14ac:dyDescent="0.3">
      <c r="AL3324">
        <v>0</v>
      </c>
      <c r="AM3324" t="s">
        <v>649</v>
      </c>
      <c r="AN3324" t="s">
        <v>649</v>
      </c>
    </row>
    <row r="3325" spans="38:40" x14ac:dyDescent="0.3">
      <c r="AL3325">
        <v>0</v>
      </c>
      <c r="AM3325" t="s">
        <v>649</v>
      </c>
      <c r="AN3325" t="s">
        <v>649</v>
      </c>
    </row>
    <row r="3326" spans="38:40" x14ac:dyDescent="0.3">
      <c r="AL3326">
        <v>0</v>
      </c>
      <c r="AM3326" t="s">
        <v>649</v>
      </c>
      <c r="AN3326" t="s">
        <v>649</v>
      </c>
    </row>
    <row r="3327" spans="38:40" x14ac:dyDescent="0.3">
      <c r="AL3327">
        <v>0</v>
      </c>
      <c r="AM3327" t="s">
        <v>649</v>
      </c>
      <c r="AN3327" t="s">
        <v>649</v>
      </c>
    </row>
    <row r="3328" spans="38:40" x14ac:dyDescent="0.3">
      <c r="AL3328">
        <v>0</v>
      </c>
      <c r="AM3328" t="s">
        <v>649</v>
      </c>
      <c r="AN3328" t="s">
        <v>649</v>
      </c>
    </row>
    <row r="3329" spans="38:40" x14ac:dyDescent="0.3">
      <c r="AL3329">
        <v>0</v>
      </c>
      <c r="AM3329" t="s">
        <v>649</v>
      </c>
      <c r="AN3329" t="s">
        <v>649</v>
      </c>
    </row>
    <row r="3330" spans="38:40" x14ac:dyDescent="0.3">
      <c r="AL3330">
        <v>0</v>
      </c>
      <c r="AM3330" t="s">
        <v>649</v>
      </c>
      <c r="AN3330" t="s">
        <v>649</v>
      </c>
    </row>
    <row r="3331" spans="38:40" x14ac:dyDescent="0.3">
      <c r="AL3331">
        <v>0</v>
      </c>
      <c r="AM3331" t="s">
        <v>649</v>
      </c>
      <c r="AN3331" t="s">
        <v>649</v>
      </c>
    </row>
    <row r="3332" spans="38:40" x14ac:dyDescent="0.3">
      <c r="AL3332">
        <v>0</v>
      </c>
      <c r="AM3332" t="s">
        <v>649</v>
      </c>
      <c r="AN3332" t="s">
        <v>649</v>
      </c>
    </row>
    <row r="3333" spans="38:40" x14ac:dyDescent="0.3">
      <c r="AL3333">
        <v>0</v>
      </c>
      <c r="AM3333" t="s">
        <v>649</v>
      </c>
      <c r="AN3333" t="s">
        <v>649</v>
      </c>
    </row>
    <row r="3334" spans="38:40" x14ac:dyDescent="0.3">
      <c r="AL3334">
        <v>0</v>
      </c>
      <c r="AM3334" t="s">
        <v>649</v>
      </c>
      <c r="AN3334" t="s">
        <v>649</v>
      </c>
    </row>
    <row r="3335" spans="38:40" x14ac:dyDescent="0.3">
      <c r="AL3335">
        <v>0</v>
      </c>
      <c r="AM3335" t="s">
        <v>649</v>
      </c>
      <c r="AN3335" t="s">
        <v>649</v>
      </c>
    </row>
    <row r="3336" spans="38:40" x14ac:dyDescent="0.3">
      <c r="AL3336">
        <v>0</v>
      </c>
      <c r="AM3336" t="s">
        <v>649</v>
      </c>
      <c r="AN3336" t="s">
        <v>649</v>
      </c>
    </row>
    <row r="3337" spans="38:40" x14ac:dyDescent="0.3">
      <c r="AL3337">
        <v>0</v>
      </c>
      <c r="AM3337" t="s">
        <v>649</v>
      </c>
      <c r="AN3337" t="s">
        <v>649</v>
      </c>
    </row>
    <row r="3338" spans="38:40" x14ac:dyDescent="0.3">
      <c r="AL3338">
        <v>0</v>
      </c>
      <c r="AM3338" t="s">
        <v>649</v>
      </c>
      <c r="AN3338" t="s">
        <v>649</v>
      </c>
    </row>
    <row r="3339" spans="38:40" x14ac:dyDescent="0.3">
      <c r="AL3339">
        <v>0</v>
      </c>
      <c r="AM3339" t="s">
        <v>649</v>
      </c>
      <c r="AN3339" t="s">
        <v>649</v>
      </c>
    </row>
    <row r="3340" spans="38:40" x14ac:dyDescent="0.3">
      <c r="AL3340">
        <v>0</v>
      </c>
      <c r="AM3340" t="s">
        <v>649</v>
      </c>
      <c r="AN3340" t="s">
        <v>649</v>
      </c>
    </row>
    <row r="3341" spans="38:40" x14ac:dyDescent="0.3">
      <c r="AL3341">
        <v>0</v>
      </c>
      <c r="AM3341" t="s">
        <v>649</v>
      </c>
      <c r="AN3341" t="s">
        <v>649</v>
      </c>
    </row>
    <row r="3342" spans="38:40" x14ac:dyDescent="0.3">
      <c r="AL3342">
        <v>0</v>
      </c>
      <c r="AM3342" t="s">
        <v>649</v>
      </c>
      <c r="AN3342" t="s">
        <v>649</v>
      </c>
    </row>
    <row r="3343" spans="38:40" x14ac:dyDescent="0.3">
      <c r="AL3343">
        <v>0</v>
      </c>
      <c r="AM3343" t="s">
        <v>649</v>
      </c>
      <c r="AN3343" t="s">
        <v>649</v>
      </c>
    </row>
    <row r="3344" spans="38:40" x14ac:dyDescent="0.3">
      <c r="AL3344">
        <v>0</v>
      </c>
      <c r="AM3344" t="s">
        <v>649</v>
      </c>
      <c r="AN3344" t="s">
        <v>649</v>
      </c>
    </row>
    <row r="3345" spans="38:40" x14ac:dyDescent="0.3">
      <c r="AL3345">
        <v>0</v>
      </c>
      <c r="AM3345" t="s">
        <v>649</v>
      </c>
      <c r="AN3345" t="s">
        <v>649</v>
      </c>
    </row>
    <row r="3346" spans="38:40" x14ac:dyDescent="0.3">
      <c r="AL3346">
        <v>0</v>
      </c>
      <c r="AM3346" t="s">
        <v>649</v>
      </c>
      <c r="AN3346" t="s">
        <v>649</v>
      </c>
    </row>
    <row r="3347" spans="38:40" x14ac:dyDescent="0.3">
      <c r="AL3347">
        <v>0</v>
      </c>
      <c r="AM3347" t="s">
        <v>649</v>
      </c>
      <c r="AN3347" t="s">
        <v>649</v>
      </c>
    </row>
    <row r="3348" spans="38:40" x14ac:dyDescent="0.3">
      <c r="AL3348">
        <v>0</v>
      </c>
      <c r="AM3348" t="s">
        <v>649</v>
      </c>
      <c r="AN3348" t="s">
        <v>649</v>
      </c>
    </row>
    <row r="3349" spans="38:40" x14ac:dyDescent="0.3">
      <c r="AL3349">
        <v>0</v>
      </c>
      <c r="AM3349" t="s">
        <v>649</v>
      </c>
      <c r="AN3349" t="s">
        <v>649</v>
      </c>
    </row>
    <row r="3350" spans="38:40" x14ac:dyDescent="0.3">
      <c r="AL3350">
        <v>0</v>
      </c>
      <c r="AM3350" t="s">
        <v>649</v>
      </c>
      <c r="AN3350" t="s">
        <v>649</v>
      </c>
    </row>
    <row r="3351" spans="38:40" x14ac:dyDescent="0.3">
      <c r="AL3351">
        <v>0</v>
      </c>
      <c r="AM3351" t="s">
        <v>649</v>
      </c>
      <c r="AN3351" t="s">
        <v>649</v>
      </c>
    </row>
    <row r="3352" spans="38:40" x14ac:dyDescent="0.3">
      <c r="AL3352">
        <v>0</v>
      </c>
      <c r="AM3352" t="s">
        <v>649</v>
      </c>
      <c r="AN3352" t="s">
        <v>649</v>
      </c>
    </row>
    <row r="3353" spans="38:40" x14ac:dyDescent="0.3">
      <c r="AL3353">
        <v>0</v>
      </c>
      <c r="AM3353" t="s">
        <v>649</v>
      </c>
      <c r="AN3353" t="s">
        <v>649</v>
      </c>
    </row>
    <row r="3354" spans="38:40" x14ac:dyDescent="0.3">
      <c r="AL3354">
        <v>0</v>
      </c>
      <c r="AM3354" t="s">
        <v>649</v>
      </c>
      <c r="AN3354" t="s">
        <v>649</v>
      </c>
    </row>
    <row r="3355" spans="38:40" x14ac:dyDescent="0.3">
      <c r="AL3355">
        <v>0</v>
      </c>
      <c r="AM3355" t="s">
        <v>649</v>
      </c>
      <c r="AN3355" t="s">
        <v>649</v>
      </c>
    </row>
    <row r="3356" spans="38:40" x14ac:dyDescent="0.3">
      <c r="AL3356">
        <v>0</v>
      </c>
      <c r="AM3356" t="s">
        <v>649</v>
      </c>
      <c r="AN3356" t="s">
        <v>649</v>
      </c>
    </row>
    <row r="3357" spans="38:40" x14ac:dyDescent="0.3">
      <c r="AL3357">
        <v>0</v>
      </c>
      <c r="AM3357" t="s">
        <v>649</v>
      </c>
      <c r="AN3357" t="s">
        <v>649</v>
      </c>
    </row>
    <row r="3358" spans="38:40" x14ac:dyDescent="0.3">
      <c r="AL3358">
        <v>0</v>
      </c>
      <c r="AM3358" t="s">
        <v>649</v>
      </c>
      <c r="AN3358" t="s">
        <v>649</v>
      </c>
    </row>
    <row r="3359" spans="38:40" x14ac:dyDescent="0.3">
      <c r="AL3359">
        <v>0</v>
      </c>
      <c r="AM3359" t="s">
        <v>649</v>
      </c>
      <c r="AN3359" t="s">
        <v>649</v>
      </c>
    </row>
    <row r="3360" spans="38:40" x14ac:dyDescent="0.3">
      <c r="AL3360">
        <v>0</v>
      </c>
      <c r="AM3360" t="s">
        <v>649</v>
      </c>
      <c r="AN3360" t="s">
        <v>649</v>
      </c>
    </row>
    <row r="3361" spans="38:40" x14ac:dyDescent="0.3">
      <c r="AL3361">
        <v>0</v>
      </c>
      <c r="AM3361" t="s">
        <v>649</v>
      </c>
      <c r="AN3361" t="s">
        <v>649</v>
      </c>
    </row>
    <row r="3362" spans="38:40" x14ac:dyDescent="0.3">
      <c r="AL3362">
        <v>0</v>
      </c>
      <c r="AM3362" t="s">
        <v>649</v>
      </c>
      <c r="AN3362" t="s">
        <v>649</v>
      </c>
    </row>
    <row r="3363" spans="38:40" x14ac:dyDescent="0.3">
      <c r="AL3363">
        <v>0</v>
      </c>
      <c r="AM3363" t="s">
        <v>649</v>
      </c>
      <c r="AN3363" t="s">
        <v>649</v>
      </c>
    </row>
    <row r="3364" spans="38:40" x14ac:dyDescent="0.3">
      <c r="AL3364">
        <v>0</v>
      </c>
      <c r="AM3364" t="s">
        <v>649</v>
      </c>
      <c r="AN3364" t="s">
        <v>649</v>
      </c>
    </row>
    <row r="3365" spans="38:40" x14ac:dyDescent="0.3">
      <c r="AL3365">
        <v>0</v>
      </c>
      <c r="AM3365" t="s">
        <v>649</v>
      </c>
      <c r="AN3365" t="s">
        <v>649</v>
      </c>
    </row>
    <row r="3366" spans="38:40" x14ac:dyDescent="0.3">
      <c r="AL3366">
        <v>0</v>
      </c>
      <c r="AM3366" t="s">
        <v>649</v>
      </c>
      <c r="AN3366" t="s">
        <v>649</v>
      </c>
    </row>
    <row r="3367" spans="38:40" x14ac:dyDescent="0.3">
      <c r="AL3367">
        <v>0</v>
      </c>
      <c r="AM3367" t="s">
        <v>649</v>
      </c>
      <c r="AN3367" t="s">
        <v>649</v>
      </c>
    </row>
    <row r="3368" spans="38:40" x14ac:dyDescent="0.3">
      <c r="AL3368">
        <v>0</v>
      </c>
      <c r="AM3368" t="s">
        <v>649</v>
      </c>
      <c r="AN3368" t="s">
        <v>649</v>
      </c>
    </row>
    <row r="3369" spans="38:40" x14ac:dyDescent="0.3">
      <c r="AL3369">
        <v>0</v>
      </c>
      <c r="AM3369" t="s">
        <v>649</v>
      </c>
      <c r="AN3369" t="s">
        <v>649</v>
      </c>
    </row>
    <row r="3370" spans="38:40" x14ac:dyDescent="0.3">
      <c r="AL3370">
        <v>0</v>
      </c>
      <c r="AM3370" t="s">
        <v>649</v>
      </c>
      <c r="AN3370" t="s">
        <v>649</v>
      </c>
    </row>
    <row r="3371" spans="38:40" x14ac:dyDescent="0.3">
      <c r="AL3371">
        <v>0</v>
      </c>
      <c r="AM3371" t="s">
        <v>649</v>
      </c>
      <c r="AN3371" t="s">
        <v>649</v>
      </c>
    </row>
    <row r="3372" spans="38:40" x14ac:dyDescent="0.3">
      <c r="AL3372">
        <v>0</v>
      </c>
      <c r="AM3372" t="s">
        <v>649</v>
      </c>
      <c r="AN3372" t="s">
        <v>649</v>
      </c>
    </row>
    <row r="3373" spans="38:40" x14ac:dyDescent="0.3">
      <c r="AL3373">
        <v>0</v>
      </c>
      <c r="AM3373" t="s">
        <v>649</v>
      </c>
      <c r="AN3373" t="s">
        <v>649</v>
      </c>
    </row>
    <row r="3374" spans="38:40" x14ac:dyDescent="0.3">
      <c r="AL3374">
        <v>0</v>
      </c>
      <c r="AM3374" t="s">
        <v>649</v>
      </c>
      <c r="AN3374" t="s">
        <v>649</v>
      </c>
    </row>
    <row r="3375" spans="38:40" x14ac:dyDescent="0.3">
      <c r="AL3375">
        <v>0</v>
      </c>
      <c r="AM3375" t="s">
        <v>649</v>
      </c>
      <c r="AN3375" t="s">
        <v>649</v>
      </c>
    </row>
    <row r="3376" spans="38:40" x14ac:dyDescent="0.3">
      <c r="AL3376">
        <v>0</v>
      </c>
      <c r="AM3376" t="s">
        <v>649</v>
      </c>
      <c r="AN3376" t="s">
        <v>649</v>
      </c>
    </row>
    <row r="3377" spans="38:40" x14ac:dyDescent="0.3">
      <c r="AL3377">
        <v>0</v>
      </c>
      <c r="AM3377" t="s">
        <v>649</v>
      </c>
      <c r="AN3377" t="s">
        <v>649</v>
      </c>
    </row>
    <row r="3378" spans="38:40" x14ac:dyDescent="0.3">
      <c r="AL3378">
        <v>0</v>
      </c>
      <c r="AM3378" t="s">
        <v>649</v>
      </c>
      <c r="AN3378" t="s">
        <v>649</v>
      </c>
    </row>
    <row r="3379" spans="38:40" x14ac:dyDescent="0.3">
      <c r="AL3379">
        <v>0</v>
      </c>
      <c r="AM3379" t="s">
        <v>649</v>
      </c>
      <c r="AN3379" t="s">
        <v>649</v>
      </c>
    </row>
    <row r="3380" spans="38:40" x14ac:dyDescent="0.3">
      <c r="AL3380">
        <v>0</v>
      </c>
      <c r="AM3380" t="s">
        <v>649</v>
      </c>
      <c r="AN3380" t="s">
        <v>649</v>
      </c>
    </row>
    <row r="3381" spans="38:40" x14ac:dyDescent="0.3">
      <c r="AL3381">
        <v>0</v>
      </c>
      <c r="AM3381" t="s">
        <v>649</v>
      </c>
      <c r="AN3381" t="s">
        <v>649</v>
      </c>
    </row>
    <row r="3382" spans="38:40" x14ac:dyDescent="0.3">
      <c r="AL3382">
        <v>0</v>
      </c>
      <c r="AM3382" t="s">
        <v>649</v>
      </c>
      <c r="AN3382" t="s">
        <v>649</v>
      </c>
    </row>
    <row r="3383" spans="38:40" x14ac:dyDescent="0.3">
      <c r="AL3383">
        <v>0</v>
      </c>
      <c r="AM3383" t="s">
        <v>649</v>
      </c>
      <c r="AN3383" t="s">
        <v>649</v>
      </c>
    </row>
    <row r="3384" spans="38:40" x14ac:dyDescent="0.3">
      <c r="AL3384">
        <v>0</v>
      </c>
      <c r="AM3384" t="s">
        <v>649</v>
      </c>
      <c r="AN3384" t="s">
        <v>649</v>
      </c>
    </row>
    <row r="3385" spans="38:40" x14ac:dyDescent="0.3">
      <c r="AL3385">
        <v>0</v>
      </c>
      <c r="AM3385" t="s">
        <v>649</v>
      </c>
      <c r="AN3385" t="s">
        <v>649</v>
      </c>
    </row>
    <row r="3386" spans="38:40" x14ac:dyDescent="0.3">
      <c r="AL3386">
        <v>0</v>
      </c>
      <c r="AM3386" t="s">
        <v>649</v>
      </c>
      <c r="AN3386" t="s">
        <v>649</v>
      </c>
    </row>
    <row r="3387" spans="38:40" x14ac:dyDescent="0.3">
      <c r="AL3387">
        <v>0</v>
      </c>
      <c r="AM3387" t="s">
        <v>649</v>
      </c>
      <c r="AN3387" t="s">
        <v>649</v>
      </c>
    </row>
    <row r="3388" spans="38:40" x14ac:dyDescent="0.3">
      <c r="AL3388">
        <v>0</v>
      </c>
      <c r="AM3388" t="s">
        <v>649</v>
      </c>
      <c r="AN3388" t="s">
        <v>649</v>
      </c>
    </row>
    <row r="3389" spans="38:40" x14ac:dyDescent="0.3">
      <c r="AL3389">
        <v>0</v>
      </c>
      <c r="AM3389" t="s">
        <v>649</v>
      </c>
      <c r="AN3389" t="s">
        <v>649</v>
      </c>
    </row>
    <row r="3390" spans="38:40" x14ac:dyDescent="0.3">
      <c r="AL3390">
        <v>0</v>
      </c>
      <c r="AM3390" t="s">
        <v>649</v>
      </c>
      <c r="AN3390" t="s">
        <v>649</v>
      </c>
    </row>
    <row r="3391" spans="38:40" x14ac:dyDescent="0.3">
      <c r="AL3391">
        <v>0</v>
      </c>
      <c r="AM3391" t="s">
        <v>649</v>
      </c>
      <c r="AN3391" t="s">
        <v>649</v>
      </c>
    </row>
    <row r="3392" spans="38:40" x14ac:dyDescent="0.3">
      <c r="AL3392">
        <v>0</v>
      </c>
      <c r="AM3392" t="s">
        <v>649</v>
      </c>
      <c r="AN3392" t="s">
        <v>649</v>
      </c>
    </row>
    <row r="3393" spans="38:40" x14ac:dyDescent="0.3">
      <c r="AL3393">
        <v>0</v>
      </c>
      <c r="AM3393" t="s">
        <v>649</v>
      </c>
      <c r="AN3393" t="s">
        <v>649</v>
      </c>
    </row>
    <row r="3394" spans="38:40" x14ac:dyDescent="0.3">
      <c r="AL3394">
        <v>0</v>
      </c>
      <c r="AM3394" t="s">
        <v>649</v>
      </c>
      <c r="AN3394" t="s">
        <v>649</v>
      </c>
    </row>
    <row r="3395" spans="38:40" x14ac:dyDescent="0.3">
      <c r="AL3395">
        <v>0</v>
      </c>
      <c r="AM3395" t="s">
        <v>649</v>
      </c>
      <c r="AN3395" t="s">
        <v>649</v>
      </c>
    </row>
    <row r="3396" spans="38:40" x14ac:dyDescent="0.3">
      <c r="AL3396">
        <v>0</v>
      </c>
      <c r="AM3396" t="s">
        <v>649</v>
      </c>
      <c r="AN3396" t="s">
        <v>649</v>
      </c>
    </row>
    <row r="3397" spans="38:40" x14ac:dyDescent="0.3">
      <c r="AL3397">
        <v>0</v>
      </c>
      <c r="AM3397" t="s">
        <v>649</v>
      </c>
      <c r="AN3397" t="s">
        <v>649</v>
      </c>
    </row>
    <row r="3398" spans="38:40" x14ac:dyDescent="0.3">
      <c r="AL3398">
        <v>0</v>
      </c>
      <c r="AM3398" t="s">
        <v>649</v>
      </c>
      <c r="AN3398" t="s">
        <v>649</v>
      </c>
    </row>
    <row r="3399" spans="38:40" x14ac:dyDescent="0.3">
      <c r="AL3399">
        <v>0</v>
      </c>
      <c r="AM3399" t="s">
        <v>649</v>
      </c>
      <c r="AN3399" t="s">
        <v>649</v>
      </c>
    </row>
    <row r="3400" spans="38:40" x14ac:dyDescent="0.3">
      <c r="AL3400">
        <v>0</v>
      </c>
      <c r="AM3400" t="s">
        <v>649</v>
      </c>
      <c r="AN3400" t="s">
        <v>649</v>
      </c>
    </row>
    <row r="3401" spans="38:40" x14ac:dyDescent="0.3">
      <c r="AL3401">
        <v>0</v>
      </c>
      <c r="AM3401" t="s">
        <v>649</v>
      </c>
      <c r="AN3401" t="s">
        <v>649</v>
      </c>
    </row>
    <row r="3402" spans="38:40" x14ac:dyDescent="0.3">
      <c r="AL3402">
        <v>0</v>
      </c>
      <c r="AM3402" t="s">
        <v>649</v>
      </c>
      <c r="AN3402" t="s">
        <v>649</v>
      </c>
    </row>
    <row r="3403" spans="38:40" x14ac:dyDescent="0.3">
      <c r="AL3403">
        <v>0</v>
      </c>
      <c r="AM3403" t="s">
        <v>649</v>
      </c>
      <c r="AN3403" t="s">
        <v>649</v>
      </c>
    </row>
    <row r="3404" spans="38:40" x14ac:dyDescent="0.3">
      <c r="AL3404">
        <v>0</v>
      </c>
      <c r="AM3404" t="s">
        <v>649</v>
      </c>
      <c r="AN3404" t="s">
        <v>649</v>
      </c>
    </row>
    <row r="3405" spans="38:40" x14ac:dyDescent="0.3">
      <c r="AL3405">
        <v>0</v>
      </c>
      <c r="AM3405" t="s">
        <v>649</v>
      </c>
      <c r="AN3405" t="s">
        <v>649</v>
      </c>
    </row>
    <row r="3406" spans="38:40" x14ac:dyDescent="0.3">
      <c r="AL3406">
        <v>0</v>
      </c>
      <c r="AM3406" t="s">
        <v>649</v>
      </c>
      <c r="AN3406" t="s">
        <v>649</v>
      </c>
    </row>
    <row r="3407" spans="38:40" x14ac:dyDescent="0.3">
      <c r="AL3407">
        <v>0</v>
      </c>
      <c r="AM3407" t="s">
        <v>649</v>
      </c>
      <c r="AN3407" t="s">
        <v>649</v>
      </c>
    </row>
    <row r="3408" spans="38:40" x14ac:dyDescent="0.3">
      <c r="AL3408">
        <v>0</v>
      </c>
      <c r="AM3408" t="s">
        <v>649</v>
      </c>
      <c r="AN3408" t="s">
        <v>649</v>
      </c>
    </row>
    <row r="3409" spans="38:40" x14ac:dyDescent="0.3">
      <c r="AL3409">
        <v>0</v>
      </c>
      <c r="AM3409" t="s">
        <v>649</v>
      </c>
      <c r="AN3409" t="s">
        <v>649</v>
      </c>
    </row>
    <row r="3410" spans="38:40" x14ac:dyDescent="0.3">
      <c r="AL3410">
        <v>0</v>
      </c>
      <c r="AM3410" t="s">
        <v>649</v>
      </c>
      <c r="AN3410" t="s">
        <v>649</v>
      </c>
    </row>
    <row r="3411" spans="38:40" x14ac:dyDescent="0.3">
      <c r="AL3411">
        <v>0</v>
      </c>
      <c r="AM3411" t="s">
        <v>649</v>
      </c>
      <c r="AN3411" t="s">
        <v>649</v>
      </c>
    </row>
    <row r="3412" spans="38:40" x14ac:dyDescent="0.3">
      <c r="AL3412">
        <v>0</v>
      </c>
      <c r="AM3412" t="s">
        <v>649</v>
      </c>
      <c r="AN3412" t="s">
        <v>649</v>
      </c>
    </row>
    <row r="3413" spans="38:40" x14ac:dyDescent="0.3">
      <c r="AL3413">
        <v>0</v>
      </c>
      <c r="AM3413" t="s">
        <v>649</v>
      </c>
      <c r="AN3413" t="s">
        <v>649</v>
      </c>
    </row>
    <row r="3414" spans="38:40" x14ac:dyDescent="0.3">
      <c r="AL3414">
        <v>0</v>
      </c>
      <c r="AM3414" t="s">
        <v>649</v>
      </c>
      <c r="AN3414" t="s">
        <v>649</v>
      </c>
    </row>
    <row r="3415" spans="38:40" x14ac:dyDescent="0.3">
      <c r="AL3415">
        <v>0</v>
      </c>
      <c r="AM3415" t="s">
        <v>649</v>
      </c>
      <c r="AN3415" t="s">
        <v>649</v>
      </c>
    </row>
    <row r="3416" spans="38:40" x14ac:dyDescent="0.3">
      <c r="AL3416">
        <v>0</v>
      </c>
      <c r="AM3416" t="s">
        <v>649</v>
      </c>
      <c r="AN3416" t="s">
        <v>649</v>
      </c>
    </row>
    <row r="3417" spans="38:40" x14ac:dyDescent="0.3">
      <c r="AL3417">
        <v>0</v>
      </c>
      <c r="AM3417" t="s">
        <v>649</v>
      </c>
      <c r="AN3417" t="s">
        <v>649</v>
      </c>
    </row>
    <row r="3418" spans="38:40" x14ac:dyDescent="0.3">
      <c r="AL3418">
        <v>0</v>
      </c>
      <c r="AM3418" t="s">
        <v>649</v>
      </c>
      <c r="AN3418" t="s">
        <v>649</v>
      </c>
    </row>
    <row r="3419" spans="38:40" x14ac:dyDescent="0.3">
      <c r="AL3419">
        <v>0</v>
      </c>
      <c r="AM3419" t="s">
        <v>649</v>
      </c>
      <c r="AN3419" t="s">
        <v>649</v>
      </c>
    </row>
    <row r="3420" spans="38:40" x14ac:dyDescent="0.3">
      <c r="AL3420">
        <v>0</v>
      </c>
      <c r="AM3420" t="s">
        <v>649</v>
      </c>
      <c r="AN3420" t="s">
        <v>649</v>
      </c>
    </row>
    <row r="3421" spans="38:40" x14ac:dyDescent="0.3">
      <c r="AL3421">
        <v>0</v>
      </c>
      <c r="AM3421" t="s">
        <v>649</v>
      </c>
      <c r="AN3421" t="s">
        <v>649</v>
      </c>
    </row>
    <row r="3422" spans="38:40" x14ac:dyDescent="0.3">
      <c r="AL3422">
        <v>0</v>
      </c>
      <c r="AM3422" t="s">
        <v>649</v>
      </c>
      <c r="AN3422" t="s">
        <v>649</v>
      </c>
    </row>
    <row r="3423" spans="38:40" x14ac:dyDescent="0.3">
      <c r="AL3423">
        <v>0</v>
      </c>
      <c r="AM3423" t="s">
        <v>649</v>
      </c>
      <c r="AN3423" t="s">
        <v>649</v>
      </c>
    </row>
    <row r="3424" spans="38:40" x14ac:dyDescent="0.3">
      <c r="AL3424">
        <v>0</v>
      </c>
      <c r="AM3424" t="s">
        <v>649</v>
      </c>
      <c r="AN3424" t="s">
        <v>649</v>
      </c>
    </row>
    <row r="3425" spans="38:40" x14ac:dyDescent="0.3">
      <c r="AL3425">
        <v>0</v>
      </c>
      <c r="AM3425" t="s">
        <v>649</v>
      </c>
      <c r="AN3425" t="s">
        <v>649</v>
      </c>
    </row>
    <row r="3426" spans="38:40" x14ac:dyDescent="0.3">
      <c r="AL3426">
        <v>0</v>
      </c>
      <c r="AM3426" t="s">
        <v>649</v>
      </c>
      <c r="AN3426" t="s">
        <v>649</v>
      </c>
    </row>
    <row r="3427" spans="38:40" x14ac:dyDescent="0.3">
      <c r="AL3427">
        <v>0</v>
      </c>
      <c r="AM3427" t="s">
        <v>649</v>
      </c>
      <c r="AN3427" t="s">
        <v>649</v>
      </c>
    </row>
    <row r="3428" spans="38:40" x14ac:dyDescent="0.3">
      <c r="AL3428">
        <v>0</v>
      </c>
      <c r="AM3428" t="s">
        <v>649</v>
      </c>
      <c r="AN3428" t="s">
        <v>649</v>
      </c>
    </row>
    <row r="3429" spans="38:40" x14ac:dyDescent="0.3">
      <c r="AL3429">
        <v>0</v>
      </c>
      <c r="AM3429" t="s">
        <v>649</v>
      </c>
      <c r="AN3429" t="s">
        <v>649</v>
      </c>
    </row>
    <row r="3430" spans="38:40" x14ac:dyDescent="0.3">
      <c r="AL3430">
        <v>0</v>
      </c>
      <c r="AM3430" t="s">
        <v>649</v>
      </c>
      <c r="AN3430" t="s">
        <v>649</v>
      </c>
    </row>
    <row r="3431" spans="38:40" x14ac:dyDescent="0.3">
      <c r="AL3431">
        <v>0</v>
      </c>
      <c r="AM3431" t="s">
        <v>649</v>
      </c>
      <c r="AN3431" t="s">
        <v>649</v>
      </c>
    </row>
    <row r="3432" spans="38:40" x14ac:dyDescent="0.3">
      <c r="AL3432">
        <v>0</v>
      </c>
      <c r="AM3432" t="s">
        <v>649</v>
      </c>
      <c r="AN3432" t="s">
        <v>649</v>
      </c>
    </row>
    <row r="3433" spans="38:40" x14ac:dyDescent="0.3">
      <c r="AL3433">
        <v>0</v>
      </c>
      <c r="AM3433" t="s">
        <v>649</v>
      </c>
      <c r="AN3433" t="s">
        <v>649</v>
      </c>
    </row>
    <row r="3434" spans="38:40" x14ac:dyDescent="0.3">
      <c r="AL3434">
        <v>0</v>
      </c>
      <c r="AM3434" t="s">
        <v>649</v>
      </c>
      <c r="AN3434" t="s">
        <v>649</v>
      </c>
    </row>
    <row r="3435" spans="38:40" x14ac:dyDescent="0.3">
      <c r="AL3435">
        <v>0</v>
      </c>
      <c r="AM3435" t="s">
        <v>649</v>
      </c>
      <c r="AN3435" t="s">
        <v>649</v>
      </c>
    </row>
    <row r="3436" spans="38:40" x14ac:dyDescent="0.3">
      <c r="AL3436">
        <v>0</v>
      </c>
      <c r="AM3436" t="s">
        <v>649</v>
      </c>
      <c r="AN3436" t="s">
        <v>649</v>
      </c>
    </row>
    <row r="3437" spans="38:40" x14ac:dyDescent="0.3">
      <c r="AL3437">
        <v>0</v>
      </c>
      <c r="AM3437" t="s">
        <v>649</v>
      </c>
      <c r="AN3437" t="s">
        <v>649</v>
      </c>
    </row>
    <row r="3438" spans="38:40" x14ac:dyDescent="0.3">
      <c r="AL3438">
        <v>0</v>
      </c>
      <c r="AM3438" t="s">
        <v>649</v>
      </c>
      <c r="AN3438" t="s">
        <v>649</v>
      </c>
    </row>
    <row r="3439" spans="38:40" x14ac:dyDescent="0.3">
      <c r="AL3439">
        <v>0</v>
      </c>
      <c r="AM3439" t="s">
        <v>649</v>
      </c>
      <c r="AN3439" t="s">
        <v>649</v>
      </c>
    </row>
    <row r="3440" spans="38:40" x14ac:dyDescent="0.3">
      <c r="AL3440">
        <v>0</v>
      </c>
      <c r="AM3440" t="s">
        <v>649</v>
      </c>
      <c r="AN3440" t="s">
        <v>649</v>
      </c>
    </row>
    <row r="3441" spans="38:40" x14ac:dyDescent="0.3">
      <c r="AL3441">
        <v>0</v>
      </c>
      <c r="AM3441" t="s">
        <v>649</v>
      </c>
      <c r="AN3441" t="s">
        <v>649</v>
      </c>
    </row>
    <row r="3442" spans="38:40" x14ac:dyDescent="0.3">
      <c r="AL3442">
        <v>0</v>
      </c>
      <c r="AM3442" t="s">
        <v>649</v>
      </c>
      <c r="AN3442" t="s">
        <v>649</v>
      </c>
    </row>
    <row r="3443" spans="38:40" x14ac:dyDescent="0.3">
      <c r="AL3443">
        <v>0</v>
      </c>
      <c r="AM3443" t="s">
        <v>649</v>
      </c>
      <c r="AN3443" t="s">
        <v>649</v>
      </c>
    </row>
    <row r="3444" spans="38:40" x14ac:dyDescent="0.3">
      <c r="AL3444">
        <v>0</v>
      </c>
      <c r="AM3444" t="s">
        <v>649</v>
      </c>
      <c r="AN3444" t="s">
        <v>649</v>
      </c>
    </row>
    <row r="3445" spans="38:40" x14ac:dyDescent="0.3">
      <c r="AL3445">
        <v>0</v>
      </c>
      <c r="AM3445" t="s">
        <v>649</v>
      </c>
      <c r="AN3445" t="s">
        <v>649</v>
      </c>
    </row>
    <row r="3446" spans="38:40" x14ac:dyDescent="0.3">
      <c r="AL3446">
        <v>0</v>
      </c>
      <c r="AM3446" t="s">
        <v>649</v>
      </c>
      <c r="AN3446" t="s">
        <v>649</v>
      </c>
    </row>
    <row r="3447" spans="38:40" x14ac:dyDescent="0.3">
      <c r="AL3447">
        <v>0</v>
      </c>
      <c r="AM3447" t="s">
        <v>649</v>
      </c>
      <c r="AN3447" t="s">
        <v>649</v>
      </c>
    </row>
    <row r="3448" spans="38:40" x14ac:dyDescent="0.3">
      <c r="AL3448">
        <v>0</v>
      </c>
      <c r="AM3448" t="s">
        <v>649</v>
      </c>
      <c r="AN3448" t="s">
        <v>649</v>
      </c>
    </row>
    <row r="3449" spans="38:40" x14ac:dyDescent="0.3">
      <c r="AL3449">
        <v>0</v>
      </c>
      <c r="AM3449" t="s">
        <v>649</v>
      </c>
      <c r="AN3449" t="s">
        <v>649</v>
      </c>
    </row>
    <row r="3450" spans="38:40" x14ac:dyDescent="0.3">
      <c r="AL3450">
        <v>0</v>
      </c>
      <c r="AM3450" t="s">
        <v>649</v>
      </c>
      <c r="AN3450" t="s">
        <v>649</v>
      </c>
    </row>
    <row r="3451" spans="38:40" x14ac:dyDescent="0.3">
      <c r="AL3451">
        <v>0</v>
      </c>
      <c r="AM3451" t="s">
        <v>649</v>
      </c>
      <c r="AN3451" t="s">
        <v>649</v>
      </c>
    </row>
    <row r="3452" spans="38:40" x14ac:dyDescent="0.3">
      <c r="AL3452">
        <v>0</v>
      </c>
      <c r="AM3452" t="s">
        <v>649</v>
      </c>
      <c r="AN3452" t="s">
        <v>649</v>
      </c>
    </row>
    <row r="3453" spans="38:40" x14ac:dyDescent="0.3">
      <c r="AL3453">
        <v>0</v>
      </c>
      <c r="AM3453" t="s">
        <v>649</v>
      </c>
      <c r="AN3453" t="s">
        <v>649</v>
      </c>
    </row>
    <row r="3454" spans="38:40" x14ac:dyDescent="0.3">
      <c r="AL3454">
        <v>0</v>
      </c>
      <c r="AM3454" t="s">
        <v>649</v>
      </c>
      <c r="AN3454" t="s">
        <v>649</v>
      </c>
    </row>
    <row r="3455" spans="38:40" x14ac:dyDescent="0.3">
      <c r="AL3455">
        <v>0</v>
      </c>
      <c r="AM3455" t="s">
        <v>649</v>
      </c>
      <c r="AN3455" t="s">
        <v>649</v>
      </c>
    </row>
    <row r="3456" spans="38:40" x14ac:dyDescent="0.3">
      <c r="AL3456">
        <v>0</v>
      </c>
      <c r="AM3456" t="s">
        <v>649</v>
      </c>
      <c r="AN3456" t="s">
        <v>649</v>
      </c>
    </row>
    <row r="3457" spans="38:40" x14ac:dyDescent="0.3">
      <c r="AL3457">
        <v>0</v>
      </c>
      <c r="AM3457" t="s">
        <v>649</v>
      </c>
      <c r="AN3457" t="s">
        <v>649</v>
      </c>
    </row>
    <row r="3458" spans="38:40" x14ac:dyDescent="0.3">
      <c r="AL3458">
        <v>0</v>
      </c>
      <c r="AM3458" t="s">
        <v>649</v>
      </c>
      <c r="AN3458" t="s">
        <v>649</v>
      </c>
    </row>
    <row r="3459" spans="38:40" x14ac:dyDescent="0.3">
      <c r="AL3459">
        <v>0</v>
      </c>
      <c r="AM3459" t="s">
        <v>649</v>
      </c>
      <c r="AN3459" t="s">
        <v>649</v>
      </c>
    </row>
    <row r="3460" spans="38:40" x14ac:dyDescent="0.3">
      <c r="AL3460">
        <v>0</v>
      </c>
      <c r="AM3460" t="s">
        <v>649</v>
      </c>
      <c r="AN3460" t="s">
        <v>649</v>
      </c>
    </row>
    <row r="3461" spans="38:40" x14ac:dyDescent="0.3">
      <c r="AL3461">
        <v>0</v>
      </c>
      <c r="AM3461" t="s">
        <v>649</v>
      </c>
      <c r="AN3461" t="s">
        <v>649</v>
      </c>
    </row>
    <row r="3462" spans="38:40" x14ac:dyDescent="0.3">
      <c r="AL3462">
        <v>0</v>
      </c>
      <c r="AM3462" t="s">
        <v>649</v>
      </c>
      <c r="AN3462" t="s">
        <v>649</v>
      </c>
    </row>
    <row r="3463" spans="38:40" x14ac:dyDescent="0.3">
      <c r="AL3463">
        <v>0</v>
      </c>
      <c r="AM3463" t="s">
        <v>649</v>
      </c>
      <c r="AN3463" t="s">
        <v>649</v>
      </c>
    </row>
    <row r="3464" spans="38:40" x14ac:dyDescent="0.3">
      <c r="AL3464">
        <v>0</v>
      </c>
      <c r="AM3464" t="s">
        <v>649</v>
      </c>
      <c r="AN3464" t="s">
        <v>649</v>
      </c>
    </row>
    <row r="3465" spans="38:40" x14ac:dyDescent="0.3">
      <c r="AL3465">
        <v>0</v>
      </c>
      <c r="AM3465" t="s">
        <v>649</v>
      </c>
      <c r="AN3465" t="s">
        <v>649</v>
      </c>
    </row>
    <row r="3466" spans="38:40" x14ac:dyDescent="0.3">
      <c r="AL3466">
        <v>0</v>
      </c>
      <c r="AM3466" t="s">
        <v>649</v>
      </c>
      <c r="AN3466" t="s">
        <v>649</v>
      </c>
    </row>
    <row r="3467" spans="38:40" x14ac:dyDescent="0.3">
      <c r="AL3467">
        <v>0</v>
      </c>
      <c r="AM3467" t="s">
        <v>649</v>
      </c>
      <c r="AN3467" t="s">
        <v>649</v>
      </c>
    </row>
    <row r="3468" spans="38:40" x14ac:dyDescent="0.3">
      <c r="AL3468">
        <v>0</v>
      </c>
      <c r="AM3468" t="s">
        <v>649</v>
      </c>
      <c r="AN3468" t="s">
        <v>649</v>
      </c>
    </row>
    <row r="3469" spans="38:40" x14ac:dyDescent="0.3">
      <c r="AL3469">
        <v>0</v>
      </c>
      <c r="AM3469" t="s">
        <v>649</v>
      </c>
      <c r="AN3469" t="s">
        <v>649</v>
      </c>
    </row>
    <row r="3470" spans="38:40" x14ac:dyDescent="0.3">
      <c r="AL3470">
        <v>0</v>
      </c>
      <c r="AM3470" t="s">
        <v>649</v>
      </c>
      <c r="AN3470" t="s">
        <v>649</v>
      </c>
    </row>
    <row r="3471" spans="38:40" x14ac:dyDescent="0.3">
      <c r="AL3471">
        <v>0</v>
      </c>
      <c r="AM3471" t="s">
        <v>649</v>
      </c>
      <c r="AN3471" t="s">
        <v>649</v>
      </c>
    </row>
    <row r="3472" spans="38:40" x14ac:dyDescent="0.3">
      <c r="AL3472">
        <v>0</v>
      </c>
      <c r="AM3472" t="s">
        <v>649</v>
      </c>
      <c r="AN3472" t="s">
        <v>649</v>
      </c>
    </row>
    <row r="3473" spans="38:40" x14ac:dyDescent="0.3">
      <c r="AL3473">
        <v>0</v>
      </c>
      <c r="AM3473" t="s">
        <v>649</v>
      </c>
      <c r="AN3473" t="s">
        <v>649</v>
      </c>
    </row>
    <row r="3474" spans="38:40" x14ac:dyDescent="0.3">
      <c r="AL3474">
        <v>0</v>
      </c>
      <c r="AM3474" t="s">
        <v>649</v>
      </c>
      <c r="AN3474" t="s">
        <v>649</v>
      </c>
    </row>
    <row r="3475" spans="38:40" x14ac:dyDescent="0.3">
      <c r="AL3475">
        <v>0</v>
      </c>
      <c r="AM3475" t="s">
        <v>649</v>
      </c>
      <c r="AN3475" t="s">
        <v>649</v>
      </c>
    </row>
    <row r="3476" spans="38:40" x14ac:dyDescent="0.3">
      <c r="AL3476">
        <v>0</v>
      </c>
      <c r="AM3476" t="s">
        <v>649</v>
      </c>
      <c r="AN3476" t="s">
        <v>649</v>
      </c>
    </row>
    <row r="3477" spans="38:40" x14ac:dyDescent="0.3">
      <c r="AL3477">
        <v>0</v>
      </c>
      <c r="AM3477" t="s">
        <v>649</v>
      </c>
      <c r="AN3477" t="s">
        <v>649</v>
      </c>
    </row>
    <row r="3478" spans="38:40" x14ac:dyDescent="0.3">
      <c r="AL3478">
        <v>0</v>
      </c>
      <c r="AM3478" t="s">
        <v>649</v>
      </c>
      <c r="AN3478" t="s">
        <v>649</v>
      </c>
    </row>
    <row r="3479" spans="38:40" x14ac:dyDescent="0.3">
      <c r="AL3479">
        <v>0</v>
      </c>
      <c r="AM3479" t="s">
        <v>649</v>
      </c>
      <c r="AN3479" t="s">
        <v>649</v>
      </c>
    </row>
    <row r="3480" spans="38:40" x14ac:dyDescent="0.3">
      <c r="AL3480">
        <v>0</v>
      </c>
      <c r="AM3480" t="s">
        <v>649</v>
      </c>
      <c r="AN3480" t="s">
        <v>649</v>
      </c>
    </row>
    <row r="3481" spans="38:40" x14ac:dyDescent="0.3">
      <c r="AL3481">
        <v>0</v>
      </c>
      <c r="AM3481" t="s">
        <v>649</v>
      </c>
      <c r="AN3481" t="s">
        <v>649</v>
      </c>
    </row>
    <row r="3482" spans="38:40" x14ac:dyDescent="0.3">
      <c r="AL3482">
        <v>0</v>
      </c>
      <c r="AM3482" t="s">
        <v>649</v>
      </c>
      <c r="AN3482" t="s">
        <v>649</v>
      </c>
    </row>
    <row r="3483" spans="38:40" x14ac:dyDescent="0.3">
      <c r="AL3483">
        <v>0</v>
      </c>
      <c r="AM3483" t="s">
        <v>649</v>
      </c>
      <c r="AN3483" t="s">
        <v>649</v>
      </c>
    </row>
    <row r="3484" spans="38:40" x14ac:dyDescent="0.3">
      <c r="AL3484">
        <v>0</v>
      </c>
      <c r="AM3484" t="s">
        <v>649</v>
      </c>
      <c r="AN3484" t="s">
        <v>649</v>
      </c>
    </row>
    <row r="3485" spans="38:40" x14ac:dyDescent="0.3">
      <c r="AL3485">
        <v>0</v>
      </c>
      <c r="AM3485" t="s">
        <v>649</v>
      </c>
      <c r="AN3485" t="s">
        <v>649</v>
      </c>
    </row>
    <row r="3486" spans="38:40" x14ac:dyDescent="0.3">
      <c r="AL3486">
        <v>0</v>
      </c>
      <c r="AM3486" t="s">
        <v>649</v>
      </c>
      <c r="AN3486" t="s">
        <v>649</v>
      </c>
    </row>
    <row r="3487" spans="38:40" x14ac:dyDescent="0.3">
      <c r="AL3487">
        <v>0</v>
      </c>
      <c r="AM3487" t="s">
        <v>649</v>
      </c>
      <c r="AN3487" t="s">
        <v>649</v>
      </c>
    </row>
    <row r="3488" spans="38:40" x14ac:dyDescent="0.3">
      <c r="AL3488">
        <v>0</v>
      </c>
      <c r="AM3488" t="s">
        <v>649</v>
      </c>
      <c r="AN3488" t="s">
        <v>649</v>
      </c>
    </row>
    <row r="3489" spans="38:40" x14ac:dyDescent="0.3">
      <c r="AL3489">
        <v>0</v>
      </c>
      <c r="AM3489" t="s">
        <v>649</v>
      </c>
      <c r="AN3489" t="s">
        <v>649</v>
      </c>
    </row>
    <row r="3490" spans="38:40" x14ac:dyDescent="0.3">
      <c r="AL3490">
        <v>0</v>
      </c>
      <c r="AM3490" t="s">
        <v>649</v>
      </c>
      <c r="AN3490" t="s">
        <v>649</v>
      </c>
    </row>
    <row r="3491" spans="38:40" x14ac:dyDescent="0.3">
      <c r="AL3491">
        <v>0</v>
      </c>
      <c r="AM3491" t="s">
        <v>649</v>
      </c>
      <c r="AN3491" t="s">
        <v>649</v>
      </c>
    </row>
    <row r="3492" spans="38:40" x14ac:dyDescent="0.3">
      <c r="AL3492">
        <v>0</v>
      </c>
      <c r="AM3492" t="s">
        <v>649</v>
      </c>
      <c r="AN3492" t="s">
        <v>649</v>
      </c>
    </row>
    <row r="3493" spans="38:40" x14ac:dyDescent="0.3">
      <c r="AL3493">
        <v>0</v>
      </c>
      <c r="AM3493" t="s">
        <v>649</v>
      </c>
      <c r="AN3493" t="s">
        <v>649</v>
      </c>
    </row>
    <row r="3494" spans="38:40" x14ac:dyDescent="0.3">
      <c r="AL3494">
        <v>0</v>
      </c>
      <c r="AM3494" t="s">
        <v>649</v>
      </c>
      <c r="AN3494" t="s">
        <v>649</v>
      </c>
    </row>
    <row r="3495" spans="38:40" x14ac:dyDescent="0.3">
      <c r="AL3495">
        <v>0</v>
      </c>
      <c r="AM3495" t="s">
        <v>649</v>
      </c>
      <c r="AN3495" t="s">
        <v>649</v>
      </c>
    </row>
    <row r="3496" spans="38:40" x14ac:dyDescent="0.3">
      <c r="AL3496">
        <v>0</v>
      </c>
      <c r="AM3496" t="s">
        <v>649</v>
      </c>
      <c r="AN3496" t="s">
        <v>649</v>
      </c>
    </row>
    <row r="3497" spans="38:40" x14ac:dyDescent="0.3">
      <c r="AL3497">
        <v>0</v>
      </c>
      <c r="AM3497" t="s">
        <v>649</v>
      </c>
      <c r="AN3497" t="s">
        <v>649</v>
      </c>
    </row>
    <row r="3498" spans="38:40" x14ac:dyDescent="0.3">
      <c r="AL3498">
        <v>0</v>
      </c>
      <c r="AM3498" t="s">
        <v>649</v>
      </c>
      <c r="AN3498" t="s">
        <v>649</v>
      </c>
    </row>
    <row r="3499" spans="38:40" x14ac:dyDescent="0.3">
      <c r="AL3499">
        <v>0</v>
      </c>
      <c r="AM3499" t="s">
        <v>649</v>
      </c>
      <c r="AN3499" t="s">
        <v>649</v>
      </c>
    </row>
    <row r="3500" spans="38:40" x14ac:dyDescent="0.3">
      <c r="AL3500">
        <v>0</v>
      </c>
      <c r="AM3500" t="s">
        <v>649</v>
      </c>
      <c r="AN3500" t="s">
        <v>649</v>
      </c>
    </row>
    <row r="3501" spans="38:40" x14ac:dyDescent="0.3">
      <c r="AL3501">
        <v>0</v>
      </c>
      <c r="AM3501" t="s">
        <v>649</v>
      </c>
      <c r="AN3501" t="s">
        <v>649</v>
      </c>
    </row>
    <row r="3502" spans="38:40" x14ac:dyDescent="0.3">
      <c r="AL3502">
        <v>0</v>
      </c>
      <c r="AM3502" t="s">
        <v>649</v>
      </c>
      <c r="AN3502" t="s">
        <v>649</v>
      </c>
    </row>
    <row r="3503" spans="38:40" x14ac:dyDescent="0.3">
      <c r="AL3503">
        <v>0</v>
      </c>
      <c r="AM3503" t="s">
        <v>649</v>
      </c>
      <c r="AN3503" t="s">
        <v>649</v>
      </c>
    </row>
    <row r="3504" spans="38:40" x14ac:dyDescent="0.3">
      <c r="AL3504">
        <v>0</v>
      </c>
      <c r="AM3504" t="s">
        <v>649</v>
      </c>
      <c r="AN3504" t="s">
        <v>649</v>
      </c>
    </row>
    <row r="3505" spans="38:40" x14ac:dyDescent="0.3">
      <c r="AL3505">
        <v>0</v>
      </c>
      <c r="AM3505" t="s">
        <v>649</v>
      </c>
      <c r="AN3505" t="s">
        <v>649</v>
      </c>
    </row>
    <row r="3506" spans="38:40" x14ac:dyDescent="0.3">
      <c r="AL3506">
        <v>0</v>
      </c>
      <c r="AM3506" t="s">
        <v>649</v>
      </c>
      <c r="AN3506" t="s">
        <v>649</v>
      </c>
    </row>
    <row r="3507" spans="38:40" x14ac:dyDescent="0.3">
      <c r="AL3507">
        <v>0</v>
      </c>
      <c r="AM3507" t="s">
        <v>649</v>
      </c>
      <c r="AN3507" t="s">
        <v>649</v>
      </c>
    </row>
    <row r="3508" spans="38:40" x14ac:dyDescent="0.3">
      <c r="AL3508">
        <v>0</v>
      </c>
      <c r="AM3508" t="s">
        <v>649</v>
      </c>
      <c r="AN3508" t="s">
        <v>649</v>
      </c>
    </row>
    <row r="3509" spans="38:40" x14ac:dyDescent="0.3">
      <c r="AL3509">
        <v>0</v>
      </c>
      <c r="AM3509" t="s">
        <v>649</v>
      </c>
      <c r="AN3509" t="s">
        <v>649</v>
      </c>
    </row>
    <row r="3510" spans="38:40" x14ac:dyDescent="0.3">
      <c r="AL3510">
        <v>0</v>
      </c>
      <c r="AM3510" t="s">
        <v>649</v>
      </c>
      <c r="AN3510" t="s">
        <v>649</v>
      </c>
    </row>
    <row r="3511" spans="38:40" x14ac:dyDescent="0.3">
      <c r="AL3511">
        <v>0</v>
      </c>
      <c r="AM3511" t="s">
        <v>649</v>
      </c>
      <c r="AN3511" t="s">
        <v>649</v>
      </c>
    </row>
    <row r="3512" spans="38:40" x14ac:dyDescent="0.3">
      <c r="AL3512">
        <v>0</v>
      </c>
      <c r="AM3512" t="s">
        <v>649</v>
      </c>
      <c r="AN3512" t="s">
        <v>649</v>
      </c>
    </row>
    <row r="3513" spans="38:40" x14ac:dyDescent="0.3">
      <c r="AL3513">
        <v>0</v>
      </c>
      <c r="AM3513" t="s">
        <v>649</v>
      </c>
      <c r="AN3513" t="s">
        <v>649</v>
      </c>
    </row>
    <row r="3514" spans="38:40" x14ac:dyDescent="0.3">
      <c r="AL3514">
        <v>0</v>
      </c>
      <c r="AM3514" t="s">
        <v>649</v>
      </c>
      <c r="AN3514" t="s">
        <v>649</v>
      </c>
    </row>
    <row r="3515" spans="38:40" x14ac:dyDescent="0.3">
      <c r="AL3515">
        <v>0</v>
      </c>
      <c r="AM3515" t="s">
        <v>649</v>
      </c>
      <c r="AN3515" t="s">
        <v>649</v>
      </c>
    </row>
    <row r="3516" spans="38:40" x14ac:dyDescent="0.3">
      <c r="AL3516">
        <v>0</v>
      </c>
      <c r="AM3516" t="s">
        <v>649</v>
      </c>
      <c r="AN3516" t="s">
        <v>649</v>
      </c>
    </row>
    <row r="3517" spans="38:40" x14ac:dyDescent="0.3">
      <c r="AL3517">
        <v>0</v>
      </c>
      <c r="AM3517" t="s">
        <v>649</v>
      </c>
      <c r="AN3517" t="s">
        <v>649</v>
      </c>
    </row>
    <row r="3518" spans="38:40" x14ac:dyDescent="0.3">
      <c r="AL3518">
        <v>0</v>
      </c>
      <c r="AM3518" t="s">
        <v>649</v>
      </c>
      <c r="AN3518" t="s">
        <v>649</v>
      </c>
    </row>
    <row r="3519" spans="38:40" x14ac:dyDescent="0.3">
      <c r="AL3519">
        <v>0</v>
      </c>
      <c r="AM3519" t="s">
        <v>649</v>
      </c>
      <c r="AN3519" t="s">
        <v>649</v>
      </c>
    </row>
    <row r="3520" spans="38:40" x14ac:dyDescent="0.3">
      <c r="AL3520">
        <v>0</v>
      </c>
      <c r="AM3520" t="s">
        <v>649</v>
      </c>
      <c r="AN3520" t="s">
        <v>649</v>
      </c>
    </row>
    <row r="3521" spans="38:40" x14ac:dyDescent="0.3">
      <c r="AL3521">
        <v>0</v>
      </c>
      <c r="AM3521" t="s">
        <v>649</v>
      </c>
      <c r="AN3521" t="s">
        <v>649</v>
      </c>
    </row>
    <row r="3522" spans="38:40" x14ac:dyDescent="0.3">
      <c r="AL3522">
        <v>0</v>
      </c>
      <c r="AM3522" t="s">
        <v>649</v>
      </c>
      <c r="AN3522" t="s">
        <v>649</v>
      </c>
    </row>
    <row r="3523" spans="38:40" x14ac:dyDescent="0.3">
      <c r="AL3523">
        <v>0</v>
      </c>
      <c r="AM3523" t="s">
        <v>649</v>
      </c>
      <c r="AN3523" t="s">
        <v>649</v>
      </c>
    </row>
    <row r="3524" spans="38:40" x14ac:dyDescent="0.3">
      <c r="AL3524">
        <v>0</v>
      </c>
      <c r="AM3524" t="s">
        <v>649</v>
      </c>
      <c r="AN3524" t="s">
        <v>649</v>
      </c>
    </row>
    <row r="3525" spans="38:40" x14ac:dyDescent="0.3">
      <c r="AL3525">
        <v>0</v>
      </c>
      <c r="AM3525" t="s">
        <v>649</v>
      </c>
      <c r="AN3525" t="s">
        <v>649</v>
      </c>
    </row>
    <row r="3526" spans="38:40" x14ac:dyDescent="0.3">
      <c r="AL3526">
        <v>0</v>
      </c>
      <c r="AM3526" t="s">
        <v>649</v>
      </c>
      <c r="AN3526" t="s">
        <v>649</v>
      </c>
    </row>
    <row r="3527" spans="38:40" x14ac:dyDescent="0.3">
      <c r="AL3527">
        <v>0</v>
      </c>
      <c r="AM3527" t="s">
        <v>649</v>
      </c>
      <c r="AN3527" t="s">
        <v>649</v>
      </c>
    </row>
    <row r="3528" spans="38:40" x14ac:dyDescent="0.3">
      <c r="AL3528">
        <v>0</v>
      </c>
      <c r="AM3528" t="s">
        <v>649</v>
      </c>
      <c r="AN3528" t="s">
        <v>649</v>
      </c>
    </row>
    <row r="3529" spans="38:40" x14ac:dyDescent="0.3">
      <c r="AL3529">
        <v>0</v>
      </c>
      <c r="AM3529" t="s">
        <v>649</v>
      </c>
      <c r="AN3529" t="s">
        <v>649</v>
      </c>
    </row>
    <row r="3530" spans="38:40" x14ac:dyDescent="0.3">
      <c r="AL3530">
        <v>0</v>
      </c>
      <c r="AM3530" t="s">
        <v>649</v>
      </c>
      <c r="AN3530" t="s">
        <v>649</v>
      </c>
    </row>
    <row r="3531" spans="38:40" x14ac:dyDescent="0.3">
      <c r="AL3531">
        <v>0</v>
      </c>
      <c r="AM3531" t="s">
        <v>649</v>
      </c>
      <c r="AN3531" t="s">
        <v>649</v>
      </c>
    </row>
    <row r="3532" spans="38:40" x14ac:dyDescent="0.3">
      <c r="AL3532">
        <v>0</v>
      </c>
      <c r="AM3532" t="s">
        <v>649</v>
      </c>
      <c r="AN3532" t="s">
        <v>649</v>
      </c>
    </row>
    <row r="3533" spans="38:40" x14ac:dyDescent="0.3">
      <c r="AL3533">
        <v>0</v>
      </c>
      <c r="AM3533" t="s">
        <v>649</v>
      </c>
      <c r="AN3533" t="s">
        <v>649</v>
      </c>
    </row>
    <row r="3534" spans="38:40" x14ac:dyDescent="0.3">
      <c r="AL3534">
        <v>0</v>
      </c>
      <c r="AM3534" t="s">
        <v>649</v>
      </c>
      <c r="AN3534" t="s">
        <v>649</v>
      </c>
    </row>
    <row r="3535" spans="38:40" x14ac:dyDescent="0.3">
      <c r="AL3535">
        <v>0</v>
      </c>
      <c r="AM3535" t="s">
        <v>649</v>
      </c>
      <c r="AN3535" t="s">
        <v>649</v>
      </c>
    </row>
    <row r="3536" spans="38:40" x14ac:dyDescent="0.3">
      <c r="AL3536">
        <v>0</v>
      </c>
      <c r="AM3536" t="s">
        <v>649</v>
      </c>
      <c r="AN3536" t="s">
        <v>649</v>
      </c>
    </row>
    <row r="3537" spans="38:40" x14ac:dyDescent="0.3">
      <c r="AL3537">
        <v>0</v>
      </c>
      <c r="AM3537" t="s">
        <v>649</v>
      </c>
      <c r="AN3537" t="s">
        <v>649</v>
      </c>
    </row>
    <row r="3538" spans="38:40" x14ac:dyDescent="0.3">
      <c r="AL3538">
        <v>0</v>
      </c>
      <c r="AM3538" t="s">
        <v>649</v>
      </c>
      <c r="AN3538" t="s">
        <v>649</v>
      </c>
    </row>
    <row r="3539" spans="38:40" x14ac:dyDescent="0.3">
      <c r="AL3539">
        <v>0</v>
      </c>
      <c r="AM3539" t="s">
        <v>649</v>
      </c>
      <c r="AN3539" t="s">
        <v>649</v>
      </c>
    </row>
    <row r="3540" spans="38:40" x14ac:dyDescent="0.3">
      <c r="AL3540">
        <v>0</v>
      </c>
      <c r="AM3540" t="s">
        <v>649</v>
      </c>
      <c r="AN3540" t="s">
        <v>649</v>
      </c>
    </row>
    <row r="3541" spans="38:40" x14ac:dyDescent="0.3">
      <c r="AL3541">
        <v>0</v>
      </c>
      <c r="AM3541" t="s">
        <v>649</v>
      </c>
      <c r="AN3541" t="s">
        <v>649</v>
      </c>
    </row>
    <row r="3542" spans="38:40" x14ac:dyDescent="0.3">
      <c r="AL3542">
        <v>0</v>
      </c>
      <c r="AM3542" t="s">
        <v>649</v>
      </c>
      <c r="AN3542" t="s">
        <v>649</v>
      </c>
    </row>
    <row r="3543" spans="38:40" x14ac:dyDescent="0.3">
      <c r="AL3543">
        <v>0</v>
      </c>
      <c r="AM3543" t="s">
        <v>649</v>
      </c>
      <c r="AN3543" t="s">
        <v>649</v>
      </c>
    </row>
    <row r="3544" spans="38:40" x14ac:dyDescent="0.3">
      <c r="AL3544">
        <v>0</v>
      </c>
      <c r="AM3544" t="s">
        <v>649</v>
      </c>
      <c r="AN3544" t="s">
        <v>649</v>
      </c>
    </row>
    <row r="3545" spans="38:40" x14ac:dyDescent="0.3">
      <c r="AL3545">
        <v>0</v>
      </c>
      <c r="AM3545" t="s">
        <v>649</v>
      </c>
      <c r="AN3545" t="s">
        <v>649</v>
      </c>
    </row>
    <row r="3546" spans="38:40" x14ac:dyDescent="0.3">
      <c r="AL3546">
        <v>0</v>
      </c>
      <c r="AM3546" t="s">
        <v>649</v>
      </c>
      <c r="AN3546" t="s">
        <v>649</v>
      </c>
    </row>
    <row r="3547" spans="38:40" x14ac:dyDescent="0.3">
      <c r="AL3547">
        <v>0</v>
      </c>
      <c r="AM3547" t="s">
        <v>649</v>
      </c>
      <c r="AN3547" t="s">
        <v>649</v>
      </c>
    </row>
    <row r="3548" spans="38:40" x14ac:dyDescent="0.3">
      <c r="AL3548">
        <v>0</v>
      </c>
      <c r="AM3548" t="s">
        <v>649</v>
      </c>
      <c r="AN3548" t="s">
        <v>649</v>
      </c>
    </row>
    <row r="3549" spans="38:40" x14ac:dyDescent="0.3">
      <c r="AL3549">
        <v>0</v>
      </c>
      <c r="AM3549" t="s">
        <v>649</v>
      </c>
      <c r="AN3549" t="s">
        <v>649</v>
      </c>
    </row>
    <row r="3550" spans="38:40" x14ac:dyDescent="0.3">
      <c r="AL3550">
        <v>0</v>
      </c>
      <c r="AM3550" t="s">
        <v>649</v>
      </c>
      <c r="AN3550" t="s">
        <v>649</v>
      </c>
    </row>
    <row r="3551" spans="38:40" x14ac:dyDescent="0.3">
      <c r="AL3551">
        <v>0</v>
      </c>
      <c r="AM3551" t="s">
        <v>649</v>
      </c>
      <c r="AN3551" t="s">
        <v>649</v>
      </c>
    </row>
    <row r="3552" spans="38:40" x14ac:dyDescent="0.3">
      <c r="AL3552">
        <v>0</v>
      </c>
      <c r="AM3552" t="s">
        <v>649</v>
      </c>
      <c r="AN3552" t="s">
        <v>649</v>
      </c>
    </row>
    <row r="3553" spans="38:40" x14ac:dyDescent="0.3">
      <c r="AL3553">
        <v>0</v>
      </c>
      <c r="AM3553" t="s">
        <v>649</v>
      </c>
      <c r="AN3553" t="s">
        <v>649</v>
      </c>
    </row>
    <row r="3554" spans="38:40" x14ac:dyDescent="0.3">
      <c r="AL3554">
        <v>0</v>
      </c>
      <c r="AM3554" t="s">
        <v>649</v>
      </c>
      <c r="AN3554" t="s">
        <v>649</v>
      </c>
    </row>
    <row r="3555" spans="38:40" x14ac:dyDescent="0.3">
      <c r="AL3555">
        <v>0</v>
      </c>
      <c r="AM3555" t="s">
        <v>649</v>
      </c>
      <c r="AN3555" t="s">
        <v>649</v>
      </c>
    </row>
    <row r="3556" spans="38:40" x14ac:dyDescent="0.3">
      <c r="AL3556">
        <v>0</v>
      </c>
      <c r="AM3556" t="s">
        <v>649</v>
      </c>
      <c r="AN3556" t="s">
        <v>649</v>
      </c>
    </row>
    <row r="3557" spans="38:40" x14ac:dyDescent="0.3">
      <c r="AL3557">
        <v>0</v>
      </c>
      <c r="AM3557" t="s">
        <v>649</v>
      </c>
      <c r="AN3557" t="s">
        <v>649</v>
      </c>
    </row>
    <row r="3558" spans="38:40" x14ac:dyDescent="0.3">
      <c r="AL3558">
        <v>0</v>
      </c>
      <c r="AM3558" t="s">
        <v>649</v>
      </c>
      <c r="AN3558" t="s">
        <v>649</v>
      </c>
    </row>
    <row r="3559" spans="38:40" x14ac:dyDescent="0.3">
      <c r="AL3559">
        <v>0</v>
      </c>
      <c r="AM3559" t="s">
        <v>649</v>
      </c>
      <c r="AN3559" t="s">
        <v>649</v>
      </c>
    </row>
    <row r="3560" spans="38:40" x14ac:dyDescent="0.3">
      <c r="AL3560">
        <v>0</v>
      </c>
      <c r="AM3560" t="s">
        <v>649</v>
      </c>
      <c r="AN3560" t="s">
        <v>649</v>
      </c>
    </row>
    <row r="3561" spans="38:40" x14ac:dyDescent="0.3">
      <c r="AL3561">
        <v>0</v>
      </c>
      <c r="AM3561" t="s">
        <v>649</v>
      </c>
      <c r="AN3561" t="s">
        <v>649</v>
      </c>
    </row>
    <row r="3562" spans="38:40" x14ac:dyDescent="0.3">
      <c r="AL3562">
        <v>0</v>
      </c>
      <c r="AM3562" t="s">
        <v>649</v>
      </c>
      <c r="AN3562" t="s">
        <v>649</v>
      </c>
    </row>
    <row r="3563" spans="38:40" x14ac:dyDescent="0.3">
      <c r="AL3563">
        <v>0</v>
      </c>
      <c r="AM3563" t="s">
        <v>649</v>
      </c>
      <c r="AN3563" t="s">
        <v>649</v>
      </c>
    </row>
    <row r="3564" spans="38:40" x14ac:dyDescent="0.3">
      <c r="AL3564">
        <v>0</v>
      </c>
      <c r="AM3564" t="s">
        <v>649</v>
      </c>
      <c r="AN3564" t="s">
        <v>649</v>
      </c>
    </row>
    <row r="3565" spans="38:40" x14ac:dyDescent="0.3">
      <c r="AL3565">
        <v>0</v>
      </c>
      <c r="AM3565" t="s">
        <v>649</v>
      </c>
      <c r="AN3565" t="s">
        <v>649</v>
      </c>
    </row>
    <row r="3566" spans="38:40" x14ac:dyDescent="0.3">
      <c r="AL3566">
        <v>0</v>
      </c>
      <c r="AM3566" t="s">
        <v>649</v>
      </c>
      <c r="AN3566" t="s">
        <v>649</v>
      </c>
    </row>
    <row r="3567" spans="38:40" x14ac:dyDescent="0.3">
      <c r="AL3567">
        <v>0</v>
      </c>
      <c r="AM3567" t="s">
        <v>649</v>
      </c>
      <c r="AN3567" t="s">
        <v>649</v>
      </c>
    </row>
    <row r="3568" spans="38:40" x14ac:dyDescent="0.3">
      <c r="AL3568">
        <v>0</v>
      </c>
      <c r="AM3568" t="s">
        <v>649</v>
      </c>
      <c r="AN3568" t="s">
        <v>649</v>
      </c>
    </row>
    <row r="3569" spans="38:40" x14ac:dyDescent="0.3">
      <c r="AL3569">
        <v>0</v>
      </c>
      <c r="AM3569" t="s">
        <v>649</v>
      </c>
      <c r="AN3569" t="s">
        <v>649</v>
      </c>
    </row>
    <row r="3570" spans="38:40" x14ac:dyDescent="0.3">
      <c r="AL3570">
        <v>0</v>
      </c>
      <c r="AM3570" t="s">
        <v>649</v>
      </c>
      <c r="AN3570" t="s">
        <v>649</v>
      </c>
    </row>
    <row r="3571" spans="38:40" x14ac:dyDescent="0.3">
      <c r="AL3571">
        <v>0</v>
      </c>
      <c r="AM3571" t="s">
        <v>649</v>
      </c>
      <c r="AN3571" t="s">
        <v>649</v>
      </c>
    </row>
    <row r="3572" spans="38:40" x14ac:dyDescent="0.3">
      <c r="AL3572">
        <v>0</v>
      </c>
      <c r="AM3572" t="s">
        <v>649</v>
      </c>
      <c r="AN3572" t="s">
        <v>649</v>
      </c>
    </row>
    <row r="3573" spans="38:40" x14ac:dyDescent="0.3">
      <c r="AL3573">
        <v>0</v>
      </c>
      <c r="AM3573" t="s">
        <v>649</v>
      </c>
      <c r="AN3573" t="s">
        <v>649</v>
      </c>
    </row>
    <row r="3574" spans="38:40" x14ac:dyDescent="0.3">
      <c r="AL3574">
        <v>0</v>
      </c>
      <c r="AM3574" t="s">
        <v>649</v>
      </c>
      <c r="AN3574" t="s">
        <v>649</v>
      </c>
    </row>
    <row r="3575" spans="38:40" x14ac:dyDescent="0.3">
      <c r="AL3575">
        <v>0</v>
      </c>
      <c r="AM3575" t="s">
        <v>649</v>
      </c>
      <c r="AN3575" t="s">
        <v>649</v>
      </c>
    </row>
    <row r="3576" spans="38:40" x14ac:dyDescent="0.3">
      <c r="AL3576">
        <v>0</v>
      </c>
      <c r="AM3576" t="s">
        <v>649</v>
      </c>
      <c r="AN3576" t="s">
        <v>649</v>
      </c>
    </row>
    <row r="3577" spans="38:40" x14ac:dyDescent="0.3">
      <c r="AL3577">
        <v>0</v>
      </c>
      <c r="AM3577" t="s">
        <v>649</v>
      </c>
      <c r="AN3577" t="s">
        <v>649</v>
      </c>
    </row>
    <row r="3578" spans="38:40" x14ac:dyDescent="0.3">
      <c r="AL3578">
        <v>0</v>
      </c>
      <c r="AM3578" t="s">
        <v>649</v>
      </c>
      <c r="AN3578" t="s">
        <v>649</v>
      </c>
    </row>
    <row r="3579" spans="38:40" x14ac:dyDescent="0.3">
      <c r="AL3579">
        <v>0</v>
      </c>
      <c r="AM3579" t="s">
        <v>649</v>
      </c>
      <c r="AN3579" t="s">
        <v>649</v>
      </c>
    </row>
    <row r="3580" spans="38:40" x14ac:dyDescent="0.3">
      <c r="AL3580">
        <v>0</v>
      </c>
      <c r="AM3580" t="s">
        <v>649</v>
      </c>
      <c r="AN3580" t="s">
        <v>649</v>
      </c>
    </row>
    <row r="3581" spans="38:40" x14ac:dyDescent="0.3">
      <c r="AL3581">
        <v>0</v>
      </c>
      <c r="AM3581" t="s">
        <v>649</v>
      </c>
      <c r="AN3581" t="s">
        <v>649</v>
      </c>
    </row>
    <row r="3582" spans="38:40" x14ac:dyDescent="0.3">
      <c r="AL3582">
        <v>0</v>
      </c>
      <c r="AM3582" t="s">
        <v>649</v>
      </c>
      <c r="AN3582" t="s">
        <v>649</v>
      </c>
    </row>
    <row r="3583" spans="38:40" x14ac:dyDescent="0.3">
      <c r="AL3583">
        <v>0</v>
      </c>
      <c r="AM3583" t="s">
        <v>649</v>
      </c>
      <c r="AN3583" t="s">
        <v>649</v>
      </c>
    </row>
    <row r="3584" spans="38:40" x14ac:dyDescent="0.3">
      <c r="AL3584">
        <v>0</v>
      </c>
      <c r="AM3584" t="s">
        <v>649</v>
      </c>
      <c r="AN3584" t="s">
        <v>649</v>
      </c>
    </row>
    <row r="3585" spans="38:40" x14ac:dyDescent="0.3">
      <c r="AL3585">
        <v>0</v>
      </c>
      <c r="AM3585" t="s">
        <v>649</v>
      </c>
      <c r="AN3585" t="s">
        <v>649</v>
      </c>
    </row>
    <row r="3586" spans="38:40" x14ac:dyDescent="0.3">
      <c r="AL3586">
        <v>0</v>
      </c>
      <c r="AM3586" t="s">
        <v>649</v>
      </c>
      <c r="AN3586" t="s">
        <v>649</v>
      </c>
    </row>
    <row r="3587" spans="38:40" x14ac:dyDescent="0.3">
      <c r="AL3587">
        <v>0</v>
      </c>
      <c r="AM3587" t="s">
        <v>649</v>
      </c>
      <c r="AN3587" t="s">
        <v>649</v>
      </c>
    </row>
    <row r="3588" spans="38:40" x14ac:dyDescent="0.3">
      <c r="AL3588">
        <v>0</v>
      </c>
      <c r="AM3588" t="s">
        <v>649</v>
      </c>
      <c r="AN3588" t="s">
        <v>649</v>
      </c>
    </row>
    <row r="3589" spans="38:40" x14ac:dyDescent="0.3">
      <c r="AL3589">
        <v>0</v>
      </c>
      <c r="AM3589" t="s">
        <v>649</v>
      </c>
      <c r="AN3589" t="s">
        <v>649</v>
      </c>
    </row>
    <row r="3590" spans="38:40" x14ac:dyDescent="0.3">
      <c r="AL3590">
        <v>0</v>
      </c>
      <c r="AM3590" t="s">
        <v>649</v>
      </c>
      <c r="AN3590" t="s">
        <v>649</v>
      </c>
    </row>
    <row r="3591" spans="38:40" x14ac:dyDescent="0.3">
      <c r="AL3591">
        <v>0</v>
      </c>
      <c r="AM3591" t="s">
        <v>649</v>
      </c>
      <c r="AN3591" t="s">
        <v>649</v>
      </c>
    </row>
    <row r="3592" spans="38:40" x14ac:dyDescent="0.3">
      <c r="AL3592">
        <v>0</v>
      </c>
      <c r="AM3592" t="s">
        <v>649</v>
      </c>
      <c r="AN3592" t="s">
        <v>649</v>
      </c>
    </row>
    <row r="3593" spans="38:40" x14ac:dyDescent="0.3">
      <c r="AL3593">
        <v>0</v>
      </c>
      <c r="AM3593" t="s">
        <v>649</v>
      </c>
      <c r="AN3593" t="s">
        <v>649</v>
      </c>
    </row>
    <row r="3594" spans="38:40" x14ac:dyDescent="0.3">
      <c r="AL3594">
        <v>0</v>
      </c>
      <c r="AM3594" t="s">
        <v>649</v>
      </c>
      <c r="AN3594" t="s">
        <v>649</v>
      </c>
    </row>
    <row r="3595" spans="38:40" x14ac:dyDescent="0.3">
      <c r="AL3595">
        <v>0</v>
      </c>
      <c r="AM3595" t="s">
        <v>649</v>
      </c>
      <c r="AN3595" t="s">
        <v>649</v>
      </c>
    </row>
    <row r="3596" spans="38:40" x14ac:dyDescent="0.3">
      <c r="AL3596">
        <v>0</v>
      </c>
      <c r="AM3596" t="s">
        <v>649</v>
      </c>
      <c r="AN3596" t="s">
        <v>649</v>
      </c>
    </row>
    <row r="3597" spans="38:40" x14ac:dyDescent="0.3">
      <c r="AL3597">
        <v>0</v>
      </c>
      <c r="AM3597" t="s">
        <v>649</v>
      </c>
      <c r="AN3597" t="s">
        <v>649</v>
      </c>
    </row>
    <row r="3598" spans="38:40" x14ac:dyDescent="0.3">
      <c r="AL3598">
        <v>0</v>
      </c>
      <c r="AM3598" t="s">
        <v>649</v>
      </c>
      <c r="AN3598" t="s">
        <v>649</v>
      </c>
    </row>
    <row r="3599" spans="38:40" x14ac:dyDescent="0.3">
      <c r="AL3599">
        <v>0</v>
      </c>
      <c r="AM3599" t="s">
        <v>649</v>
      </c>
      <c r="AN3599" t="s">
        <v>649</v>
      </c>
    </row>
    <row r="3600" spans="38:40" x14ac:dyDescent="0.3">
      <c r="AL3600">
        <v>0</v>
      </c>
      <c r="AM3600" t="s">
        <v>649</v>
      </c>
      <c r="AN3600" t="s">
        <v>649</v>
      </c>
    </row>
    <row r="3601" spans="38:40" x14ac:dyDescent="0.3">
      <c r="AL3601">
        <v>0</v>
      </c>
      <c r="AM3601" t="s">
        <v>649</v>
      </c>
      <c r="AN3601" t="s">
        <v>649</v>
      </c>
    </row>
    <row r="3602" spans="38:40" x14ac:dyDescent="0.3">
      <c r="AL3602">
        <v>0</v>
      </c>
      <c r="AM3602" t="s">
        <v>649</v>
      </c>
      <c r="AN3602" t="s">
        <v>649</v>
      </c>
    </row>
    <row r="3603" spans="38:40" x14ac:dyDescent="0.3">
      <c r="AL3603">
        <v>0</v>
      </c>
      <c r="AM3603" t="s">
        <v>649</v>
      </c>
      <c r="AN3603" t="s">
        <v>649</v>
      </c>
    </row>
    <row r="3604" spans="38:40" x14ac:dyDescent="0.3">
      <c r="AL3604">
        <v>0</v>
      </c>
      <c r="AM3604" t="s">
        <v>649</v>
      </c>
      <c r="AN3604" t="s">
        <v>649</v>
      </c>
    </row>
    <row r="3605" spans="38:40" x14ac:dyDescent="0.3">
      <c r="AL3605">
        <v>0</v>
      </c>
      <c r="AM3605" t="s">
        <v>649</v>
      </c>
      <c r="AN3605" t="s">
        <v>649</v>
      </c>
    </row>
    <row r="3606" spans="38:40" x14ac:dyDescent="0.3">
      <c r="AL3606">
        <v>0</v>
      </c>
      <c r="AM3606" t="s">
        <v>649</v>
      </c>
      <c r="AN3606" t="s">
        <v>649</v>
      </c>
    </row>
    <row r="3607" spans="38:40" x14ac:dyDescent="0.3">
      <c r="AL3607">
        <v>0</v>
      </c>
      <c r="AM3607" t="s">
        <v>649</v>
      </c>
      <c r="AN3607" t="s">
        <v>649</v>
      </c>
    </row>
    <row r="3608" spans="38:40" x14ac:dyDescent="0.3">
      <c r="AL3608">
        <v>0</v>
      </c>
      <c r="AM3608" t="s">
        <v>649</v>
      </c>
      <c r="AN3608" t="s">
        <v>649</v>
      </c>
    </row>
    <row r="3609" spans="38:40" x14ac:dyDescent="0.3">
      <c r="AL3609">
        <v>0</v>
      </c>
      <c r="AM3609" t="s">
        <v>649</v>
      </c>
      <c r="AN3609" t="s">
        <v>649</v>
      </c>
    </row>
    <row r="3610" spans="38:40" x14ac:dyDescent="0.3">
      <c r="AL3610">
        <v>0</v>
      </c>
      <c r="AM3610" t="s">
        <v>649</v>
      </c>
      <c r="AN3610" t="s">
        <v>649</v>
      </c>
    </row>
    <row r="3611" spans="38:40" x14ac:dyDescent="0.3">
      <c r="AL3611">
        <v>0</v>
      </c>
      <c r="AM3611" t="s">
        <v>649</v>
      </c>
      <c r="AN3611" t="s">
        <v>649</v>
      </c>
    </row>
    <row r="3612" spans="38:40" x14ac:dyDescent="0.3">
      <c r="AL3612">
        <v>0</v>
      </c>
      <c r="AM3612" t="s">
        <v>649</v>
      </c>
      <c r="AN3612" t="s">
        <v>649</v>
      </c>
    </row>
    <row r="3613" spans="38:40" x14ac:dyDescent="0.3">
      <c r="AL3613">
        <v>0</v>
      </c>
      <c r="AM3613" t="s">
        <v>649</v>
      </c>
      <c r="AN3613" t="s">
        <v>649</v>
      </c>
    </row>
    <row r="3614" spans="38:40" x14ac:dyDescent="0.3">
      <c r="AL3614">
        <v>0</v>
      </c>
      <c r="AM3614" t="s">
        <v>649</v>
      </c>
      <c r="AN3614" t="s">
        <v>649</v>
      </c>
    </row>
    <row r="3615" spans="38:40" x14ac:dyDescent="0.3">
      <c r="AL3615">
        <v>0</v>
      </c>
      <c r="AM3615" t="s">
        <v>649</v>
      </c>
      <c r="AN3615" t="s">
        <v>649</v>
      </c>
    </row>
    <row r="3616" spans="38:40" x14ac:dyDescent="0.3">
      <c r="AL3616">
        <v>0</v>
      </c>
      <c r="AM3616" t="s">
        <v>649</v>
      </c>
      <c r="AN3616" t="s">
        <v>649</v>
      </c>
    </row>
    <row r="3617" spans="38:40" x14ac:dyDescent="0.3">
      <c r="AL3617">
        <v>0</v>
      </c>
      <c r="AM3617" t="s">
        <v>649</v>
      </c>
      <c r="AN3617" t="s">
        <v>649</v>
      </c>
    </row>
    <row r="3618" spans="38:40" x14ac:dyDescent="0.3">
      <c r="AL3618">
        <v>0</v>
      </c>
      <c r="AM3618" t="s">
        <v>649</v>
      </c>
      <c r="AN3618" t="s">
        <v>649</v>
      </c>
    </row>
    <row r="3619" spans="38:40" x14ac:dyDescent="0.3">
      <c r="AL3619">
        <v>0</v>
      </c>
      <c r="AM3619" t="s">
        <v>649</v>
      </c>
      <c r="AN3619" t="s">
        <v>649</v>
      </c>
    </row>
    <row r="3620" spans="38:40" x14ac:dyDescent="0.3">
      <c r="AL3620">
        <v>0</v>
      </c>
      <c r="AM3620" t="s">
        <v>649</v>
      </c>
      <c r="AN3620" t="s">
        <v>649</v>
      </c>
    </row>
    <row r="3621" spans="38:40" x14ac:dyDescent="0.3">
      <c r="AL3621">
        <v>0</v>
      </c>
      <c r="AM3621" t="s">
        <v>649</v>
      </c>
      <c r="AN3621" t="s">
        <v>649</v>
      </c>
    </row>
    <row r="3622" spans="38:40" x14ac:dyDescent="0.3">
      <c r="AL3622">
        <v>0</v>
      </c>
      <c r="AM3622" t="s">
        <v>649</v>
      </c>
      <c r="AN3622" t="s">
        <v>649</v>
      </c>
    </row>
    <row r="3623" spans="38:40" x14ac:dyDescent="0.3">
      <c r="AL3623">
        <v>0</v>
      </c>
      <c r="AM3623" t="s">
        <v>649</v>
      </c>
      <c r="AN3623" t="s">
        <v>649</v>
      </c>
    </row>
    <row r="3624" spans="38:40" x14ac:dyDescent="0.3">
      <c r="AL3624">
        <v>0</v>
      </c>
      <c r="AM3624" t="s">
        <v>649</v>
      </c>
      <c r="AN3624" t="s">
        <v>649</v>
      </c>
    </row>
    <row r="3625" spans="38:40" x14ac:dyDescent="0.3">
      <c r="AL3625">
        <v>0</v>
      </c>
      <c r="AM3625" t="s">
        <v>649</v>
      </c>
      <c r="AN3625" t="s">
        <v>649</v>
      </c>
    </row>
    <row r="3626" spans="38:40" x14ac:dyDescent="0.3">
      <c r="AL3626">
        <v>0</v>
      </c>
      <c r="AM3626" t="s">
        <v>649</v>
      </c>
      <c r="AN3626" t="s">
        <v>649</v>
      </c>
    </row>
    <row r="3627" spans="38:40" x14ac:dyDescent="0.3">
      <c r="AL3627">
        <v>0</v>
      </c>
      <c r="AM3627" t="s">
        <v>649</v>
      </c>
      <c r="AN3627" t="s">
        <v>649</v>
      </c>
    </row>
    <row r="3628" spans="38:40" x14ac:dyDescent="0.3">
      <c r="AL3628">
        <v>0</v>
      </c>
      <c r="AM3628" t="s">
        <v>649</v>
      </c>
      <c r="AN3628" t="s">
        <v>649</v>
      </c>
    </row>
    <row r="3629" spans="38:40" x14ac:dyDescent="0.3">
      <c r="AL3629">
        <v>0</v>
      </c>
      <c r="AM3629" t="s">
        <v>649</v>
      </c>
      <c r="AN3629" t="s">
        <v>649</v>
      </c>
    </row>
    <row r="3630" spans="38:40" x14ac:dyDescent="0.3">
      <c r="AL3630">
        <v>0</v>
      </c>
      <c r="AM3630" t="s">
        <v>649</v>
      </c>
      <c r="AN3630" t="s">
        <v>649</v>
      </c>
    </row>
    <row r="3631" spans="38:40" x14ac:dyDescent="0.3">
      <c r="AL3631">
        <v>0</v>
      </c>
      <c r="AM3631" t="s">
        <v>649</v>
      </c>
      <c r="AN3631" t="s">
        <v>649</v>
      </c>
    </row>
    <row r="3632" spans="38:40" x14ac:dyDescent="0.3">
      <c r="AL3632">
        <v>0</v>
      </c>
      <c r="AM3632" t="s">
        <v>649</v>
      </c>
      <c r="AN3632" t="s">
        <v>649</v>
      </c>
    </row>
    <row r="3633" spans="38:40" x14ac:dyDescent="0.3">
      <c r="AL3633">
        <v>0</v>
      </c>
      <c r="AM3633" t="s">
        <v>649</v>
      </c>
      <c r="AN3633" t="s">
        <v>649</v>
      </c>
    </row>
    <row r="3634" spans="38:40" x14ac:dyDescent="0.3">
      <c r="AL3634">
        <v>0</v>
      </c>
      <c r="AM3634" t="s">
        <v>649</v>
      </c>
      <c r="AN3634" t="s">
        <v>649</v>
      </c>
    </row>
    <row r="3635" spans="38:40" x14ac:dyDescent="0.3">
      <c r="AL3635">
        <v>0</v>
      </c>
      <c r="AM3635" t="s">
        <v>649</v>
      </c>
      <c r="AN3635" t="s">
        <v>649</v>
      </c>
    </row>
    <row r="3636" spans="38:40" x14ac:dyDescent="0.3">
      <c r="AL3636">
        <v>0</v>
      </c>
      <c r="AM3636" t="s">
        <v>649</v>
      </c>
      <c r="AN3636" t="s">
        <v>649</v>
      </c>
    </row>
    <row r="3637" spans="38:40" x14ac:dyDescent="0.3">
      <c r="AL3637">
        <v>0</v>
      </c>
      <c r="AM3637" t="s">
        <v>649</v>
      </c>
      <c r="AN3637" t="s">
        <v>649</v>
      </c>
    </row>
    <row r="3638" spans="38:40" x14ac:dyDescent="0.3">
      <c r="AL3638">
        <v>0</v>
      </c>
      <c r="AM3638" t="s">
        <v>649</v>
      </c>
      <c r="AN3638" t="s">
        <v>649</v>
      </c>
    </row>
    <row r="3639" spans="38:40" x14ac:dyDescent="0.3">
      <c r="AL3639">
        <v>0</v>
      </c>
      <c r="AM3639" t="s">
        <v>649</v>
      </c>
      <c r="AN3639" t="s">
        <v>649</v>
      </c>
    </row>
    <row r="3640" spans="38:40" x14ac:dyDescent="0.3">
      <c r="AL3640">
        <v>0</v>
      </c>
      <c r="AM3640" t="s">
        <v>649</v>
      </c>
      <c r="AN3640" t="s">
        <v>649</v>
      </c>
    </row>
    <row r="3641" spans="38:40" x14ac:dyDescent="0.3">
      <c r="AL3641">
        <v>0</v>
      </c>
      <c r="AM3641" t="s">
        <v>649</v>
      </c>
      <c r="AN3641" t="s">
        <v>649</v>
      </c>
    </row>
    <row r="3642" spans="38:40" x14ac:dyDescent="0.3">
      <c r="AL3642">
        <v>0</v>
      </c>
      <c r="AM3642" t="s">
        <v>649</v>
      </c>
      <c r="AN3642" t="s">
        <v>649</v>
      </c>
    </row>
    <row r="3643" spans="38:40" x14ac:dyDescent="0.3">
      <c r="AL3643">
        <v>0</v>
      </c>
      <c r="AM3643" t="s">
        <v>649</v>
      </c>
      <c r="AN3643" t="s">
        <v>649</v>
      </c>
    </row>
    <row r="3644" spans="38:40" x14ac:dyDescent="0.3">
      <c r="AL3644">
        <v>0</v>
      </c>
      <c r="AM3644" t="s">
        <v>649</v>
      </c>
      <c r="AN3644" t="s">
        <v>649</v>
      </c>
    </row>
    <row r="3645" spans="38:40" x14ac:dyDescent="0.3">
      <c r="AL3645">
        <v>0</v>
      </c>
      <c r="AM3645" t="s">
        <v>649</v>
      </c>
      <c r="AN3645" t="s">
        <v>649</v>
      </c>
    </row>
    <row r="3646" spans="38:40" x14ac:dyDescent="0.3">
      <c r="AL3646">
        <v>0</v>
      </c>
      <c r="AM3646" t="s">
        <v>649</v>
      </c>
      <c r="AN3646" t="s">
        <v>649</v>
      </c>
    </row>
    <row r="3647" spans="38:40" x14ac:dyDescent="0.3">
      <c r="AL3647">
        <v>0</v>
      </c>
      <c r="AM3647" t="s">
        <v>649</v>
      </c>
      <c r="AN3647" t="s">
        <v>649</v>
      </c>
    </row>
    <row r="3648" spans="38:40" x14ac:dyDescent="0.3">
      <c r="AL3648">
        <v>0</v>
      </c>
      <c r="AM3648" t="s">
        <v>649</v>
      </c>
      <c r="AN3648" t="s">
        <v>649</v>
      </c>
    </row>
    <row r="3649" spans="38:40" x14ac:dyDescent="0.3">
      <c r="AL3649">
        <v>0</v>
      </c>
      <c r="AM3649" t="s">
        <v>649</v>
      </c>
      <c r="AN3649" t="s">
        <v>649</v>
      </c>
    </row>
    <row r="3650" spans="38:40" x14ac:dyDescent="0.3">
      <c r="AL3650">
        <v>0</v>
      </c>
      <c r="AM3650" t="s">
        <v>649</v>
      </c>
      <c r="AN3650" t="s">
        <v>649</v>
      </c>
    </row>
    <row r="3651" spans="38:40" x14ac:dyDescent="0.3">
      <c r="AL3651">
        <v>0</v>
      </c>
      <c r="AM3651" t="s">
        <v>649</v>
      </c>
      <c r="AN3651" t="s">
        <v>649</v>
      </c>
    </row>
    <row r="3652" spans="38:40" x14ac:dyDescent="0.3">
      <c r="AL3652">
        <v>0</v>
      </c>
      <c r="AM3652" t="s">
        <v>649</v>
      </c>
      <c r="AN3652" t="s">
        <v>649</v>
      </c>
    </row>
    <row r="3653" spans="38:40" x14ac:dyDescent="0.3">
      <c r="AL3653">
        <v>0</v>
      </c>
      <c r="AM3653" t="s">
        <v>649</v>
      </c>
      <c r="AN3653" t="s">
        <v>649</v>
      </c>
    </row>
    <row r="3654" spans="38:40" x14ac:dyDescent="0.3">
      <c r="AL3654">
        <v>0</v>
      </c>
      <c r="AM3654" t="s">
        <v>649</v>
      </c>
      <c r="AN3654" t="s">
        <v>649</v>
      </c>
    </row>
    <row r="3655" spans="38:40" x14ac:dyDescent="0.3">
      <c r="AL3655">
        <v>0</v>
      </c>
      <c r="AM3655" t="s">
        <v>649</v>
      </c>
      <c r="AN3655" t="s">
        <v>649</v>
      </c>
    </row>
    <row r="3656" spans="38:40" x14ac:dyDescent="0.3">
      <c r="AL3656">
        <v>0</v>
      </c>
      <c r="AM3656" t="s">
        <v>649</v>
      </c>
      <c r="AN3656" t="s">
        <v>649</v>
      </c>
    </row>
    <row r="3657" spans="38:40" x14ac:dyDescent="0.3">
      <c r="AL3657">
        <v>0</v>
      </c>
      <c r="AM3657" t="s">
        <v>649</v>
      </c>
      <c r="AN3657" t="s">
        <v>649</v>
      </c>
    </row>
    <row r="3658" spans="38:40" x14ac:dyDescent="0.3">
      <c r="AL3658">
        <v>0</v>
      </c>
      <c r="AM3658" t="s">
        <v>649</v>
      </c>
      <c r="AN3658" t="s">
        <v>649</v>
      </c>
    </row>
    <row r="3659" spans="38:40" x14ac:dyDescent="0.3">
      <c r="AL3659">
        <v>0</v>
      </c>
      <c r="AM3659" t="s">
        <v>649</v>
      </c>
      <c r="AN3659" t="s">
        <v>649</v>
      </c>
    </row>
    <row r="3660" spans="38:40" x14ac:dyDescent="0.3">
      <c r="AL3660">
        <v>0</v>
      </c>
      <c r="AM3660" t="s">
        <v>649</v>
      </c>
      <c r="AN3660" t="s">
        <v>649</v>
      </c>
    </row>
    <row r="3661" spans="38:40" x14ac:dyDescent="0.3">
      <c r="AL3661">
        <v>0</v>
      </c>
      <c r="AM3661" t="s">
        <v>649</v>
      </c>
      <c r="AN3661" t="s">
        <v>649</v>
      </c>
    </row>
    <row r="3662" spans="38:40" x14ac:dyDescent="0.3">
      <c r="AL3662">
        <v>0</v>
      </c>
      <c r="AM3662" t="s">
        <v>649</v>
      </c>
      <c r="AN3662" t="s">
        <v>649</v>
      </c>
    </row>
    <row r="3663" spans="38:40" x14ac:dyDescent="0.3">
      <c r="AL3663">
        <v>0</v>
      </c>
      <c r="AM3663" t="s">
        <v>649</v>
      </c>
      <c r="AN3663" t="s">
        <v>649</v>
      </c>
    </row>
    <row r="3664" spans="38:40" x14ac:dyDescent="0.3">
      <c r="AL3664">
        <v>0</v>
      </c>
      <c r="AM3664" t="s">
        <v>649</v>
      </c>
      <c r="AN3664" t="s">
        <v>649</v>
      </c>
    </row>
    <row r="3665" spans="38:40" x14ac:dyDescent="0.3">
      <c r="AL3665">
        <v>0</v>
      </c>
      <c r="AM3665" t="s">
        <v>649</v>
      </c>
      <c r="AN3665" t="s">
        <v>649</v>
      </c>
    </row>
    <row r="3666" spans="38:40" x14ac:dyDescent="0.3">
      <c r="AL3666">
        <v>0</v>
      </c>
      <c r="AM3666" t="s">
        <v>649</v>
      </c>
      <c r="AN3666" t="s">
        <v>649</v>
      </c>
    </row>
    <row r="3667" spans="38:40" x14ac:dyDescent="0.3">
      <c r="AL3667">
        <v>0</v>
      </c>
      <c r="AM3667" t="s">
        <v>649</v>
      </c>
      <c r="AN3667" t="s">
        <v>649</v>
      </c>
    </row>
    <row r="3668" spans="38:40" x14ac:dyDescent="0.3">
      <c r="AL3668">
        <v>0</v>
      </c>
      <c r="AM3668" t="s">
        <v>649</v>
      </c>
      <c r="AN3668" t="s">
        <v>649</v>
      </c>
    </row>
    <row r="3669" spans="38:40" x14ac:dyDescent="0.3">
      <c r="AL3669">
        <v>0</v>
      </c>
      <c r="AM3669" t="s">
        <v>649</v>
      </c>
      <c r="AN3669" t="s">
        <v>649</v>
      </c>
    </row>
    <row r="3670" spans="38:40" x14ac:dyDescent="0.3">
      <c r="AL3670">
        <v>0</v>
      </c>
      <c r="AM3670" t="s">
        <v>649</v>
      </c>
      <c r="AN3670" t="s">
        <v>649</v>
      </c>
    </row>
    <row r="3671" spans="38:40" x14ac:dyDescent="0.3">
      <c r="AL3671">
        <v>0</v>
      </c>
      <c r="AM3671" t="s">
        <v>649</v>
      </c>
      <c r="AN3671" t="s">
        <v>649</v>
      </c>
    </row>
    <row r="3672" spans="38:40" x14ac:dyDescent="0.3">
      <c r="AL3672">
        <v>0</v>
      </c>
      <c r="AM3672" t="s">
        <v>649</v>
      </c>
      <c r="AN3672" t="s">
        <v>649</v>
      </c>
    </row>
    <row r="3673" spans="38:40" x14ac:dyDescent="0.3">
      <c r="AL3673">
        <v>0</v>
      </c>
      <c r="AM3673" t="s">
        <v>649</v>
      </c>
      <c r="AN3673" t="s">
        <v>649</v>
      </c>
    </row>
    <row r="3674" spans="38:40" x14ac:dyDescent="0.3">
      <c r="AL3674">
        <v>0</v>
      </c>
      <c r="AM3674" t="s">
        <v>649</v>
      </c>
      <c r="AN3674" t="s">
        <v>649</v>
      </c>
    </row>
    <row r="3675" spans="38:40" x14ac:dyDescent="0.3">
      <c r="AL3675">
        <v>0</v>
      </c>
      <c r="AM3675" t="s">
        <v>649</v>
      </c>
      <c r="AN3675" t="s">
        <v>649</v>
      </c>
    </row>
    <row r="3676" spans="38:40" x14ac:dyDescent="0.3">
      <c r="AL3676">
        <v>0</v>
      </c>
      <c r="AM3676" t="s">
        <v>649</v>
      </c>
      <c r="AN3676" t="s">
        <v>649</v>
      </c>
    </row>
    <row r="3677" spans="38:40" x14ac:dyDescent="0.3">
      <c r="AL3677">
        <v>0</v>
      </c>
      <c r="AM3677" t="s">
        <v>649</v>
      </c>
      <c r="AN3677" t="s">
        <v>649</v>
      </c>
    </row>
    <row r="3678" spans="38:40" x14ac:dyDescent="0.3">
      <c r="AL3678">
        <v>0</v>
      </c>
      <c r="AM3678" t="s">
        <v>649</v>
      </c>
      <c r="AN3678" t="s">
        <v>649</v>
      </c>
    </row>
    <row r="3679" spans="38:40" x14ac:dyDescent="0.3">
      <c r="AL3679">
        <v>0</v>
      </c>
      <c r="AM3679" t="s">
        <v>649</v>
      </c>
      <c r="AN3679" t="s">
        <v>649</v>
      </c>
    </row>
    <row r="3680" spans="38:40" x14ac:dyDescent="0.3">
      <c r="AL3680">
        <v>0</v>
      </c>
      <c r="AM3680" t="s">
        <v>649</v>
      </c>
      <c r="AN3680" t="s">
        <v>649</v>
      </c>
    </row>
    <row r="3681" spans="38:40" x14ac:dyDescent="0.3">
      <c r="AL3681">
        <v>0</v>
      </c>
      <c r="AM3681" t="s">
        <v>649</v>
      </c>
      <c r="AN3681" t="s">
        <v>649</v>
      </c>
    </row>
    <row r="3682" spans="38:40" x14ac:dyDescent="0.3">
      <c r="AL3682">
        <v>0</v>
      </c>
      <c r="AM3682" t="s">
        <v>649</v>
      </c>
      <c r="AN3682" t="s">
        <v>649</v>
      </c>
    </row>
    <row r="3683" spans="38:40" x14ac:dyDescent="0.3">
      <c r="AL3683">
        <v>0</v>
      </c>
      <c r="AM3683" t="s">
        <v>649</v>
      </c>
      <c r="AN3683" t="s">
        <v>649</v>
      </c>
    </row>
    <row r="3684" spans="38:40" x14ac:dyDescent="0.3">
      <c r="AL3684">
        <v>0</v>
      </c>
      <c r="AM3684" t="s">
        <v>649</v>
      </c>
      <c r="AN3684" t="s">
        <v>649</v>
      </c>
    </row>
    <row r="3685" spans="38:40" x14ac:dyDescent="0.3">
      <c r="AL3685">
        <v>0</v>
      </c>
      <c r="AM3685" t="s">
        <v>649</v>
      </c>
      <c r="AN3685" t="s">
        <v>649</v>
      </c>
    </row>
    <row r="3686" spans="38:40" x14ac:dyDescent="0.3">
      <c r="AL3686">
        <v>0</v>
      </c>
      <c r="AM3686" t="s">
        <v>649</v>
      </c>
      <c r="AN3686" t="s">
        <v>649</v>
      </c>
    </row>
    <row r="3687" spans="38:40" x14ac:dyDescent="0.3">
      <c r="AL3687">
        <v>0</v>
      </c>
      <c r="AM3687" t="s">
        <v>649</v>
      </c>
      <c r="AN3687" t="s">
        <v>649</v>
      </c>
    </row>
    <row r="3688" spans="38:40" x14ac:dyDescent="0.3">
      <c r="AL3688">
        <v>0</v>
      </c>
      <c r="AM3688" t="s">
        <v>649</v>
      </c>
      <c r="AN3688" t="s">
        <v>649</v>
      </c>
    </row>
    <row r="3689" spans="38:40" x14ac:dyDescent="0.3">
      <c r="AL3689">
        <v>0</v>
      </c>
      <c r="AM3689" t="s">
        <v>649</v>
      </c>
      <c r="AN3689" t="s">
        <v>649</v>
      </c>
    </row>
    <row r="3690" spans="38:40" x14ac:dyDescent="0.3">
      <c r="AL3690">
        <v>0</v>
      </c>
      <c r="AM3690" t="s">
        <v>649</v>
      </c>
      <c r="AN3690" t="s">
        <v>649</v>
      </c>
    </row>
    <row r="3691" spans="38:40" x14ac:dyDescent="0.3">
      <c r="AL3691">
        <v>0</v>
      </c>
      <c r="AM3691" t="s">
        <v>649</v>
      </c>
      <c r="AN3691" t="s">
        <v>649</v>
      </c>
    </row>
    <row r="3692" spans="38:40" x14ac:dyDescent="0.3">
      <c r="AL3692">
        <v>0</v>
      </c>
      <c r="AM3692" t="s">
        <v>649</v>
      </c>
      <c r="AN3692" t="s">
        <v>649</v>
      </c>
    </row>
    <row r="3693" spans="38:40" x14ac:dyDescent="0.3">
      <c r="AL3693">
        <v>0</v>
      </c>
      <c r="AM3693" t="s">
        <v>649</v>
      </c>
      <c r="AN3693" t="s">
        <v>649</v>
      </c>
    </row>
    <row r="3694" spans="38:40" x14ac:dyDescent="0.3">
      <c r="AL3694">
        <v>0</v>
      </c>
      <c r="AM3694" t="s">
        <v>649</v>
      </c>
      <c r="AN3694" t="s">
        <v>649</v>
      </c>
    </row>
    <row r="3695" spans="38:40" x14ac:dyDescent="0.3">
      <c r="AL3695">
        <v>0</v>
      </c>
      <c r="AM3695" t="s">
        <v>649</v>
      </c>
      <c r="AN3695" t="s">
        <v>649</v>
      </c>
    </row>
    <row r="3696" spans="38:40" x14ac:dyDescent="0.3">
      <c r="AL3696">
        <v>0</v>
      </c>
      <c r="AM3696" t="s">
        <v>649</v>
      </c>
      <c r="AN3696" t="s">
        <v>649</v>
      </c>
    </row>
    <row r="3697" spans="38:40" x14ac:dyDescent="0.3">
      <c r="AL3697">
        <v>0</v>
      </c>
      <c r="AM3697" t="s">
        <v>649</v>
      </c>
      <c r="AN3697" t="s">
        <v>649</v>
      </c>
    </row>
    <row r="3698" spans="38:40" x14ac:dyDescent="0.3">
      <c r="AL3698">
        <v>0</v>
      </c>
      <c r="AM3698" t="s">
        <v>649</v>
      </c>
      <c r="AN3698" t="s">
        <v>649</v>
      </c>
    </row>
    <row r="3699" spans="38:40" x14ac:dyDescent="0.3">
      <c r="AL3699">
        <v>0</v>
      </c>
      <c r="AM3699" t="s">
        <v>649</v>
      </c>
      <c r="AN3699" t="s">
        <v>649</v>
      </c>
    </row>
    <row r="3700" spans="38:40" x14ac:dyDescent="0.3">
      <c r="AL3700">
        <v>0</v>
      </c>
      <c r="AM3700" t="s">
        <v>649</v>
      </c>
      <c r="AN3700" t="s">
        <v>649</v>
      </c>
    </row>
    <row r="3701" spans="38:40" x14ac:dyDescent="0.3">
      <c r="AL3701">
        <v>0</v>
      </c>
      <c r="AM3701" t="s">
        <v>649</v>
      </c>
      <c r="AN3701" t="s">
        <v>649</v>
      </c>
    </row>
    <row r="3702" spans="38:40" x14ac:dyDescent="0.3">
      <c r="AL3702">
        <v>0</v>
      </c>
      <c r="AM3702" t="s">
        <v>649</v>
      </c>
      <c r="AN3702" t="s">
        <v>649</v>
      </c>
    </row>
    <row r="3703" spans="38:40" x14ac:dyDescent="0.3">
      <c r="AL3703">
        <v>0</v>
      </c>
      <c r="AM3703" t="s">
        <v>649</v>
      </c>
      <c r="AN3703" t="s">
        <v>649</v>
      </c>
    </row>
    <row r="3704" spans="38:40" x14ac:dyDescent="0.3">
      <c r="AL3704">
        <v>0</v>
      </c>
      <c r="AM3704" t="s">
        <v>649</v>
      </c>
      <c r="AN3704" t="s">
        <v>649</v>
      </c>
    </row>
    <row r="3705" spans="38:40" x14ac:dyDescent="0.3">
      <c r="AL3705">
        <v>0</v>
      </c>
      <c r="AM3705" t="s">
        <v>649</v>
      </c>
      <c r="AN3705" t="s">
        <v>649</v>
      </c>
    </row>
    <row r="3706" spans="38:40" x14ac:dyDescent="0.3">
      <c r="AL3706">
        <v>0</v>
      </c>
      <c r="AM3706" t="s">
        <v>649</v>
      </c>
      <c r="AN3706" t="s">
        <v>649</v>
      </c>
    </row>
    <row r="3707" spans="38:40" x14ac:dyDescent="0.3">
      <c r="AL3707">
        <v>0</v>
      </c>
      <c r="AM3707" t="s">
        <v>649</v>
      </c>
      <c r="AN3707" t="s">
        <v>649</v>
      </c>
    </row>
    <row r="3708" spans="38:40" x14ac:dyDescent="0.3">
      <c r="AL3708">
        <v>0</v>
      </c>
      <c r="AM3708" t="s">
        <v>649</v>
      </c>
      <c r="AN3708" t="s">
        <v>649</v>
      </c>
    </row>
    <row r="3709" spans="38:40" x14ac:dyDescent="0.3">
      <c r="AL3709">
        <v>0</v>
      </c>
      <c r="AM3709" t="s">
        <v>649</v>
      </c>
      <c r="AN3709" t="s">
        <v>649</v>
      </c>
    </row>
    <row r="3710" spans="38:40" x14ac:dyDescent="0.3">
      <c r="AL3710">
        <v>0</v>
      </c>
      <c r="AM3710" t="s">
        <v>649</v>
      </c>
      <c r="AN3710" t="s">
        <v>649</v>
      </c>
    </row>
    <row r="3711" spans="38:40" x14ac:dyDescent="0.3">
      <c r="AL3711">
        <v>0</v>
      </c>
      <c r="AM3711" t="s">
        <v>649</v>
      </c>
      <c r="AN3711" t="s">
        <v>649</v>
      </c>
    </row>
    <row r="3712" spans="38:40" x14ac:dyDescent="0.3">
      <c r="AL3712">
        <v>0</v>
      </c>
      <c r="AM3712" t="s">
        <v>649</v>
      </c>
      <c r="AN3712" t="s">
        <v>649</v>
      </c>
    </row>
    <row r="3713" spans="38:40" x14ac:dyDescent="0.3">
      <c r="AL3713">
        <v>0</v>
      </c>
      <c r="AM3713" t="s">
        <v>649</v>
      </c>
      <c r="AN3713" t="s">
        <v>649</v>
      </c>
    </row>
    <row r="3714" spans="38:40" x14ac:dyDescent="0.3">
      <c r="AL3714">
        <v>0</v>
      </c>
      <c r="AM3714" t="s">
        <v>649</v>
      </c>
      <c r="AN3714" t="s">
        <v>649</v>
      </c>
    </row>
    <row r="3715" spans="38:40" x14ac:dyDescent="0.3">
      <c r="AL3715">
        <v>0</v>
      </c>
      <c r="AM3715" t="s">
        <v>649</v>
      </c>
      <c r="AN3715" t="s">
        <v>649</v>
      </c>
    </row>
    <row r="3716" spans="38:40" x14ac:dyDescent="0.3">
      <c r="AL3716">
        <v>0</v>
      </c>
      <c r="AM3716" t="s">
        <v>649</v>
      </c>
      <c r="AN3716" t="s">
        <v>649</v>
      </c>
    </row>
    <row r="3717" spans="38:40" x14ac:dyDescent="0.3">
      <c r="AL3717">
        <v>0</v>
      </c>
      <c r="AM3717" t="s">
        <v>649</v>
      </c>
      <c r="AN3717" t="s">
        <v>649</v>
      </c>
    </row>
    <row r="3718" spans="38:40" x14ac:dyDescent="0.3">
      <c r="AL3718">
        <v>0</v>
      </c>
      <c r="AM3718" t="s">
        <v>649</v>
      </c>
      <c r="AN3718" t="s">
        <v>649</v>
      </c>
    </row>
    <row r="3719" spans="38:40" x14ac:dyDescent="0.3">
      <c r="AL3719">
        <v>0</v>
      </c>
      <c r="AM3719" t="s">
        <v>649</v>
      </c>
      <c r="AN3719" t="s">
        <v>649</v>
      </c>
    </row>
    <row r="3720" spans="38:40" x14ac:dyDescent="0.3">
      <c r="AL3720">
        <v>0</v>
      </c>
      <c r="AM3720" t="s">
        <v>649</v>
      </c>
      <c r="AN3720" t="s">
        <v>649</v>
      </c>
    </row>
    <row r="3721" spans="38:40" x14ac:dyDescent="0.3">
      <c r="AL3721">
        <v>0</v>
      </c>
      <c r="AM3721" t="s">
        <v>649</v>
      </c>
      <c r="AN3721" t="s">
        <v>649</v>
      </c>
    </row>
    <row r="3722" spans="38:40" x14ac:dyDescent="0.3">
      <c r="AL3722">
        <v>0</v>
      </c>
      <c r="AM3722" t="s">
        <v>649</v>
      </c>
      <c r="AN3722" t="s">
        <v>649</v>
      </c>
    </row>
    <row r="3723" spans="38:40" x14ac:dyDescent="0.3">
      <c r="AL3723">
        <v>0</v>
      </c>
      <c r="AM3723" t="s">
        <v>649</v>
      </c>
      <c r="AN3723" t="s">
        <v>649</v>
      </c>
    </row>
    <row r="3724" spans="38:40" x14ac:dyDescent="0.3">
      <c r="AL3724">
        <v>0</v>
      </c>
      <c r="AM3724" t="s">
        <v>649</v>
      </c>
      <c r="AN3724" t="s">
        <v>649</v>
      </c>
    </row>
    <row r="3725" spans="38:40" x14ac:dyDescent="0.3">
      <c r="AL3725">
        <v>0</v>
      </c>
      <c r="AM3725" t="s">
        <v>649</v>
      </c>
      <c r="AN3725" t="s">
        <v>649</v>
      </c>
    </row>
    <row r="3726" spans="38:40" x14ac:dyDescent="0.3">
      <c r="AL3726">
        <v>0</v>
      </c>
      <c r="AM3726" t="s">
        <v>649</v>
      </c>
      <c r="AN3726" t="s">
        <v>649</v>
      </c>
    </row>
    <row r="3727" spans="38:40" x14ac:dyDescent="0.3">
      <c r="AL3727">
        <v>0</v>
      </c>
      <c r="AM3727" t="s">
        <v>649</v>
      </c>
      <c r="AN3727" t="s">
        <v>649</v>
      </c>
    </row>
    <row r="3728" spans="38:40" x14ac:dyDescent="0.3">
      <c r="AL3728">
        <v>0</v>
      </c>
      <c r="AM3728" t="s">
        <v>649</v>
      </c>
      <c r="AN3728" t="s">
        <v>649</v>
      </c>
    </row>
    <row r="3729" spans="38:40" x14ac:dyDescent="0.3">
      <c r="AL3729">
        <v>0</v>
      </c>
      <c r="AM3729" t="s">
        <v>649</v>
      </c>
      <c r="AN3729" t="s">
        <v>649</v>
      </c>
    </row>
    <row r="3730" spans="38:40" x14ac:dyDescent="0.3">
      <c r="AL3730">
        <v>0</v>
      </c>
      <c r="AM3730" t="s">
        <v>649</v>
      </c>
      <c r="AN3730" t="s">
        <v>649</v>
      </c>
    </row>
    <row r="3731" spans="38:40" x14ac:dyDescent="0.3">
      <c r="AL3731">
        <v>0</v>
      </c>
      <c r="AM3731" t="s">
        <v>649</v>
      </c>
      <c r="AN3731" t="s">
        <v>649</v>
      </c>
    </row>
    <row r="3732" spans="38:40" x14ac:dyDescent="0.3">
      <c r="AL3732">
        <v>0</v>
      </c>
      <c r="AM3732" t="s">
        <v>649</v>
      </c>
      <c r="AN3732" t="s">
        <v>649</v>
      </c>
    </row>
    <row r="3733" spans="38:40" x14ac:dyDescent="0.3">
      <c r="AL3733">
        <v>0</v>
      </c>
      <c r="AM3733" t="s">
        <v>649</v>
      </c>
      <c r="AN3733" t="s">
        <v>649</v>
      </c>
    </row>
    <row r="3734" spans="38:40" x14ac:dyDescent="0.3">
      <c r="AL3734">
        <v>0</v>
      </c>
      <c r="AM3734" t="s">
        <v>649</v>
      </c>
      <c r="AN3734" t="s">
        <v>649</v>
      </c>
    </row>
    <row r="3735" spans="38:40" x14ac:dyDescent="0.3">
      <c r="AL3735">
        <v>0</v>
      </c>
      <c r="AM3735" t="s">
        <v>649</v>
      </c>
      <c r="AN3735" t="s">
        <v>649</v>
      </c>
    </row>
    <row r="3736" spans="38:40" x14ac:dyDescent="0.3">
      <c r="AL3736">
        <v>0</v>
      </c>
      <c r="AM3736" t="s">
        <v>649</v>
      </c>
      <c r="AN3736" t="s">
        <v>649</v>
      </c>
    </row>
    <row r="3737" spans="38:40" x14ac:dyDescent="0.3">
      <c r="AL3737">
        <v>0</v>
      </c>
      <c r="AM3737" t="s">
        <v>649</v>
      </c>
      <c r="AN3737" t="s">
        <v>649</v>
      </c>
    </row>
    <row r="3738" spans="38:40" x14ac:dyDescent="0.3">
      <c r="AL3738">
        <v>0</v>
      </c>
      <c r="AM3738" t="s">
        <v>649</v>
      </c>
      <c r="AN3738" t="s">
        <v>649</v>
      </c>
    </row>
    <row r="3739" spans="38:40" x14ac:dyDescent="0.3">
      <c r="AL3739">
        <v>0</v>
      </c>
      <c r="AM3739" t="s">
        <v>649</v>
      </c>
      <c r="AN3739" t="s">
        <v>649</v>
      </c>
    </row>
    <row r="3740" spans="38:40" x14ac:dyDescent="0.3">
      <c r="AL3740">
        <v>0</v>
      </c>
      <c r="AM3740" t="s">
        <v>649</v>
      </c>
      <c r="AN3740" t="s">
        <v>649</v>
      </c>
    </row>
    <row r="3741" spans="38:40" x14ac:dyDescent="0.3">
      <c r="AL3741">
        <v>0</v>
      </c>
      <c r="AM3741" t="s">
        <v>649</v>
      </c>
      <c r="AN3741" t="s">
        <v>649</v>
      </c>
    </row>
    <row r="3742" spans="38:40" x14ac:dyDescent="0.3">
      <c r="AL3742">
        <v>0</v>
      </c>
      <c r="AM3742" t="s">
        <v>649</v>
      </c>
      <c r="AN3742" t="s">
        <v>649</v>
      </c>
    </row>
    <row r="3743" spans="38:40" x14ac:dyDescent="0.3">
      <c r="AL3743">
        <v>0</v>
      </c>
      <c r="AM3743" t="s">
        <v>649</v>
      </c>
      <c r="AN3743" t="s">
        <v>649</v>
      </c>
    </row>
    <row r="3744" spans="38:40" x14ac:dyDescent="0.3">
      <c r="AL3744">
        <v>0</v>
      </c>
      <c r="AM3744" t="s">
        <v>649</v>
      </c>
      <c r="AN3744" t="s">
        <v>649</v>
      </c>
    </row>
    <row r="3745" spans="38:40" x14ac:dyDescent="0.3">
      <c r="AL3745">
        <v>0</v>
      </c>
      <c r="AM3745" t="s">
        <v>649</v>
      </c>
      <c r="AN3745" t="s">
        <v>649</v>
      </c>
    </row>
    <row r="3746" spans="38:40" x14ac:dyDescent="0.3">
      <c r="AL3746">
        <v>0</v>
      </c>
      <c r="AM3746" t="s">
        <v>649</v>
      </c>
      <c r="AN3746" t="s">
        <v>649</v>
      </c>
    </row>
    <row r="3747" spans="38:40" x14ac:dyDescent="0.3">
      <c r="AL3747">
        <v>0</v>
      </c>
      <c r="AM3747" t="s">
        <v>649</v>
      </c>
      <c r="AN3747" t="s">
        <v>649</v>
      </c>
    </row>
    <row r="3748" spans="38:40" x14ac:dyDescent="0.3">
      <c r="AL3748">
        <v>0</v>
      </c>
      <c r="AM3748" t="s">
        <v>649</v>
      </c>
      <c r="AN3748" t="s">
        <v>649</v>
      </c>
    </row>
    <row r="3749" spans="38:40" x14ac:dyDescent="0.3">
      <c r="AL3749">
        <v>0</v>
      </c>
      <c r="AM3749" t="s">
        <v>649</v>
      </c>
      <c r="AN3749" t="s">
        <v>649</v>
      </c>
    </row>
    <row r="3750" spans="38:40" x14ac:dyDescent="0.3">
      <c r="AL3750">
        <v>0</v>
      </c>
      <c r="AM3750" t="s">
        <v>649</v>
      </c>
      <c r="AN3750" t="s">
        <v>649</v>
      </c>
    </row>
    <row r="3751" spans="38:40" x14ac:dyDescent="0.3">
      <c r="AL3751">
        <v>0</v>
      </c>
      <c r="AM3751" t="s">
        <v>649</v>
      </c>
      <c r="AN3751" t="s">
        <v>649</v>
      </c>
    </row>
    <row r="3752" spans="38:40" x14ac:dyDescent="0.3">
      <c r="AL3752">
        <v>0</v>
      </c>
      <c r="AM3752" t="s">
        <v>649</v>
      </c>
      <c r="AN3752" t="s">
        <v>649</v>
      </c>
    </row>
    <row r="3753" spans="38:40" x14ac:dyDescent="0.3">
      <c r="AL3753">
        <v>0</v>
      </c>
      <c r="AM3753" t="s">
        <v>649</v>
      </c>
      <c r="AN3753" t="s">
        <v>649</v>
      </c>
    </row>
    <row r="3754" spans="38:40" x14ac:dyDescent="0.3">
      <c r="AL3754">
        <v>0</v>
      </c>
      <c r="AM3754" t="s">
        <v>649</v>
      </c>
      <c r="AN3754" t="s">
        <v>649</v>
      </c>
    </row>
    <row r="3755" spans="38:40" x14ac:dyDescent="0.3">
      <c r="AL3755">
        <v>0</v>
      </c>
      <c r="AM3755" t="s">
        <v>649</v>
      </c>
      <c r="AN3755" t="s">
        <v>649</v>
      </c>
    </row>
    <row r="3756" spans="38:40" x14ac:dyDescent="0.3">
      <c r="AL3756">
        <v>0</v>
      </c>
      <c r="AM3756" t="s">
        <v>649</v>
      </c>
      <c r="AN3756" t="s">
        <v>649</v>
      </c>
    </row>
    <row r="3757" spans="38:40" x14ac:dyDescent="0.3">
      <c r="AL3757">
        <v>0</v>
      </c>
      <c r="AM3757" t="s">
        <v>649</v>
      </c>
      <c r="AN3757" t="s">
        <v>649</v>
      </c>
    </row>
    <row r="3758" spans="38:40" x14ac:dyDescent="0.3">
      <c r="AL3758">
        <v>0</v>
      </c>
      <c r="AM3758" t="s">
        <v>649</v>
      </c>
      <c r="AN3758" t="s">
        <v>649</v>
      </c>
    </row>
    <row r="3759" spans="38:40" x14ac:dyDescent="0.3">
      <c r="AL3759">
        <v>0</v>
      </c>
      <c r="AM3759" t="s">
        <v>649</v>
      </c>
      <c r="AN3759" t="s">
        <v>649</v>
      </c>
    </row>
    <row r="3760" spans="38:40" x14ac:dyDescent="0.3">
      <c r="AL3760">
        <v>0</v>
      </c>
      <c r="AM3760" t="s">
        <v>649</v>
      </c>
      <c r="AN3760" t="s">
        <v>649</v>
      </c>
    </row>
    <row r="3761" spans="38:40" x14ac:dyDescent="0.3">
      <c r="AL3761">
        <v>0</v>
      </c>
      <c r="AM3761" t="s">
        <v>649</v>
      </c>
      <c r="AN3761" t="s">
        <v>649</v>
      </c>
    </row>
    <row r="3762" spans="38:40" x14ac:dyDescent="0.3">
      <c r="AL3762">
        <v>0</v>
      </c>
      <c r="AM3762" t="s">
        <v>649</v>
      </c>
      <c r="AN3762" t="s">
        <v>649</v>
      </c>
    </row>
    <row r="3763" spans="38:40" x14ac:dyDescent="0.3">
      <c r="AL3763">
        <v>0</v>
      </c>
      <c r="AM3763" t="s">
        <v>649</v>
      </c>
      <c r="AN3763" t="s">
        <v>649</v>
      </c>
    </row>
    <row r="3764" spans="38:40" x14ac:dyDescent="0.3">
      <c r="AL3764">
        <v>0</v>
      </c>
      <c r="AM3764" t="s">
        <v>649</v>
      </c>
      <c r="AN3764" t="s">
        <v>649</v>
      </c>
    </row>
    <row r="3765" spans="38:40" x14ac:dyDescent="0.3">
      <c r="AL3765">
        <v>0</v>
      </c>
      <c r="AM3765" t="s">
        <v>649</v>
      </c>
      <c r="AN3765" t="s">
        <v>649</v>
      </c>
    </row>
    <row r="3766" spans="38:40" x14ac:dyDescent="0.3">
      <c r="AL3766">
        <v>0</v>
      </c>
      <c r="AM3766" t="s">
        <v>649</v>
      </c>
      <c r="AN3766" t="s">
        <v>649</v>
      </c>
    </row>
    <row r="3767" spans="38:40" x14ac:dyDescent="0.3">
      <c r="AL3767">
        <v>0</v>
      </c>
      <c r="AM3767" t="s">
        <v>649</v>
      </c>
      <c r="AN3767" t="s">
        <v>649</v>
      </c>
    </row>
    <row r="3768" spans="38:40" x14ac:dyDescent="0.3">
      <c r="AL3768">
        <v>0</v>
      </c>
      <c r="AM3768" t="s">
        <v>649</v>
      </c>
      <c r="AN3768" t="s">
        <v>649</v>
      </c>
    </row>
    <row r="3769" spans="38:40" x14ac:dyDescent="0.3">
      <c r="AL3769">
        <v>0</v>
      </c>
      <c r="AM3769" t="s">
        <v>649</v>
      </c>
      <c r="AN3769" t="s">
        <v>649</v>
      </c>
    </row>
    <row r="3770" spans="38:40" x14ac:dyDescent="0.3">
      <c r="AL3770">
        <v>0</v>
      </c>
      <c r="AM3770" t="s">
        <v>649</v>
      </c>
      <c r="AN3770" t="s">
        <v>649</v>
      </c>
    </row>
    <row r="3771" spans="38:40" x14ac:dyDescent="0.3">
      <c r="AL3771">
        <v>0</v>
      </c>
      <c r="AM3771" t="s">
        <v>649</v>
      </c>
      <c r="AN3771" t="s">
        <v>649</v>
      </c>
    </row>
    <row r="3772" spans="38:40" x14ac:dyDescent="0.3">
      <c r="AL3772">
        <v>0</v>
      </c>
      <c r="AM3772" t="s">
        <v>649</v>
      </c>
      <c r="AN3772" t="s">
        <v>649</v>
      </c>
    </row>
    <row r="3773" spans="38:40" x14ac:dyDescent="0.3">
      <c r="AL3773">
        <v>0</v>
      </c>
      <c r="AM3773" t="s">
        <v>649</v>
      </c>
      <c r="AN3773" t="s">
        <v>649</v>
      </c>
    </row>
    <row r="3774" spans="38:40" x14ac:dyDescent="0.3">
      <c r="AL3774">
        <v>0</v>
      </c>
      <c r="AM3774" t="s">
        <v>649</v>
      </c>
      <c r="AN3774" t="s">
        <v>649</v>
      </c>
    </row>
    <row r="3775" spans="38:40" x14ac:dyDescent="0.3">
      <c r="AL3775">
        <v>0</v>
      </c>
      <c r="AM3775" t="s">
        <v>649</v>
      </c>
      <c r="AN3775" t="s">
        <v>649</v>
      </c>
    </row>
    <row r="3776" spans="38:40" x14ac:dyDescent="0.3">
      <c r="AL3776">
        <v>0</v>
      </c>
      <c r="AM3776" t="s">
        <v>649</v>
      </c>
      <c r="AN3776" t="s">
        <v>649</v>
      </c>
    </row>
    <row r="3777" spans="38:40" x14ac:dyDescent="0.3">
      <c r="AL3777">
        <v>0</v>
      </c>
      <c r="AM3777" t="s">
        <v>649</v>
      </c>
      <c r="AN3777" t="s">
        <v>649</v>
      </c>
    </row>
    <row r="3778" spans="38:40" x14ac:dyDescent="0.3">
      <c r="AL3778">
        <v>0</v>
      </c>
      <c r="AM3778" t="s">
        <v>649</v>
      </c>
      <c r="AN3778" t="s">
        <v>649</v>
      </c>
    </row>
    <row r="3779" spans="38:40" x14ac:dyDescent="0.3">
      <c r="AL3779">
        <v>0</v>
      </c>
      <c r="AM3779" t="s">
        <v>649</v>
      </c>
      <c r="AN3779" t="s">
        <v>649</v>
      </c>
    </row>
    <row r="3780" spans="38:40" x14ac:dyDescent="0.3">
      <c r="AL3780">
        <v>0</v>
      </c>
      <c r="AM3780" t="s">
        <v>649</v>
      </c>
      <c r="AN3780" t="s">
        <v>649</v>
      </c>
    </row>
    <row r="3781" spans="38:40" x14ac:dyDescent="0.3">
      <c r="AL3781">
        <v>0</v>
      </c>
      <c r="AM3781" t="s">
        <v>649</v>
      </c>
      <c r="AN3781" t="s">
        <v>649</v>
      </c>
    </row>
    <row r="3782" spans="38:40" x14ac:dyDescent="0.3">
      <c r="AL3782">
        <v>0</v>
      </c>
      <c r="AM3782" t="s">
        <v>649</v>
      </c>
      <c r="AN3782" t="s">
        <v>649</v>
      </c>
    </row>
    <row r="3783" spans="38:40" x14ac:dyDescent="0.3">
      <c r="AL3783">
        <v>0</v>
      </c>
      <c r="AM3783" t="s">
        <v>649</v>
      </c>
      <c r="AN3783" t="s">
        <v>649</v>
      </c>
    </row>
    <row r="3784" spans="38:40" x14ac:dyDescent="0.3">
      <c r="AL3784">
        <v>0</v>
      </c>
      <c r="AM3784" t="s">
        <v>649</v>
      </c>
      <c r="AN3784" t="s">
        <v>649</v>
      </c>
    </row>
    <row r="3785" spans="38:40" x14ac:dyDescent="0.3">
      <c r="AL3785">
        <v>0</v>
      </c>
      <c r="AM3785" t="s">
        <v>649</v>
      </c>
      <c r="AN3785" t="s">
        <v>649</v>
      </c>
    </row>
    <row r="3786" spans="38:40" x14ac:dyDescent="0.3">
      <c r="AL3786">
        <v>0</v>
      </c>
      <c r="AM3786" t="s">
        <v>649</v>
      </c>
      <c r="AN3786" t="s">
        <v>649</v>
      </c>
    </row>
    <row r="3787" spans="38:40" x14ac:dyDescent="0.3">
      <c r="AL3787">
        <v>0</v>
      </c>
      <c r="AM3787" t="s">
        <v>649</v>
      </c>
      <c r="AN3787" t="s">
        <v>649</v>
      </c>
    </row>
    <row r="3788" spans="38:40" x14ac:dyDescent="0.3">
      <c r="AL3788">
        <v>0</v>
      </c>
      <c r="AM3788" t="s">
        <v>649</v>
      </c>
      <c r="AN3788" t="s">
        <v>649</v>
      </c>
    </row>
    <row r="3789" spans="38:40" x14ac:dyDescent="0.3">
      <c r="AL3789">
        <v>0</v>
      </c>
      <c r="AM3789" t="s">
        <v>649</v>
      </c>
      <c r="AN3789" t="s">
        <v>649</v>
      </c>
    </row>
    <row r="3790" spans="38:40" x14ac:dyDescent="0.3">
      <c r="AL3790">
        <v>0</v>
      </c>
      <c r="AM3790" t="s">
        <v>649</v>
      </c>
      <c r="AN3790" t="s">
        <v>649</v>
      </c>
    </row>
    <row r="3791" spans="38:40" x14ac:dyDescent="0.3">
      <c r="AL3791">
        <v>0</v>
      </c>
      <c r="AM3791" t="s">
        <v>649</v>
      </c>
      <c r="AN3791" t="s">
        <v>649</v>
      </c>
    </row>
    <row r="3792" spans="38:40" x14ac:dyDescent="0.3">
      <c r="AL3792">
        <v>0</v>
      </c>
      <c r="AM3792" t="s">
        <v>649</v>
      </c>
      <c r="AN3792" t="s">
        <v>649</v>
      </c>
    </row>
    <row r="3793" spans="38:40" x14ac:dyDescent="0.3">
      <c r="AL3793">
        <v>0</v>
      </c>
      <c r="AM3793" t="s">
        <v>649</v>
      </c>
      <c r="AN3793" t="s">
        <v>649</v>
      </c>
    </row>
    <row r="3794" spans="38:40" x14ac:dyDescent="0.3">
      <c r="AL3794">
        <v>0</v>
      </c>
      <c r="AM3794" t="s">
        <v>649</v>
      </c>
      <c r="AN3794" t="s">
        <v>649</v>
      </c>
    </row>
    <row r="3795" spans="38:40" x14ac:dyDescent="0.3">
      <c r="AL3795">
        <v>0</v>
      </c>
      <c r="AM3795" t="s">
        <v>649</v>
      </c>
      <c r="AN3795" t="s">
        <v>649</v>
      </c>
    </row>
    <row r="3796" spans="38:40" x14ac:dyDescent="0.3">
      <c r="AL3796">
        <v>0</v>
      </c>
      <c r="AM3796" t="s">
        <v>649</v>
      </c>
      <c r="AN3796" t="s">
        <v>649</v>
      </c>
    </row>
    <row r="3797" spans="38:40" x14ac:dyDescent="0.3">
      <c r="AL3797">
        <v>0</v>
      </c>
      <c r="AM3797" t="s">
        <v>649</v>
      </c>
      <c r="AN3797" t="s">
        <v>649</v>
      </c>
    </row>
    <row r="3798" spans="38:40" x14ac:dyDescent="0.3">
      <c r="AL3798">
        <v>0</v>
      </c>
      <c r="AM3798" t="s">
        <v>649</v>
      </c>
      <c r="AN3798" t="s">
        <v>649</v>
      </c>
    </row>
    <row r="3799" spans="38:40" x14ac:dyDescent="0.3">
      <c r="AL3799">
        <v>0</v>
      </c>
      <c r="AM3799" t="s">
        <v>649</v>
      </c>
      <c r="AN3799" t="s">
        <v>649</v>
      </c>
    </row>
    <row r="3800" spans="38:40" x14ac:dyDescent="0.3">
      <c r="AL3800">
        <v>0</v>
      </c>
      <c r="AM3800" t="s">
        <v>649</v>
      </c>
      <c r="AN3800" t="s">
        <v>649</v>
      </c>
    </row>
    <row r="3801" spans="38:40" x14ac:dyDescent="0.3">
      <c r="AL3801">
        <v>0</v>
      </c>
      <c r="AM3801" t="s">
        <v>649</v>
      </c>
      <c r="AN3801" t="s">
        <v>649</v>
      </c>
    </row>
    <row r="3802" spans="38:40" x14ac:dyDescent="0.3">
      <c r="AL3802">
        <v>0</v>
      </c>
      <c r="AM3802" t="s">
        <v>649</v>
      </c>
      <c r="AN3802" t="s">
        <v>649</v>
      </c>
    </row>
    <row r="3803" spans="38:40" x14ac:dyDescent="0.3">
      <c r="AL3803">
        <v>0</v>
      </c>
      <c r="AM3803" t="s">
        <v>649</v>
      </c>
      <c r="AN3803" t="s">
        <v>649</v>
      </c>
    </row>
    <row r="3804" spans="38:40" x14ac:dyDescent="0.3">
      <c r="AL3804">
        <v>0</v>
      </c>
      <c r="AM3804" t="s">
        <v>649</v>
      </c>
      <c r="AN3804" t="s">
        <v>649</v>
      </c>
    </row>
    <row r="3805" spans="38:40" x14ac:dyDescent="0.3">
      <c r="AL3805">
        <v>0</v>
      </c>
      <c r="AM3805" t="s">
        <v>649</v>
      </c>
      <c r="AN3805" t="s">
        <v>649</v>
      </c>
    </row>
    <row r="3806" spans="38:40" x14ac:dyDescent="0.3">
      <c r="AL3806">
        <v>0</v>
      </c>
      <c r="AM3806" t="s">
        <v>649</v>
      </c>
      <c r="AN3806" t="s">
        <v>649</v>
      </c>
    </row>
    <row r="3807" spans="38:40" x14ac:dyDescent="0.3">
      <c r="AL3807">
        <v>0</v>
      </c>
      <c r="AM3807" t="s">
        <v>649</v>
      </c>
      <c r="AN3807" t="s">
        <v>649</v>
      </c>
    </row>
    <row r="3808" spans="38:40" x14ac:dyDescent="0.3">
      <c r="AL3808">
        <v>0</v>
      </c>
      <c r="AM3808" t="s">
        <v>649</v>
      </c>
      <c r="AN3808" t="s">
        <v>649</v>
      </c>
    </row>
    <row r="3809" spans="38:40" x14ac:dyDescent="0.3">
      <c r="AL3809">
        <v>0</v>
      </c>
      <c r="AM3809" t="s">
        <v>649</v>
      </c>
      <c r="AN3809" t="s">
        <v>649</v>
      </c>
    </row>
    <row r="3810" spans="38:40" x14ac:dyDescent="0.3">
      <c r="AL3810">
        <v>0</v>
      </c>
      <c r="AM3810" t="s">
        <v>649</v>
      </c>
      <c r="AN3810" t="s">
        <v>649</v>
      </c>
    </row>
    <row r="3811" spans="38:40" x14ac:dyDescent="0.3">
      <c r="AL3811">
        <v>0</v>
      </c>
      <c r="AM3811" t="s">
        <v>649</v>
      </c>
      <c r="AN3811" t="s">
        <v>649</v>
      </c>
    </row>
    <row r="3812" spans="38:40" x14ac:dyDescent="0.3">
      <c r="AL3812">
        <v>0</v>
      </c>
      <c r="AM3812" t="s">
        <v>649</v>
      </c>
      <c r="AN3812" t="s">
        <v>649</v>
      </c>
    </row>
    <row r="3813" spans="38:40" x14ac:dyDescent="0.3">
      <c r="AL3813">
        <v>0</v>
      </c>
      <c r="AM3813" t="s">
        <v>649</v>
      </c>
      <c r="AN3813" t="s">
        <v>649</v>
      </c>
    </row>
    <row r="3814" spans="38:40" x14ac:dyDescent="0.3">
      <c r="AL3814">
        <v>0</v>
      </c>
      <c r="AM3814" t="s">
        <v>649</v>
      </c>
      <c r="AN3814" t="s">
        <v>649</v>
      </c>
    </row>
    <row r="3815" spans="38:40" x14ac:dyDescent="0.3">
      <c r="AL3815">
        <v>0</v>
      </c>
      <c r="AM3815" t="s">
        <v>649</v>
      </c>
      <c r="AN3815" t="s">
        <v>649</v>
      </c>
    </row>
    <row r="3816" spans="38:40" x14ac:dyDescent="0.3">
      <c r="AL3816">
        <v>0</v>
      </c>
      <c r="AM3816" t="s">
        <v>649</v>
      </c>
      <c r="AN3816" t="s">
        <v>649</v>
      </c>
    </row>
    <row r="3817" spans="38:40" x14ac:dyDescent="0.3">
      <c r="AL3817">
        <v>0</v>
      </c>
      <c r="AM3817" t="s">
        <v>649</v>
      </c>
      <c r="AN3817" t="s">
        <v>649</v>
      </c>
    </row>
    <row r="3818" spans="38:40" x14ac:dyDescent="0.3">
      <c r="AL3818">
        <v>0</v>
      </c>
      <c r="AM3818" t="s">
        <v>649</v>
      </c>
      <c r="AN3818" t="s">
        <v>649</v>
      </c>
    </row>
    <row r="3819" spans="38:40" x14ac:dyDescent="0.3">
      <c r="AL3819">
        <v>0</v>
      </c>
      <c r="AM3819" t="s">
        <v>649</v>
      </c>
      <c r="AN3819" t="s">
        <v>649</v>
      </c>
    </row>
    <row r="3820" spans="38:40" x14ac:dyDescent="0.3">
      <c r="AL3820">
        <v>0</v>
      </c>
      <c r="AM3820" t="s">
        <v>649</v>
      </c>
      <c r="AN3820" t="s">
        <v>649</v>
      </c>
    </row>
    <row r="3821" spans="38:40" x14ac:dyDescent="0.3">
      <c r="AL3821">
        <v>0</v>
      </c>
      <c r="AM3821" t="s">
        <v>649</v>
      </c>
      <c r="AN3821" t="s">
        <v>649</v>
      </c>
    </row>
    <row r="3822" spans="38:40" x14ac:dyDescent="0.3">
      <c r="AL3822">
        <v>0</v>
      </c>
      <c r="AM3822" t="s">
        <v>649</v>
      </c>
      <c r="AN3822" t="s">
        <v>649</v>
      </c>
    </row>
    <row r="3823" spans="38:40" x14ac:dyDescent="0.3">
      <c r="AL3823">
        <v>0</v>
      </c>
      <c r="AM3823" t="s">
        <v>649</v>
      </c>
      <c r="AN3823" t="s">
        <v>649</v>
      </c>
    </row>
    <row r="3824" spans="38:40" x14ac:dyDescent="0.3">
      <c r="AL3824">
        <v>0</v>
      </c>
      <c r="AM3824" t="s">
        <v>649</v>
      </c>
      <c r="AN3824" t="s">
        <v>649</v>
      </c>
    </row>
    <row r="3825" spans="38:40" x14ac:dyDescent="0.3">
      <c r="AL3825">
        <v>0</v>
      </c>
      <c r="AM3825" t="s">
        <v>649</v>
      </c>
      <c r="AN3825" t="s">
        <v>649</v>
      </c>
    </row>
    <row r="3826" spans="38:40" x14ac:dyDescent="0.3">
      <c r="AL3826">
        <v>0</v>
      </c>
      <c r="AM3826" t="s">
        <v>649</v>
      </c>
      <c r="AN3826" t="s">
        <v>649</v>
      </c>
    </row>
    <row r="3827" spans="38:40" x14ac:dyDescent="0.3">
      <c r="AL3827">
        <v>0</v>
      </c>
      <c r="AM3827" t="s">
        <v>649</v>
      </c>
      <c r="AN3827" t="s">
        <v>649</v>
      </c>
    </row>
    <row r="3828" spans="38:40" x14ac:dyDescent="0.3">
      <c r="AL3828">
        <v>0</v>
      </c>
      <c r="AM3828" t="s">
        <v>649</v>
      </c>
      <c r="AN3828" t="s">
        <v>649</v>
      </c>
    </row>
    <row r="3829" spans="38:40" x14ac:dyDescent="0.3">
      <c r="AL3829">
        <v>0</v>
      </c>
      <c r="AM3829" t="s">
        <v>649</v>
      </c>
      <c r="AN3829" t="s">
        <v>649</v>
      </c>
    </row>
    <row r="3830" spans="38:40" x14ac:dyDescent="0.3">
      <c r="AL3830">
        <v>0</v>
      </c>
      <c r="AM3830" t="s">
        <v>649</v>
      </c>
      <c r="AN3830" t="s">
        <v>649</v>
      </c>
    </row>
    <row r="3831" spans="38:40" x14ac:dyDescent="0.3">
      <c r="AL3831">
        <v>0</v>
      </c>
      <c r="AM3831" t="s">
        <v>649</v>
      </c>
      <c r="AN3831" t="s">
        <v>649</v>
      </c>
    </row>
    <row r="3832" spans="38:40" x14ac:dyDescent="0.3">
      <c r="AL3832">
        <v>0</v>
      </c>
      <c r="AM3832" t="s">
        <v>649</v>
      </c>
      <c r="AN3832" t="s">
        <v>649</v>
      </c>
    </row>
    <row r="3833" spans="38:40" x14ac:dyDescent="0.3">
      <c r="AL3833">
        <v>0</v>
      </c>
      <c r="AM3833" t="s">
        <v>649</v>
      </c>
      <c r="AN3833" t="s">
        <v>649</v>
      </c>
    </row>
    <row r="3834" spans="38:40" x14ac:dyDescent="0.3">
      <c r="AL3834">
        <v>0</v>
      </c>
      <c r="AM3834" t="s">
        <v>649</v>
      </c>
      <c r="AN3834" t="s">
        <v>649</v>
      </c>
    </row>
    <row r="3835" spans="38:40" x14ac:dyDescent="0.3">
      <c r="AL3835">
        <v>0</v>
      </c>
      <c r="AM3835" t="s">
        <v>649</v>
      </c>
      <c r="AN3835" t="s">
        <v>649</v>
      </c>
    </row>
    <row r="3836" spans="38:40" x14ac:dyDescent="0.3">
      <c r="AL3836">
        <v>0</v>
      </c>
      <c r="AM3836" t="s">
        <v>649</v>
      </c>
      <c r="AN3836" t="s">
        <v>649</v>
      </c>
    </row>
    <row r="3837" spans="38:40" x14ac:dyDescent="0.3">
      <c r="AL3837">
        <v>0</v>
      </c>
      <c r="AM3837" t="s">
        <v>649</v>
      </c>
      <c r="AN3837" t="s">
        <v>649</v>
      </c>
    </row>
    <row r="3838" spans="38:40" x14ac:dyDescent="0.3">
      <c r="AL3838">
        <v>0</v>
      </c>
      <c r="AM3838" t="s">
        <v>649</v>
      </c>
      <c r="AN3838" t="s">
        <v>649</v>
      </c>
    </row>
    <row r="3839" spans="38:40" x14ac:dyDescent="0.3">
      <c r="AL3839">
        <v>0</v>
      </c>
      <c r="AM3839" t="s">
        <v>649</v>
      </c>
      <c r="AN3839" t="s">
        <v>649</v>
      </c>
    </row>
    <row r="3840" spans="38:40" x14ac:dyDescent="0.3">
      <c r="AL3840">
        <v>0</v>
      </c>
      <c r="AM3840" t="s">
        <v>649</v>
      </c>
      <c r="AN3840" t="s">
        <v>649</v>
      </c>
    </row>
    <row r="3841" spans="38:40" x14ac:dyDescent="0.3">
      <c r="AL3841">
        <v>0</v>
      </c>
      <c r="AM3841" t="s">
        <v>649</v>
      </c>
      <c r="AN3841" t="s">
        <v>649</v>
      </c>
    </row>
    <row r="3842" spans="38:40" x14ac:dyDescent="0.3">
      <c r="AL3842">
        <v>0</v>
      </c>
      <c r="AM3842" t="s">
        <v>649</v>
      </c>
      <c r="AN3842" t="s">
        <v>649</v>
      </c>
    </row>
    <row r="3843" spans="38:40" x14ac:dyDescent="0.3">
      <c r="AL3843">
        <v>0</v>
      </c>
      <c r="AM3843" t="s">
        <v>649</v>
      </c>
      <c r="AN3843" t="s">
        <v>649</v>
      </c>
    </row>
    <row r="3844" spans="38:40" x14ac:dyDescent="0.3">
      <c r="AL3844">
        <v>0</v>
      </c>
      <c r="AM3844" t="s">
        <v>649</v>
      </c>
      <c r="AN3844" t="s">
        <v>649</v>
      </c>
    </row>
    <row r="3845" spans="38:40" x14ac:dyDescent="0.3">
      <c r="AL3845">
        <v>0</v>
      </c>
      <c r="AM3845" t="s">
        <v>649</v>
      </c>
      <c r="AN3845" t="s">
        <v>649</v>
      </c>
    </row>
    <row r="3846" spans="38:40" x14ac:dyDescent="0.3">
      <c r="AL3846">
        <v>0</v>
      </c>
      <c r="AM3846" t="s">
        <v>649</v>
      </c>
      <c r="AN3846" t="s">
        <v>649</v>
      </c>
    </row>
    <row r="3847" spans="38:40" x14ac:dyDescent="0.3">
      <c r="AL3847">
        <v>0</v>
      </c>
      <c r="AM3847" t="s">
        <v>649</v>
      </c>
      <c r="AN3847" t="s">
        <v>649</v>
      </c>
    </row>
    <row r="3848" spans="38:40" x14ac:dyDescent="0.3">
      <c r="AL3848">
        <v>0</v>
      </c>
      <c r="AM3848" t="s">
        <v>649</v>
      </c>
      <c r="AN3848" t="s">
        <v>649</v>
      </c>
    </row>
    <row r="3849" spans="38:40" x14ac:dyDescent="0.3">
      <c r="AL3849">
        <v>0</v>
      </c>
      <c r="AM3849" t="s">
        <v>649</v>
      </c>
      <c r="AN3849" t="s">
        <v>649</v>
      </c>
    </row>
    <row r="3850" spans="38:40" x14ac:dyDescent="0.3">
      <c r="AL3850">
        <v>0</v>
      </c>
      <c r="AM3850" t="s">
        <v>649</v>
      </c>
      <c r="AN3850" t="s">
        <v>649</v>
      </c>
    </row>
    <row r="3851" spans="38:40" x14ac:dyDescent="0.3">
      <c r="AL3851">
        <v>0</v>
      </c>
      <c r="AM3851" t="s">
        <v>649</v>
      </c>
      <c r="AN3851" t="s">
        <v>649</v>
      </c>
    </row>
    <row r="3852" spans="38:40" x14ac:dyDescent="0.3">
      <c r="AL3852">
        <v>0</v>
      </c>
      <c r="AM3852" t="s">
        <v>649</v>
      </c>
      <c r="AN3852" t="s">
        <v>649</v>
      </c>
    </row>
    <row r="3853" spans="38:40" x14ac:dyDescent="0.3">
      <c r="AL3853">
        <v>0</v>
      </c>
      <c r="AM3853" t="s">
        <v>649</v>
      </c>
      <c r="AN3853" t="s">
        <v>649</v>
      </c>
    </row>
    <row r="3854" spans="38:40" x14ac:dyDescent="0.3">
      <c r="AL3854">
        <v>0</v>
      </c>
      <c r="AM3854" t="s">
        <v>649</v>
      </c>
      <c r="AN3854" t="s">
        <v>649</v>
      </c>
    </row>
    <row r="3855" spans="38:40" x14ac:dyDescent="0.3">
      <c r="AL3855">
        <v>0</v>
      </c>
      <c r="AM3855" t="s">
        <v>649</v>
      </c>
      <c r="AN3855" t="s">
        <v>649</v>
      </c>
    </row>
    <row r="3856" spans="38:40" x14ac:dyDescent="0.3">
      <c r="AL3856">
        <v>0</v>
      </c>
      <c r="AM3856" t="s">
        <v>649</v>
      </c>
      <c r="AN3856" t="s">
        <v>649</v>
      </c>
    </row>
    <row r="3857" spans="38:40" x14ac:dyDescent="0.3">
      <c r="AL3857">
        <v>0</v>
      </c>
      <c r="AM3857" t="s">
        <v>649</v>
      </c>
      <c r="AN3857" t="s">
        <v>649</v>
      </c>
    </row>
    <row r="3858" spans="38:40" x14ac:dyDescent="0.3">
      <c r="AL3858">
        <v>0</v>
      </c>
      <c r="AM3858" t="s">
        <v>649</v>
      </c>
      <c r="AN3858" t="s">
        <v>649</v>
      </c>
    </row>
    <row r="3859" spans="38:40" x14ac:dyDescent="0.3">
      <c r="AL3859">
        <v>0</v>
      </c>
      <c r="AM3859" t="s">
        <v>649</v>
      </c>
      <c r="AN3859" t="s">
        <v>649</v>
      </c>
    </row>
    <row r="3860" spans="38:40" x14ac:dyDescent="0.3">
      <c r="AL3860">
        <v>0</v>
      </c>
      <c r="AM3860" t="s">
        <v>649</v>
      </c>
      <c r="AN3860" t="s">
        <v>649</v>
      </c>
    </row>
    <row r="3861" spans="38:40" x14ac:dyDescent="0.3">
      <c r="AL3861">
        <v>0</v>
      </c>
      <c r="AM3861" t="s">
        <v>649</v>
      </c>
      <c r="AN3861" t="s">
        <v>649</v>
      </c>
    </row>
    <row r="3862" spans="38:40" x14ac:dyDescent="0.3">
      <c r="AL3862">
        <v>0</v>
      </c>
      <c r="AM3862" t="s">
        <v>649</v>
      </c>
      <c r="AN3862" t="s">
        <v>649</v>
      </c>
    </row>
    <row r="3863" spans="38:40" x14ac:dyDescent="0.3">
      <c r="AL3863">
        <v>0</v>
      </c>
      <c r="AM3863" t="s">
        <v>649</v>
      </c>
      <c r="AN3863" t="s">
        <v>649</v>
      </c>
    </row>
    <row r="3864" spans="38:40" x14ac:dyDescent="0.3">
      <c r="AL3864">
        <v>0</v>
      </c>
      <c r="AM3864" t="s">
        <v>649</v>
      </c>
      <c r="AN3864" t="s">
        <v>649</v>
      </c>
    </row>
    <row r="3865" spans="38:40" x14ac:dyDescent="0.3">
      <c r="AL3865">
        <v>0</v>
      </c>
      <c r="AM3865" t="s">
        <v>649</v>
      </c>
      <c r="AN3865" t="s">
        <v>649</v>
      </c>
    </row>
    <row r="3866" spans="38:40" x14ac:dyDescent="0.3">
      <c r="AL3866">
        <v>0</v>
      </c>
      <c r="AM3866" t="s">
        <v>649</v>
      </c>
      <c r="AN3866" t="s">
        <v>649</v>
      </c>
    </row>
    <row r="3867" spans="38:40" x14ac:dyDescent="0.3">
      <c r="AL3867">
        <v>0</v>
      </c>
      <c r="AM3867" t="s">
        <v>649</v>
      </c>
      <c r="AN3867" t="s">
        <v>649</v>
      </c>
    </row>
    <row r="3868" spans="38:40" x14ac:dyDescent="0.3">
      <c r="AL3868">
        <v>0</v>
      </c>
      <c r="AM3868" t="s">
        <v>649</v>
      </c>
      <c r="AN3868" t="s">
        <v>649</v>
      </c>
    </row>
    <row r="3869" spans="38:40" x14ac:dyDescent="0.3">
      <c r="AL3869">
        <v>0</v>
      </c>
      <c r="AM3869" t="s">
        <v>649</v>
      </c>
      <c r="AN3869" t="s">
        <v>649</v>
      </c>
    </row>
    <row r="3870" spans="38:40" x14ac:dyDescent="0.3">
      <c r="AL3870">
        <v>0</v>
      </c>
      <c r="AM3870" t="s">
        <v>649</v>
      </c>
      <c r="AN3870" t="s">
        <v>649</v>
      </c>
    </row>
    <row r="3871" spans="38:40" x14ac:dyDescent="0.3">
      <c r="AL3871">
        <v>0</v>
      </c>
      <c r="AM3871" t="s">
        <v>649</v>
      </c>
      <c r="AN3871" t="s">
        <v>649</v>
      </c>
    </row>
    <row r="3872" spans="38:40" x14ac:dyDescent="0.3">
      <c r="AL3872">
        <v>0</v>
      </c>
      <c r="AM3872" t="s">
        <v>649</v>
      </c>
      <c r="AN3872" t="s">
        <v>649</v>
      </c>
    </row>
    <row r="3873" spans="38:40" x14ac:dyDescent="0.3">
      <c r="AL3873">
        <v>0</v>
      </c>
      <c r="AM3873" t="s">
        <v>649</v>
      </c>
      <c r="AN3873" t="s">
        <v>649</v>
      </c>
    </row>
    <row r="3874" spans="38:40" x14ac:dyDescent="0.3">
      <c r="AL3874">
        <v>0</v>
      </c>
      <c r="AM3874" t="s">
        <v>649</v>
      </c>
      <c r="AN3874" t="s">
        <v>649</v>
      </c>
    </row>
    <row r="3875" spans="38:40" x14ac:dyDescent="0.3">
      <c r="AL3875">
        <v>0</v>
      </c>
      <c r="AM3875" t="s">
        <v>649</v>
      </c>
      <c r="AN3875" t="s">
        <v>649</v>
      </c>
    </row>
    <row r="3876" spans="38:40" x14ac:dyDescent="0.3">
      <c r="AL3876">
        <v>0</v>
      </c>
      <c r="AM3876" t="s">
        <v>649</v>
      </c>
      <c r="AN3876" t="s">
        <v>649</v>
      </c>
    </row>
    <row r="3877" spans="38:40" x14ac:dyDescent="0.3">
      <c r="AL3877">
        <v>0</v>
      </c>
      <c r="AM3877" t="s">
        <v>649</v>
      </c>
      <c r="AN3877" t="s">
        <v>649</v>
      </c>
    </row>
    <row r="3878" spans="38:40" x14ac:dyDescent="0.3">
      <c r="AL3878">
        <v>0</v>
      </c>
      <c r="AM3878" t="s">
        <v>649</v>
      </c>
      <c r="AN3878" t="s">
        <v>649</v>
      </c>
    </row>
    <row r="3879" spans="38:40" x14ac:dyDescent="0.3">
      <c r="AL3879">
        <v>0</v>
      </c>
      <c r="AM3879" t="s">
        <v>649</v>
      </c>
      <c r="AN3879" t="s">
        <v>649</v>
      </c>
    </row>
    <row r="3880" spans="38:40" x14ac:dyDescent="0.3">
      <c r="AL3880">
        <v>0</v>
      </c>
      <c r="AM3880" t="s">
        <v>649</v>
      </c>
      <c r="AN3880" t="s">
        <v>649</v>
      </c>
    </row>
    <row r="3881" spans="38:40" x14ac:dyDescent="0.3">
      <c r="AL3881">
        <v>0</v>
      </c>
      <c r="AM3881" t="s">
        <v>649</v>
      </c>
      <c r="AN3881" t="s">
        <v>649</v>
      </c>
    </row>
    <row r="3882" spans="38:40" x14ac:dyDescent="0.3">
      <c r="AL3882">
        <v>0</v>
      </c>
      <c r="AM3882" t="s">
        <v>649</v>
      </c>
      <c r="AN3882" t="s">
        <v>649</v>
      </c>
    </row>
    <row r="3883" spans="38:40" x14ac:dyDescent="0.3">
      <c r="AL3883">
        <v>0</v>
      </c>
      <c r="AM3883" t="s">
        <v>649</v>
      </c>
      <c r="AN3883" t="s">
        <v>649</v>
      </c>
    </row>
    <row r="3884" spans="38:40" x14ac:dyDescent="0.3">
      <c r="AL3884">
        <v>0</v>
      </c>
      <c r="AM3884" t="s">
        <v>649</v>
      </c>
      <c r="AN3884" t="s">
        <v>649</v>
      </c>
    </row>
    <row r="3885" spans="38:40" x14ac:dyDescent="0.3">
      <c r="AL3885">
        <v>0</v>
      </c>
      <c r="AM3885" t="s">
        <v>649</v>
      </c>
      <c r="AN3885" t="s">
        <v>649</v>
      </c>
    </row>
    <row r="3886" spans="38:40" x14ac:dyDescent="0.3">
      <c r="AL3886">
        <v>0</v>
      </c>
      <c r="AM3886" t="s">
        <v>649</v>
      </c>
      <c r="AN3886" t="s">
        <v>649</v>
      </c>
    </row>
    <row r="3887" spans="38:40" x14ac:dyDescent="0.3">
      <c r="AL3887">
        <v>0</v>
      </c>
      <c r="AM3887" t="s">
        <v>649</v>
      </c>
      <c r="AN3887" t="s">
        <v>649</v>
      </c>
    </row>
    <row r="3888" spans="38:40" x14ac:dyDescent="0.3">
      <c r="AL3888">
        <v>0</v>
      </c>
      <c r="AM3888" t="s">
        <v>649</v>
      </c>
      <c r="AN3888" t="s">
        <v>649</v>
      </c>
    </row>
    <row r="3889" spans="38:40" x14ac:dyDescent="0.3">
      <c r="AL3889">
        <v>0</v>
      </c>
      <c r="AM3889" t="s">
        <v>649</v>
      </c>
      <c r="AN3889" t="s">
        <v>649</v>
      </c>
    </row>
    <row r="3890" spans="38:40" x14ac:dyDescent="0.3">
      <c r="AL3890">
        <v>0</v>
      </c>
      <c r="AM3890" t="s">
        <v>649</v>
      </c>
      <c r="AN3890" t="s">
        <v>649</v>
      </c>
    </row>
    <row r="3891" spans="38:40" x14ac:dyDescent="0.3">
      <c r="AL3891">
        <v>0</v>
      </c>
      <c r="AM3891" t="s">
        <v>649</v>
      </c>
      <c r="AN3891" t="s">
        <v>649</v>
      </c>
    </row>
    <row r="3892" spans="38:40" x14ac:dyDescent="0.3">
      <c r="AL3892">
        <v>0</v>
      </c>
      <c r="AM3892" t="s">
        <v>649</v>
      </c>
      <c r="AN3892" t="s">
        <v>649</v>
      </c>
    </row>
    <row r="3893" spans="38:40" x14ac:dyDescent="0.3">
      <c r="AL3893">
        <v>0</v>
      </c>
      <c r="AM3893" t="s">
        <v>649</v>
      </c>
      <c r="AN3893" t="s">
        <v>649</v>
      </c>
    </row>
    <row r="3894" spans="38:40" x14ac:dyDescent="0.3">
      <c r="AL3894">
        <v>0</v>
      </c>
      <c r="AM3894" t="s">
        <v>649</v>
      </c>
      <c r="AN3894" t="s">
        <v>649</v>
      </c>
    </row>
    <row r="3895" spans="38:40" x14ac:dyDescent="0.3">
      <c r="AL3895">
        <v>0</v>
      </c>
      <c r="AM3895" t="s">
        <v>649</v>
      </c>
      <c r="AN3895" t="s">
        <v>649</v>
      </c>
    </row>
    <row r="3896" spans="38:40" x14ac:dyDescent="0.3">
      <c r="AL3896">
        <v>0</v>
      </c>
      <c r="AM3896" t="s">
        <v>649</v>
      </c>
      <c r="AN3896" t="s">
        <v>649</v>
      </c>
    </row>
    <row r="3897" spans="38:40" x14ac:dyDescent="0.3">
      <c r="AL3897">
        <v>0</v>
      </c>
      <c r="AM3897" t="s">
        <v>649</v>
      </c>
      <c r="AN3897" t="s">
        <v>649</v>
      </c>
    </row>
    <row r="3898" spans="38:40" x14ac:dyDescent="0.3">
      <c r="AL3898">
        <v>0</v>
      </c>
      <c r="AM3898" t="s">
        <v>649</v>
      </c>
      <c r="AN3898" t="s">
        <v>649</v>
      </c>
    </row>
    <row r="3899" spans="38:40" x14ac:dyDescent="0.3">
      <c r="AL3899">
        <v>0</v>
      </c>
      <c r="AM3899" t="s">
        <v>649</v>
      </c>
      <c r="AN3899" t="s">
        <v>649</v>
      </c>
    </row>
    <row r="3900" spans="38:40" x14ac:dyDescent="0.3">
      <c r="AL3900">
        <v>0</v>
      </c>
      <c r="AM3900" t="s">
        <v>649</v>
      </c>
      <c r="AN3900" t="s">
        <v>649</v>
      </c>
    </row>
    <row r="3901" spans="38:40" x14ac:dyDescent="0.3">
      <c r="AL3901">
        <v>0</v>
      </c>
      <c r="AM3901" t="s">
        <v>649</v>
      </c>
      <c r="AN3901" t="s">
        <v>649</v>
      </c>
    </row>
    <row r="3902" spans="38:40" x14ac:dyDescent="0.3">
      <c r="AL3902">
        <v>0</v>
      </c>
      <c r="AM3902" t="s">
        <v>649</v>
      </c>
      <c r="AN3902" t="s">
        <v>649</v>
      </c>
    </row>
    <row r="3903" spans="38:40" x14ac:dyDescent="0.3">
      <c r="AL3903">
        <v>0</v>
      </c>
      <c r="AM3903" t="s">
        <v>649</v>
      </c>
      <c r="AN3903" t="s">
        <v>649</v>
      </c>
    </row>
    <row r="3904" spans="38:40" x14ac:dyDescent="0.3">
      <c r="AL3904">
        <v>0</v>
      </c>
      <c r="AM3904" t="s">
        <v>649</v>
      </c>
      <c r="AN3904" t="s">
        <v>649</v>
      </c>
    </row>
    <row r="3905" spans="38:40" x14ac:dyDescent="0.3">
      <c r="AL3905">
        <v>0</v>
      </c>
      <c r="AM3905" t="s">
        <v>649</v>
      </c>
      <c r="AN3905" t="s">
        <v>649</v>
      </c>
    </row>
    <row r="3906" spans="38:40" x14ac:dyDescent="0.3">
      <c r="AL3906">
        <v>0</v>
      </c>
      <c r="AM3906" t="s">
        <v>649</v>
      </c>
      <c r="AN3906" t="s">
        <v>649</v>
      </c>
    </row>
    <row r="3907" spans="38:40" x14ac:dyDescent="0.3">
      <c r="AL3907">
        <v>0</v>
      </c>
      <c r="AM3907" t="s">
        <v>649</v>
      </c>
      <c r="AN3907" t="s">
        <v>649</v>
      </c>
    </row>
    <row r="3908" spans="38:40" x14ac:dyDescent="0.3">
      <c r="AL3908">
        <v>0</v>
      </c>
      <c r="AM3908" t="s">
        <v>649</v>
      </c>
      <c r="AN3908" t="s">
        <v>649</v>
      </c>
    </row>
    <row r="3909" spans="38:40" x14ac:dyDescent="0.3">
      <c r="AL3909">
        <v>0</v>
      </c>
      <c r="AM3909" t="s">
        <v>649</v>
      </c>
      <c r="AN3909" t="s">
        <v>649</v>
      </c>
    </row>
    <row r="3910" spans="38:40" x14ac:dyDescent="0.3">
      <c r="AL3910">
        <v>0</v>
      </c>
      <c r="AM3910" t="s">
        <v>649</v>
      </c>
      <c r="AN3910" t="s">
        <v>649</v>
      </c>
    </row>
    <row r="3911" spans="38:40" x14ac:dyDescent="0.3">
      <c r="AL3911">
        <v>0</v>
      </c>
      <c r="AM3911" t="s">
        <v>649</v>
      </c>
      <c r="AN3911" t="s">
        <v>649</v>
      </c>
    </row>
    <row r="3912" spans="38:40" x14ac:dyDescent="0.3">
      <c r="AL3912">
        <v>0</v>
      </c>
      <c r="AM3912" t="s">
        <v>649</v>
      </c>
      <c r="AN3912" t="s">
        <v>649</v>
      </c>
    </row>
    <row r="3913" spans="38:40" x14ac:dyDescent="0.3">
      <c r="AL3913">
        <v>0</v>
      </c>
      <c r="AM3913" t="s">
        <v>649</v>
      </c>
      <c r="AN3913" t="s">
        <v>649</v>
      </c>
    </row>
    <row r="3914" spans="38:40" x14ac:dyDescent="0.3">
      <c r="AL3914">
        <v>0</v>
      </c>
      <c r="AM3914" t="s">
        <v>649</v>
      </c>
      <c r="AN3914" t="s">
        <v>649</v>
      </c>
    </row>
    <row r="3915" spans="38:40" x14ac:dyDescent="0.3">
      <c r="AL3915">
        <v>0</v>
      </c>
      <c r="AM3915" t="s">
        <v>649</v>
      </c>
      <c r="AN3915" t="s">
        <v>649</v>
      </c>
    </row>
    <row r="3916" spans="38:40" x14ac:dyDescent="0.3">
      <c r="AL3916">
        <v>0</v>
      </c>
      <c r="AM3916" t="s">
        <v>649</v>
      </c>
      <c r="AN3916" t="s">
        <v>649</v>
      </c>
    </row>
    <row r="3917" spans="38:40" x14ac:dyDescent="0.3">
      <c r="AL3917">
        <v>0</v>
      </c>
      <c r="AM3917" t="s">
        <v>649</v>
      </c>
      <c r="AN3917" t="s">
        <v>649</v>
      </c>
    </row>
    <row r="3918" spans="38:40" x14ac:dyDescent="0.3">
      <c r="AL3918">
        <v>0</v>
      </c>
      <c r="AM3918" t="s">
        <v>649</v>
      </c>
      <c r="AN3918" t="s">
        <v>649</v>
      </c>
    </row>
    <row r="3919" spans="38:40" x14ac:dyDescent="0.3">
      <c r="AL3919">
        <v>0</v>
      </c>
      <c r="AM3919" t="s">
        <v>649</v>
      </c>
      <c r="AN3919" t="s">
        <v>649</v>
      </c>
    </row>
    <row r="3920" spans="38:40" x14ac:dyDescent="0.3">
      <c r="AL3920">
        <v>0</v>
      </c>
      <c r="AM3920" t="s">
        <v>649</v>
      </c>
      <c r="AN3920" t="s">
        <v>649</v>
      </c>
    </row>
    <row r="3921" spans="38:40" x14ac:dyDescent="0.3">
      <c r="AL3921">
        <v>0</v>
      </c>
      <c r="AM3921" t="s">
        <v>649</v>
      </c>
      <c r="AN3921" t="s">
        <v>649</v>
      </c>
    </row>
    <row r="3922" spans="38:40" x14ac:dyDescent="0.3">
      <c r="AL3922">
        <v>0</v>
      </c>
      <c r="AM3922" t="s">
        <v>649</v>
      </c>
      <c r="AN3922" t="s">
        <v>649</v>
      </c>
    </row>
    <row r="3923" spans="38:40" x14ac:dyDescent="0.3">
      <c r="AL3923">
        <v>0</v>
      </c>
      <c r="AM3923" t="s">
        <v>649</v>
      </c>
      <c r="AN3923" t="s">
        <v>649</v>
      </c>
    </row>
    <row r="3924" spans="38:40" x14ac:dyDescent="0.3">
      <c r="AL3924">
        <v>0</v>
      </c>
      <c r="AM3924" t="s">
        <v>649</v>
      </c>
      <c r="AN3924" t="s">
        <v>649</v>
      </c>
    </row>
    <row r="3925" spans="38:40" x14ac:dyDescent="0.3">
      <c r="AL3925">
        <v>0</v>
      </c>
      <c r="AM3925" t="s">
        <v>649</v>
      </c>
      <c r="AN3925" t="s">
        <v>649</v>
      </c>
    </row>
    <row r="3926" spans="38:40" x14ac:dyDescent="0.3">
      <c r="AL3926">
        <v>0</v>
      </c>
      <c r="AM3926" t="s">
        <v>649</v>
      </c>
      <c r="AN3926" t="s">
        <v>649</v>
      </c>
    </row>
    <row r="3927" spans="38:40" x14ac:dyDescent="0.3">
      <c r="AL3927">
        <v>0</v>
      </c>
      <c r="AM3927" t="s">
        <v>649</v>
      </c>
      <c r="AN3927" t="s">
        <v>649</v>
      </c>
    </row>
    <row r="3928" spans="38:40" x14ac:dyDescent="0.3">
      <c r="AL3928">
        <v>0</v>
      </c>
      <c r="AM3928" t="s">
        <v>649</v>
      </c>
      <c r="AN3928" t="s">
        <v>649</v>
      </c>
    </row>
    <row r="3929" spans="38:40" x14ac:dyDescent="0.3">
      <c r="AL3929">
        <v>0</v>
      </c>
      <c r="AM3929" t="s">
        <v>649</v>
      </c>
      <c r="AN3929" t="s">
        <v>649</v>
      </c>
    </row>
    <row r="3930" spans="38:40" x14ac:dyDescent="0.3">
      <c r="AL3930">
        <v>0</v>
      </c>
      <c r="AM3930" t="s">
        <v>649</v>
      </c>
      <c r="AN3930" t="s">
        <v>649</v>
      </c>
    </row>
    <row r="3931" spans="38:40" x14ac:dyDescent="0.3">
      <c r="AL3931">
        <v>0</v>
      </c>
      <c r="AM3931" t="s">
        <v>649</v>
      </c>
      <c r="AN3931" t="s">
        <v>649</v>
      </c>
    </row>
    <row r="3932" spans="38:40" x14ac:dyDescent="0.3">
      <c r="AL3932">
        <v>0</v>
      </c>
      <c r="AM3932" t="s">
        <v>649</v>
      </c>
      <c r="AN3932" t="s">
        <v>649</v>
      </c>
    </row>
    <row r="3933" spans="38:40" x14ac:dyDescent="0.3">
      <c r="AL3933">
        <v>0</v>
      </c>
      <c r="AM3933" t="s">
        <v>649</v>
      </c>
      <c r="AN3933" t="s">
        <v>649</v>
      </c>
    </row>
    <row r="3934" spans="38:40" x14ac:dyDescent="0.3">
      <c r="AL3934">
        <v>0</v>
      </c>
      <c r="AM3934" t="s">
        <v>649</v>
      </c>
      <c r="AN3934" t="s">
        <v>649</v>
      </c>
    </row>
    <row r="3935" spans="38:40" x14ac:dyDescent="0.3">
      <c r="AL3935">
        <v>0</v>
      </c>
      <c r="AM3935" t="s">
        <v>649</v>
      </c>
      <c r="AN3935" t="s">
        <v>649</v>
      </c>
    </row>
    <row r="3936" spans="38:40" x14ac:dyDescent="0.3">
      <c r="AL3936">
        <v>0</v>
      </c>
      <c r="AM3936" t="s">
        <v>649</v>
      </c>
      <c r="AN3936" t="s">
        <v>649</v>
      </c>
    </row>
    <row r="3937" spans="38:40" x14ac:dyDescent="0.3">
      <c r="AL3937">
        <v>0</v>
      </c>
      <c r="AM3937" t="s">
        <v>649</v>
      </c>
      <c r="AN3937" t="s">
        <v>649</v>
      </c>
    </row>
    <row r="3938" spans="38:40" x14ac:dyDescent="0.3">
      <c r="AL3938">
        <v>0</v>
      </c>
      <c r="AM3938" t="s">
        <v>649</v>
      </c>
      <c r="AN3938" t="s">
        <v>649</v>
      </c>
    </row>
    <row r="3939" spans="38:40" x14ac:dyDescent="0.3">
      <c r="AL3939">
        <v>0</v>
      </c>
      <c r="AM3939" t="s">
        <v>649</v>
      </c>
      <c r="AN3939" t="s">
        <v>649</v>
      </c>
    </row>
    <row r="3940" spans="38:40" x14ac:dyDescent="0.3">
      <c r="AL3940">
        <v>0</v>
      </c>
      <c r="AM3940" t="s">
        <v>649</v>
      </c>
      <c r="AN3940" t="s">
        <v>649</v>
      </c>
    </row>
    <row r="3941" spans="38:40" x14ac:dyDescent="0.3">
      <c r="AL3941">
        <v>0</v>
      </c>
      <c r="AM3941" t="s">
        <v>649</v>
      </c>
      <c r="AN3941" t="s">
        <v>649</v>
      </c>
    </row>
    <row r="3942" spans="38:40" x14ac:dyDescent="0.3">
      <c r="AL3942">
        <v>0</v>
      </c>
      <c r="AM3942" t="s">
        <v>649</v>
      </c>
      <c r="AN3942" t="s">
        <v>649</v>
      </c>
    </row>
    <row r="3943" spans="38:40" x14ac:dyDescent="0.3">
      <c r="AL3943">
        <v>0</v>
      </c>
      <c r="AM3943" t="s">
        <v>649</v>
      </c>
      <c r="AN3943" t="s">
        <v>649</v>
      </c>
    </row>
    <row r="3944" spans="38:40" x14ac:dyDescent="0.3">
      <c r="AL3944">
        <v>0</v>
      </c>
      <c r="AM3944" t="s">
        <v>649</v>
      </c>
      <c r="AN3944" t="s">
        <v>649</v>
      </c>
    </row>
    <row r="3945" spans="38:40" x14ac:dyDescent="0.3">
      <c r="AL3945">
        <v>0</v>
      </c>
      <c r="AM3945" t="s">
        <v>649</v>
      </c>
      <c r="AN3945" t="s">
        <v>649</v>
      </c>
    </row>
    <row r="3946" spans="38:40" x14ac:dyDescent="0.3">
      <c r="AL3946">
        <v>0</v>
      </c>
      <c r="AM3946" t="s">
        <v>649</v>
      </c>
      <c r="AN3946" t="s">
        <v>649</v>
      </c>
    </row>
    <row r="3947" spans="38:40" x14ac:dyDescent="0.3">
      <c r="AL3947">
        <v>0</v>
      </c>
      <c r="AM3947" t="s">
        <v>649</v>
      </c>
      <c r="AN3947" t="s">
        <v>649</v>
      </c>
    </row>
    <row r="3948" spans="38:40" x14ac:dyDescent="0.3">
      <c r="AL3948">
        <v>0</v>
      </c>
      <c r="AM3948" t="s">
        <v>649</v>
      </c>
      <c r="AN3948" t="s">
        <v>649</v>
      </c>
    </row>
    <row r="3949" spans="38:40" x14ac:dyDescent="0.3">
      <c r="AL3949">
        <v>0</v>
      </c>
      <c r="AM3949" t="s">
        <v>649</v>
      </c>
      <c r="AN3949" t="s">
        <v>649</v>
      </c>
    </row>
    <row r="3950" spans="38:40" x14ac:dyDescent="0.3">
      <c r="AL3950">
        <v>0</v>
      </c>
      <c r="AM3950" t="s">
        <v>649</v>
      </c>
      <c r="AN3950" t="s">
        <v>649</v>
      </c>
    </row>
    <row r="3951" spans="38:40" x14ac:dyDescent="0.3">
      <c r="AL3951">
        <v>0</v>
      </c>
      <c r="AM3951" t="s">
        <v>649</v>
      </c>
      <c r="AN3951" t="s">
        <v>649</v>
      </c>
    </row>
    <row r="3952" spans="38:40" x14ac:dyDescent="0.3">
      <c r="AL3952">
        <v>0</v>
      </c>
      <c r="AM3952" t="s">
        <v>649</v>
      </c>
      <c r="AN3952" t="s">
        <v>649</v>
      </c>
    </row>
    <row r="3953" spans="38:40" x14ac:dyDescent="0.3">
      <c r="AL3953">
        <v>0</v>
      </c>
      <c r="AM3953" t="s">
        <v>649</v>
      </c>
      <c r="AN3953" t="s">
        <v>649</v>
      </c>
    </row>
    <row r="3954" spans="38:40" x14ac:dyDescent="0.3">
      <c r="AL3954">
        <v>0</v>
      </c>
      <c r="AM3954" t="s">
        <v>649</v>
      </c>
      <c r="AN3954" t="s">
        <v>649</v>
      </c>
    </row>
    <row r="3955" spans="38:40" x14ac:dyDescent="0.3">
      <c r="AL3955">
        <v>0</v>
      </c>
      <c r="AM3955" t="s">
        <v>649</v>
      </c>
      <c r="AN3955" t="s">
        <v>649</v>
      </c>
    </row>
    <row r="3956" spans="38:40" x14ac:dyDescent="0.3">
      <c r="AL3956">
        <v>0</v>
      </c>
      <c r="AM3956" t="s">
        <v>649</v>
      </c>
      <c r="AN3956" t="s">
        <v>649</v>
      </c>
    </row>
    <row r="3957" spans="38:40" x14ac:dyDescent="0.3">
      <c r="AL3957">
        <v>0</v>
      </c>
      <c r="AM3957" t="s">
        <v>649</v>
      </c>
      <c r="AN3957" t="s">
        <v>649</v>
      </c>
    </row>
    <row r="3958" spans="38:40" x14ac:dyDescent="0.3">
      <c r="AL3958">
        <v>0</v>
      </c>
      <c r="AM3958" t="s">
        <v>649</v>
      </c>
      <c r="AN3958" t="s">
        <v>649</v>
      </c>
    </row>
    <row r="3959" spans="38:40" x14ac:dyDescent="0.3">
      <c r="AL3959">
        <v>0</v>
      </c>
      <c r="AM3959" t="s">
        <v>649</v>
      </c>
      <c r="AN3959" t="s">
        <v>649</v>
      </c>
    </row>
    <row r="3960" spans="38:40" x14ac:dyDescent="0.3">
      <c r="AL3960">
        <v>0</v>
      </c>
      <c r="AM3960" t="s">
        <v>649</v>
      </c>
      <c r="AN3960" t="s">
        <v>649</v>
      </c>
    </row>
    <row r="3961" spans="38:40" x14ac:dyDescent="0.3">
      <c r="AL3961">
        <v>0</v>
      </c>
      <c r="AM3961" t="s">
        <v>649</v>
      </c>
      <c r="AN3961" t="s">
        <v>649</v>
      </c>
    </row>
    <row r="3962" spans="38:40" x14ac:dyDescent="0.3">
      <c r="AL3962">
        <v>0</v>
      </c>
      <c r="AM3962" t="s">
        <v>649</v>
      </c>
      <c r="AN3962" t="s">
        <v>649</v>
      </c>
    </row>
    <row r="3963" spans="38:40" x14ac:dyDescent="0.3">
      <c r="AL3963">
        <v>0</v>
      </c>
      <c r="AM3963" t="s">
        <v>649</v>
      </c>
      <c r="AN3963" t="s">
        <v>649</v>
      </c>
    </row>
    <row r="3964" spans="38:40" x14ac:dyDescent="0.3">
      <c r="AL3964">
        <v>0</v>
      </c>
      <c r="AM3964" t="s">
        <v>649</v>
      </c>
      <c r="AN3964" t="s">
        <v>649</v>
      </c>
    </row>
    <row r="3965" spans="38:40" x14ac:dyDescent="0.3">
      <c r="AL3965">
        <v>0</v>
      </c>
      <c r="AM3965" t="s">
        <v>649</v>
      </c>
      <c r="AN3965" t="s">
        <v>649</v>
      </c>
    </row>
    <row r="3966" spans="38:40" x14ac:dyDescent="0.3">
      <c r="AL3966">
        <v>0</v>
      </c>
      <c r="AM3966" t="s">
        <v>649</v>
      </c>
      <c r="AN3966" t="s">
        <v>649</v>
      </c>
    </row>
    <row r="3967" spans="38:40" x14ac:dyDescent="0.3">
      <c r="AL3967">
        <v>0</v>
      </c>
      <c r="AM3967" t="s">
        <v>649</v>
      </c>
      <c r="AN3967" t="s">
        <v>649</v>
      </c>
    </row>
    <row r="3968" spans="38:40" x14ac:dyDescent="0.3">
      <c r="AL3968">
        <v>0</v>
      </c>
      <c r="AM3968" t="s">
        <v>649</v>
      </c>
      <c r="AN3968" t="s">
        <v>649</v>
      </c>
    </row>
    <row r="3969" spans="38:40" x14ac:dyDescent="0.3">
      <c r="AL3969">
        <v>0</v>
      </c>
      <c r="AM3969" t="s">
        <v>649</v>
      </c>
      <c r="AN3969" t="s">
        <v>649</v>
      </c>
    </row>
    <row r="3970" spans="38:40" x14ac:dyDescent="0.3">
      <c r="AL3970">
        <v>0</v>
      </c>
      <c r="AM3970" t="s">
        <v>649</v>
      </c>
      <c r="AN3970" t="s">
        <v>649</v>
      </c>
    </row>
    <row r="3971" spans="38:40" x14ac:dyDescent="0.3">
      <c r="AL3971">
        <v>0</v>
      </c>
      <c r="AM3971" t="s">
        <v>649</v>
      </c>
      <c r="AN3971" t="s">
        <v>649</v>
      </c>
    </row>
    <row r="3972" spans="38:40" x14ac:dyDescent="0.3">
      <c r="AL3972">
        <v>0</v>
      </c>
      <c r="AM3972" t="s">
        <v>649</v>
      </c>
      <c r="AN3972" t="s">
        <v>649</v>
      </c>
    </row>
    <row r="3973" spans="38:40" x14ac:dyDescent="0.3">
      <c r="AL3973">
        <v>0</v>
      </c>
      <c r="AM3973" t="s">
        <v>649</v>
      </c>
      <c r="AN3973" t="s">
        <v>649</v>
      </c>
    </row>
    <row r="3974" spans="38:40" x14ac:dyDescent="0.3">
      <c r="AL3974">
        <v>0</v>
      </c>
      <c r="AM3974" t="s">
        <v>649</v>
      </c>
      <c r="AN3974" t="s">
        <v>649</v>
      </c>
    </row>
    <row r="3975" spans="38:40" x14ac:dyDescent="0.3">
      <c r="AL3975">
        <v>0</v>
      </c>
      <c r="AM3975" t="s">
        <v>649</v>
      </c>
      <c r="AN3975" t="s">
        <v>649</v>
      </c>
    </row>
    <row r="3976" spans="38:40" x14ac:dyDescent="0.3">
      <c r="AL3976">
        <v>0</v>
      </c>
      <c r="AM3976" t="s">
        <v>649</v>
      </c>
      <c r="AN3976" t="s">
        <v>649</v>
      </c>
    </row>
    <row r="3977" spans="38:40" x14ac:dyDescent="0.3">
      <c r="AL3977">
        <v>0</v>
      </c>
      <c r="AM3977" t="s">
        <v>649</v>
      </c>
      <c r="AN3977" t="s">
        <v>649</v>
      </c>
    </row>
    <row r="3978" spans="38:40" x14ac:dyDescent="0.3">
      <c r="AL3978">
        <v>0</v>
      </c>
      <c r="AM3978" t="s">
        <v>649</v>
      </c>
      <c r="AN3978" t="s">
        <v>649</v>
      </c>
    </row>
    <row r="3979" spans="38:40" x14ac:dyDescent="0.3">
      <c r="AL3979">
        <v>0</v>
      </c>
      <c r="AM3979" t="s">
        <v>649</v>
      </c>
      <c r="AN3979" t="s">
        <v>649</v>
      </c>
    </row>
    <row r="3980" spans="38:40" x14ac:dyDescent="0.3">
      <c r="AL3980">
        <v>0</v>
      </c>
      <c r="AM3980" t="s">
        <v>649</v>
      </c>
      <c r="AN3980" t="s">
        <v>649</v>
      </c>
    </row>
    <row r="3981" spans="38:40" x14ac:dyDescent="0.3">
      <c r="AL3981">
        <v>0</v>
      </c>
      <c r="AM3981" t="s">
        <v>649</v>
      </c>
      <c r="AN3981" t="s">
        <v>649</v>
      </c>
    </row>
    <row r="3982" spans="38:40" x14ac:dyDescent="0.3">
      <c r="AL3982">
        <v>0</v>
      </c>
      <c r="AM3982" t="s">
        <v>649</v>
      </c>
      <c r="AN3982" t="s">
        <v>649</v>
      </c>
    </row>
    <row r="3983" spans="38:40" x14ac:dyDescent="0.3">
      <c r="AL3983">
        <v>0</v>
      </c>
      <c r="AM3983" t="s">
        <v>649</v>
      </c>
      <c r="AN3983" t="s">
        <v>649</v>
      </c>
    </row>
    <row r="3984" spans="38:40" x14ac:dyDescent="0.3">
      <c r="AL3984">
        <v>0</v>
      </c>
      <c r="AM3984" t="s">
        <v>649</v>
      </c>
      <c r="AN3984" t="s">
        <v>649</v>
      </c>
    </row>
    <row r="3985" spans="38:40" x14ac:dyDescent="0.3">
      <c r="AL3985">
        <v>0</v>
      </c>
      <c r="AM3985" t="s">
        <v>649</v>
      </c>
      <c r="AN3985" t="s">
        <v>649</v>
      </c>
    </row>
    <row r="3986" spans="38:40" x14ac:dyDescent="0.3">
      <c r="AL3986">
        <v>0</v>
      </c>
      <c r="AM3986" t="s">
        <v>649</v>
      </c>
      <c r="AN3986" t="s">
        <v>649</v>
      </c>
    </row>
    <row r="3987" spans="38:40" x14ac:dyDescent="0.3">
      <c r="AL3987">
        <v>0</v>
      </c>
      <c r="AM3987" t="s">
        <v>649</v>
      </c>
      <c r="AN3987" t="s">
        <v>649</v>
      </c>
    </row>
    <row r="3988" spans="38:40" x14ac:dyDescent="0.3">
      <c r="AL3988">
        <v>0</v>
      </c>
      <c r="AM3988" t="s">
        <v>649</v>
      </c>
      <c r="AN3988" t="s">
        <v>649</v>
      </c>
    </row>
    <row r="3989" spans="38:40" x14ac:dyDescent="0.3">
      <c r="AL3989">
        <v>0</v>
      </c>
      <c r="AM3989" t="s">
        <v>649</v>
      </c>
      <c r="AN3989" t="s">
        <v>649</v>
      </c>
    </row>
    <row r="3990" spans="38:40" x14ac:dyDescent="0.3">
      <c r="AL3990">
        <v>0</v>
      </c>
      <c r="AM3990" t="s">
        <v>649</v>
      </c>
      <c r="AN3990" t="s">
        <v>649</v>
      </c>
    </row>
    <row r="3991" spans="38:40" x14ac:dyDescent="0.3">
      <c r="AL3991">
        <v>0</v>
      </c>
      <c r="AM3991" t="s">
        <v>649</v>
      </c>
      <c r="AN3991" t="s">
        <v>649</v>
      </c>
    </row>
    <row r="3992" spans="38:40" x14ac:dyDescent="0.3">
      <c r="AL3992">
        <v>0</v>
      </c>
      <c r="AM3992" t="s">
        <v>649</v>
      </c>
      <c r="AN3992" t="s">
        <v>649</v>
      </c>
    </row>
    <row r="3993" spans="38:40" x14ac:dyDescent="0.3">
      <c r="AL3993">
        <v>0</v>
      </c>
      <c r="AM3993" t="s">
        <v>649</v>
      </c>
      <c r="AN3993" t="s">
        <v>649</v>
      </c>
    </row>
    <row r="3994" spans="38:40" x14ac:dyDescent="0.3">
      <c r="AL3994">
        <v>0</v>
      </c>
      <c r="AM3994" t="s">
        <v>649</v>
      </c>
      <c r="AN3994" t="s">
        <v>649</v>
      </c>
    </row>
    <row r="3995" spans="38:40" x14ac:dyDescent="0.3">
      <c r="AL3995">
        <v>0</v>
      </c>
      <c r="AM3995" t="s">
        <v>649</v>
      </c>
      <c r="AN3995" t="s">
        <v>649</v>
      </c>
    </row>
    <row r="3996" spans="38:40" x14ac:dyDescent="0.3">
      <c r="AL3996">
        <v>0</v>
      </c>
      <c r="AM3996" t="s">
        <v>649</v>
      </c>
      <c r="AN3996" t="s">
        <v>649</v>
      </c>
    </row>
    <row r="3997" spans="38:40" x14ac:dyDescent="0.3">
      <c r="AL3997">
        <v>0</v>
      </c>
      <c r="AM3997" t="s">
        <v>649</v>
      </c>
      <c r="AN3997" t="s">
        <v>649</v>
      </c>
    </row>
    <row r="3998" spans="38:40" x14ac:dyDescent="0.3">
      <c r="AL3998">
        <v>0</v>
      </c>
      <c r="AM3998" t="s">
        <v>649</v>
      </c>
      <c r="AN3998" t="s">
        <v>649</v>
      </c>
    </row>
    <row r="3999" spans="38:40" x14ac:dyDescent="0.3">
      <c r="AL3999">
        <v>0</v>
      </c>
      <c r="AM3999" t="s">
        <v>649</v>
      </c>
      <c r="AN3999" t="s">
        <v>649</v>
      </c>
    </row>
    <row r="4000" spans="38:40" x14ac:dyDescent="0.3">
      <c r="AL4000">
        <v>0</v>
      </c>
      <c r="AM4000" t="s">
        <v>649</v>
      </c>
      <c r="AN4000" t="s">
        <v>649</v>
      </c>
    </row>
    <row r="4001" spans="38:40" x14ac:dyDescent="0.3">
      <c r="AL4001">
        <v>0</v>
      </c>
      <c r="AM4001" t="s">
        <v>649</v>
      </c>
      <c r="AN4001" t="s">
        <v>649</v>
      </c>
    </row>
    <row r="4002" spans="38:40" x14ac:dyDescent="0.3">
      <c r="AL4002">
        <v>0</v>
      </c>
      <c r="AM4002" t="s">
        <v>649</v>
      </c>
      <c r="AN4002" t="s">
        <v>649</v>
      </c>
    </row>
    <row r="4003" spans="38:40" x14ac:dyDescent="0.3">
      <c r="AL4003">
        <v>0</v>
      </c>
      <c r="AM4003" t="s">
        <v>649</v>
      </c>
      <c r="AN4003" t="s">
        <v>649</v>
      </c>
    </row>
    <row r="4004" spans="38:40" x14ac:dyDescent="0.3">
      <c r="AL4004">
        <v>0</v>
      </c>
      <c r="AM4004" t="s">
        <v>649</v>
      </c>
      <c r="AN4004" t="s">
        <v>649</v>
      </c>
    </row>
    <row r="4005" spans="38:40" x14ac:dyDescent="0.3">
      <c r="AL4005">
        <v>0</v>
      </c>
      <c r="AM4005" t="s">
        <v>649</v>
      </c>
      <c r="AN4005" t="s">
        <v>649</v>
      </c>
    </row>
    <row r="4006" spans="38:40" x14ac:dyDescent="0.3">
      <c r="AL4006">
        <v>0</v>
      </c>
      <c r="AM4006" t="s">
        <v>649</v>
      </c>
      <c r="AN4006" t="s">
        <v>649</v>
      </c>
    </row>
    <row r="4007" spans="38:40" x14ac:dyDescent="0.3">
      <c r="AL4007">
        <v>0</v>
      </c>
      <c r="AM4007" t="s">
        <v>649</v>
      </c>
      <c r="AN4007" t="s">
        <v>649</v>
      </c>
    </row>
    <row r="4008" spans="38:40" x14ac:dyDescent="0.3">
      <c r="AL4008">
        <v>0</v>
      </c>
      <c r="AM4008" t="s">
        <v>649</v>
      </c>
      <c r="AN4008" t="s">
        <v>649</v>
      </c>
    </row>
    <row r="4009" spans="38:40" x14ac:dyDescent="0.3">
      <c r="AL4009">
        <v>0</v>
      </c>
      <c r="AM4009" t="s">
        <v>649</v>
      </c>
      <c r="AN4009" t="s">
        <v>649</v>
      </c>
    </row>
    <row r="4010" spans="38:40" x14ac:dyDescent="0.3">
      <c r="AL4010">
        <v>0</v>
      </c>
      <c r="AM4010" t="s">
        <v>649</v>
      </c>
      <c r="AN4010" t="s">
        <v>649</v>
      </c>
    </row>
    <row r="4011" spans="38:40" x14ac:dyDescent="0.3">
      <c r="AL4011">
        <v>0</v>
      </c>
      <c r="AM4011" t="s">
        <v>649</v>
      </c>
      <c r="AN4011" t="s">
        <v>649</v>
      </c>
    </row>
    <row r="4012" spans="38:40" x14ac:dyDescent="0.3">
      <c r="AL4012">
        <v>0</v>
      </c>
      <c r="AM4012" t="s">
        <v>649</v>
      </c>
      <c r="AN4012" t="s">
        <v>649</v>
      </c>
    </row>
    <row r="4013" spans="38:40" x14ac:dyDescent="0.3">
      <c r="AL4013">
        <v>0</v>
      </c>
      <c r="AM4013" t="s">
        <v>649</v>
      </c>
      <c r="AN4013" t="s">
        <v>649</v>
      </c>
    </row>
    <row r="4014" spans="38:40" x14ac:dyDescent="0.3">
      <c r="AL4014">
        <v>0</v>
      </c>
      <c r="AM4014" t="s">
        <v>649</v>
      </c>
      <c r="AN4014" t="s">
        <v>649</v>
      </c>
    </row>
    <row r="4015" spans="38:40" x14ac:dyDescent="0.3">
      <c r="AL4015">
        <v>0</v>
      </c>
      <c r="AM4015" t="s">
        <v>649</v>
      </c>
      <c r="AN4015" t="s">
        <v>649</v>
      </c>
    </row>
    <row r="4016" spans="38:40" x14ac:dyDescent="0.3">
      <c r="AL4016">
        <v>0</v>
      </c>
      <c r="AM4016" t="s">
        <v>649</v>
      </c>
      <c r="AN4016" t="s">
        <v>649</v>
      </c>
    </row>
    <row r="4017" spans="38:40" x14ac:dyDescent="0.3">
      <c r="AL4017">
        <v>0</v>
      </c>
      <c r="AM4017" t="s">
        <v>649</v>
      </c>
      <c r="AN4017" t="s">
        <v>649</v>
      </c>
    </row>
    <row r="4018" spans="38:40" x14ac:dyDescent="0.3">
      <c r="AL4018">
        <v>0</v>
      </c>
      <c r="AM4018" t="s">
        <v>649</v>
      </c>
      <c r="AN4018" t="s">
        <v>649</v>
      </c>
    </row>
    <row r="4019" spans="38:40" x14ac:dyDescent="0.3">
      <c r="AL4019">
        <v>0</v>
      </c>
      <c r="AM4019" t="s">
        <v>649</v>
      </c>
      <c r="AN4019" t="s">
        <v>649</v>
      </c>
    </row>
    <row r="4020" spans="38:40" x14ac:dyDescent="0.3">
      <c r="AL4020">
        <v>0</v>
      </c>
      <c r="AM4020" t="s">
        <v>649</v>
      </c>
      <c r="AN4020" t="s">
        <v>649</v>
      </c>
    </row>
    <row r="4021" spans="38:40" x14ac:dyDescent="0.3">
      <c r="AL4021">
        <v>0</v>
      </c>
      <c r="AM4021" t="s">
        <v>649</v>
      </c>
      <c r="AN4021" t="s">
        <v>649</v>
      </c>
    </row>
    <row r="4022" spans="38:40" x14ac:dyDescent="0.3">
      <c r="AL4022">
        <v>0</v>
      </c>
      <c r="AM4022" t="s">
        <v>649</v>
      </c>
      <c r="AN4022" t="s">
        <v>649</v>
      </c>
    </row>
    <row r="4023" spans="38:40" x14ac:dyDescent="0.3">
      <c r="AL4023">
        <v>0</v>
      </c>
      <c r="AM4023" t="s">
        <v>649</v>
      </c>
      <c r="AN4023" t="s">
        <v>649</v>
      </c>
    </row>
    <row r="4024" spans="38:40" x14ac:dyDescent="0.3">
      <c r="AL4024">
        <v>0</v>
      </c>
      <c r="AM4024" t="s">
        <v>649</v>
      </c>
      <c r="AN4024" t="s">
        <v>649</v>
      </c>
    </row>
    <row r="4025" spans="38:40" x14ac:dyDescent="0.3">
      <c r="AL4025">
        <v>0</v>
      </c>
      <c r="AM4025" t="s">
        <v>649</v>
      </c>
      <c r="AN4025" t="s">
        <v>649</v>
      </c>
    </row>
    <row r="4026" spans="38:40" x14ac:dyDescent="0.3">
      <c r="AL4026">
        <v>0</v>
      </c>
      <c r="AM4026" t="s">
        <v>649</v>
      </c>
      <c r="AN4026" t="s">
        <v>649</v>
      </c>
    </row>
    <row r="4027" spans="38:40" x14ac:dyDescent="0.3">
      <c r="AL4027">
        <v>0</v>
      </c>
      <c r="AM4027" t="s">
        <v>649</v>
      </c>
      <c r="AN4027" t="s">
        <v>649</v>
      </c>
    </row>
    <row r="4028" spans="38:40" x14ac:dyDescent="0.3">
      <c r="AL4028">
        <v>0</v>
      </c>
      <c r="AM4028" t="s">
        <v>649</v>
      </c>
      <c r="AN4028" t="s">
        <v>649</v>
      </c>
    </row>
    <row r="4029" spans="38:40" x14ac:dyDescent="0.3">
      <c r="AL4029">
        <v>0</v>
      </c>
      <c r="AM4029" t="s">
        <v>649</v>
      </c>
      <c r="AN4029" t="s">
        <v>649</v>
      </c>
    </row>
    <row r="4030" spans="38:40" x14ac:dyDescent="0.3">
      <c r="AL4030">
        <v>0</v>
      </c>
      <c r="AM4030" t="s">
        <v>649</v>
      </c>
      <c r="AN4030" t="s">
        <v>649</v>
      </c>
    </row>
    <row r="4031" spans="38:40" x14ac:dyDescent="0.3">
      <c r="AL4031">
        <v>0</v>
      </c>
      <c r="AM4031" t="s">
        <v>649</v>
      </c>
      <c r="AN4031" t="s">
        <v>649</v>
      </c>
    </row>
    <row r="4032" spans="38:40" x14ac:dyDescent="0.3">
      <c r="AL4032">
        <v>0</v>
      </c>
      <c r="AM4032" t="s">
        <v>649</v>
      </c>
      <c r="AN4032" t="s">
        <v>649</v>
      </c>
    </row>
    <row r="4033" spans="38:40" x14ac:dyDescent="0.3">
      <c r="AL4033">
        <v>0</v>
      </c>
      <c r="AM4033" t="s">
        <v>649</v>
      </c>
      <c r="AN4033" t="s">
        <v>649</v>
      </c>
    </row>
    <row r="4034" spans="38:40" x14ac:dyDescent="0.3">
      <c r="AL4034">
        <v>0</v>
      </c>
      <c r="AM4034" t="s">
        <v>649</v>
      </c>
      <c r="AN4034" t="s">
        <v>649</v>
      </c>
    </row>
    <row r="4035" spans="38:40" x14ac:dyDescent="0.3">
      <c r="AL4035">
        <v>0</v>
      </c>
      <c r="AM4035" t="s">
        <v>649</v>
      </c>
      <c r="AN4035" t="s">
        <v>649</v>
      </c>
    </row>
    <row r="4036" spans="38:40" x14ac:dyDescent="0.3">
      <c r="AL4036">
        <v>0</v>
      </c>
      <c r="AM4036" t="s">
        <v>649</v>
      </c>
      <c r="AN4036" t="s">
        <v>649</v>
      </c>
    </row>
    <row r="4037" spans="38:40" x14ac:dyDescent="0.3">
      <c r="AL4037">
        <v>0</v>
      </c>
      <c r="AM4037" t="s">
        <v>649</v>
      </c>
      <c r="AN4037" t="s">
        <v>649</v>
      </c>
    </row>
    <row r="4038" spans="38:40" x14ac:dyDescent="0.3">
      <c r="AL4038">
        <v>0</v>
      </c>
      <c r="AM4038" t="s">
        <v>649</v>
      </c>
      <c r="AN4038" t="s">
        <v>649</v>
      </c>
    </row>
    <row r="4039" spans="38:40" x14ac:dyDescent="0.3">
      <c r="AL4039">
        <v>0</v>
      </c>
      <c r="AM4039" t="s">
        <v>649</v>
      </c>
      <c r="AN4039" t="s">
        <v>649</v>
      </c>
    </row>
    <row r="4040" spans="38:40" x14ac:dyDescent="0.3">
      <c r="AL4040">
        <v>0</v>
      </c>
      <c r="AM4040" t="s">
        <v>649</v>
      </c>
      <c r="AN4040" t="s">
        <v>649</v>
      </c>
    </row>
    <row r="4041" spans="38:40" x14ac:dyDescent="0.3">
      <c r="AL4041">
        <v>0</v>
      </c>
      <c r="AM4041" t="s">
        <v>649</v>
      </c>
      <c r="AN4041" t="s">
        <v>649</v>
      </c>
    </row>
    <row r="4042" spans="38:40" x14ac:dyDescent="0.3">
      <c r="AL4042">
        <v>0</v>
      </c>
      <c r="AM4042" t="s">
        <v>649</v>
      </c>
      <c r="AN4042" t="s">
        <v>649</v>
      </c>
    </row>
    <row r="4043" spans="38:40" x14ac:dyDescent="0.3">
      <c r="AL4043">
        <v>0</v>
      </c>
      <c r="AM4043" t="s">
        <v>649</v>
      </c>
      <c r="AN4043" t="s">
        <v>649</v>
      </c>
    </row>
    <row r="4044" spans="38:40" x14ac:dyDescent="0.3">
      <c r="AL4044">
        <v>0</v>
      </c>
      <c r="AM4044" t="s">
        <v>649</v>
      </c>
      <c r="AN4044" t="s">
        <v>649</v>
      </c>
    </row>
    <row r="4045" spans="38:40" x14ac:dyDescent="0.3">
      <c r="AL4045">
        <v>0</v>
      </c>
      <c r="AM4045" t="s">
        <v>649</v>
      </c>
      <c r="AN4045" t="s">
        <v>649</v>
      </c>
    </row>
    <row r="4046" spans="38:40" x14ac:dyDescent="0.3">
      <c r="AL4046">
        <v>0</v>
      </c>
      <c r="AM4046" t="s">
        <v>649</v>
      </c>
      <c r="AN4046" t="s">
        <v>649</v>
      </c>
    </row>
    <row r="4047" spans="38:40" x14ac:dyDescent="0.3">
      <c r="AL4047">
        <v>0</v>
      </c>
      <c r="AM4047" t="s">
        <v>649</v>
      </c>
      <c r="AN4047" t="s">
        <v>649</v>
      </c>
    </row>
    <row r="4048" spans="38:40" x14ac:dyDescent="0.3">
      <c r="AL4048">
        <v>0</v>
      </c>
      <c r="AM4048" t="s">
        <v>649</v>
      </c>
      <c r="AN4048" t="s">
        <v>649</v>
      </c>
    </row>
    <row r="4049" spans="38:40" x14ac:dyDescent="0.3">
      <c r="AL4049">
        <v>0</v>
      </c>
      <c r="AM4049" t="s">
        <v>649</v>
      </c>
      <c r="AN4049" t="s">
        <v>649</v>
      </c>
    </row>
    <row r="4050" spans="38:40" x14ac:dyDescent="0.3">
      <c r="AL4050">
        <v>0</v>
      </c>
      <c r="AM4050" t="s">
        <v>649</v>
      </c>
      <c r="AN4050" t="s">
        <v>649</v>
      </c>
    </row>
    <row r="4051" spans="38:40" x14ac:dyDescent="0.3">
      <c r="AL4051">
        <v>0</v>
      </c>
      <c r="AM4051" t="s">
        <v>649</v>
      </c>
      <c r="AN4051" t="s">
        <v>649</v>
      </c>
    </row>
    <row r="4052" spans="38:40" x14ac:dyDescent="0.3">
      <c r="AL4052">
        <v>0</v>
      </c>
      <c r="AM4052" t="s">
        <v>649</v>
      </c>
      <c r="AN4052" t="s">
        <v>649</v>
      </c>
    </row>
    <row r="4053" spans="38:40" x14ac:dyDescent="0.3">
      <c r="AL4053">
        <v>0</v>
      </c>
      <c r="AM4053" t="s">
        <v>649</v>
      </c>
      <c r="AN4053" t="s">
        <v>649</v>
      </c>
    </row>
    <row r="4054" spans="38:40" x14ac:dyDescent="0.3">
      <c r="AL4054">
        <v>0</v>
      </c>
      <c r="AM4054" t="s">
        <v>649</v>
      </c>
      <c r="AN4054" t="s">
        <v>649</v>
      </c>
    </row>
    <row r="4055" spans="38:40" x14ac:dyDescent="0.3">
      <c r="AL4055">
        <v>0</v>
      </c>
      <c r="AM4055" t="s">
        <v>649</v>
      </c>
      <c r="AN4055" t="s">
        <v>649</v>
      </c>
    </row>
    <row r="4056" spans="38:40" x14ac:dyDescent="0.3">
      <c r="AL4056">
        <v>0</v>
      </c>
      <c r="AM4056" t="s">
        <v>649</v>
      </c>
      <c r="AN4056" t="s">
        <v>649</v>
      </c>
    </row>
    <row r="4057" spans="38:40" x14ac:dyDescent="0.3">
      <c r="AL4057">
        <v>0</v>
      </c>
      <c r="AM4057" t="s">
        <v>649</v>
      </c>
      <c r="AN4057" t="s">
        <v>649</v>
      </c>
    </row>
    <row r="4058" spans="38:40" x14ac:dyDescent="0.3">
      <c r="AL4058">
        <v>0</v>
      </c>
      <c r="AM4058" t="s">
        <v>649</v>
      </c>
      <c r="AN4058" t="s">
        <v>649</v>
      </c>
    </row>
    <row r="4059" spans="38:40" x14ac:dyDescent="0.3">
      <c r="AL4059">
        <v>0</v>
      </c>
      <c r="AM4059" t="s">
        <v>649</v>
      </c>
      <c r="AN4059" t="s">
        <v>649</v>
      </c>
    </row>
    <row r="4060" spans="38:40" x14ac:dyDescent="0.3">
      <c r="AL4060">
        <v>0</v>
      </c>
      <c r="AM4060" t="s">
        <v>649</v>
      </c>
      <c r="AN4060" t="s">
        <v>649</v>
      </c>
    </row>
    <row r="4061" spans="38:40" x14ac:dyDescent="0.3">
      <c r="AL4061">
        <v>0</v>
      </c>
      <c r="AM4061" t="s">
        <v>649</v>
      </c>
      <c r="AN4061" t="s">
        <v>649</v>
      </c>
    </row>
    <row r="4062" spans="38:40" x14ac:dyDescent="0.3">
      <c r="AL4062">
        <v>0</v>
      </c>
      <c r="AM4062" t="s">
        <v>649</v>
      </c>
      <c r="AN4062" t="s">
        <v>649</v>
      </c>
    </row>
    <row r="4063" spans="38:40" x14ac:dyDescent="0.3">
      <c r="AL4063">
        <v>0</v>
      </c>
      <c r="AM4063" t="s">
        <v>649</v>
      </c>
      <c r="AN4063" t="s">
        <v>649</v>
      </c>
    </row>
    <row r="4064" spans="38:40" x14ac:dyDescent="0.3">
      <c r="AL4064">
        <v>0</v>
      </c>
      <c r="AM4064" t="s">
        <v>649</v>
      </c>
      <c r="AN4064" t="s">
        <v>649</v>
      </c>
    </row>
    <row r="4065" spans="38:40" x14ac:dyDescent="0.3">
      <c r="AL4065">
        <v>0</v>
      </c>
      <c r="AM4065" t="s">
        <v>649</v>
      </c>
      <c r="AN4065" t="s">
        <v>649</v>
      </c>
    </row>
    <row r="4066" spans="38:40" x14ac:dyDescent="0.3">
      <c r="AL4066">
        <v>0</v>
      </c>
      <c r="AM4066" t="s">
        <v>649</v>
      </c>
      <c r="AN4066" t="s">
        <v>649</v>
      </c>
    </row>
    <row r="4067" spans="38:40" x14ac:dyDescent="0.3">
      <c r="AL4067">
        <v>0</v>
      </c>
      <c r="AM4067" t="s">
        <v>649</v>
      </c>
      <c r="AN4067" t="s">
        <v>649</v>
      </c>
    </row>
    <row r="4068" spans="38:40" x14ac:dyDescent="0.3">
      <c r="AL4068">
        <v>0</v>
      </c>
      <c r="AM4068" t="s">
        <v>649</v>
      </c>
      <c r="AN4068" t="s">
        <v>649</v>
      </c>
    </row>
    <row r="4069" spans="38:40" x14ac:dyDescent="0.3">
      <c r="AL4069">
        <v>0</v>
      </c>
      <c r="AM4069" t="s">
        <v>649</v>
      </c>
      <c r="AN4069" t="s">
        <v>649</v>
      </c>
    </row>
    <row r="4070" spans="38:40" x14ac:dyDescent="0.3">
      <c r="AL4070">
        <v>0</v>
      </c>
      <c r="AM4070" t="s">
        <v>649</v>
      </c>
      <c r="AN4070" t="s">
        <v>649</v>
      </c>
    </row>
    <row r="4071" spans="38:40" x14ac:dyDescent="0.3">
      <c r="AL4071">
        <v>0</v>
      </c>
      <c r="AM4071" t="s">
        <v>649</v>
      </c>
      <c r="AN4071" t="s">
        <v>649</v>
      </c>
    </row>
    <row r="4072" spans="38:40" x14ac:dyDescent="0.3">
      <c r="AL4072">
        <v>0</v>
      </c>
      <c r="AM4072" t="s">
        <v>649</v>
      </c>
      <c r="AN4072" t="s">
        <v>649</v>
      </c>
    </row>
    <row r="4073" spans="38:40" x14ac:dyDescent="0.3">
      <c r="AL4073">
        <v>0</v>
      </c>
      <c r="AM4073" t="s">
        <v>649</v>
      </c>
      <c r="AN4073" t="s">
        <v>649</v>
      </c>
    </row>
    <row r="4074" spans="38:40" x14ac:dyDescent="0.3">
      <c r="AL4074">
        <v>0</v>
      </c>
      <c r="AM4074" t="s">
        <v>649</v>
      </c>
      <c r="AN4074" t="s">
        <v>649</v>
      </c>
    </row>
    <row r="4075" spans="38:40" x14ac:dyDescent="0.3">
      <c r="AL4075">
        <v>0</v>
      </c>
      <c r="AM4075" t="s">
        <v>649</v>
      </c>
      <c r="AN4075" t="s">
        <v>649</v>
      </c>
    </row>
    <row r="4076" spans="38:40" x14ac:dyDescent="0.3">
      <c r="AL4076">
        <v>0</v>
      </c>
      <c r="AM4076" t="s">
        <v>649</v>
      </c>
      <c r="AN4076" t="s">
        <v>649</v>
      </c>
    </row>
    <row r="4077" spans="38:40" x14ac:dyDescent="0.3">
      <c r="AL4077">
        <v>0</v>
      </c>
      <c r="AM4077" t="s">
        <v>649</v>
      </c>
      <c r="AN4077" t="s">
        <v>649</v>
      </c>
    </row>
    <row r="4078" spans="38:40" x14ac:dyDescent="0.3">
      <c r="AL4078">
        <v>0</v>
      </c>
      <c r="AM4078" t="s">
        <v>649</v>
      </c>
      <c r="AN4078" t="s">
        <v>649</v>
      </c>
    </row>
    <row r="4079" spans="38:40" x14ac:dyDescent="0.3">
      <c r="AL4079">
        <v>0</v>
      </c>
      <c r="AM4079" t="s">
        <v>649</v>
      </c>
      <c r="AN4079" t="s">
        <v>649</v>
      </c>
    </row>
    <row r="4080" spans="38:40" x14ac:dyDescent="0.3">
      <c r="AL4080">
        <v>0</v>
      </c>
      <c r="AM4080" t="s">
        <v>649</v>
      </c>
      <c r="AN4080" t="s">
        <v>649</v>
      </c>
    </row>
    <row r="4081" spans="38:40" x14ac:dyDescent="0.3">
      <c r="AL4081">
        <v>0</v>
      </c>
      <c r="AM4081" t="s">
        <v>649</v>
      </c>
      <c r="AN4081" t="s">
        <v>649</v>
      </c>
    </row>
    <row r="4082" spans="38:40" x14ac:dyDescent="0.3">
      <c r="AL4082">
        <v>0</v>
      </c>
      <c r="AM4082" t="s">
        <v>649</v>
      </c>
      <c r="AN4082" t="s">
        <v>649</v>
      </c>
    </row>
    <row r="4083" spans="38:40" x14ac:dyDescent="0.3">
      <c r="AL4083">
        <v>0</v>
      </c>
      <c r="AM4083" t="s">
        <v>649</v>
      </c>
      <c r="AN4083" t="s">
        <v>649</v>
      </c>
    </row>
    <row r="4084" spans="38:40" x14ac:dyDescent="0.3">
      <c r="AL4084">
        <v>0</v>
      </c>
      <c r="AM4084" t="s">
        <v>649</v>
      </c>
      <c r="AN4084" t="s">
        <v>649</v>
      </c>
    </row>
    <row r="4085" spans="38:40" x14ac:dyDescent="0.3">
      <c r="AL4085">
        <v>0</v>
      </c>
      <c r="AM4085" t="s">
        <v>649</v>
      </c>
      <c r="AN4085" t="s">
        <v>649</v>
      </c>
    </row>
    <row r="4086" spans="38:40" x14ac:dyDescent="0.3">
      <c r="AL4086">
        <v>0</v>
      </c>
      <c r="AM4086" t="s">
        <v>649</v>
      </c>
      <c r="AN4086" t="s">
        <v>649</v>
      </c>
    </row>
    <row r="4087" spans="38:40" x14ac:dyDescent="0.3">
      <c r="AL4087">
        <v>0</v>
      </c>
      <c r="AM4087" t="s">
        <v>649</v>
      </c>
      <c r="AN4087" t="s">
        <v>649</v>
      </c>
    </row>
    <row r="4088" spans="38:40" x14ac:dyDescent="0.3">
      <c r="AL4088">
        <v>0</v>
      </c>
      <c r="AM4088" t="s">
        <v>649</v>
      </c>
      <c r="AN4088" t="s">
        <v>649</v>
      </c>
    </row>
    <row r="4089" spans="38:40" x14ac:dyDescent="0.3">
      <c r="AL4089">
        <v>0</v>
      </c>
      <c r="AM4089" t="s">
        <v>649</v>
      </c>
      <c r="AN4089" t="s">
        <v>649</v>
      </c>
    </row>
    <row r="4090" spans="38:40" x14ac:dyDescent="0.3">
      <c r="AL4090">
        <v>0</v>
      </c>
      <c r="AM4090" t="s">
        <v>649</v>
      </c>
      <c r="AN4090" t="s">
        <v>649</v>
      </c>
    </row>
    <row r="4091" spans="38:40" x14ac:dyDescent="0.3">
      <c r="AL4091">
        <v>0</v>
      </c>
      <c r="AM4091" t="s">
        <v>649</v>
      </c>
      <c r="AN4091" t="s">
        <v>649</v>
      </c>
    </row>
    <row r="4092" spans="38:40" x14ac:dyDescent="0.3">
      <c r="AL4092">
        <v>0</v>
      </c>
      <c r="AM4092" t="s">
        <v>649</v>
      </c>
      <c r="AN4092" t="s">
        <v>649</v>
      </c>
    </row>
    <row r="4093" spans="38:40" x14ac:dyDescent="0.3">
      <c r="AL4093">
        <v>0</v>
      </c>
      <c r="AM4093" t="s">
        <v>649</v>
      </c>
      <c r="AN4093" t="s">
        <v>649</v>
      </c>
    </row>
    <row r="4094" spans="38:40" x14ac:dyDescent="0.3">
      <c r="AL4094">
        <v>0</v>
      </c>
      <c r="AM4094" t="s">
        <v>649</v>
      </c>
      <c r="AN4094" t="s">
        <v>649</v>
      </c>
    </row>
    <row r="4095" spans="38:40" x14ac:dyDescent="0.3">
      <c r="AL4095">
        <v>0</v>
      </c>
      <c r="AM4095" t="s">
        <v>649</v>
      </c>
      <c r="AN4095" t="s">
        <v>649</v>
      </c>
    </row>
    <row r="4096" spans="38:40" x14ac:dyDescent="0.3">
      <c r="AL4096">
        <v>0</v>
      </c>
      <c r="AM4096" t="s">
        <v>649</v>
      </c>
      <c r="AN4096" t="s">
        <v>649</v>
      </c>
    </row>
    <row r="4097" spans="38:40" x14ac:dyDescent="0.3">
      <c r="AL4097">
        <v>0</v>
      </c>
      <c r="AM4097" t="s">
        <v>649</v>
      </c>
      <c r="AN4097" t="s">
        <v>649</v>
      </c>
    </row>
    <row r="4098" spans="38:40" x14ac:dyDescent="0.3">
      <c r="AL4098">
        <v>0</v>
      </c>
      <c r="AM4098" t="s">
        <v>649</v>
      </c>
      <c r="AN4098" t="s">
        <v>649</v>
      </c>
    </row>
    <row r="4099" spans="38:40" x14ac:dyDescent="0.3">
      <c r="AL4099">
        <v>0</v>
      </c>
      <c r="AM4099" t="s">
        <v>649</v>
      </c>
      <c r="AN4099" t="s">
        <v>649</v>
      </c>
    </row>
    <row r="4100" spans="38:40" x14ac:dyDescent="0.3">
      <c r="AL4100">
        <v>0</v>
      </c>
      <c r="AM4100" t="s">
        <v>649</v>
      </c>
      <c r="AN4100" t="s">
        <v>649</v>
      </c>
    </row>
    <row r="4101" spans="38:40" x14ac:dyDescent="0.3">
      <c r="AL4101">
        <v>0</v>
      </c>
      <c r="AM4101" t="s">
        <v>649</v>
      </c>
      <c r="AN4101" t="s">
        <v>649</v>
      </c>
    </row>
    <row r="4102" spans="38:40" x14ac:dyDescent="0.3">
      <c r="AL4102">
        <v>0</v>
      </c>
      <c r="AM4102" t="s">
        <v>649</v>
      </c>
      <c r="AN4102" t="s">
        <v>649</v>
      </c>
    </row>
    <row r="4103" spans="38:40" x14ac:dyDescent="0.3">
      <c r="AL4103">
        <v>0</v>
      </c>
      <c r="AM4103" t="s">
        <v>649</v>
      </c>
      <c r="AN4103" t="s">
        <v>649</v>
      </c>
    </row>
    <row r="4104" spans="38:40" x14ac:dyDescent="0.3">
      <c r="AL4104">
        <v>0</v>
      </c>
      <c r="AM4104" t="s">
        <v>649</v>
      </c>
      <c r="AN4104" t="s">
        <v>649</v>
      </c>
    </row>
    <row r="4105" spans="38:40" x14ac:dyDescent="0.3">
      <c r="AL4105">
        <v>0</v>
      </c>
      <c r="AM4105" t="s">
        <v>649</v>
      </c>
      <c r="AN4105" t="s">
        <v>649</v>
      </c>
    </row>
    <row r="4106" spans="38:40" x14ac:dyDescent="0.3">
      <c r="AL4106">
        <v>0</v>
      </c>
      <c r="AM4106" t="s">
        <v>649</v>
      </c>
      <c r="AN4106" t="s">
        <v>649</v>
      </c>
    </row>
    <row r="4107" spans="38:40" x14ac:dyDescent="0.3">
      <c r="AL4107">
        <v>0</v>
      </c>
      <c r="AM4107" t="s">
        <v>649</v>
      </c>
      <c r="AN4107" t="s">
        <v>649</v>
      </c>
    </row>
    <row r="4108" spans="38:40" x14ac:dyDescent="0.3">
      <c r="AL4108">
        <v>0</v>
      </c>
      <c r="AM4108" t="s">
        <v>649</v>
      </c>
      <c r="AN4108" t="s">
        <v>649</v>
      </c>
    </row>
    <row r="4109" spans="38:40" x14ac:dyDescent="0.3">
      <c r="AL4109">
        <v>0</v>
      </c>
      <c r="AM4109" t="s">
        <v>649</v>
      </c>
      <c r="AN4109" t="s">
        <v>649</v>
      </c>
    </row>
    <row r="4110" spans="38:40" x14ac:dyDescent="0.3">
      <c r="AL4110">
        <v>0</v>
      </c>
      <c r="AM4110" t="s">
        <v>649</v>
      </c>
      <c r="AN4110" t="s">
        <v>649</v>
      </c>
    </row>
    <row r="4111" spans="38:40" x14ac:dyDescent="0.3">
      <c r="AL4111">
        <v>0</v>
      </c>
      <c r="AM4111" t="s">
        <v>649</v>
      </c>
      <c r="AN4111" t="s">
        <v>649</v>
      </c>
    </row>
    <row r="4112" spans="38:40" x14ac:dyDescent="0.3">
      <c r="AL4112">
        <v>0</v>
      </c>
      <c r="AM4112" t="s">
        <v>649</v>
      </c>
      <c r="AN4112" t="s">
        <v>649</v>
      </c>
    </row>
    <row r="4113" spans="38:40" x14ac:dyDescent="0.3">
      <c r="AL4113">
        <v>0</v>
      </c>
      <c r="AM4113" t="s">
        <v>649</v>
      </c>
      <c r="AN4113" t="s">
        <v>649</v>
      </c>
    </row>
    <row r="4114" spans="38:40" x14ac:dyDescent="0.3">
      <c r="AL4114">
        <v>0</v>
      </c>
      <c r="AM4114" t="s">
        <v>649</v>
      </c>
      <c r="AN4114" t="s">
        <v>649</v>
      </c>
    </row>
    <row r="4115" spans="38:40" x14ac:dyDescent="0.3">
      <c r="AL4115">
        <v>0</v>
      </c>
      <c r="AM4115" t="s">
        <v>649</v>
      </c>
      <c r="AN4115" t="s">
        <v>649</v>
      </c>
    </row>
    <row r="4116" spans="38:40" x14ac:dyDescent="0.3">
      <c r="AL4116">
        <v>0</v>
      </c>
      <c r="AM4116" t="s">
        <v>649</v>
      </c>
      <c r="AN4116" t="s">
        <v>649</v>
      </c>
    </row>
    <row r="4117" spans="38:40" x14ac:dyDescent="0.3">
      <c r="AL4117">
        <v>0</v>
      </c>
      <c r="AM4117" t="s">
        <v>649</v>
      </c>
      <c r="AN4117" t="s">
        <v>649</v>
      </c>
    </row>
    <row r="4118" spans="38:40" x14ac:dyDescent="0.3">
      <c r="AL4118">
        <v>0</v>
      </c>
      <c r="AM4118" t="s">
        <v>649</v>
      </c>
      <c r="AN4118" t="s">
        <v>649</v>
      </c>
    </row>
    <row r="4119" spans="38:40" x14ac:dyDescent="0.3">
      <c r="AL4119">
        <v>0</v>
      </c>
      <c r="AM4119" t="s">
        <v>649</v>
      </c>
      <c r="AN4119" t="s">
        <v>649</v>
      </c>
    </row>
    <row r="4120" spans="38:40" x14ac:dyDescent="0.3">
      <c r="AL4120">
        <v>0</v>
      </c>
      <c r="AM4120" t="s">
        <v>649</v>
      </c>
      <c r="AN4120" t="s">
        <v>649</v>
      </c>
    </row>
    <row r="4121" spans="38:40" x14ac:dyDescent="0.3">
      <c r="AL4121">
        <v>0</v>
      </c>
      <c r="AM4121" t="s">
        <v>649</v>
      </c>
      <c r="AN4121" t="s">
        <v>649</v>
      </c>
    </row>
    <row r="4122" spans="38:40" x14ac:dyDescent="0.3">
      <c r="AL4122">
        <v>0</v>
      </c>
      <c r="AM4122" t="s">
        <v>649</v>
      </c>
      <c r="AN4122" t="s">
        <v>649</v>
      </c>
    </row>
    <row r="4123" spans="38:40" x14ac:dyDescent="0.3">
      <c r="AL4123">
        <v>0</v>
      </c>
      <c r="AM4123" t="s">
        <v>649</v>
      </c>
      <c r="AN4123" t="s">
        <v>649</v>
      </c>
    </row>
    <row r="4124" spans="38:40" x14ac:dyDescent="0.3">
      <c r="AL4124">
        <v>0</v>
      </c>
      <c r="AM4124" t="s">
        <v>649</v>
      </c>
      <c r="AN4124" t="s">
        <v>649</v>
      </c>
    </row>
    <row r="4125" spans="38:40" x14ac:dyDescent="0.3">
      <c r="AL4125">
        <v>0</v>
      </c>
      <c r="AM4125" t="s">
        <v>649</v>
      </c>
      <c r="AN4125" t="s">
        <v>649</v>
      </c>
    </row>
    <row r="4126" spans="38:40" x14ac:dyDescent="0.3">
      <c r="AL4126">
        <v>0</v>
      </c>
      <c r="AM4126" t="s">
        <v>649</v>
      </c>
      <c r="AN4126" t="s">
        <v>649</v>
      </c>
    </row>
    <row r="4127" spans="38:40" x14ac:dyDescent="0.3">
      <c r="AL4127">
        <v>0</v>
      </c>
      <c r="AM4127" t="s">
        <v>649</v>
      </c>
      <c r="AN4127" t="s">
        <v>649</v>
      </c>
    </row>
    <row r="4128" spans="38:40" x14ac:dyDescent="0.3">
      <c r="AL4128">
        <v>0</v>
      </c>
      <c r="AM4128" t="s">
        <v>649</v>
      </c>
      <c r="AN4128" t="s">
        <v>649</v>
      </c>
    </row>
    <row r="4129" spans="38:40" x14ac:dyDescent="0.3">
      <c r="AL4129">
        <v>0</v>
      </c>
      <c r="AM4129" t="s">
        <v>649</v>
      </c>
      <c r="AN4129" t="s">
        <v>649</v>
      </c>
    </row>
    <row r="4130" spans="38:40" x14ac:dyDescent="0.3">
      <c r="AL4130">
        <v>0</v>
      </c>
      <c r="AM4130" t="s">
        <v>649</v>
      </c>
      <c r="AN4130" t="s">
        <v>649</v>
      </c>
    </row>
    <row r="4131" spans="38:40" x14ac:dyDescent="0.3">
      <c r="AL4131">
        <v>0</v>
      </c>
      <c r="AM4131" t="s">
        <v>649</v>
      </c>
      <c r="AN4131" t="s">
        <v>649</v>
      </c>
    </row>
    <row r="4132" spans="38:40" x14ac:dyDescent="0.3">
      <c r="AL4132">
        <v>0</v>
      </c>
      <c r="AM4132" t="s">
        <v>649</v>
      </c>
      <c r="AN4132" t="s">
        <v>649</v>
      </c>
    </row>
    <row r="4133" spans="38:40" x14ac:dyDescent="0.3">
      <c r="AL4133">
        <v>0</v>
      </c>
      <c r="AM4133" t="s">
        <v>649</v>
      </c>
      <c r="AN4133" t="s">
        <v>649</v>
      </c>
    </row>
    <row r="4134" spans="38:40" x14ac:dyDescent="0.3">
      <c r="AL4134">
        <v>0</v>
      </c>
      <c r="AM4134" t="s">
        <v>649</v>
      </c>
      <c r="AN4134" t="s">
        <v>649</v>
      </c>
    </row>
    <row r="4135" spans="38:40" x14ac:dyDescent="0.3">
      <c r="AL4135">
        <v>0</v>
      </c>
      <c r="AM4135" t="s">
        <v>649</v>
      </c>
      <c r="AN4135" t="s">
        <v>649</v>
      </c>
    </row>
    <row r="4136" spans="38:40" x14ac:dyDescent="0.3">
      <c r="AL4136">
        <v>0</v>
      </c>
      <c r="AM4136" t="s">
        <v>649</v>
      </c>
      <c r="AN4136" t="s">
        <v>649</v>
      </c>
    </row>
    <row r="4137" spans="38:40" x14ac:dyDescent="0.3">
      <c r="AL4137">
        <v>0</v>
      </c>
      <c r="AM4137" t="s">
        <v>649</v>
      </c>
      <c r="AN4137" t="s">
        <v>649</v>
      </c>
    </row>
    <row r="4138" spans="38:40" x14ac:dyDescent="0.3">
      <c r="AL4138">
        <v>0</v>
      </c>
      <c r="AM4138" t="s">
        <v>649</v>
      </c>
      <c r="AN4138" t="s">
        <v>649</v>
      </c>
    </row>
    <row r="4139" spans="38:40" x14ac:dyDescent="0.3">
      <c r="AL4139">
        <v>0</v>
      </c>
      <c r="AM4139" t="s">
        <v>649</v>
      </c>
      <c r="AN4139" t="s">
        <v>649</v>
      </c>
    </row>
    <row r="4140" spans="38:40" x14ac:dyDescent="0.3">
      <c r="AL4140">
        <v>0</v>
      </c>
      <c r="AM4140" t="s">
        <v>649</v>
      </c>
      <c r="AN4140" t="s">
        <v>649</v>
      </c>
    </row>
    <row r="4141" spans="38:40" x14ac:dyDescent="0.3">
      <c r="AL4141">
        <v>0</v>
      </c>
      <c r="AM4141" t="s">
        <v>649</v>
      </c>
      <c r="AN4141" t="s">
        <v>649</v>
      </c>
    </row>
    <row r="4142" spans="38:40" x14ac:dyDescent="0.3">
      <c r="AL4142">
        <v>0</v>
      </c>
      <c r="AM4142" t="s">
        <v>649</v>
      </c>
      <c r="AN4142" t="s">
        <v>649</v>
      </c>
    </row>
    <row r="4143" spans="38:40" x14ac:dyDescent="0.3">
      <c r="AL4143">
        <v>0</v>
      </c>
      <c r="AM4143" t="s">
        <v>649</v>
      </c>
      <c r="AN4143" t="s">
        <v>649</v>
      </c>
    </row>
    <row r="4144" spans="38:40" x14ac:dyDescent="0.3">
      <c r="AL4144">
        <v>0</v>
      </c>
      <c r="AM4144" t="s">
        <v>649</v>
      </c>
      <c r="AN4144" t="s">
        <v>649</v>
      </c>
    </row>
    <row r="4145" spans="38:40" x14ac:dyDescent="0.3">
      <c r="AL4145">
        <v>0</v>
      </c>
      <c r="AM4145" t="s">
        <v>649</v>
      </c>
      <c r="AN4145" t="s">
        <v>649</v>
      </c>
    </row>
    <row r="4146" spans="38:40" x14ac:dyDescent="0.3">
      <c r="AL4146">
        <v>0</v>
      </c>
      <c r="AM4146" t="s">
        <v>649</v>
      </c>
      <c r="AN4146" t="s">
        <v>649</v>
      </c>
    </row>
    <row r="4147" spans="38:40" x14ac:dyDescent="0.3">
      <c r="AL4147">
        <v>0</v>
      </c>
      <c r="AM4147" t="s">
        <v>649</v>
      </c>
      <c r="AN4147" t="s">
        <v>649</v>
      </c>
    </row>
    <row r="4148" spans="38:40" x14ac:dyDescent="0.3">
      <c r="AL4148">
        <v>0</v>
      </c>
      <c r="AM4148" t="s">
        <v>649</v>
      </c>
      <c r="AN4148" t="s">
        <v>649</v>
      </c>
    </row>
    <row r="4149" spans="38:40" x14ac:dyDescent="0.3">
      <c r="AL4149">
        <v>0</v>
      </c>
      <c r="AM4149" t="s">
        <v>649</v>
      </c>
      <c r="AN4149" t="s">
        <v>649</v>
      </c>
    </row>
    <row r="4150" spans="38:40" x14ac:dyDescent="0.3">
      <c r="AL4150">
        <v>0</v>
      </c>
      <c r="AM4150" t="s">
        <v>649</v>
      </c>
      <c r="AN4150" t="s">
        <v>649</v>
      </c>
    </row>
    <row r="4151" spans="38:40" x14ac:dyDescent="0.3">
      <c r="AL4151">
        <v>0</v>
      </c>
      <c r="AM4151" t="s">
        <v>649</v>
      </c>
      <c r="AN4151" t="s">
        <v>649</v>
      </c>
    </row>
    <row r="4152" spans="38:40" x14ac:dyDescent="0.3">
      <c r="AL4152">
        <v>0</v>
      </c>
      <c r="AM4152" t="s">
        <v>649</v>
      </c>
      <c r="AN4152" t="s">
        <v>649</v>
      </c>
    </row>
    <row r="4153" spans="38:40" x14ac:dyDescent="0.3">
      <c r="AL4153">
        <v>0</v>
      </c>
      <c r="AM4153" t="s">
        <v>649</v>
      </c>
      <c r="AN4153" t="s">
        <v>649</v>
      </c>
    </row>
    <row r="4154" spans="38:40" x14ac:dyDescent="0.3">
      <c r="AL4154">
        <v>0</v>
      </c>
      <c r="AM4154" t="s">
        <v>649</v>
      </c>
      <c r="AN4154" t="s">
        <v>649</v>
      </c>
    </row>
    <row r="4155" spans="38:40" x14ac:dyDescent="0.3">
      <c r="AL4155">
        <v>0</v>
      </c>
      <c r="AM4155" t="s">
        <v>649</v>
      </c>
      <c r="AN4155" t="s">
        <v>649</v>
      </c>
    </row>
    <row r="4156" spans="38:40" x14ac:dyDescent="0.3">
      <c r="AL4156">
        <v>0</v>
      </c>
      <c r="AM4156" t="s">
        <v>649</v>
      </c>
      <c r="AN4156" t="s">
        <v>649</v>
      </c>
    </row>
    <row r="4157" spans="38:40" x14ac:dyDescent="0.3">
      <c r="AL4157">
        <v>0</v>
      </c>
      <c r="AM4157" t="s">
        <v>649</v>
      </c>
      <c r="AN4157" t="s">
        <v>649</v>
      </c>
    </row>
    <row r="4158" spans="38:40" x14ac:dyDescent="0.3">
      <c r="AL4158">
        <v>0</v>
      </c>
      <c r="AM4158" t="s">
        <v>649</v>
      </c>
      <c r="AN4158" t="s">
        <v>649</v>
      </c>
    </row>
    <row r="4159" spans="38:40" x14ac:dyDescent="0.3">
      <c r="AL4159">
        <v>0</v>
      </c>
      <c r="AM4159" t="s">
        <v>649</v>
      </c>
      <c r="AN4159" t="s">
        <v>649</v>
      </c>
    </row>
    <row r="4160" spans="38:40" x14ac:dyDescent="0.3">
      <c r="AL4160">
        <v>0</v>
      </c>
      <c r="AM4160" t="s">
        <v>649</v>
      </c>
      <c r="AN4160" t="s">
        <v>649</v>
      </c>
    </row>
    <row r="4161" spans="38:40" x14ac:dyDescent="0.3">
      <c r="AL4161">
        <v>0</v>
      </c>
      <c r="AM4161" t="s">
        <v>649</v>
      </c>
      <c r="AN4161" t="s">
        <v>649</v>
      </c>
    </row>
    <row r="4162" spans="38:40" x14ac:dyDescent="0.3">
      <c r="AL4162">
        <v>0</v>
      </c>
      <c r="AM4162" t="s">
        <v>649</v>
      </c>
      <c r="AN4162" t="s">
        <v>649</v>
      </c>
    </row>
    <row r="4163" spans="38:40" x14ac:dyDescent="0.3">
      <c r="AL4163">
        <v>0</v>
      </c>
      <c r="AM4163" t="s">
        <v>649</v>
      </c>
      <c r="AN4163" t="s">
        <v>649</v>
      </c>
    </row>
    <row r="4164" spans="38:40" x14ac:dyDescent="0.3">
      <c r="AL4164">
        <v>0</v>
      </c>
      <c r="AM4164" t="s">
        <v>649</v>
      </c>
      <c r="AN4164" t="s">
        <v>649</v>
      </c>
    </row>
    <row r="4165" spans="38:40" x14ac:dyDescent="0.3">
      <c r="AL4165">
        <v>0</v>
      </c>
      <c r="AM4165" t="s">
        <v>649</v>
      </c>
      <c r="AN4165" t="s">
        <v>649</v>
      </c>
    </row>
    <row r="4166" spans="38:40" x14ac:dyDescent="0.3">
      <c r="AL4166">
        <v>0</v>
      </c>
      <c r="AM4166" t="s">
        <v>649</v>
      </c>
      <c r="AN4166" t="s">
        <v>649</v>
      </c>
    </row>
    <row r="4167" spans="38:40" x14ac:dyDescent="0.3">
      <c r="AL4167">
        <v>0</v>
      </c>
      <c r="AM4167" t="s">
        <v>649</v>
      </c>
      <c r="AN4167" t="s">
        <v>649</v>
      </c>
    </row>
    <row r="4168" spans="38:40" x14ac:dyDescent="0.3">
      <c r="AL4168">
        <v>0</v>
      </c>
      <c r="AM4168" t="s">
        <v>649</v>
      </c>
      <c r="AN4168" t="s">
        <v>649</v>
      </c>
    </row>
    <row r="4169" spans="38:40" x14ac:dyDescent="0.3">
      <c r="AL4169">
        <v>0</v>
      </c>
      <c r="AM4169" t="s">
        <v>649</v>
      </c>
      <c r="AN4169" t="s">
        <v>649</v>
      </c>
    </row>
    <row r="4170" spans="38:40" x14ac:dyDescent="0.3">
      <c r="AL4170">
        <v>0</v>
      </c>
      <c r="AM4170" t="s">
        <v>649</v>
      </c>
      <c r="AN4170" t="s">
        <v>649</v>
      </c>
    </row>
    <row r="4171" spans="38:40" x14ac:dyDescent="0.3">
      <c r="AL4171">
        <v>0</v>
      </c>
      <c r="AM4171" t="s">
        <v>649</v>
      </c>
      <c r="AN4171" t="s">
        <v>649</v>
      </c>
    </row>
    <row r="4172" spans="38:40" x14ac:dyDescent="0.3">
      <c r="AL4172">
        <v>0</v>
      </c>
      <c r="AM4172" t="s">
        <v>649</v>
      </c>
      <c r="AN4172" t="s">
        <v>649</v>
      </c>
    </row>
    <row r="4173" spans="38:40" x14ac:dyDescent="0.3">
      <c r="AL4173">
        <v>0</v>
      </c>
      <c r="AM4173" t="s">
        <v>649</v>
      </c>
      <c r="AN4173" t="s">
        <v>649</v>
      </c>
    </row>
    <row r="4174" spans="38:40" x14ac:dyDescent="0.3">
      <c r="AL4174">
        <v>0</v>
      </c>
      <c r="AM4174" t="s">
        <v>649</v>
      </c>
      <c r="AN4174" t="s">
        <v>649</v>
      </c>
    </row>
    <row r="4175" spans="38:40" x14ac:dyDescent="0.3">
      <c r="AL4175">
        <v>0</v>
      </c>
      <c r="AM4175" t="s">
        <v>649</v>
      </c>
      <c r="AN4175" t="s">
        <v>649</v>
      </c>
    </row>
    <row r="4176" spans="38:40" x14ac:dyDescent="0.3">
      <c r="AL4176">
        <v>0</v>
      </c>
      <c r="AM4176" t="s">
        <v>649</v>
      </c>
      <c r="AN4176" t="s">
        <v>649</v>
      </c>
    </row>
    <row r="4177" spans="38:40" x14ac:dyDescent="0.3">
      <c r="AL4177">
        <v>0</v>
      </c>
      <c r="AM4177" t="s">
        <v>649</v>
      </c>
      <c r="AN4177" t="s">
        <v>649</v>
      </c>
    </row>
    <row r="4178" spans="38:40" x14ac:dyDescent="0.3">
      <c r="AL4178">
        <v>0</v>
      </c>
      <c r="AM4178" t="s">
        <v>649</v>
      </c>
      <c r="AN4178" t="s">
        <v>649</v>
      </c>
    </row>
    <row r="4179" spans="38:40" x14ac:dyDescent="0.3">
      <c r="AL4179">
        <v>0</v>
      </c>
      <c r="AM4179" t="s">
        <v>649</v>
      </c>
      <c r="AN4179" t="s">
        <v>649</v>
      </c>
    </row>
    <row r="4180" spans="38:40" x14ac:dyDescent="0.3">
      <c r="AL4180">
        <v>0</v>
      </c>
      <c r="AM4180" t="s">
        <v>649</v>
      </c>
      <c r="AN4180" t="s">
        <v>649</v>
      </c>
    </row>
    <row r="4181" spans="38:40" x14ac:dyDescent="0.3">
      <c r="AL4181">
        <v>0</v>
      </c>
      <c r="AM4181" t="s">
        <v>649</v>
      </c>
      <c r="AN4181" t="s">
        <v>649</v>
      </c>
    </row>
    <row r="4182" spans="38:40" x14ac:dyDescent="0.3">
      <c r="AL4182">
        <v>0</v>
      </c>
      <c r="AM4182" t="s">
        <v>649</v>
      </c>
      <c r="AN4182" t="s">
        <v>649</v>
      </c>
    </row>
    <row r="4183" spans="38:40" x14ac:dyDescent="0.3">
      <c r="AL4183">
        <v>0</v>
      </c>
      <c r="AM4183" t="s">
        <v>649</v>
      </c>
      <c r="AN4183" t="s">
        <v>649</v>
      </c>
    </row>
    <row r="4184" spans="38:40" x14ac:dyDescent="0.3">
      <c r="AL4184">
        <v>0</v>
      </c>
      <c r="AM4184" t="s">
        <v>649</v>
      </c>
      <c r="AN4184" t="s">
        <v>649</v>
      </c>
    </row>
    <row r="4185" spans="38:40" x14ac:dyDescent="0.3">
      <c r="AL4185">
        <v>0</v>
      </c>
      <c r="AM4185" t="s">
        <v>649</v>
      </c>
      <c r="AN4185" t="s">
        <v>649</v>
      </c>
    </row>
    <row r="4186" spans="38:40" x14ac:dyDescent="0.3">
      <c r="AL4186">
        <v>0</v>
      </c>
      <c r="AM4186" t="s">
        <v>649</v>
      </c>
      <c r="AN4186" t="s">
        <v>649</v>
      </c>
    </row>
    <row r="4187" spans="38:40" x14ac:dyDescent="0.3">
      <c r="AL4187">
        <v>0</v>
      </c>
      <c r="AM4187" t="s">
        <v>649</v>
      </c>
      <c r="AN4187" t="s">
        <v>649</v>
      </c>
    </row>
    <row r="4188" spans="38:40" x14ac:dyDescent="0.3">
      <c r="AL4188">
        <v>0</v>
      </c>
      <c r="AM4188" t="s">
        <v>649</v>
      </c>
      <c r="AN4188" t="s">
        <v>649</v>
      </c>
    </row>
    <row r="4189" spans="38:40" x14ac:dyDescent="0.3">
      <c r="AL4189">
        <v>0</v>
      </c>
      <c r="AM4189" t="s">
        <v>649</v>
      </c>
      <c r="AN4189" t="s">
        <v>649</v>
      </c>
    </row>
    <row r="4190" spans="38:40" x14ac:dyDescent="0.3">
      <c r="AL4190">
        <v>0</v>
      </c>
      <c r="AM4190" t="s">
        <v>649</v>
      </c>
      <c r="AN4190" t="s">
        <v>649</v>
      </c>
    </row>
    <row r="4191" spans="38:40" x14ac:dyDescent="0.3">
      <c r="AL4191">
        <v>0</v>
      </c>
      <c r="AM4191" t="s">
        <v>649</v>
      </c>
      <c r="AN4191" t="s">
        <v>649</v>
      </c>
    </row>
    <row r="4192" spans="38:40" x14ac:dyDescent="0.3">
      <c r="AL4192">
        <v>0</v>
      </c>
      <c r="AM4192" t="s">
        <v>649</v>
      </c>
      <c r="AN4192" t="s">
        <v>649</v>
      </c>
    </row>
    <row r="4193" spans="38:40" x14ac:dyDescent="0.3">
      <c r="AL4193">
        <v>0</v>
      </c>
      <c r="AM4193" t="s">
        <v>649</v>
      </c>
      <c r="AN4193" t="s">
        <v>649</v>
      </c>
    </row>
    <row r="4194" spans="38:40" x14ac:dyDescent="0.3">
      <c r="AL4194">
        <v>0</v>
      </c>
      <c r="AM4194" t="s">
        <v>649</v>
      </c>
      <c r="AN4194" t="s">
        <v>649</v>
      </c>
    </row>
    <row r="4195" spans="38:40" x14ac:dyDescent="0.3">
      <c r="AL4195">
        <v>0</v>
      </c>
      <c r="AM4195" t="s">
        <v>649</v>
      </c>
      <c r="AN4195" t="s">
        <v>649</v>
      </c>
    </row>
    <row r="4196" spans="38:40" x14ac:dyDescent="0.3">
      <c r="AL4196">
        <v>0</v>
      </c>
      <c r="AM4196" t="s">
        <v>649</v>
      </c>
      <c r="AN4196" t="s">
        <v>649</v>
      </c>
    </row>
    <row r="4197" spans="38:40" x14ac:dyDescent="0.3">
      <c r="AL4197">
        <v>0</v>
      </c>
      <c r="AM4197" t="s">
        <v>649</v>
      </c>
      <c r="AN4197" t="s">
        <v>649</v>
      </c>
    </row>
    <row r="4198" spans="38:40" x14ac:dyDescent="0.3">
      <c r="AL4198">
        <v>0</v>
      </c>
      <c r="AM4198" t="s">
        <v>649</v>
      </c>
      <c r="AN4198" t="s">
        <v>649</v>
      </c>
    </row>
    <row r="4199" spans="38:40" x14ac:dyDescent="0.3">
      <c r="AL4199">
        <v>0</v>
      </c>
      <c r="AM4199" t="s">
        <v>649</v>
      </c>
      <c r="AN4199" t="s">
        <v>649</v>
      </c>
    </row>
    <row r="4200" spans="38:40" x14ac:dyDescent="0.3">
      <c r="AL4200">
        <v>0</v>
      </c>
      <c r="AM4200" t="s">
        <v>649</v>
      </c>
      <c r="AN4200" t="s">
        <v>649</v>
      </c>
    </row>
    <row r="4201" spans="38:40" x14ac:dyDescent="0.3">
      <c r="AL4201">
        <v>0</v>
      </c>
      <c r="AM4201" t="s">
        <v>649</v>
      </c>
      <c r="AN4201" t="s">
        <v>649</v>
      </c>
    </row>
    <row r="4202" spans="38:40" x14ac:dyDescent="0.3">
      <c r="AL4202">
        <v>0</v>
      </c>
      <c r="AM4202" t="s">
        <v>649</v>
      </c>
      <c r="AN4202" t="s">
        <v>649</v>
      </c>
    </row>
    <row r="4203" spans="38:40" x14ac:dyDescent="0.3">
      <c r="AL4203">
        <v>0</v>
      </c>
      <c r="AM4203" t="s">
        <v>649</v>
      </c>
      <c r="AN4203" t="s">
        <v>649</v>
      </c>
    </row>
    <row r="4204" spans="38:40" x14ac:dyDescent="0.3">
      <c r="AL4204">
        <v>0</v>
      </c>
      <c r="AM4204" t="s">
        <v>649</v>
      </c>
      <c r="AN4204" t="s">
        <v>649</v>
      </c>
    </row>
    <row r="4205" spans="38:40" x14ac:dyDescent="0.3">
      <c r="AL4205">
        <v>0</v>
      </c>
      <c r="AM4205" t="s">
        <v>649</v>
      </c>
      <c r="AN4205" t="s">
        <v>649</v>
      </c>
    </row>
    <row r="4206" spans="38:40" x14ac:dyDescent="0.3">
      <c r="AL4206">
        <v>0</v>
      </c>
      <c r="AM4206" t="s">
        <v>649</v>
      </c>
      <c r="AN4206" t="s">
        <v>649</v>
      </c>
    </row>
    <row r="4207" spans="38:40" x14ac:dyDescent="0.3">
      <c r="AL4207">
        <v>0</v>
      </c>
      <c r="AM4207" t="s">
        <v>649</v>
      </c>
      <c r="AN4207" t="s">
        <v>649</v>
      </c>
    </row>
    <row r="4208" spans="38:40" x14ac:dyDescent="0.3">
      <c r="AL4208">
        <v>0</v>
      </c>
      <c r="AM4208" t="s">
        <v>649</v>
      </c>
      <c r="AN4208" t="s">
        <v>649</v>
      </c>
    </row>
    <row r="4209" spans="38:40" x14ac:dyDescent="0.3">
      <c r="AL4209">
        <v>0</v>
      </c>
      <c r="AM4209" t="s">
        <v>649</v>
      </c>
      <c r="AN4209" t="s">
        <v>649</v>
      </c>
    </row>
    <row r="4210" spans="38:40" x14ac:dyDescent="0.3">
      <c r="AL4210">
        <v>0</v>
      </c>
      <c r="AM4210" t="s">
        <v>649</v>
      </c>
      <c r="AN4210" t="s">
        <v>649</v>
      </c>
    </row>
    <row r="4211" spans="38:40" x14ac:dyDescent="0.3">
      <c r="AL4211">
        <v>0</v>
      </c>
      <c r="AM4211" t="s">
        <v>649</v>
      </c>
      <c r="AN4211" t="s">
        <v>649</v>
      </c>
    </row>
    <row r="4212" spans="38:40" x14ac:dyDescent="0.3">
      <c r="AL4212">
        <v>0</v>
      </c>
      <c r="AM4212" t="s">
        <v>649</v>
      </c>
      <c r="AN4212" t="s">
        <v>649</v>
      </c>
    </row>
    <row r="4213" spans="38:40" x14ac:dyDescent="0.3">
      <c r="AL4213">
        <v>0</v>
      </c>
      <c r="AM4213" t="s">
        <v>649</v>
      </c>
      <c r="AN4213" t="s">
        <v>649</v>
      </c>
    </row>
    <row r="4214" spans="38:40" x14ac:dyDescent="0.3">
      <c r="AL4214">
        <v>0</v>
      </c>
      <c r="AM4214" t="s">
        <v>649</v>
      </c>
      <c r="AN4214" t="s">
        <v>649</v>
      </c>
    </row>
    <row r="4215" spans="38:40" x14ac:dyDescent="0.3">
      <c r="AL4215">
        <v>0</v>
      </c>
      <c r="AM4215" t="s">
        <v>649</v>
      </c>
      <c r="AN4215" t="s">
        <v>649</v>
      </c>
    </row>
    <row r="4216" spans="38:40" x14ac:dyDescent="0.3">
      <c r="AL4216">
        <v>0</v>
      </c>
      <c r="AM4216" t="s">
        <v>649</v>
      </c>
      <c r="AN4216" t="s">
        <v>649</v>
      </c>
    </row>
    <row r="4217" spans="38:40" x14ac:dyDescent="0.3">
      <c r="AL4217">
        <v>0</v>
      </c>
      <c r="AM4217" t="s">
        <v>649</v>
      </c>
      <c r="AN4217" t="s">
        <v>649</v>
      </c>
    </row>
    <row r="4218" spans="38:40" x14ac:dyDescent="0.3">
      <c r="AL4218">
        <v>0</v>
      </c>
      <c r="AM4218" t="s">
        <v>649</v>
      </c>
      <c r="AN4218" t="s">
        <v>649</v>
      </c>
    </row>
    <row r="4219" spans="38:40" x14ac:dyDescent="0.3">
      <c r="AL4219">
        <v>0</v>
      </c>
      <c r="AM4219" t="s">
        <v>649</v>
      </c>
      <c r="AN4219" t="s">
        <v>649</v>
      </c>
    </row>
    <row r="4220" spans="38:40" x14ac:dyDescent="0.3">
      <c r="AL4220">
        <v>0</v>
      </c>
      <c r="AM4220" t="s">
        <v>649</v>
      </c>
      <c r="AN4220" t="s">
        <v>649</v>
      </c>
    </row>
    <row r="4221" spans="38:40" x14ac:dyDescent="0.3">
      <c r="AL4221">
        <v>0</v>
      </c>
      <c r="AM4221" t="s">
        <v>649</v>
      </c>
      <c r="AN4221" t="s">
        <v>649</v>
      </c>
    </row>
    <row r="4222" spans="38:40" x14ac:dyDescent="0.3">
      <c r="AL4222">
        <v>0</v>
      </c>
      <c r="AM4222" t="s">
        <v>649</v>
      </c>
      <c r="AN4222" t="s">
        <v>649</v>
      </c>
    </row>
    <row r="4223" spans="38:40" x14ac:dyDescent="0.3">
      <c r="AL4223">
        <v>0</v>
      </c>
      <c r="AM4223" t="s">
        <v>649</v>
      </c>
      <c r="AN4223" t="s">
        <v>649</v>
      </c>
    </row>
    <row r="4224" spans="38:40" x14ac:dyDescent="0.3">
      <c r="AL4224">
        <v>0</v>
      </c>
      <c r="AM4224" t="s">
        <v>649</v>
      </c>
      <c r="AN4224" t="s">
        <v>649</v>
      </c>
    </row>
    <row r="4225" spans="38:40" x14ac:dyDescent="0.3">
      <c r="AL4225">
        <v>0</v>
      </c>
      <c r="AM4225" t="s">
        <v>649</v>
      </c>
      <c r="AN4225" t="s">
        <v>649</v>
      </c>
    </row>
    <row r="4226" spans="38:40" x14ac:dyDescent="0.3">
      <c r="AL4226">
        <v>0</v>
      </c>
      <c r="AM4226" t="s">
        <v>649</v>
      </c>
      <c r="AN4226" t="s">
        <v>649</v>
      </c>
    </row>
    <row r="4227" spans="38:40" x14ac:dyDescent="0.3">
      <c r="AL4227">
        <v>0</v>
      </c>
      <c r="AM4227" t="s">
        <v>649</v>
      </c>
      <c r="AN4227" t="s">
        <v>649</v>
      </c>
    </row>
    <row r="4228" spans="38:40" x14ac:dyDescent="0.3">
      <c r="AL4228">
        <v>0</v>
      </c>
      <c r="AM4228" t="s">
        <v>649</v>
      </c>
      <c r="AN4228" t="s">
        <v>649</v>
      </c>
    </row>
    <row r="4229" spans="38:40" x14ac:dyDescent="0.3">
      <c r="AL4229">
        <v>0</v>
      </c>
      <c r="AM4229" t="s">
        <v>649</v>
      </c>
      <c r="AN4229" t="s">
        <v>649</v>
      </c>
    </row>
    <row r="4230" spans="38:40" x14ac:dyDescent="0.3">
      <c r="AL4230">
        <v>0</v>
      </c>
      <c r="AM4230" t="s">
        <v>649</v>
      </c>
      <c r="AN4230" t="s">
        <v>649</v>
      </c>
    </row>
    <row r="4231" spans="38:40" x14ac:dyDescent="0.3">
      <c r="AL4231">
        <v>0</v>
      </c>
      <c r="AM4231" t="s">
        <v>649</v>
      </c>
      <c r="AN4231" t="s">
        <v>649</v>
      </c>
    </row>
    <row r="4232" spans="38:40" x14ac:dyDescent="0.3">
      <c r="AL4232">
        <v>0</v>
      </c>
      <c r="AM4232" t="s">
        <v>649</v>
      </c>
      <c r="AN4232" t="s">
        <v>649</v>
      </c>
    </row>
    <row r="4233" spans="38:40" x14ac:dyDescent="0.3">
      <c r="AL4233">
        <v>0</v>
      </c>
      <c r="AM4233" t="s">
        <v>649</v>
      </c>
      <c r="AN4233" t="s">
        <v>649</v>
      </c>
    </row>
    <row r="4234" spans="38:40" x14ac:dyDescent="0.3">
      <c r="AL4234">
        <v>0</v>
      </c>
      <c r="AM4234" t="s">
        <v>649</v>
      </c>
      <c r="AN4234" t="s">
        <v>649</v>
      </c>
    </row>
    <row r="4235" spans="38:40" x14ac:dyDescent="0.3">
      <c r="AL4235">
        <v>0</v>
      </c>
      <c r="AM4235" t="s">
        <v>649</v>
      </c>
      <c r="AN4235" t="s">
        <v>649</v>
      </c>
    </row>
    <row r="4236" spans="38:40" x14ac:dyDescent="0.3">
      <c r="AL4236">
        <v>0</v>
      </c>
      <c r="AM4236" t="s">
        <v>649</v>
      </c>
      <c r="AN4236" t="s">
        <v>649</v>
      </c>
    </row>
    <row r="4237" spans="38:40" x14ac:dyDescent="0.3">
      <c r="AL4237">
        <v>0</v>
      </c>
      <c r="AM4237" t="s">
        <v>649</v>
      </c>
      <c r="AN4237" t="s">
        <v>649</v>
      </c>
    </row>
    <row r="4238" spans="38:40" x14ac:dyDescent="0.3">
      <c r="AL4238">
        <v>0</v>
      </c>
      <c r="AM4238" t="s">
        <v>649</v>
      </c>
      <c r="AN4238" t="s">
        <v>649</v>
      </c>
    </row>
    <row r="4239" spans="38:40" x14ac:dyDescent="0.3">
      <c r="AL4239">
        <v>0</v>
      </c>
      <c r="AM4239" t="s">
        <v>649</v>
      </c>
      <c r="AN4239" t="s">
        <v>649</v>
      </c>
    </row>
    <row r="4240" spans="38:40" x14ac:dyDescent="0.3">
      <c r="AL4240">
        <v>0</v>
      </c>
      <c r="AM4240" t="s">
        <v>649</v>
      </c>
      <c r="AN4240" t="s">
        <v>649</v>
      </c>
    </row>
    <row r="4241" spans="38:40" x14ac:dyDescent="0.3">
      <c r="AL4241">
        <v>0</v>
      </c>
      <c r="AM4241" t="s">
        <v>649</v>
      </c>
      <c r="AN4241" t="s">
        <v>649</v>
      </c>
    </row>
    <row r="4242" spans="38:40" x14ac:dyDescent="0.3">
      <c r="AL4242">
        <v>0</v>
      </c>
      <c r="AM4242" t="s">
        <v>649</v>
      </c>
      <c r="AN4242" t="s">
        <v>649</v>
      </c>
    </row>
    <row r="4243" spans="38:40" x14ac:dyDescent="0.3">
      <c r="AL4243">
        <v>0</v>
      </c>
      <c r="AM4243" t="s">
        <v>649</v>
      </c>
      <c r="AN4243" t="s">
        <v>649</v>
      </c>
    </row>
    <row r="4244" spans="38:40" x14ac:dyDescent="0.3">
      <c r="AL4244">
        <v>0</v>
      </c>
      <c r="AM4244" t="s">
        <v>649</v>
      </c>
      <c r="AN4244" t="s">
        <v>649</v>
      </c>
    </row>
    <row r="4245" spans="38:40" x14ac:dyDescent="0.3">
      <c r="AL4245">
        <v>0</v>
      </c>
      <c r="AM4245" t="s">
        <v>649</v>
      </c>
      <c r="AN4245" t="s">
        <v>649</v>
      </c>
    </row>
    <row r="4246" spans="38:40" x14ac:dyDescent="0.3">
      <c r="AL4246">
        <v>0</v>
      </c>
      <c r="AM4246" t="s">
        <v>649</v>
      </c>
      <c r="AN4246" t="s">
        <v>649</v>
      </c>
    </row>
    <row r="4247" spans="38:40" x14ac:dyDescent="0.3">
      <c r="AL4247">
        <v>0</v>
      </c>
      <c r="AM4247" t="s">
        <v>649</v>
      </c>
      <c r="AN4247" t="s">
        <v>649</v>
      </c>
    </row>
    <row r="4248" spans="38:40" x14ac:dyDescent="0.3">
      <c r="AL4248">
        <v>0</v>
      </c>
      <c r="AM4248" t="s">
        <v>649</v>
      </c>
      <c r="AN4248" t="s">
        <v>649</v>
      </c>
    </row>
    <row r="4249" spans="38:40" x14ac:dyDescent="0.3">
      <c r="AL4249">
        <v>0</v>
      </c>
      <c r="AM4249" t="s">
        <v>649</v>
      </c>
      <c r="AN4249" t="s">
        <v>649</v>
      </c>
    </row>
    <row r="4250" spans="38:40" x14ac:dyDescent="0.3">
      <c r="AL4250">
        <v>0</v>
      </c>
      <c r="AM4250" t="s">
        <v>649</v>
      </c>
      <c r="AN4250" t="s">
        <v>649</v>
      </c>
    </row>
    <row r="4251" spans="38:40" x14ac:dyDescent="0.3">
      <c r="AL4251">
        <v>0</v>
      </c>
      <c r="AM4251" t="s">
        <v>649</v>
      </c>
      <c r="AN4251" t="s">
        <v>649</v>
      </c>
    </row>
    <row r="4252" spans="38:40" x14ac:dyDescent="0.3">
      <c r="AL4252">
        <v>0</v>
      </c>
      <c r="AM4252" t="s">
        <v>649</v>
      </c>
      <c r="AN4252" t="s">
        <v>649</v>
      </c>
    </row>
    <row r="4253" spans="38:40" x14ac:dyDescent="0.3">
      <c r="AL4253">
        <v>0</v>
      </c>
      <c r="AM4253" t="s">
        <v>649</v>
      </c>
      <c r="AN4253" t="s">
        <v>649</v>
      </c>
    </row>
    <row r="4254" spans="38:40" x14ac:dyDescent="0.3">
      <c r="AL4254">
        <v>0</v>
      </c>
      <c r="AM4254" t="s">
        <v>649</v>
      </c>
      <c r="AN4254" t="s">
        <v>649</v>
      </c>
    </row>
    <row r="4255" spans="38:40" x14ac:dyDescent="0.3">
      <c r="AL4255">
        <v>0</v>
      </c>
      <c r="AM4255" t="s">
        <v>649</v>
      </c>
      <c r="AN4255" t="s">
        <v>649</v>
      </c>
    </row>
    <row r="4256" spans="38:40" x14ac:dyDescent="0.3">
      <c r="AL4256">
        <v>0</v>
      </c>
      <c r="AM4256" t="s">
        <v>649</v>
      </c>
      <c r="AN4256" t="s">
        <v>649</v>
      </c>
    </row>
    <row r="4257" spans="38:40" x14ac:dyDescent="0.3">
      <c r="AL4257">
        <v>0</v>
      </c>
      <c r="AM4257" t="s">
        <v>649</v>
      </c>
      <c r="AN4257" t="s">
        <v>649</v>
      </c>
    </row>
    <row r="4258" spans="38:40" x14ac:dyDescent="0.3">
      <c r="AL4258">
        <v>0</v>
      </c>
      <c r="AM4258" t="s">
        <v>649</v>
      </c>
      <c r="AN4258" t="s">
        <v>649</v>
      </c>
    </row>
    <row r="4259" spans="38:40" x14ac:dyDescent="0.3">
      <c r="AL4259">
        <v>0</v>
      </c>
      <c r="AM4259" t="s">
        <v>649</v>
      </c>
      <c r="AN4259" t="s">
        <v>649</v>
      </c>
    </row>
    <row r="4260" spans="38:40" x14ac:dyDescent="0.3">
      <c r="AL4260">
        <v>0</v>
      </c>
      <c r="AM4260" t="s">
        <v>649</v>
      </c>
      <c r="AN4260" t="s">
        <v>649</v>
      </c>
    </row>
    <row r="4261" spans="38:40" x14ac:dyDescent="0.3">
      <c r="AL4261">
        <v>0</v>
      </c>
      <c r="AM4261" t="s">
        <v>649</v>
      </c>
      <c r="AN4261" t="s">
        <v>649</v>
      </c>
    </row>
    <row r="4262" spans="38:40" x14ac:dyDescent="0.3">
      <c r="AL4262">
        <v>0</v>
      </c>
      <c r="AM4262" t="s">
        <v>649</v>
      </c>
      <c r="AN4262" t="s">
        <v>649</v>
      </c>
    </row>
    <row r="4263" spans="38:40" x14ac:dyDescent="0.3">
      <c r="AL4263">
        <v>0</v>
      </c>
      <c r="AM4263" t="s">
        <v>649</v>
      </c>
      <c r="AN4263" t="s">
        <v>649</v>
      </c>
    </row>
    <row r="4264" spans="38:40" x14ac:dyDescent="0.3">
      <c r="AL4264">
        <v>0</v>
      </c>
      <c r="AM4264" t="s">
        <v>649</v>
      </c>
      <c r="AN4264" t="s">
        <v>649</v>
      </c>
    </row>
    <row r="4265" spans="38:40" x14ac:dyDescent="0.3">
      <c r="AL4265">
        <v>0</v>
      </c>
      <c r="AM4265" t="s">
        <v>649</v>
      </c>
      <c r="AN4265" t="s">
        <v>649</v>
      </c>
    </row>
    <row r="4266" spans="38:40" x14ac:dyDescent="0.3">
      <c r="AL4266">
        <v>0</v>
      </c>
      <c r="AM4266" t="s">
        <v>649</v>
      </c>
      <c r="AN4266" t="s">
        <v>649</v>
      </c>
    </row>
    <row r="4267" spans="38:40" x14ac:dyDescent="0.3">
      <c r="AL4267">
        <v>0</v>
      </c>
      <c r="AM4267" t="s">
        <v>649</v>
      </c>
      <c r="AN4267" t="s">
        <v>649</v>
      </c>
    </row>
    <row r="4268" spans="38:40" x14ac:dyDescent="0.3">
      <c r="AL4268">
        <v>0</v>
      </c>
      <c r="AM4268" t="s">
        <v>649</v>
      </c>
      <c r="AN4268" t="s">
        <v>649</v>
      </c>
    </row>
    <row r="4269" spans="38:40" x14ac:dyDescent="0.3">
      <c r="AL4269">
        <v>0</v>
      </c>
      <c r="AM4269" t="s">
        <v>649</v>
      </c>
      <c r="AN4269" t="s">
        <v>649</v>
      </c>
    </row>
    <row r="4270" spans="38:40" x14ac:dyDescent="0.3">
      <c r="AL4270">
        <v>0</v>
      </c>
      <c r="AM4270" t="s">
        <v>649</v>
      </c>
      <c r="AN4270" t="s">
        <v>649</v>
      </c>
    </row>
    <row r="4271" spans="38:40" x14ac:dyDescent="0.3">
      <c r="AL4271">
        <v>0</v>
      </c>
      <c r="AM4271" t="s">
        <v>649</v>
      </c>
      <c r="AN4271" t="s">
        <v>649</v>
      </c>
    </row>
    <row r="4272" spans="38:40" x14ac:dyDescent="0.3">
      <c r="AL4272">
        <v>0</v>
      </c>
      <c r="AM4272" t="s">
        <v>649</v>
      </c>
      <c r="AN4272" t="s">
        <v>649</v>
      </c>
    </row>
    <row r="4273" spans="38:40" x14ac:dyDescent="0.3">
      <c r="AL4273">
        <v>0</v>
      </c>
      <c r="AM4273" t="s">
        <v>649</v>
      </c>
      <c r="AN4273" t="s">
        <v>649</v>
      </c>
    </row>
    <row r="4274" spans="38:40" x14ac:dyDescent="0.3">
      <c r="AL4274">
        <v>0</v>
      </c>
      <c r="AM4274" t="s">
        <v>649</v>
      </c>
      <c r="AN4274" t="s">
        <v>649</v>
      </c>
    </row>
    <row r="4275" spans="38:40" x14ac:dyDescent="0.3">
      <c r="AL4275">
        <v>0</v>
      </c>
      <c r="AM4275" t="s">
        <v>649</v>
      </c>
      <c r="AN4275" t="s">
        <v>649</v>
      </c>
    </row>
    <row r="4276" spans="38:40" x14ac:dyDescent="0.3">
      <c r="AL4276">
        <v>0</v>
      </c>
      <c r="AM4276" t="s">
        <v>649</v>
      </c>
      <c r="AN4276" t="s">
        <v>649</v>
      </c>
    </row>
    <row r="4277" spans="38:40" x14ac:dyDescent="0.3">
      <c r="AL4277">
        <v>0</v>
      </c>
      <c r="AM4277" t="s">
        <v>649</v>
      </c>
      <c r="AN4277" t="s">
        <v>649</v>
      </c>
    </row>
    <row r="4278" spans="38:40" x14ac:dyDescent="0.3">
      <c r="AL4278">
        <v>0</v>
      </c>
      <c r="AM4278" t="s">
        <v>649</v>
      </c>
      <c r="AN4278" t="s">
        <v>649</v>
      </c>
    </row>
    <row r="4279" spans="38:40" x14ac:dyDescent="0.3">
      <c r="AL4279">
        <v>0</v>
      </c>
      <c r="AM4279" t="s">
        <v>649</v>
      </c>
      <c r="AN4279" t="s">
        <v>649</v>
      </c>
    </row>
    <row r="4280" spans="38:40" x14ac:dyDescent="0.3">
      <c r="AL4280">
        <v>0</v>
      </c>
      <c r="AM4280" t="s">
        <v>649</v>
      </c>
      <c r="AN4280" t="s">
        <v>649</v>
      </c>
    </row>
    <row r="4281" spans="38:40" x14ac:dyDescent="0.3">
      <c r="AL4281">
        <v>0</v>
      </c>
      <c r="AM4281" t="s">
        <v>649</v>
      </c>
      <c r="AN4281" t="s">
        <v>649</v>
      </c>
    </row>
    <row r="4282" spans="38:40" x14ac:dyDescent="0.3">
      <c r="AL4282">
        <v>0</v>
      </c>
      <c r="AM4282" t="s">
        <v>649</v>
      </c>
      <c r="AN4282" t="s">
        <v>649</v>
      </c>
    </row>
    <row r="4283" spans="38:40" x14ac:dyDescent="0.3">
      <c r="AL4283">
        <v>0</v>
      </c>
      <c r="AM4283" t="s">
        <v>649</v>
      </c>
      <c r="AN4283" t="s">
        <v>649</v>
      </c>
    </row>
    <row r="4284" spans="38:40" x14ac:dyDescent="0.3">
      <c r="AL4284">
        <v>0</v>
      </c>
      <c r="AM4284" t="s">
        <v>649</v>
      </c>
      <c r="AN4284" t="s">
        <v>649</v>
      </c>
    </row>
    <row r="4285" spans="38:40" x14ac:dyDescent="0.3">
      <c r="AL4285">
        <v>0</v>
      </c>
      <c r="AM4285" t="s">
        <v>649</v>
      </c>
      <c r="AN4285" t="s">
        <v>649</v>
      </c>
    </row>
    <row r="4286" spans="38:40" x14ac:dyDescent="0.3">
      <c r="AL4286">
        <v>0</v>
      </c>
      <c r="AM4286" t="s">
        <v>649</v>
      </c>
      <c r="AN4286" t="s">
        <v>649</v>
      </c>
    </row>
    <row r="4287" spans="38:40" x14ac:dyDescent="0.3">
      <c r="AL4287">
        <v>0</v>
      </c>
      <c r="AM4287" t="s">
        <v>649</v>
      </c>
      <c r="AN4287" t="s">
        <v>649</v>
      </c>
    </row>
    <row r="4288" spans="38:40" x14ac:dyDescent="0.3">
      <c r="AL4288">
        <v>0</v>
      </c>
      <c r="AM4288" t="s">
        <v>649</v>
      </c>
      <c r="AN4288" t="s">
        <v>649</v>
      </c>
    </row>
    <row r="4289" spans="38:40" x14ac:dyDescent="0.3">
      <c r="AL4289">
        <v>0</v>
      </c>
      <c r="AM4289" t="s">
        <v>649</v>
      </c>
      <c r="AN4289" t="s">
        <v>649</v>
      </c>
    </row>
    <row r="4290" spans="38:40" x14ac:dyDescent="0.3">
      <c r="AL4290">
        <v>0</v>
      </c>
      <c r="AM4290" t="s">
        <v>649</v>
      </c>
      <c r="AN4290" t="s">
        <v>649</v>
      </c>
    </row>
    <row r="4291" spans="38:40" x14ac:dyDescent="0.3">
      <c r="AL4291">
        <v>0</v>
      </c>
      <c r="AM4291" t="s">
        <v>649</v>
      </c>
      <c r="AN4291" t="s">
        <v>649</v>
      </c>
    </row>
    <row r="4292" spans="38:40" x14ac:dyDescent="0.3">
      <c r="AL4292">
        <v>0</v>
      </c>
      <c r="AM4292" t="s">
        <v>649</v>
      </c>
      <c r="AN4292" t="s">
        <v>649</v>
      </c>
    </row>
    <row r="4293" spans="38:40" x14ac:dyDescent="0.3">
      <c r="AL4293">
        <v>0</v>
      </c>
      <c r="AM4293" t="s">
        <v>649</v>
      </c>
      <c r="AN4293" t="s">
        <v>649</v>
      </c>
    </row>
    <row r="4294" spans="38:40" x14ac:dyDescent="0.3">
      <c r="AL4294">
        <v>0</v>
      </c>
      <c r="AM4294" t="s">
        <v>649</v>
      </c>
      <c r="AN4294" t="s">
        <v>649</v>
      </c>
    </row>
    <row r="4295" spans="38:40" x14ac:dyDescent="0.3">
      <c r="AL4295">
        <v>0</v>
      </c>
      <c r="AM4295" t="s">
        <v>649</v>
      </c>
      <c r="AN4295" t="s">
        <v>649</v>
      </c>
    </row>
    <row r="4296" spans="38:40" x14ac:dyDescent="0.3">
      <c r="AL4296">
        <v>0</v>
      </c>
      <c r="AM4296" t="s">
        <v>649</v>
      </c>
      <c r="AN4296" t="s">
        <v>649</v>
      </c>
    </row>
    <row r="4297" spans="38:40" x14ac:dyDescent="0.3">
      <c r="AL4297">
        <v>0</v>
      </c>
      <c r="AM4297" t="s">
        <v>649</v>
      </c>
      <c r="AN4297" t="s">
        <v>649</v>
      </c>
    </row>
    <row r="4298" spans="38:40" x14ac:dyDescent="0.3">
      <c r="AL4298">
        <v>0</v>
      </c>
      <c r="AM4298" t="s">
        <v>649</v>
      </c>
      <c r="AN4298" t="s">
        <v>649</v>
      </c>
    </row>
    <row r="4299" spans="38:40" x14ac:dyDescent="0.3">
      <c r="AL4299">
        <v>0</v>
      </c>
      <c r="AM4299" t="s">
        <v>649</v>
      </c>
      <c r="AN4299" t="s">
        <v>649</v>
      </c>
    </row>
    <row r="4300" spans="38:40" x14ac:dyDescent="0.3">
      <c r="AL4300">
        <v>0</v>
      </c>
      <c r="AM4300" t="s">
        <v>649</v>
      </c>
      <c r="AN4300" t="s">
        <v>649</v>
      </c>
    </row>
    <row r="4301" spans="38:40" x14ac:dyDescent="0.3">
      <c r="AL4301">
        <v>0</v>
      </c>
      <c r="AM4301" t="s">
        <v>649</v>
      </c>
      <c r="AN4301" t="s">
        <v>649</v>
      </c>
    </row>
    <row r="4302" spans="38:40" x14ac:dyDescent="0.3">
      <c r="AL4302">
        <v>0</v>
      </c>
      <c r="AM4302" t="s">
        <v>649</v>
      </c>
      <c r="AN4302" t="s">
        <v>649</v>
      </c>
    </row>
    <row r="4303" spans="38:40" x14ac:dyDescent="0.3">
      <c r="AL4303">
        <v>0</v>
      </c>
      <c r="AM4303" t="s">
        <v>649</v>
      </c>
      <c r="AN4303" t="s">
        <v>649</v>
      </c>
    </row>
    <row r="4304" spans="38:40" x14ac:dyDescent="0.3">
      <c r="AL4304">
        <v>0</v>
      </c>
      <c r="AM4304" t="s">
        <v>649</v>
      </c>
      <c r="AN4304" t="s">
        <v>649</v>
      </c>
    </row>
    <row r="4305" spans="38:40" x14ac:dyDescent="0.3">
      <c r="AL4305">
        <v>0</v>
      </c>
      <c r="AM4305" t="s">
        <v>649</v>
      </c>
      <c r="AN4305" t="s">
        <v>649</v>
      </c>
    </row>
    <row r="4306" spans="38:40" x14ac:dyDescent="0.3">
      <c r="AL4306">
        <v>0</v>
      </c>
      <c r="AM4306" t="s">
        <v>649</v>
      </c>
      <c r="AN4306" t="s">
        <v>649</v>
      </c>
    </row>
    <row r="4307" spans="38:40" x14ac:dyDescent="0.3">
      <c r="AL4307">
        <v>0</v>
      </c>
      <c r="AM4307" t="s">
        <v>649</v>
      </c>
      <c r="AN4307" t="s">
        <v>649</v>
      </c>
    </row>
    <row r="4308" spans="38:40" x14ac:dyDescent="0.3">
      <c r="AL4308">
        <v>0</v>
      </c>
      <c r="AM4308" t="s">
        <v>649</v>
      </c>
      <c r="AN4308" t="s">
        <v>649</v>
      </c>
    </row>
    <row r="4309" spans="38:40" x14ac:dyDescent="0.3">
      <c r="AL4309">
        <v>0</v>
      </c>
      <c r="AM4309" t="s">
        <v>649</v>
      </c>
      <c r="AN4309" t="s">
        <v>649</v>
      </c>
    </row>
    <row r="4310" spans="38:40" x14ac:dyDescent="0.3">
      <c r="AL4310">
        <v>0</v>
      </c>
      <c r="AM4310" t="s">
        <v>649</v>
      </c>
      <c r="AN4310" t="s">
        <v>649</v>
      </c>
    </row>
    <row r="4311" spans="38:40" x14ac:dyDescent="0.3">
      <c r="AL4311">
        <v>0</v>
      </c>
      <c r="AM4311" t="s">
        <v>649</v>
      </c>
      <c r="AN4311" t="s">
        <v>649</v>
      </c>
    </row>
    <row r="4312" spans="38:40" x14ac:dyDescent="0.3">
      <c r="AL4312">
        <v>0</v>
      </c>
      <c r="AM4312" t="s">
        <v>649</v>
      </c>
      <c r="AN4312" t="s">
        <v>649</v>
      </c>
    </row>
    <row r="4313" spans="38:40" x14ac:dyDescent="0.3">
      <c r="AL4313">
        <v>0</v>
      </c>
      <c r="AM4313" t="s">
        <v>649</v>
      </c>
      <c r="AN4313" t="s">
        <v>649</v>
      </c>
    </row>
    <row r="4314" spans="38:40" x14ac:dyDescent="0.3">
      <c r="AL4314">
        <v>0</v>
      </c>
      <c r="AM4314" t="s">
        <v>649</v>
      </c>
      <c r="AN4314" t="s">
        <v>649</v>
      </c>
    </row>
    <row r="4315" spans="38:40" x14ac:dyDescent="0.3">
      <c r="AL4315">
        <v>0</v>
      </c>
      <c r="AM4315" t="s">
        <v>649</v>
      </c>
      <c r="AN4315" t="s">
        <v>649</v>
      </c>
    </row>
    <row r="4316" spans="38:40" x14ac:dyDescent="0.3">
      <c r="AL4316">
        <v>0</v>
      </c>
      <c r="AM4316" t="s">
        <v>649</v>
      </c>
      <c r="AN4316" t="s">
        <v>649</v>
      </c>
    </row>
    <row r="4317" spans="38:40" x14ac:dyDescent="0.3">
      <c r="AL4317">
        <v>0</v>
      </c>
      <c r="AM4317" t="s">
        <v>649</v>
      </c>
      <c r="AN4317" t="s">
        <v>649</v>
      </c>
    </row>
    <row r="4318" spans="38:40" x14ac:dyDescent="0.3">
      <c r="AL4318">
        <v>0</v>
      </c>
      <c r="AM4318" t="s">
        <v>649</v>
      </c>
      <c r="AN4318" t="s">
        <v>649</v>
      </c>
    </row>
    <row r="4319" spans="38:40" x14ac:dyDescent="0.3">
      <c r="AL4319">
        <v>0</v>
      </c>
      <c r="AM4319" t="s">
        <v>649</v>
      </c>
      <c r="AN4319" t="s">
        <v>649</v>
      </c>
    </row>
    <row r="4320" spans="38:40" x14ac:dyDescent="0.3">
      <c r="AL4320">
        <v>0</v>
      </c>
      <c r="AM4320" t="s">
        <v>649</v>
      </c>
      <c r="AN4320" t="s">
        <v>649</v>
      </c>
    </row>
    <row r="4321" spans="38:40" x14ac:dyDescent="0.3">
      <c r="AL4321">
        <v>0</v>
      </c>
      <c r="AM4321" t="s">
        <v>649</v>
      </c>
      <c r="AN4321" t="s">
        <v>649</v>
      </c>
    </row>
    <row r="4322" spans="38:40" x14ac:dyDescent="0.3">
      <c r="AL4322">
        <v>0</v>
      </c>
      <c r="AM4322" t="s">
        <v>649</v>
      </c>
      <c r="AN4322" t="s">
        <v>649</v>
      </c>
    </row>
    <row r="4323" spans="38:40" x14ac:dyDescent="0.3">
      <c r="AL4323">
        <v>0</v>
      </c>
      <c r="AM4323" t="s">
        <v>649</v>
      </c>
      <c r="AN4323" t="s">
        <v>649</v>
      </c>
    </row>
    <row r="4324" spans="38:40" x14ac:dyDescent="0.3">
      <c r="AL4324">
        <v>0</v>
      </c>
      <c r="AM4324" t="s">
        <v>649</v>
      </c>
      <c r="AN4324" t="s">
        <v>649</v>
      </c>
    </row>
    <row r="4325" spans="38:40" x14ac:dyDescent="0.3">
      <c r="AL4325">
        <v>0</v>
      </c>
      <c r="AM4325" t="s">
        <v>649</v>
      </c>
      <c r="AN4325" t="s">
        <v>649</v>
      </c>
    </row>
    <row r="4326" spans="38:40" x14ac:dyDescent="0.3">
      <c r="AL4326">
        <v>0</v>
      </c>
      <c r="AM4326" t="s">
        <v>649</v>
      </c>
      <c r="AN4326" t="s">
        <v>649</v>
      </c>
    </row>
    <row r="4327" spans="38:40" x14ac:dyDescent="0.3">
      <c r="AL4327">
        <v>0</v>
      </c>
      <c r="AM4327" t="s">
        <v>649</v>
      </c>
      <c r="AN4327" t="s">
        <v>649</v>
      </c>
    </row>
    <row r="4328" spans="38:40" x14ac:dyDescent="0.3">
      <c r="AL4328">
        <v>0</v>
      </c>
      <c r="AM4328" t="s">
        <v>649</v>
      </c>
      <c r="AN4328" t="s">
        <v>649</v>
      </c>
    </row>
    <row r="4329" spans="38:40" x14ac:dyDescent="0.3">
      <c r="AL4329">
        <v>0</v>
      </c>
      <c r="AM4329" t="s">
        <v>649</v>
      </c>
      <c r="AN4329" t="s">
        <v>649</v>
      </c>
    </row>
    <row r="4330" spans="38:40" x14ac:dyDescent="0.3">
      <c r="AL4330">
        <v>0</v>
      </c>
      <c r="AM4330" t="s">
        <v>649</v>
      </c>
      <c r="AN4330" t="s">
        <v>649</v>
      </c>
    </row>
    <row r="4331" spans="38:40" x14ac:dyDescent="0.3">
      <c r="AL4331">
        <v>0</v>
      </c>
      <c r="AM4331" t="s">
        <v>649</v>
      </c>
      <c r="AN4331" t="s">
        <v>649</v>
      </c>
    </row>
    <row r="4332" spans="38:40" x14ac:dyDescent="0.3">
      <c r="AL4332">
        <v>0</v>
      </c>
      <c r="AM4332" t="s">
        <v>649</v>
      </c>
      <c r="AN4332" t="s">
        <v>649</v>
      </c>
    </row>
    <row r="4333" spans="38:40" x14ac:dyDescent="0.3">
      <c r="AL4333">
        <v>0</v>
      </c>
      <c r="AM4333" t="s">
        <v>649</v>
      </c>
      <c r="AN4333" t="s">
        <v>649</v>
      </c>
    </row>
    <row r="4334" spans="38:40" x14ac:dyDescent="0.3">
      <c r="AL4334">
        <v>0</v>
      </c>
      <c r="AM4334" t="s">
        <v>649</v>
      </c>
      <c r="AN4334" t="s">
        <v>649</v>
      </c>
    </row>
    <row r="4335" spans="38:40" x14ac:dyDescent="0.3">
      <c r="AL4335">
        <v>0</v>
      </c>
      <c r="AM4335" t="s">
        <v>649</v>
      </c>
      <c r="AN4335" t="s">
        <v>649</v>
      </c>
    </row>
    <row r="4336" spans="38:40" x14ac:dyDescent="0.3">
      <c r="AL4336">
        <v>0</v>
      </c>
      <c r="AM4336" t="s">
        <v>649</v>
      </c>
      <c r="AN4336" t="s">
        <v>649</v>
      </c>
    </row>
    <row r="4337" spans="38:40" x14ac:dyDescent="0.3">
      <c r="AL4337">
        <v>0</v>
      </c>
      <c r="AM4337" t="s">
        <v>649</v>
      </c>
      <c r="AN4337" t="s">
        <v>649</v>
      </c>
    </row>
    <row r="4338" spans="38:40" x14ac:dyDescent="0.3">
      <c r="AL4338">
        <v>0</v>
      </c>
      <c r="AM4338" t="s">
        <v>649</v>
      </c>
      <c r="AN4338" t="s">
        <v>649</v>
      </c>
    </row>
    <row r="4339" spans="38:40" x14ac:dyDescent="0.3">
      <c r="AL4339">
        <v>0</v>
      </c>
      <c r="AM4339" t="s">
        <v>649</v>
      </c>
      <c r="AN4339" t="s">
        <v>649</v>
      </c>
    </row>
    <row r="4340" spans="38:40" x14ac:dyDescent="0.3">
      <c r="AL4340">
        <v>0</v>
      </c>
      <c r="AM4340" t="s">
        <v>649</v>
      </c>
      <c r="AN4340" t="s">
        <v>649</v>
      </c>
    </row>
    <row r="4341" spans="38:40" x14ac:dyDescent="0.3">
      <c r="AL4341">
        <v>0</v>
      </c>
      <c r="AM4341" t="s">
        <v>649</v>
      </c>
      <c r="AN4341" t="s">
        <v>649</v>
      </c>
    </row>
    <row r="4342" spans="38:40" x14ac:dyDescent="0.3">
      <c r="AL4342">
        <v>0</v>
      </c>
      <c r="AM4342" t="s">
        <v>649</v>
      </c>
      <c r="AN4342" t="s">
        <v>649</v>
      </c>
    </row>
    <row r="4343" spans="38:40" x14ac:dyDescent="0.3">
      <c r="AL4343">
        <v>0</v>
      </c>
      <c r="AM4343" t="s">
        <v>649</v>
      </c>
      <c r="AN4343" t="s">
        <v>649</v>
      </c>
    </row>
    <row r="4344" spans="38:40" x14ac:dyDescent="0.3">
      <c r="AL4344">
        <v>0</v>
      </c>
      <c r="AM4344" t="s">
        <v>649</v>
      </c>
      <c r="AN4344" t="s">
        <v>649</v>
      </c>
    </row>
    <row r="4345" spans="38:40" x14ac:dyDescent="0.3">
      <c r="AL4345">
        <v>0</v>
      </c>
      <c r="AM4345" t="s">
        <v>649</v>
      </c>
      <c r="AN4345" t="s">
        <v>649</v>
      </c>
    </row>
    <row r="4346" spans="38:40" x14ac:dyDescent="0.3">
      <c r="AL4346">
        <v>0</v>
      </c>
      <c r="AM4346" t="s">
        <v>649</v>
      </c>
      <c r="AN4346" t="s">
        <v>649</v>
      </c>
    </row>
    <row r="4347" spans="38:40" x14ac:dyDescent="0.3">
      <c r="AL4347">
        <v>0</v>
      </c>
      <c r="AM4347" t="s">
        <v>649</v>
      </c>
      <c r="AN4347" t="s">
        <v>649</v>
      </c>
    </row>
    <row r="4348" spans="38:40" x14ac:dyDescent="0.3">
      <c r="AL4348">
        <v>0</v>
      </c>
      <c r="AM4348" t="s">
        <v>649</v>
      </c>
      <c r="AN4348" t="s">
        <v>649</v>
      </c>
    </row>
    <row r="4349" spans="38:40" x14ac:dyDescent="0.3">
      <c r="AL4349">
        <v>0</v>
      </c>
      <c r="AM4349" t="s">
        <v>649</v>
      </c>
      <c r="AN4349" t="s">
        <v>649</v>
      </c>
    </row>
    <row r="4350" spans="38:40" x14ac:dyDescent="0.3">
      <c r="AL4350">
        <v>0</v>
      </c>
      <c r="AM4350" t="s">
        <v>649</v>
      </c>
      <c r="AN4350" t="s">
        <v>649</v>
      </c>
    </row>
    <row r="4351" spans="38:40" x14ac:dyDescent="0.3">
      <c r="AL4351">
        <v>0</v>
      </c>
      <c r="AM4351" t="s">
        <v>649</v>
      </c>
      <c r="AN4351" t="s">
        <v>649</v>
      </c>
    </row>
    <row r="4352" spans="38:40" x14ac:dyDescent="0.3">
      <c r="AL4352">
        <v>0</v>
      </c>
      <c r="AM4352" t="s">
        <v>649</v>
      </c>
      <c r="AN4352" t="s">
        <v>649</v>
      </c>
    </row>
    <row r="4353" spans="38:40" x14ac:dyDescent="0.3">
      <c r="AL4353">
        <v>0</v>
      </c>
      <c r="AM4353" t="s">
        <v>649</v>
      </c>
      <c r="AN4353" t="s">
        <v>649</v>
      </c>
    </row>
    <row r="4354" spans="38:40" x14ac:dyDescent="0.3">
      <c r="AL4354">
        <v>0</v>
      </c>
      <c r="AM4354" t="s">
        <v>649</v>
      </c>
      <c r="AN4354" t="s">
        <v>649</v>
      </c>
    </row>
    <row r="4355" spans="38:40" x14ac:dyDescent="0.3">
      <c r="AL4355">
        <v>0</v>
      </c>
      <c r="AM4355" t="s">
        <v>649</v>
      </c>
      <c r="AN4355" t="s">
        <v>649</v>
      </c>
    </row>
    <row r="4356" spans="38:40" x14ac:dyDescent="0.3">
      <c r="AL4356">
        <v>0</v>
      </c>
      <c r="AM4356" t="s">
        <v>649</v>
      </c>
      <c r="AN4356" t="s">
        <v>649</v>
      </c>
    </row>
    <row r="4357" spans="38:40" x14ac:dyDescent="0.3">
      <c r="AL4357">
        <v>0</v>
      </c>
      <c r="AM4357" t="s">
        <v>649</v>
      </c>
      <c r="AN4357" t="s">
        <v>649</v>
      </c>
    </row>
    <row r="4358" spans="38:40" x14ac:dyDescent="0.3">
      <c r="AL4358">
        <v>0</v>
      </c>
      <c r="AM4358" t="s">
        <v>649</v>
      </c>
      <c r="AN4358" t="s">
        <v>649</v>
      </c>
    </row>
    <row r="4359" spans="38:40" x14ac:dyDescent="0.3">
      <c r="AL4359">
        <v>0</v>
      </c>
      <c r="AM4359" t="s">
        <v>649</v>
      </c>
      <c r="AN4359" t="s">
        <v>649</v>
      </c>
    </row>
    <row r="4360" spans="38:40" x14ac:dyDescent="0.3">
      <c r="AL4360">
        <v>0</v>
      </c>
      <c r="AM4360" t="s">
        <v>649</v>
      </c>
      <c r="AN4360" t="s">
        <v>649</v>
      </c>
    </row>
    <row r="4361" spans="38:40" x14ac:dyDescent="0.3">
      <c r="AL4361">
        <v>0</v>
      </c>
      <c r="AM4361" t="s">
        <v>649</v>
      </c>
      <c r="AN4361" t="s">
        <v>649</v>
      </c>
    </row>
    <row r="4362" spans="38:40" x14ac:dyDescent="0.3">
      <c r="AL4362">
        <v>0</v>
      </c>
      <c r="AM4362" t="s">
        <v>649</v>
      </c>
      <c r="AN4362" t="s">
        <v>649</v>
      </c>
    </row>
    <row r="4363" spans="38:40" x14ac:dyDescent="0.3">
      <c r="AL4363">
        <v>0</v>
      </c>
      <c r="AM4363" t="s">
        <v>649</v>
      </c>
      <c r="AN4363" t="s">
        <v>649</v>
      </c>
    </row>
    <row r="4364" spans="38:40" x14ac:dyDescent="0.3">
      <c r="AL4364">
        <v>0</v>
      </c>
      <c r="AM4364" t="s">
        <v>649</v>
      </c>
      <c r="AN4364" t="s">
        <v>649</v>
      </c>
    </row>
    <row r="4365" spans="38:40" x14ac:dyDescent="0.3">
      <c r="AL4365">
        <v>0</v>
      </c>
      <c r="AM4365" t="s">
        <v>649</v>
      </c>
      <c r="AN4365" t="s">
        <v>649</v>
      </c>
    </row>
    <row r="4366" spans="38:40" x14ac:dyDescent="0.3">
      <c r="AL4366">
        <v>0</v>
      </c>
      <c r="AM4366" t="s">
        <v>649</v>
      </c>
      <c r="AN4366" t="s">
        <v>649</v>
      </c>
    </row>
    <row r="4367" spans="38:40" x14ac:dyDescent="0.3">
      <c r="AL4367">
        <v>0</v>
      </c>
      <c r="AM4367" t="s">
        <v>649</v>
      </c>
      <c r="AN4367" t="s">
        <v>649</v>
      </c>
    </row>
    <row r="4368" spans="38:40" x14ac:dyDescent="0.3">
      <c r="AL4368">
        <v>0</v>
      </c>
      <c r="AM4368" t="s">
        <v>649</v>
      </c>
      <c r="AN4368" t="s">
        <v>649</v>
      </c>
    </row>
    <row r="4369" spans="38:40" x14ac:dyDescent="0.3">
      <c r="AL4369">
        <v>0</v>
      </c>
      <c r="AM4369" t="s">
        <v>649</v>
      </c>
      <c r="AN4369" t="s">
        <v>649</v>
      </c>
    </row>
    <row r="4370" spans="38:40" x14ac:dyDescent="0.3">
      <c r="AL4370">
        <v>0</v>
      </c>
      <c r="AM4370" t="s">
        <v>649</v>
      </c>
      <c r="AN4370" t="s">
        <v>649</v>
      </c>
    </row>
    <row r="4371" spans="38:40" x14ac:dyDescent="0.3">
      <c r="AL4371">
        <v>0</v>
      </c>
      <c r="AM4371" t="s">
        <v>649</v>
      </c>
      <c r="AN4371" t="s">
        <v>649</v>
      </c>
    </row>
    <row r="4372" spans="38:40" x14ac:dyDescent="0.3">
      <c r="AL4372">
        <v>0</v>
      </c>
      <c r="AM4372" t="s">
        <v>649</v>
      </c>
      <c r="AN4372" t="s">
        <v>649</v>
      </c>
    </row>
    <row r="4373" spans="38:40" x14ac:dyDescent="0.3">
      <c r="AL4373">
        <v>0</v>
      </c>
      <c r="AM4373" t="s">
        <v>649</v>
      </c>
      <c r="AN4373" t="s">
        <v>649</v>
      </c>
    </row>
    <row r="4374" spans="38:40" x14ac:dyDescent="0.3">
      <c r="AL4374">
        <v>0</v>
      </c>
      <c r="AM4374" t="s">
        <v>649</v>
      </c>
      <c r="AN4374" t="s">
        <v>649</v>
      </c>
    </row>
    <row r="4375" spans="38:40" x14ac:dyDescent="0.3">
      <c r="AL4375">
        <v>0</v>
      </c>
      <c r="AM4375" t="s">
        <v>649</v>
      </c>
      <c r="AN4375" t="s">
        <v>649</v>
      </c>
    </row>
    <row r="4376" spans="38:40" x14ac:dyDescent="0.3">
      <c r="AL4376">
        <v>0</v>
      </c>
      <c r="AM4376" t="s">
        <v>649</v>
      </c>
      <c r="AN4376" t="s">
        <v>649</v>
      </c>
    </row>
    <row r="4377" spans="38:40" x14ac:dyDescent="0.3">
      <c r="AL4377">
        <v>0</v>
      </c>
      <c r="AM4377" t="s">
        <v>649</v>
      </c>
      <c r="AN4377" t="s">
        <v>649</v>
      </c>
    </row>
    <row r="4378" spans="38:40" x14ac:dyDescent="0.3">
      <c r="AL4378">
        <v>0</v>
      </c>
      <c r="AM4378" t="s">
        <v>649</v>
      </c>
      <c r="AN4378" t="s">
        <v>649</v>
      </c>
    </row>
    <row r="4379" spans="38:40" x14ac:dyDescent="0.3">
      <c r="AL4379">
        <v>0</v>
      </c>
      <c r="AM4379" t="s">
        <v>649</v>
      </c>
      <c r="AN4379" t="s">
        <v>649</v>
      </c>
    </row>
    <row r="4380" spans="38:40" x14ac:dyDescent="0.3">
      <c r="AL4380">
        <v>0</v>
      </c>
      <c r="AM4380" t="s">
        <v>649</v>
      </c>
      <c r="AN4380" t="s">
        <v>649</v>
      </c>
    </row>
    <row r="4381" spans="38:40" x14ac:dyDescent="0.3">
      <c r="AL4381">
        <v>0</v>
      </c>
      <c r="AM4381" t="s">
        <v>649</v>
      </c>
      <c r="AN4381" t="s">
        <v>649</v>
      </c>
    </row>
    <row r="4382" spans="38:40" x14ac:dyDescent="0.3">
      <c r="AL4382">
        <v>0</v>
      </c>
      <c r="AM4382" t="s">
        <v>649</v>
      </c>
      <c r="AN4382" t="s">
        <v>649</v>
      </c>
    </row>
    <row r="4383" spans="38:40" x14ac:dyDescent="0.3">
      <c r="AL4383">
        <v>0</v>
      </c>
      <c r="AM4383" t="s">
        <v>649</v>
      </c>
      <c r="AN4383" t="s">
        <v>649</v>
      </c>
    </row>
    <row r="4384" spans="38:40" x14ac:dyDescent="0.3">
      <c r="AL4384">
        <v>0</v>
      </c>
      <c r="AM4384" t="s">
        <v>649</v>
      </c>
      <c r="AN4384" t="s">
        <v>649</v>
      </c>
    </row>
    <row r="4385" spans="38:40" x14ac:dyDescent="0.3">
      <c r="AL4385">
        <v>0</v>
      </c>
      <c r="AM4385" t="s">
        <v>649</v>
      </c>
      <c r="AN4385" t="s">
        <v>649</v>
      </c>
    </row>
    <row r="4386" spans="38:40" x14ac:dyDescent="0.3">
      <c r="AL4386">
        <v>0</v>
      </c>
      <c r="AM4386" t="s">
        <v>649</v>
      </c>
      <c r="AN4386" t="s">
        <v>649</v>
      </c>
    </row>
    <row r="4387" spans="38:40" x14ac:dyDescent="0.3">
      <c r="AL4387">
        <v>0</v>
      </c>
      <c r="AM4387" t="s">
        <v>649</v>
      </c>
      <c r="AN4387" t="s">
        <v>649</v>
      </c>
    </row>
    <row r="4388" spans="38:40" x14ac:dyDescent="0.3">
      <c r="AL4388">
        <v>0</v>
      </c>
      <c r="AM4388" t="s">
        <v>649</v>
      </c>
      <c r="AN4388" t="s">
        <v>649</v>
      </c>
    </row>
    <row r="4389" spans="38:40" x14ac:dyDescent="0.3">
      <c r="AL4389">
        <v>0</v>
      </c>
      <c r="AM4389" t="s">
        <v>649</v>
      </c>
      <c r="AN4389" t="s">
        <v>649</v>
      </c>
    </row>
    <row r="4390" spans="38:40" x14ac:dyDescent="0.3">
      <c r="AL4390">
        <v>0</v>
      </c>
      <c r="AM4390" t="s">
        <v>649</v>
      </c>
      <c r="AN4390" t="s">
        <v>649</v>
      </c>
    </row>
    <row r="4391" spans="38:40" x14ac:dyDescent="0.3">
      <c r="AL4391">
        <v>0</v>
      </c>
      <c r="AM4391" t="s">
        <v>649</v>
      </c>
      <c r="AN4391" t="s">
        <v>649</v>
      </c>
    </row>
    <row r="4392" spans="38:40" x14ac:dyDescent="0.3">
      <c r="AL4392">
        <v>0</v>
      </c>
      <c r="AM4392" t="s">
        <v>649</v>
      </c>
      <c r="AN4392" t="s">
        <v>649</v>
      </c>
    </row>
    <row r="4393" spans="38:40" x14ac:dyDescent="0.3">
      <c r="AL4393">
        <v>0</v>
      </c>
      <c r="AM4393" t="s">
        <v>649</v>
      </c>
      <c r="AN4393" t="s">
        <v>649</v>
      </c>
    </row>
    <row r="4394" spans="38:40" x14ac:dyDescent="0.3">
      <c r="AL4394">
        <v>0</v>
      </c>
      <c r="AM4394" t="s">
        <v>649</v>
      </c>
      <c r="AN4394" t="s">
        <v>649</v>
      </c>
    </row>
    <row r="4395" spans="38:40" x14ac:dyDescent="0.3">
      <c r="AL4395">
        <v>0</v>
      </c>
      <c r="AM4395" t="s">
        <v>649</v>
      </c>
      <c r="AN4395" t="s">
        <v>649</v>
      </c>
    </row>
    <row r="4396" spans="38:40" x14ac:dyDescent="0.3">
      <c r="AL4396">
        <v>0</v>
      </c>
      <c r="AM4396" t="s">
        <v>649</v>
      </c>
      <c r="AN4396" t="s">
        <v>649</v>
      </c>
    </row>
    <row r="4397" spans="38:40" x14ac:dyDescent="0.3">
      <c r="AL4397">
        <v>0</v>
      </c>
      <c r="AM4397" t="s">
        <v>649</v>
      </c>
      <c r="AN4397" t="s">
        <v>649</v>
      </c>
    </row>
    <row r="4398" spans="38:40" x14ac:dyDescent="0.3">
      <c r="AL4398">
        <v>0</v>
      </c>
      <c r="AM4398" t="s">
        <v>649</v>
      </c>
      <c r="AN4398" t="s">
        <v>649</v>
      </c>
    </row>
    <row r="4399" spans="38:40" x14ac:dyDescent="0.3">
      <c r="AL4399">
        <v>0</v>
      </c>
      <c r="AM4399" t="s">
        <v>649</v>
      </c>
      <c r="AN4399" t="s">
        <v>649</v>
      </c>
    </row>
    <row r="4400" spans="38:40" x14ac:dyDescent="0.3">
      <c r="AL4400">
        <v>0</v>
      </c>
      <c r="AM4400" t="s">
        <v>649</v>
      </c>
      <c r="AN4400" t="s">
        <v>649</v>
      </c>
    </row>
    <row r="4401" spans="38:40" x14ac:dyDescent="0.3">
      <c r="AL4401">
        <v>0</v>
      </c>
      <c r="AM4401" t="s">
        <v>649</v>
      </c>
      <c r="AN4401" t="s">
        <v>649</v>
      </c>
    </row>
    <row r="4402" spans="38:40" x14ac:dyDescent="0.3">
      <c r="AL4402">
        <v>0</v>
      </c>
      <c r="AM4402" t="s">
        <v>649</v>
      </c>
      <c r="AN4402" t="s">
        <v>649</v>
      </c>
    </row>
    <row r="4403" spans="38:40" x14ac:dyDescent="0.3">
      <c r="AL4403">
        <v>0</v>
      </c>
      <c r="AM4403" t="s">
        <v>649</v>
      </c>
      <c r="AN4403" t="s">
        <v>649</v>
      </c>
    </row>
    <row r="4404" spans="38:40" x14ac:dyDescent="0.3">
      <c r="AL4404">
        <v>0</v>
      </c>
      <c r="AM4404" t="s">
        <v>649</v>
      </c>
      <c r="AN4404" t="s">
        <v>649</v>
      </c>
    </row>
    <row r="4405" spans="38:40" x14ac:dyDescent="0.3">
      <c r="AL4405">
        <v>0</v>
      </c>
      <c r="AM4405" t="s">
        <v>649</v>
      </c>
      <c r="AN4405" t="s">
        <v>649</v>
      </c>
    </row>
    <row r="4406" spans="38:40" x14ac:dyDescent="0.3">
      <c r="AL4406">
        <v>0</v>
      </c>
      <c r="AM4406" t="s">
        <v>649</v>
      </c>
      <c r="AN4406" t="s">
        <v>649</v>
      </c>
    </row>
    <row r="4407" spans="38:40" x14ac:dyDescent="0.3">
      <c r="AL4407">
        <v>0</v>
      </c>
      <c r="AM4407" t="s">
        <v>649</v>
      </c>
      <c r="AN4407" t="s">
        <v>649</v>
      </c>
    </row>
    <row r="4408" spans="38:40" x14ac:dyDescent="0.3">
      <c r="AL4408">
        <v>0</v>
      </c>
      <c r="AM4408" t="s">
        <v>649</v>
      </c>
      <c r="AN4408" t="s">
        <v>649</v>
      </c>
    </row>
    <row r="4409" spans="38:40" x14ac:dyDescent="0.3">
      <c r="AL4409">
        <v>0</v>
      </c>
      <c r="AM4409" t="s">
        <v>649</v>
      </c>
      <c r="AN4409" t="s">
        <v>649</v>
      </c>
    </row>
    <row r="4410" spans="38:40" x14ac:dyDescent="0.3">
      <c r="AL4410">
        <v>0</v>
      </c>
      <c r="AM4410" t="s">
        <v>649</v>
      </c>
      <c r="AN4410" t="s">
        <v>649</v>
      </c>
    </row>
    <row r="4411" spans="38:40" x14ac:dyDescent="0.3">
      <c r="AL4411">
        <v>0</v>
      </c>
      <c r="AM4411" t="s">
        <v>649</v>
      </c>
      <c r="AN4411" t="s">
        <v>649</v>
      </c>
    </row>
    <row r="4412" spans="38:40" x14ac:dyDescent="0.3">
      <c r="AL4412">
        <v>0</v>
      </c>
      <c r="AM4412" t="s">
        <v>649</v>
      </c>
      <c r="AN4412" t="s">
        <v>649</v>
      </c>
    </row>
    <row r="4413" spans="38:40" x14ac:dyDescent="0.3">
      <c r="AL4413">
        <v>0</v>
      </c>
      <c r="AM4413" t="s">
        <v>649</v>
      </c>
      <c r="AN4413" t="s">
        <v>649</v>
      </c>
    </row>
    <row r="4414" spans="38:40" x14ac:dyDescent="0.3">
      <c r="AL4414">
        <v>0</v>
      </c>
      <c r="AM4414" t="s">
        <v>649</v>
      </c>
      <c r="AN4414" t="s">
        <v>649</v>
      </c>
    </row>
    <row r="4415" spans="38:40" x14ac:dyDescent="0.3">
      <c r="AL4415">
        <v>0</v>
      </c>
      <c r="AM4415" t="s">
        <v>649</v>
      </c>
      <c r="AN4415" t="s">
        <v>649</v>
      </c>
    </row>
    <row r="4416" spans="38:40" x14ac:dyDescent="0.3">
      <c r="AL4416">
        <v>0</v>
      </c>
      <c r="AM4416" t="s">
        <v>649</v>
      </c>
      <c r="AN4416" t="s">
        <v>649</v>
      </c>
    </row>
    <row r="4417" spans="38:40" x14ac:dyDescent="0.3">
      <c r="AL4417">
        <v>0</v>
      </c>
      <c r="AM4417" t="s">
        <v>649</v>
      </c>
      <c r="AN4417" t="s">
        <v>649</v>
      </c>
    </row>
    <row r="4418" spans="38:40" x14ac:dyDescent="0.3">
      <c r="AL4418">
        <v>0</v>
      </c>
      <c r="AM4418" t="s">
        <v>649</v>
      </c>
      <c r="AN4418" t="s">
        <v>649</v>
      </c>
    </row>
    <row r="4419" spans="38:40" x14ac:dyDescent="0.3">
      <c r="AL4419">
        <v>0</v>
      </c>
      <c r="AM4419" t="s">
        <v>649</v>
      </c>
      <c r="AN4419" t="s">
        <v>649</v>
      </c>
    </row>
    <row r="4420" spans="38:40" x14ac:dyDescent="0.3">
      <c r="AL4420">
        <v>0</v>
      </c>
      <c r="AM4420" t="s">
        <v>649</v>
      </c>
      <c r="AN4420" t="s">
        <v>649</v>
      </c>
    </row>
    <row r="4421" spans="38:40" x14ac:dyDescent="0.3">
      <c r="AL4421">
        <v>0</v>
      </c>
      <c r="AM4421" t="s">
        <v>649</v>
      </c>
      <c r="AN4421" t="s">
        <v>649</v>
      </c>
    </row>
    <row r="4422" spans="38:40" x14ac:dyDescent="0.3">
      <c r="AL4422">
        <v>0</v>
      </c>
      <c r="AM4422" t="s">
        <v>649</v>
      </c>
      <c r="AN4422" t="s">
        <v>649</v>
      </c>
    </row>
    <row r="4423" spans="38:40" x14ac:dyDescent="0.3">
      <c r="AL4423">
        <v>0</v>
      </c>
      <c r="AM4423" t="s">
        <v>649</v>
      </c>
      <c r="AN4423" t="s">
        <v>649</v>
      </c>
    </row>
    <row r="4424" spans="38:40" x14ac:dyDescent="0.3">
      <c r="AL4424">
        <v>0</v>
      </c>
      <c r="AM4424" t="s">
        <v>649</v>
      </c>
      <c r="AN4424" t="s">
        <v>649</v>
      </c>
    </row>
    <row r="4425" spans="38:40" x14ac:dyDescent="0.3">
      <c r="AL4425">
        <v>0</v>
      </c>
      <c r="AM4425" t="s">
        <v>649</v>
      </c>
      <c r="AN4425" t="s">
        <v>649</v>
      </c>
    </row>
    <row r="4426" spans="38:40" x14ac:dyDescent="0.3">
      <c r="AL4426">
        <v>0</v>
      </c>
      <c r="AM4426" t="s">
        <v>649</v>
      </c>
      <c r="AN4426" t="s">
        <v>649</v>
      </c>
    </row>
    <row r="4427" spans="38:40" x14ac:dyDescent="0.3">
      <c r="AL4427">
        <v>0</v>
      </c>
      <c r="AM4427" t="s">
        <v>649</v>
      </c>
      <c r="AN4427" t="s">
        <v>649</v>
      </c>
    </row>
    <row r="4428" spans="38:40" x14ac:dyDescent="0.3">
      <c r="AL4428">
        <v>0</v>
      </c>
      <c r="AM4428" t="s">
        <v>649</v>
      </c>
      <c r="AN4428" t="s">
        <v>649</v>
      </c>
    </row>
    <row r="4429" spans="38:40" x14ac:dyDescent="0.3">
      <c r="AL4429">
        <v>0</v>
      </c>
      <c r="AM4429" t="s">
        <v>649</v>
      </c>
      <c r="AN4429" t="s">
        <v>649</v>
      </c>
    </row>
    <row r="4430" spans="38:40" x14ac:dyDescent="0.3">
      <c r="AL4430">
        <v>0</v>
      </c>
      <c r="AM4430" t="s">
        <v>649</v>
      </c>
      <c r="AN4430" t="s">
        <v>649</v>
      </c>
    </row>
    <row r="4431" spans="38:40" x14ac:dyDescent="0.3">
      <c r="AL4431">
        <v>0</v>
      </c>
      <c r="AM4431" t="s">
        <v>649</v>
      </c>
      <c r="AN4431" t="s">
        <v>649</v>
      </c>
    </row>
    <row r="4432" spans="38:40" x14ac:dyDescent="0.3">
      <c r="AL4432">
        <v>0</v>
      </c>
      <c r="AM4432" t="s">
        <v>649</v>
      </c>
      <c r="AN4432" t="s">
        <v>649</v>
      </c>
    </row>
    <row r="4433" spans="38:40" x14ac:dyDescent="0.3">
      <c r="AL4433">
        <v>0</v>
      </c>
      <c r="AM4433" t="s">
        <v>649</v>
      </c>
      <c r="AN4433" t="s">
        <v>649</v>
      </c>
    </row>
    <row r="4434" spans="38:40" x14ac:dyDescent="0.3">
      <c r="AL4434">
        <v>0</v>
      </c>
      <c r="AM4434" t="s">
        <v>649</v>
      </c>
      <c r="AN4434" t="s">
        <v>649</v>
      </c>
    </row>
    <row r="4435" spans="38:40" x14ac:dyDescent="0.3">
      <c r="AL4435">
        <v>0</v>
      </c>
      <c r="AM4435" t="s">
        <v>649</v>
      </c>
      <c r="AN4435" t="s">
        <v>649</v>
      </c>
    </row>
    <row r="4436" spans="38:40" x14ac:dyDescent="0.3">
      <c r="AL4436">
        <v>0</v>
      </c>
      <c r="AM4436" t="s">
        <v>649</v>
      </c>
      <c r="AN4436" t="s">
        <v>649</v>
      </c>
    </row>
    <row r="4437" spans="38:40" x14ac:dyDescent="0.3">
      <c r="AL4437">
        <v>0</v>
      </c>
      <c r="AM4437" t="s">
        <v>649</v>
      </c>
      <c r="AN4437" t="s">
        <v>649</v>
      </c>
    </row>
    <row r="4438" spans="38:40" x14ac:dyDescent="0.3">
      <c r="AL4438">
        <v>0</v>
      </c>
      <c r="AM4438" t="s">
        <v>649</v>
      </c>
      <c r="AN4438" t="s">
        <v>649</v>
      </c>
    </row>
    <row r="4439" spans="38:40" x14ac:dyDescent="0.3">
      <c r="AL4439">
        <v>0</v>
      </c>
      <c r="AM4439" t="s">
        <v>649</v>
      </c>
      <c r="AN4439" t="s">
        <v>649</v>
      </c>
    </row>
    <row r="4440" spans="38:40" x14ac:dyDescent="0.3">
      <c r="AL4440">
        <v>0</v>
      </c>
      <c r="AM4440" t="s">
        <v>649</v>
      </c>
      <c r="AN4440" t="s">
        <v>649</v>
      </c>
    </row>
    <row r="4441" spans="38:40" x14ac:dyDescent="0.3">
      <c r="AL4441">
        <v>0</v>
      </c>
      <c r="AM4441" t="s">
        <v>649</v>
      </c>
      <c r="AN4441" t="s">
        <v>649</v>
      </c>
    </row>
    <row r="4442" spans="38:40" x14ac:dyDescent="0.3">
      <c r="AL4442">
        <v>0</v>
      </c>
      <c r="AM4442" t="s">
        <v>649</v>
      </c>
      <c r="AN4442" t="s">
        <v>649</v>
      </c>
    </row>
    <row r="4443" spans="38:40" x14ac:dyDescent="0.3">
      <c r="AL4443">
        <v>0</v>
      </c>
      <c r="AM4443" t="s">
        <v>649</v>
      </c>
      <c r="AN4443" t="s">
        <v>649</v>
      </c>
    </row>
    <row r="4444" spans="38:40" x14ac:dyDescent="0.3">
      <c r="AL4444">
        <v>0</v>
      </c>
      <c r="AM4444" t="s">
        <v>649</v>
      </c>
      <c r="AN4444" t="s">
        <v>649</v>
      </c>
    </row>
    <row r="4445" spans="38:40" x14ac:dyDescent="0.3">
      <c r="AL4445">
        <v>0</v>
      </c>
      <c r="AM4445" t="s">
        <v>649</v>
      </c>
      <c r="AN4445" t="s">
        <v>649</v>
      </c>
    </row>
    <row r="4446" spans="38:40" x14ac:dyDescent="0.3">
      <c r="AL4446">
        <v>0</v>
      </c>
      <c r="AM4446" t="s">
        <v>649</v>
      </c>
      <c r="AN4446" t="s">
        <v>649</v>
      </c>
    </row>
    <row r="4447" spans="38:40" x14ac:dyDescent="0.3">
      <c r="AL4447">
        <v>0</v>
      </c>
      <c r="AM4447" t="s">
        <v>649</v>
      </c>
      <c r="AN4447" t="s">
        <v>649</v>
      </c>
    </row>
    <row r="4448" spans="38:40" x14ac:dyDescent="0.3">
      <c r="AL4448">
        <v>0</v>
      </c>
      <c r="AM4448" t="s">
        <v>649</v>
      </c>
      <c r="AN4448" t="s">
        <v>649</v>
      </c>
    </row>
    <row r="4449" spans="38:40" x14ac:dyDescent="0.3">
      <c r="AL4449">
        <v>0</v>
      </c>
      <c r="AM4449" t="s">
        <v>649</v>
      </c>
      <c r="AN4449" t="s">
        <v>649</v>
      </c>
    </row>
    <row r="4450" spans="38:40" x14ac:dyDescent="0.3">
      <c r="AL4450">
        <v>0</v>
      </c>
      <c r="AM4450" t="s">
        <v>649</v>
      </c>
      <c r="AN4450" t="s">
        <v>649</v>
      </c>
    </row>
    <row r="4451" spans="38:40" x14ac:dyDescent="0.3">
      <c r="AL4451">
        <v>0</v>
      </c>
      <c r="AM4451" t="s">
        <v>649</v>
      </c>
      <c r="AN4451" t="s">
        <v>649</v>
      </c>
    </row>
    <row r="4452" spans="38:40" x14ac:dyDescent="0.3">
      <c r="AL4452">
        <v>0</v>
      </c>
      <c r="AM4452" t="s">
        <v>649</v>
      </c>
      <c r="AN4452" t="s">
        <v>649</v>
      </c>
    </row>
    <row r="4453" spans="38:40" x14ac:dyDescent="0.3">
      <c r="AL4453">
        <v>0</v>
      </c>
      <c r="AM4453" t="s">
        <v>649</v>
      </c>
      <c r="AN4453" t="s">
        <v>649</v>
      </c>
    </row>
    <row r="4454" spans="38:40" x14ac:dyDescent="0.3">
      <c r="AL4454">
        <v>0</v>
      </c>
      <c r="AM4454" t="s">
        <v>649</v>
      </c>
      <c r="AN4454" t="s">
        <v>649</v>
      </c>
    </row>
    <row r="4455" spans="38:40" x14ac:dyDescent="0.3">
      <c r="AL4455">
        <v>0</v>
      </c>
      <c r="AM4455" t="s">
        <v>649</v>
      </c>
      <c r="AN4455" t="s">
        <v>649</v>
      </c>
    </row>
    <row r="4456" spans="38:40" x14ac:dyDescent="0.3">
      <c r="AL4456">
        <v>0</v>
      </c>
      <c r="AM4456" t="s">
        <v>649</v>
      </c>
      <c r="AN4456" t="s">
        <v>649</v>
      </c>
    </row>
    <row r="4457" spans="38:40" x14ac:dyDescent="0.3">
      <c r="AL4457">
        <v>0</v>
      </c>
      <c r="AM4457" t="s">
        <v>649</v>
      </c>
      <c r="AN4457" t="s">
        <v>649</v>
      </c>
    </row>
    <row r="4458" spans="38:40" x14ac:dyDescent="0.3">
      <c r="AL4458">
        <v>0</v>
      </c>
      <c r="AM4458" t="s">
        <v>649</v>
      </c>
      <c r="AN4458" t="s">
        <v>649</v>
      </c>
    </row>
    <row r="4459" spans="38:40" x14ac:dyDescent="0.3">
      <c r="AL4459">
        <v>0</v>
      </c>
      <c r="AM4459" t="s">
        <v>649</v>
      </c>
      <c r="AN4459" t="s">
        <v>649</v>
      </c>
    </row>
    <row r="4460" spans="38:40" x14ac:dyDescent="0.3">
      <c r="AL4460">
        <v>0</v>
      </c>
      <c r="AM4460" t="s">
        <v>649</v>
      </c>
      <c r="AN4460" t="s">
        <v>649</v>
      </c>
    </row>
    <row r="4461" spans="38:40" x14ac:dyDescent="0.3">
      <c r="AL4461">
        <v>0</v>
      </c>
      <c r="AM4461" t="s">
        <v>649</v>
      </c>
      <c r="AN4461" t="s">
        <v>649</v>
      </c>
    </row>
    <row r="4462" spans="38:40" x14ac:dyDescent="0.3">
      <c r="AL4462">
        <v>0</v>
      </c>
      <c r="AM4462" t="s">
        <v>649</v>
      </c>
      <c r="AN4462" t="s">
        <v>649</v>
      </c>
    </row>
    <row r="4463" spans="38:40" x14ac:dyDescent="0.3">
      <c r="AL4463">
        <v>0</v>
      </c>
      <c r="AM4463" t="s">
        <v>649</v>
      </c>
      <c r="AN4463" t="s">
        <v>649</v>
      </c>
    </row>
    <row r="4464" spans="38:40" x14ac:dyDescent="0.3">
      <c r="AL4464">
        <v>0</v>
      </c>
      <c r="AM4464" t="s">
        <v>649</v>
      </c>
      <c r="AN4464" t="s">
        <v>649</v>
      </c>
    </row>
    <row r="4465" spans="38:40" x14ac:dyDescent="0.3">
      <c r="AL4465">
        <v>0</v>
      </c>
      <c r="AM4465" t="s">
        <v>649</v>
      </c>
      <c r="AN4465" t="s">
        <v>649</v>
      </c>
    </row>
    <row r="4466" spans="38:40" x14ac:dyDescent="0.3">
      <c r="AL4466">
        <v>0</v>
      </c>
      <c r="AM4466" t="s">
        <v>649</v>
      </c>
      <c r="AN4466" t="s">
        <v>649</v>
      </c>
    </row>
    <row r="4467" spans="38:40" x14ac:dyDescent="0.3">
      <c r="AL4467">
        <v>0</v>
      </c>
      <c r="AM4467" t="s">
        <v>649</v>
      </c>
      <c r="AN4467" t="s">
        <v>649</v>
      </c>
    </row>
    <row r="4468" spans="38:40" x14ac:dyDescent="0.3">
      <c r="AL4468">
        <v>0</v>
      </c>
      <c r="AM4468" t="s">
        <v>649</v>
      </c>
      <c r="AN4468" t="s">
        <v>649</v>
      </c>
    </row>
    <row r="4469" spans="38:40" x14ac:dyDescent="0.3">
      <c r="AL4469">
        <v>0</v>
      </c>
      <c r="AM4469" t="s">
        <v>649</v>
      </c>
      <c r="AN4469" t="s">
        <v>649</v>
      </c>
    </row>
    <row r="4470" spans="38:40" x14ac:dyDescent="0.3">
      <c r="AL4470">
        <v>0</v>
      </c>
      <c r="AM4470" t="s">
        <v>649</v>
      </c>
      <c r="AN4470" t="s">
        <v>649</v>
      </c>
    </row>
    <row r="4471" spans="38:40" x14ac:dyDescent="0.3">
      <c r="AL4471">
        <v>0</v>
      </c>
      <c r="AM4471" t="s">
        <v>649</v>
      </c>
      <c r="AN4471" t="s">
        <v>649</v>
      </c>
    </row>
    <row r="4472" spans="38:40" x14ac:dyDescent="0.3">
      <c r="AL4472">
        <v>0</v>
      </c>
      <c r="AM4472" t="s">
        <v>649</v>
      </c>
      <c r="AN4472" t="s">
        <v>649</v>
      </c>
    </row>
    <row r="4473" spans="38:40" x14ac:dyDescent="0.3">
      <c r="AL4473">
        <v>0</v>
      </c>
      <c r="AM4473" t="s">
        <v>649</v>
      </c>
      <c r="AN4473" t="s">
        <v>649</v>
      </c>
    </row>
    <row r="4474" spans="38:40" x14ac:dyDescent="0.3">
      <c r="AL4474">
        <v>0</v>
      </c>
      <c r="AM4474" t="s">
        <v>649</v>
      </c>
      <c r="AN4474" t="s">
        <v>649</v>
      </c>
    </row>
    <row r="4475" spans="38:40" x14ac:dyDescent="0.3">
      <c r="AL4475">
        <v>0</v>
      </c>
      <c r="AM4475" t="s">
        <v>649</v>
      </c>
      <c r="AN4475" t="s">
        <v>649</v>
      </c>
    </row>
    <row r="4476" spans="38:40" x14ac:dyDescent="0.3">
      <c r="AL4476">
        <v>0</v>
      </c>
      <c r="AM4476" t="s">
        <v>649</v>
      </c>
      <c r="AN4476" t="s">
        <v>649</v>
      </c>
    </row>
    <row r="4477" spans="38:40" x14ac:dyDescent="0.3">
      <c r="AL4477">
        <v>0</v>
      </c>
      <c r="AM4477" t="s">
        <v>649</v>
      </c>
      <c r="AN4477" t="s">
        <v>649</v>
      </c>
    </row>
    <row r="4478" spans="38:40" x14ac:dyDescent="0.3">
      <c r="AL4478">
        <v>0</v>
      </c>
      <c r="AM4478" t="s">
        <v>649</v>
      </c>
      <c r="AN4478" t="s">
        <v>649</v>
      </c>
    </row>
    <row r="4479" spans="38:40" x14ac:dyDescent="0.3">
      <c r="AL4479">
        <v>0</v>
      </c>
      <c r="AM4479" t="s">
        <v>649</v>
      </c>
      <c r="AN4479" t="s">
        <v>649</v>
      </c>
    </row>
    <row r="4480" spans="38:40" x14ac:dyDescent="0.3">
      <c r="AL4480">
        <v>0</v>
      </c>
      <c r="AM4480" t="s">
        <v>649</v>
      </c>
      <c r="AN4480" t="s">
        <v>649</v>
      </c>
    </row>
    <row r="4481" spans="38:40" x14ac:dyDescent="0.3">
      <c r="AL4481">
        <v>0</v>
      </c>
      <c r="AM4481" t="s">
        <v>649</v>
      </c>
      <c r="AN4481" t="s">
        <v>649</v>
      </c>
    </row>
    <row r="4482" spans="38:40" x14ac:dyDescent="0.3">
      <c r="AL4482">
        <v>0</v>
      </c>
      <c r="AM4482" t="s">
        <v>649</v>
      </c>
      <c r="AN4482" t="s">
        <v>649</v>
      </c>
    </row>
    <row r="4483" spans="38:40" x14ac:dyDescent="0.3">
      <c r="AL4483">
        <v>0</v>
      </c>
      <c r="AM4483" t="s">
        <v>649</v>
      </c>
      <c r="AN4483" t="s">
        <v>649</v>
      </c>
    </row>
    <row r="4484" spans="38:40" x14ac:dyDescent="0.3">
      <c r="AL4484">
        <v>0</v>
      </c>
      <c r="AM4484" t="s">
        <v>649</v>
      </c>
      <c r="AN4484" t="s">
        <v>649</v>
      </c>
    </row>
    <row r="4485" spans="38:40" x14ac:dyDescent="0.3">
      <c r="AL4485">
        <v>0</v>
      </c>
      <c r="AM4485" t="s">
        <v>649</v>
      </c>
      <c r="AN4485" t="s">
        <v>649</v>
      </c>
    </row>
    <row r="4486" spans="38:40" x14ac:dyDescent="0.3">
      <c r="AL4486">
        <v>0</v>
      </c>
      <c r="AM4486" t="s">
        <v>649</v>
      </c>
      <c r="AN4486" t="s">
        <v>649</v>
      </c>
    </row>
    <row r="4487" spans="38:40" x14ac:dyDescent="0.3">
      <c r="AL4487">
        <v>0</v>
      </c>
      <c r="AM4487" t="s">
        <v>649</v>
      </c>
      <c r="AN4487" t="s">
        <v>649</v>
      </c>
    </row>
    <row r="4488" spans="38:40" x14ac:dyDescent="0.3">
      <c r="AL4488">
        <v>0</v>
      </c>
      <c r="AM4488" t="s">
        <v>649</v>
      </c>
      <c r="AN4488" t="s">
        <v>649</v>
      </c>
    </row>
    <row r="4489" spans="38:40" x14ac:dyDescent="0.3">
      <c r="AL4489">
        <v>0</v>
      </c>
      <c r="AM4489" t="s">
        <v>649</v>
      </c>
      <c r="AN4489" t="s">
        <v>649</v>
      </c>
    </row>
    <row r="4490" spans="38:40" x14ac:dyDescent="0.3">
      <c r="AL4490">
        <v>0</v>
      </c>
      <c r="AM4490" t="s">
        <v>649</v>
      </c>
      <c r="AN4490" t="s">
        <v>649</v>
      </c>
    </row>
    <row r="4491" spans="38:40" x14ac:dyDescent="0.3">
      <c r="AL4491">
        <v>0</v>
      </c>
      <c r="AM4491" t="s">
        <v>649</v>
      </c>
      <c r="AN4491" t="s">
        <v>649</v>
      </c>
    </row>
    <row r="4492" spans="38:40" x14ac:dyDescent="0.3">
      <c r="AL4492">
        <v>0</v>
      </c>
      <c r="AM4492" t="s">
        <v>649</v>
      </c>
      <c r="AN4492" t="s">
        <v>649</v>
      </c>
    </row>
    <row r="4493" spans="38:40" x14ac:dyDescent="0.3">
      <c r="AL4493">
        <v>0</v>
      </c>
      <c r="AM4493" t="s">
        <v>649</v>
      </c>
      <c r="AN4493" t="s">
        <v>649</v>
      </c>
    </row>
    <row r="4494" spans="38:40" x14ac:dyDescent="0.3">
      <c r="AL4494">
        <v>0</v>
      </c>
      <c r="AM4494" t="s">
        <v>649</v>
      </c>
      <c r="AN4494" t="s">
        <v>649</v>
      </c>
    </row>
    <row r="4495" spans="38:40" x14ac:dyDescent="0.3">
      <c r="AL4495">
        <v>0</v>
      </c>
      <c r="AM4495" t="s">
        <v>649</v>
      </c>
      <c r="AN4495" t="s">
        <v>649</v>
      </c>
    </row>
    <row r="4496" spans="38:40" x14ac:dyDescent="0.3">
      <c r="AL4496">
        <v>0</v>
      </c>
      <c r="AM4496" t="s">
        <v>649</v>
      </c>
      <c r="AN4496" t="s">
        <v>649</v>
      </c>
    </row>
    <row r="4497" spans="38:40" x14ac:dyDescent="0.3">
      <c r="AL4497">
        <v>0</v>
      </c>
      <c r="AM4497" t="s">
        <v>649</v>
      </c>
      <c r="AN4497" t="s">
        <v>649</v>
      </c>
    </row>
    <row r="4498" spans="38:40" x14ac:dyDescent="0.3">
      <c r="AL4498">
        <v>0</v>
      </c>
      <c r="AM4498" t="s">
        <v>649</v>
      </c>
      <c r="AN4498" t="s">
        <v>649</v>
      </c>
    </row>
    <row r="4499" spans="38:40" x14ac:dyDescent="0.3">
      <c r="AL4499">
        <v>0</v>
      </c>
      <c r="AM4499" t="s">
        <v>649</v>
      </c>
      <c r="AN4499" t="s">
        <v>649</v>
      </c>
    </row>
    <row r="4500" spans="38:40" x14ac:dyDescent="0.3">
      <c r="AL4500">
        <v>0</v>
      </c>
      <c r="AM4500" t="s">
        <v>649</v>
      </c>
      <c r="AN4500" t="s">
        <v>649</v>
      </c>
    </row>
    <row r="4501" spans="38:40" x14ac:dyDescent="0.3">
      <c r="AL4501">
        <v>0</v>
      </c>
      <c r="AM4501" t="s">
        <v>649</v>
      </c>
      <c r="AN4501" t="s">
        <v>649</v>
      </c>
    </row>
    <row r="4502" spans="38:40" x14ac:dyDescent="0.3">
      <c r="AL4502">
        <v>0</v>
      </c>
      <c r="AM4502" t="s">
        <v>649</v>
      </c>
      <c r="AN4502" t="s">
        <v>649</v>
      </c>
    </row>
    <row r="4503" spans="38:40" x14ac:dyDescent="0.3">
      <c r="AL4503">
        <v>0</v>
      </c>
      <c r="AM4503" t="s">
        <v>649</v>
      </c>
      <c r="AN4503" t="s">
        <v>649</v>
      </c>
    </row>
    <row r="4504" spans="38:40" x14ac:dyDescent="0.3">
      <c r="AL4504">
        <v>0</v>
      </c>
      <c r="AM4504" t="s">
        <v>649</v>
      </c>
      <c r="AN4504" t="s">
        <v>649</v>
      </c>
    </row>
    <row r="4505" spans="38:40" x14ac:dyDescent="0.3">
      <c r="AL4505">
        <v>0</v>
      </c>
      <c r="AM4505" t="s">
        <v>649</v>
      </c>
      <c r="AN4505" t="s">
        <v>649</v>
      </c>
    </row>
    <row r="4506" spans="38:40" x14ac:dyDescent="0.3">
      <c r="AL4506">
        <v>0</v>
      </c>
      <c r="AM4506" t="s">
        <v>649</v>
      </c>
      <c r="AN4506" t="s">
        <v>649</v>
      </c>
    </row>
    <row r="4507" spans="38:40" x14ac:dyDescent="0.3">
      <c r="AL4507">
        <v>0</v>
      </c>
      <c r="AM4507" t="s">
        <v>649</v>
      </c>
      <c r="AN4507" t="s">
        <v>649</v>
      </c>
    </row>
    <row r="4508" spans="38:40" x14ac:dyDescent="0.3">
      <c r="AL4508">
        <v>0</v>
      </c>
      <c r="AM4508" t="s">
        <v>649</v>
      </c>
      <c r="AN4508" t="s">
        <v>649</v>
      </c>
    </row>
    <row r="4509" spans="38:40" x14ac:dyDescent="0.3">
      <c r="AL4509">
        <v>0</v>
      </c>
      <c r="AM4509" t="s">
        <v>649</v>
      </c>
      <c r="AN4509" t="s">
        <v>649</v>
      </c>
    </row>
    <row r="4510" spans="38:40" x14ac:dyDescent="0.3">
      <c r="AL4510">
        <v>0</v>
      </c>
      <c r="AM4510" t="s">
        <v>649</v>
      </c>
      <c r="AN4510" t="s">
        <v>649</v>
      </c>
    </row>
    <row r="4511" spans="38:40" x14ac:dyDescent="0.3">
      <c r="AL4511">
        <v>0</v>
      </c>
      <c r="AM4511" t="s">
        <v>649</v>
      </c>
      <c r="AN4511" t="s">
        <v>649</v>
      </c>
    </row>
    <row r="4512" spans="38:40" x14ac:dyDescent="0.3">
      <c r="AL4512">
        <v>0</v>
      </c>
      <c r="AM4512" t="s">
        <v>649</v>
      </c>
      <c r="AN4512" t="s">
        <v>649</v>
      </c>
    </row>
    <row r="4513" spans="38:40" x14ac:dyDescent="0.3">
      <c r="AL4513">
        <v>0</v>
      </c>
      <c r="AM4513" t="s">
        <v>649</v>
      </c>
      <c r="AN4513" t="s">
        <v>649</v>
      </c>
    </row>
    <row r="4514" spans="38:40" x14ac:dyDescent="0.3">
      <c r="AL4514">
        <v>0</v>
      </c>
      <c r="AM4514" t="s">
        <v>649</v>
      </c>
      <c r="AN4514" t="s">
        <v>649</v>
      </c>
    </row>
    <row r="4515" spans="38:40" x14ac:dyDescent="0.3">
      <c r="AL4515">
        <v>0</v>
      </c>
      <c r="AM4515" t="s">
        <v>649</v>
      </c>
      <c r="AN4515" t="s">
        <v>649</v>
      </c>
    </row>
    <row r="4516" spans="38:40" x14ac:dyDescent="0.3">
      <c r="AL4516">
        <v>0</v>
      </c>
      <c r="AM4516" t="s">
        <v>649</v>
      </c>
      <c r="AN4516" t="s">
        <v>649</v>
      </c>
    </row>
    <row r="4517" spans="38:40" x14ac:dyDescent="0.3">
      <c r="AL4517">
        <v>0</v>
      </c>
      <c r="AM4517" t="s">
        <v>649</v>
      </c>
      <c r="AN4517" t="s">
        <v>649</v>
      </c>
    </row>
    <row r="4518" spans="38:40" x14ac:dyDescent="0.3">
      <c r="AL4518">
        <v>0</v>
      </c>
      <c r="AM4518" t="s">
        <v>649</v>
      </c>
      <c r="AN4518" t="s">
        <v>649</v>
      </c>
    </row>
    <row r="4519" spans="38:40" x14ac:dyDescent="0.3">
      <c r="AL4519">
        <v>0</v>
      </c>
      <c r="AM4519" t="s">
        <v>649</v>
      </c>
      <c r="AN4519" t="s">
        <v>649</v>
      </c>
    </row>
    <row r="4520" spans="38:40" x14ac:dyDescent="0.3">
      <c r="AL4520">
        <v>0</v>
      </c>
      <c r="AM4520" t="s">
        <v>649</v>
      </c>
      <c r="AN4520" t="s">
        <v>649</v>
      </c>
    </row>
    <row r="4521" spans="38:40" x14ac:dyDescent="0.3">
      <c r="AL4521">
        <v>0</v>
      </c>
      <c r="AM4521" t="s">
        <v>649</v>
      </c>
      <c r="AN4521" t="s">
        <v>649</v>
      </c>
    </row>
    <row r="4522" spans="38:40" x14ac:dyDescent="0.3">
      <c r="AL4522">
        <v>0</v>
      </c>
      <c r="AM4522" t="s">
        <v>649</v>
      </c>
      <c r="AN4522" t="s">
        <v>649</v>
      </c>
    </row>
    <row r="4523" spans="38:40" x14ac:dyDescent="0.3">
      <c r="AL4523">
        <v>0</v>
      </c>
      <c r="AM4523" t="s">
        <v>649</v>
      </c>
      <c r="AN4523" t="s">
        <v>649</v>
      </c>
    </row>
    <row r="4524" spans="38:40" x14ac:dyDescent="0.3">
      <c r="AL4524">
        <v>0</v>
      </c>
      <c r="AM4524" t="s">
        <v>649</v>
      </c>
      <c r="AN4524" t="s">
        <v>649</v>
      </c>
    </row>
    <row r="4525" spans="38:40" x14ac:dyDescent="0.3">
      <c r="AL4525">
        <v>0</v>
      </c>
      <c r="AM4525" t="s">
        <v>649</v>
      </c>
      <c r="AN4525" t="s">
        <v>649</v>
      </c>
    </row>
    <row r="4526" spans="38:40" x14ac:dyDescent="0.3">
      <c r="AL4526">
        <v>0</v>
      </c>
      <c r="AM4526" t="s">
        <v>649</v>
      </c>
      <c r="AN4526" t="s">
        <v>649</v>
      </c>
    </row>
    <row r="4527" spans="38:40" x14ac:dyDescent="0.3">
      <c r="AL4527">
        <v>0</v>
      </c>
      <c r="AM4527" t="s">
        <v>649</v>
      </c>
      <c r="AN4527" t="s">
        <v>649</v>
      </c>
    </row>
    <row r="4528" spans="38:40" x14ac:dyDescent="0.3">
      <c r="AL4528">
        <v>0</v>
      </c>
      <c r="AM4528" t="s">
        <v>649</v>
      </c>
      <c r="AN4528" t="s">
        <v>649</v>
      </c>
    </row>
    <row r="4529" spans="38:40" x14ac:dyDescent="0.3">
      <c r="AL4529">
        <v>0</v>
      </c>
      <c r="AM4529" t="s">
        <v>649</v>
      </c>
      <c r="AN4529" t="s">
        <v>649</v>
      </c>
    </row>
    <row r="4530" spans="38:40" x14ac:dyDescent="0.3">
      <c r="AL4530">
        <v>0</v>
      </c>
      <c r="AM4530" t="s">
        <v>649</v>
      </c>
      <c r="AN4530" t="s">
        <v>649</v>
      </c>
    </row>
    <row r="4531" spans="38:40" x14ac:dyDescent="0.3">
      <c r="AL4531">
        <v>0</v>
      </c>
      <c r="AM4531" t="s">
        <v>649</v>
      </c>
      <c r="AN4531" t="s">
        <v>649</v>
      </c>
    </row>
    <row r="4532" spans="38:40" x14ac:dyDescent="0.3">
      <c r="AL4532">
        <v>0</v>
      </c>
      <c r="AM4532" t="s">
        <v>649</v>
      </c>
      <c r="AN4532" t="s">
        <v>649</v>
      </c>
    </row>
    <row r="4533" spans="38:40" x14ac:dyDescent="0.3">
      <c r="AL4533">
        <v>0</v>
      </c>
      <c r="AM4533" t="s">
        <v>649</v>
      </c>
      <c r="AN4533" t="s">
        <v>649</v>
      </c>
    </row>
    <row r="4534" spans="38:40" x14ac:dyDescent="0.3">
      <c r="AL4534">
        <v>0</v>
      </c>
      <c r="AM4534" t="s">
        <v>649</v>
      </c>
      <c r="AN4534" t="s">
        <v>649</v>
      </c>
    </row>
    <row r="4535" spans="38:40" x14ac:dyDescent="0.3">
      <c r="AL4535">
        <v>0</v>
      </c>
      <c r="AM4535" t="s">
        <v>649</v>
      </c>
      <c r="AN4535" t="s">
        <v>649</v>
      </c>
    </row>
    <row r="4536" spans="38:40" x14ac:dyDescent="0.3">
      <c r="AL4536">
        <v>0</v>
      </c>
      <c r="AM4536" t="s">
        <v>649</v>
      </c>
      <c r="AN4536" t="s">
        <v>649</v>
      </c>
    </row>
    <row r="4537" spans="38:40" x14ac:dyDescent="0.3">
      <c r="AL4537">
        <v>0</v>
      </c>
      <c r="AM4537" t="s">
        <v>649</v>
      </c>
      <c r="AN4537" t="s">
        <v>649</v>
      </c>
    </row>
    <row r="4538" spans="38:40" x14ac:dyDescent="0.3">
      <c r="AL4538">
        <v>0</v>
      </c>
      <c r="AM4538" t="s">
        <v>649</v>
      </c>
      <c r="AN4538" t="s">
        <v>649</v>
      </c>
    </row>
    <row r="4539" spans="38:40" x14ac:dyDescent="0.3">
      <c r="AL4539">
        <v>0</v>
      </c>
      <c r="AM4539" t="s">
        <v>649</v>
      </c>
      <c r="AN4539" t="s">
        <v>649</v>
      </c>
    </row>
    <row r="4540" spans="38:40" x14ac:dyDescent="0.3">
      <c r="AL4540">
        <v>0</v>
      </c>
      <c r="AM4540" t="s">
        <v>649</v>
      </c>
      <c r="AN4540" t="s">
        <v>649</v>
      </c>
    </row>
    <row r="4541" spans="38:40" x14ac:dyDescent="0.3">
      <c r="AL4541">
        <v>0</v>
      </c>
      <c r="AM4541" t="s">
        <v>649</v>
      </c>
      <c r="AN4541" t="s">
        <v>649</v>
      </c>
    </row>
    <row r="4542" spans="38:40" x14ac:dyDescent="0.3">
      <c r="AL4542">
        <v>0</v>
      </c>
      <c r="AM4542" t="s">
        <v>649</v>
      </c>
      <c r="AN4542" t="s">
        <v>649</v>
      </c>
    </row>
    <row r="4543" spans="38:40" x14ac:dyDescent="0.3">
      <c r="AL4543">
        <v>0</v>
      </c>
      <c r="AM4543" t="s">
        <v>649</v>
      </c>
      <c r="AN4543" t="s">
        <v>649</v>
      </c>
    </row>
    <row r="4544" spans="38:40" x14ac:dyDescent="0.3">
      <c r="AL4544">
        <v>0</v>
      </c>
      <c r="AM4544" t="s">
        <v>649</v>
      </c>
      <c r="AN4544" t="s">
        <v>649</v>
      </c>
    </row>
    <row r="4545" spans="38:40" x14ac:dyDescent="0.3">
      <c r="AL4545">
        <v>0</v>
      </c>
      <c r="AM4545" t="s">
        <v>649</v>
      </c>
      <c r="AN4545" t="s">
        <v>649</v>
      </c>
    </row>
    <row r="4546" spans="38:40" x14ac:dyDescent="0.3">
      <c r="AL4546">
        <v>0</v>
      </c>
      <c r="AM4546" t="s">
        <v>649</v>
      </c>
      <c r="AN4546" t="s">
        <v>649</v>
      </c>
    </row>
    <row r="4547" spans="38:40" x14ac:dyDescent="0.3">
      <c r="AL4547">
        <v>0</v>
      </c>
      <c r="AM4547" t="s">
        <v>649</v>
      </c>
      <c r="AN4547" t="s">
        <v>649</v>
      </c>
    </row>
    <row r="4548" spans="38:40" x14ac:dyDescent="0.3">
      <c r="AL4548">
        <v>0</v>
      </c>
      <c r="AM4548" t="s">
        <v>649</v>
      </c>
      <c r="AN4548" t="s">
        <v>649</v>
      </c>
    </row>
    <row r="4549" spans="38:40" x14ac:dyDescent="0.3">
      <c r="AL4549">
        <v>0</v>
      </c>
      <c r="AM4549" t="s">
        <v>649</v>
      </c>
      <c r="AN4549" t="s">
        <v>649</v>
      </c>
    </row>
    <row r="4550" spans="38:40" x14ac:dyDescent="0.3">
      <c r="AL4550">
        <v>0</v>
      </c>
      <c r="AM4550" t="s">
        <v>649</v>
      </c>
      <c r="AN4550" t="s">
        <v>649</v>
      </c>
    </row>
    <row r="4551" spans="38:40" x14ac:dyDescent="0.3">
      <c r="AL4551">
        <v>0</v>
      </c>
      <c r="AM4551" t="s">
        <v>649</v>
      </c>
      <c r="AN4551" t="s">
        <v>649</v>
      </c>
    </row>
    <row r="4552" spans="38:40" x14ac:dyDescent="0.3">
      <c r="AL4552">
        <v>0</v>
      </c>
      <c r="AM4552" t="s">
        <v>649</v>
      </c>
      <c r="AN4552" t="s">
        <v>649</v>
      </c>
    </row>
    <row r="4553" spans="38:40" x14ac:dyDescent="0.3">
      <c r="AL4553">
        <v>0</v>
      </c>
      <c r="AM4553" t="s">
        <v>649</v>
      </c>
      <c r="AN4553" t="s">
        <v>649</v>
      </c>
    </row>
    <row r="4554" spans="38:40" x14ac:dyDescent="0.3">
      <c r="AL4554">
        <v>0</v>
      </c>
      <c r="AM4554" t="s">
        <v>649</v>
      </c>
      <c r="AN4554" t="s">
        <v>649</v>
      </c>
    </row>
    <row r="4555" spans="38:40" x14ac:dyDescent="0.3">
      <c r="AL4555">
        <v>0</v>
      </c>
      <c r="AM4555" t="s">
        <v>649</v>
      </c>
      <c r="AN4555" t="s">
        <v>649</v>
      </c>
    </row>
    <row r="4556" spans="38:40" x14ac:dyDescent="0.3">
      <c r="AL4556">
        <v>0</v>
      </c>
      <c r="AM4556" t="s">
        <v>649</v>
      </c>
      <c r="AN4556" t="s">
        <v>649</v>
      </c>
    </row>
    <row r="4557" spans="38:40" x14ac:dyDescent="0.3">
      <c r="AL4557">
        <v>0</v>
      </c>
      <c r="AM4557" t="s">
        <v>649</v>
      </c>
      <c r="AN4557" t="s">
        <v>649</v>
      </c>
    </row>
    <row r="4558" spans="38:40" x14ac:dyDescent="0.3">
      <c r="AL4558">
        <v>0</v>
      </c>
      <c r="AM4558" t="s">
        <v>649</v>
      </c>
      <c r="AN4558" t="s">
        <v>649</v>
      </c>
    </row>
    <row r="4559" spans="38:40" x14ac:dyDescent="0.3">
      <c r="AL4559">
        <v>0</v>
      </c>
      <c r="AM4559" t="s">
        <v>649</v>
      </c>
      <c r="AN4559" t="s">
        <v>649</v>
      </c>
    </row>
    <row r="4560" spans="38:40" x14ac:dyDescent="0.3">
      <c r="AL4560">
        <v>0</v>
      </c>
      <c r="AM4560" t="s">
        <v>649</v>
      </c>
      <c r="AN4560" t="s">
        <v>649</v>
      </c>
    </row>
    <row r="4561" spans="38:40" x14ac:dyDescent="0.3">
      <c r="AL4561">
        <v>0</v>
      </c>
      <c r="AM4561" t="s">
        <v>649</v>
      </c>
      <c r="AN4561" t="s">
        <v>649</v>
      </c>
    </row>
    <row r="4562" spans="38:40" x14ac:dyDescent="0.3">
      <c r="AL4562">
        <v>0</v>
      </c>
      <c r="AM4562" t="s">
        <v>649</v>
      </c>
      <c r="AN4562" t="s">
        <v>649</v>
      </c>
    </row>
    <row r="4563" spans="38:40" x14ac:dyDescent="0.3">
      <c r="AL4563">
        <v>0</v>
      </c>
      <c r="AM4563" t="s">
        <v>649</v>
      </c>
      <c r="AN4563" t="s">
        <v>649</v>
      </c>
    </row>
    <row r="4564" spans="38:40" x14ac:dyDescent="0.3">
      <c r="AL4564">
        <v>0</v>
      </c>
      <c r="AM4564" t="s">
        <v>649</v>
      </c>
      <c r="AN4564" t="s">
        <v>649</v>
      </c>
    </row>
    <row r="4565" spans="38:40" x14ac:dyDescent="0.3">
      <c r="AL4565">
        <v>0</v>
      </c>
      <c r="AM4565" t="s">
        <v>649</v>
      </c>
      <c r="AN4565" t="s">
        <v>649</v>
      </c>
    </row>
    <row r="4566" spans="38:40" x14ac:dyDescent="0.3">
      <c r="AL4566">
        <v>0</v>
      </c>
      <c r="AM4566" t="s">
        <v>649</v>
      </c>
      <c r="AN4566" t="s">
        <v>649</v>
      </c>
    </row>
    <row r="4567" spans="38:40" x14ac:dyDescent="0.3">
      <c r="AL4567">
        <v>0</v>
      </c>
      <c r="AM4567" t="s">
        <v>649</v>
      </c>
      <c r="AN4567" t="s">
        <v>649</v>
      </c>
    </row>
    <row r="4568" spans="38:40" x14ac:dyDescent="0.3">
      <c r="AL4568">
        <v>0</v>
      </c>
      <c r="AM4568" t="s">
        <v>649</v>
      </c>
      <c r="AN4568" t="s">
        <v>649</v>
      </c>
    </row>
    <row r="4569" spans="38:40" x14ac:dyDescent="0.3">
      <c r="AL4569">
        <v>0</v>
      </c>
      <c r="AM4569" t="s">
        <v>649</v>
      </c>
      <c r="AN4569" t="s">
        <v>649</v>
      </c>
    </row>
    <row r="4570" spans="38:40" x14ac:dyDescent="0.3">
      <c r="AL4570">
        <v>0</v>
      </c>
      <c r="AM4570" t="s">
        <v>649</v>
      </c>
      <c r="AN4570" t="s">
        <v>649</v>
      </c>
    </row>
    <row r="4571" spans="38:40" x14ac:dyDescent="0.3">
      <c r="AL4571">
        <v>0</v>
      </c>
      <c r="AM4571" t="s">
        <v>649</v>
      </c>
      <c r="AN4571" t="s">
        <v>649</v>
      </c>
    </row>
    <row r="4572" spans="38:40" x14ac:dyDescent="0.3">
      <c r="AL4572">
        <v>0</v>
      </c>
      <c r="AM4572" t="s">
        <v>649</v>
      </c>
      <c r="AN4572" t="s">
        <v>649</v>
      </c>
    </row>
    <row r="4573" spans="38:40" x14ac:dyDescent="0.3">
      <c r="AL4573">
        <v>0</v>
      </c>
      <c r="AM4573" t="s">
        <v>649</v>
      </c>
      <c r="AN4573" t="s">
        <v>649</v>
      </c>
    </row>
    <row r="4574" spans="38:40" x14ac:dyDescent="0.3">
      <c r="AL4574">
        <v>0</v>
      </c>
      <c r="AM4574" t="s">
        <v>649</v>
      </c>
      <c r="AN4574" t="s">
        <v>649</v>
      </c>
    </row>
    <row r="4575" spans="38:40" x14ac:dyDescent="0.3">
      <c r="AL4575">
        <v>0</v>
      </c>
      <c r="AM4575" t="s">
        <v>649</v>
      </c>
      <c r="AN4575" t="s">
        <v>649</v>
      </c>
    </row>
    <row r="4576" spans="38:40" x14ac:dyDescent="0.3">
      <c r="AL4576">
        <v>0</v>
      </c>
      <c r="AM4576" t="s">
        <v>649</v>
      </c>
      <c r="AN4576" t="s">
        <v>649</v>
      </c>
    </row>
    <row r="4577" spans="38:40" x14ac:dyDescent="0.3">
      <c r="AL4577">
        <v>0</v>
      </c>
      <c r="AM4577" t="s">
        <v>649</v>
      </c>
      <c r="AN4577" t="s">
        <v>649</v>
      </c>
    </row>
    <row r="4578" spans="38:40" x14ac:dyDescent="0.3">
      <c r="AL4578">
        <v>0</v>
      </c>
      <c r="AM4578" t="s">
        <v>649</v>
      </c>
      <c r="AN4578" t="s">
        <v>649</v>
      </c>
    </row>
    <row r="4579" spans="38:40" x14ac:dyDescent="0.3">
      <c r="AL4579">
        <v>0</v>
      </c>
      <c r="AM4579" t="s">
        <v>649</v>
      </c>
      <c r="AN4579" t="s">
        <v>649</v>
      </c>
    </row>
    <row r="4580" spans="38:40" x14ac:dyDescent="0.3">
      <c r="AL4580">
        <v>0</v>
      </c>
      <c r="AM4580" t="s">
        <v>649</v>
      </c>
      <c r="AN4580" t="s">
        <v>649</v>
      </c>
    </row>
    <row r="4581" spans="38:40" x14ac:dyDescent="0.3">
      <c r="AL4581">
        <v>0</v>
      </c>
      <c r="AM4581" t="s">
        <v>649</v>
      </c>
      <c r="AN4581" t="s">
        <v>649</v>
      </c>
    </row>
    <row r="4582" spans="38:40" x14ac:dyDescent="0.3">
      <c r="AL4582">
        <v>0</v>
      </c>
      <c r="AM4582" t="s">
        <v>649</v>
      </c>
      <c r="AN4582" t="s">
        <v>649</v>
      </c>
    </row>
    <row r="4583" spans="38:40" x14ac:dyDescent="0.3">
      <c r="AL4583">
        <v>0</v>
      </c>
      <c r="AM4583" t="s">
        <v>649</v>
      </c>
      <c r="AN4583" t="s">
        <v>649</v>
      </c>
    </row>
    <row r="4584" spans="38:40" x14ac:dyDescent="0.3">
      <c r="AL4584">
        <v>0</v>
      </c>
      <c r="AM4584" t="s">
        <v>649</v>
      </c>
      <c r="AN4584" t="s">
        <v>649</v>
      </c>
    </row>
    <row r="4585" spans="38:40" x14ac:dyDescent="0.3">
      <c r="AL4585">
        <v>0</v>
      </c>
      <c r="AM4585" t="s">
        <v>649</v>
      </c>
      <c r="AN4585" t="s">
        <v>649</v>
      </c>
    </row>
    <row r="4586" spans="38:40" x14ac:dyDescent="0.3">
      <c r="AL4586">
        <v>0</v>
      </c>
      <c r="AM4586" t="s">
        <v>649</v>
      </c>
      <c r="AN4586" t="s">
        <v>649</v>
      </c>
    </row>
    <row r="4587" spans="38:40" x14ac:dyDescent="0.3">
      <c r="AL4587">
        <v>0</v>
      </c>
      <c r="AM4587" t="s">
        <v>649</v>
      </c>
      <c r="AN4587" t="s">
        <v>649</v>
      </c>
    </row>
    <row r="4588" spans="38:40" x14ac:dyDescent="0.3">
      <c r="AL4588">
        <v>0</v>
      </c>
      <c r="AM4588" t="s">
        <v>649</v>
      </c>
      <c r="AN4588" t="s">
        <v>649</v>
      </c>
    </row>
    <row r="4589" spans="38:40" x14ac:dyDescent="0.3">
      <c r="AL4589">
        <v>0</v>
      </c>
      <c r="AM4589" t="s">
        <v>649</v>
      </c>
      <c r="AN4589" t="s">
        <v>649</v>
      </c>
    </row>
    <row r="4590" spans="38:40" x14ac:dyDescent="0.3">
      <c r="AL4590">
        <v>0</v>
      </c>
      <c r="AM4590" t="s">
        <v>649</v>
      </c>
      <c r="AN4590" t="s">
        <v>649</v>
      </c>
    </row>
    <row r="4591" spans="38:40" x14ac:dyDescent="0.3">
      <c r="AL4591">
        <v>0</v>
      </c>
      <c r="AM4591" t="s">
        <v>649</v>
      </c>
      <c r="AN4591" t="s">
        <v>649</v>
      </c>
    </row>
    <row r="4592" spans="38:40" x14ac:dyDescent="0.3">
      <c r="AL4592">
        <v>0</v>
      </c>
      <c r="AM4592" t="s">
        <v>649</v>
      </c>
      <c r="AN4592" t="s">
        <v>649</v>
      </c>
    </row>
    <row r="4593" spans="38:40" x14ac:dyDescent="0.3">
      <c r="AL4593">
        <v>0</v>
      </c>
      <c r="AM4593" t="s">
        <v>649</v>
      </c>
      <c r="AN4593" t="s">
        <v>649</v>
      </c>
    </row>
    <row r="4594" spans="38:40" x14ac:dyDescent="0.3">
      <c r="AL4594">
        <v>0</v>
      </c>
      <c r="AM4594" t="s">
        <v>649</v>
      </c>
      <c r="AN4594" t="s">
        <v>649</v>
      </c>
    </row>
    <row r="4595" spans="38:40" x14ac:dyDescent="0.3">
      <c r="AL4595">
        <v>0</v>
      </c>
      <c r="AM4595" t="s">
        <v>649</v>
      </c>
      <c r="AN4595" t="s">
        <v>649</v>
      </c>
    </row>
    <row r="4596" spans="38:40" x14ac:dyDescent="0.3">
      <c r="AL4596">
        <v>0</v>
      </c>
      <c r="AM4596" t="s">
        <v>649</v>
      </c>
      <c r="AN4596" t="s">
        <v>649</v>
      </c>
    </row>
    <row r="4597" spans="38:40" x14ac:dyDescent="0.3">
      <c r="AL4597">
        <v>0</v>
      </c>
      <c r="AM4597" t="s">
        <v>649</v>
      </c>
      <c r="AN4597" t="s">
        <v>649</v>
      </c>
    </row>
    <row r="4598" spans="38:40" x14ac:dyDescent="0.3">
      <c r="AL4598">
        <v>0</v>
      </c>
      <c r="AM4598" t="s">
        <v>649</v>
      </c>
      <c r="AN4598" t="s">
        <v>649</v>
      </c>
    </row>
    <row r="4599" spans="38:40" x14ac:dyDescent="0.3">
      <c r="AL4599">
        <v>0</v>
      </c>
      <c r="AM4599" t="s">
        <v>649</v>
      </c>
      <c r="AN4599" t="s">
        <v>649</v>
      </c>
    </row>
    <row r="4600" spans="38:40" x14ac:dyDescent="0.3">
      <c r="AL4600">
        <v>0</v>
      </c>
      <c r="AM4600" t="s">
        <v>649</v>
      </c>
      <c r="AN4600" t="s">
        <v>649</v>
      </c>
    </row>
    <row r="4601" spans="38:40" x14ac:dyDescent="0.3">
      <c r="AL4601">
        <v>0</v>
      </c>
      <c r="AM4601" t="s">
        <v>649</v>
      </c>
      <c r="AN4601" t="s">
        <v>649</v>
      </c>
    </row>
    <row r="4602" spans="38:40" x14ac:dyDescent="0.3">
      <c r="AL4602">
        <v>0</v>
      </c>
      <c r="AM4602" t="s">
        <v>649</v>
      </c>
      <c r="AN4602" t="s">
        <v>649</v>
      </c>
    </row>
    <row r="4603" spans="38:40" x14ac:dyDescent="0.3">
      <c r="AL4603">
        <v>0</v>
      </c>
      <c r="AM4603" t="s">
        <v>649</v>
      </c>
      <c r="AN4603" t="s">
        <v>649</v>
      </c>
    </row>
    <row r="4604" spans="38:40" x14ac:dyDescent="0.3">
      <c r="AL4604">
        <v>0</v>
      </c>
      <c r="AM4604" t="s">
        <v>649</v>
      </c>
      <c r="AN4604" t="s">
        <v>649</v>
      </c>
    </row>
    <row r="4605" spans="38:40" x14ac:dyDescent="0.3">
      <c r="AL4605">
        <v>0</v>
      </c>
      <c r="AM4605" t="s">
        <v>649</v>
      </c>
      <c r="AN4605" t="s">
        <v>649</v>
      </c>
    </row>
    <row r="4606" spans="38:40" x14ac:dyDescent="0.3">
      <c r="AL4606">
        <v>0</v>
      </c>
      <c r="AM4606" t="s">
        <v>649</v>
      </c>
      <c r="AN4606" t="s">
        <v>649</v>
      </c>
    </row>
    <row r="4607" spans="38:40" x14ac:dyDescent="0.3">
      <c r="AL4607">
        <v>0</v>
      </c>
      <c r="AM4607" t="s">
        <v>649</v>
      </c>
      <c r="AN4607" t="s">
        <v>649</v>
      </c>
    </row>
    <row r="4608" spans="38:40" x14ac:dyDescent="0.3">
      <c r="AL4608">
        <v>0</v>
      </c>
      <c r="AM4608" t="s">
        <v>649</v>
      </c>
      <c r="AN4608" t="s">
        <v>649</v>
      </c>
    </row>
    <row r="4609" spans="38:40" x14ac:dyDescent="0.3">
      <c r="AL4609">
        <v>0</v>
      </c>
      <c r="AM4609" t="s">
        <v>649</v>
      </c>
      <c r="AN4609" t="s">
        <v>649</v>
      </c>
    </row>
    <row r="4610" spans="38:40" x14ac:dyDescent="0.3">
      <c r="AL4610">
        <v>0</v>
      </c>
      <c r="AM4610" t="s">
        <v>649</v>
      </c>
      <c r="AN4610" t="s">
        <v>649</v>
      </c>
    </row>
    <row r="4611" spans="38:40" x14ac:dyDescent="0.3">
      <c r="AL4611">
        <v>0</v>
      </c>
      <c r="AM4611" t="s">
        <v>649</v>
      </c>
      <c r="AN4611" t="s">
        <v>649</v>
      </c>
    </row>
    <row r="4612" spans="38:40" x14ac:dyDescent="0.3">
      <c r="AL4612">
        <v>0</v>
      </c>
      <c r="AM4612" t="s">
        <v>649</v>
      </c>
      <c r="AN4612" t="s">
        <v>649</v>
      </c>
    </row>
    <row r="4613" spans="38:40" x14ac:dyDescent="0.3">
      <c r="AL4613">
        <v>0</v>
      </c>
      <c r="AM4613" t="s">
        <v>649</v>
      </c>
      <c r="AN4613" t="s">
        <v>649</v>
      </c>
    </row>
    <row r="4614" spans="38:40" x14ac:dyDescent="0.3">
      <c r="AL4614">
        <v>0</v>
      </c>
      <c r="AM4614" t="s">
        <v>649</v>
      </c>
      <c r="AN4614" t="s">
        <v>649</v>
      </c>
    </row>
    <row r="4615" spans="38:40" x14ac:dyDescent="0.3">
      <c r="AL4615">
        <v>0</v>
      </c>
      <c r="AM4615" t="s">
        <v>649</v>
      </c>
      <c r="AN4615" t="s">
        <v>649</v>
      </c>
    </row>
    <row r="4616" spans="38:40" x14ac:dyDescent="0.3">
      <c r="AL4616">
        <v>0</v>
      </c>
      <c r="AM4616" t="s">
        <v>649</v>
      </c>
      <c r="AN4616" t="s">
        <v>649</v>
      </c>
    </row>
    <row r="4617" spans="38:40" x14ac:dyDescent="0.3">
      <c r="AL4617">
        <v>0</v>
      </c>
      <c r="AM4617" t="s">
        <v>649</v>
      </c>
      <c r="AN4617" t="s">
        <v>649</v>
      </c>
    </row>
    <row r="4618" spans="38:40" x14ac:dyDescent="0.3">
      <c r="AL4618">
        <v>0</v>
      </c>
      <c r="AM4618" t="s">
        <v>649</v>
      </c>
      <c r="AN4618" t="s">
        <v>649</v>
      </c>
    </row>
    <row r="4619" spans="38:40" x14ac:dyDescent="0.3">
      <c r="AL4619">
        <v>0</v>
      </c>
      <c r="AM4619" t="s">
        <v>649</v>
      </c>
      <c r="AN4619" t="s">
        <v>649</v>
      </c>
    </row>
    <row r="4620" spans="38:40" x14ac:dyDescent="0.3">
      <c r="AL4620">
        <v>0</v>
      </c>
      <c r="AM4620" t="s">
        <v>649</v>
      </c>
      <c r="AN4620" t="s">
        <v>649</v>
      </c>
    </row>
    <row r="4621" spans="38:40" x14ac:dyDescent="0.3">
      <c r="AL4621">
        <v>0</v>
      </c>
      <c r="AM4621" t="s">
        <v>649</v>
      </c>
      <c r="AN4621" t="s">
        <v>649</v>
      </c>
    </row>
    <row r="4622" spans="38:40" x14ac:dyDescent="0.3">
      <c r="AL4622">
        <v>0</v>
      </c>
      <c r="AM4622" t="s">
        <v>649</v>
      </c>
      <c r="AN4622" t="s">
        <v>649</v>
      </c>
    </row>
    <row r="4623" spans="38:40" x14ac:dyDescent="0.3">
      <c r="AL4623">
        <v>0</v>
      </c>
      <c r="AM4623" t="s">
        <v>649</v>
      </c>
      <c r="AN4623" t="s">
        <v>649</v>
      </c>
    </row>
    <row r="4624" spans="38:40" x14ac:dyDescent="0.3">
      <c r="AL4624">
        <v>0</v>
      </c>
      <c r="AM4624" t="s">
        <v>649</v>
      </c>
      <c r="AN4624" t="s">
        <v>649</v>
      </c>
    </row>
    <row r="4625" spans="38:40" x14ac:dyDescent="0.3">
      <c r="AL4625">
        <v>0</v>
      </c>
      <c r="AM4625" t="s">
        <v>649</v>
      </c>
      <c r="AN4625" t="s">
        <v>649</v>
      </c>
    </row>
    <row r="4626" spans="38:40" x14ac:dyDescent="0.3">
      <c r="AL4626">
        <v>0</v>
      </c>
      <c r="AM4626" t="s">
        <v>649</v>
      </c>
      <c r="AN4626" t="s">
        <v>649</v>
      </c>
    </row>
    <row r="4627" spans="38:40" x14ac:dyDescent="0.3">
      <c r="AL4627">
        <v>0</v>
      </c>
      <c r="AM4627" t="s">
        <v>649</v>
      </c>
      <c r="AN4627" t="s">
        <v>649</v>
      </c>
    </row>
    <row r="4628" spans="38:40" x14ac:dyDescent="0.3">
      <c r="AL4628">
        <v>0</v>
      </c>
      <c r="AM4628" t="s">
        <v>649</v>
      </c>
      <c r="AN4628" t="s">
        <v>649</v>
      </c>
    </row>
    <row r="4629" spans="38:40" x14ac:dyDescent="0.3">
      <c r="AL4629">
        <v>0</v>
      </c>
      <c r="AM4629" t="s">
        <v>649</v>
      </c>
      <c r="AN4629" t="s">
        <v>649</v>
      </c>
    </row>
    <row r="4630" spans="38:40" x14ac:dyDescent="0.3">
      <c r="AL4630">
        <v>0</v>
      </c>
      <c r="AM4630" t="s">
        <v>649</v>
      </c>
      <c r="AN4630" t="s">
        <v>649</v>
      </c>
    </row>
    <row r="4631" spans="38:40" x14ac:dyDescent="0.3">
      <c r="AL4631">
        <v>0</v>
      </c>
      <c r="AM4631" t="s">
        <v>649</v>
      </c>
      <c r="AN4631" t="s">
        <v>649</v>
      </c>
    </row>
    <row r="4632" spans="38:40" x14ac:dyDescent="0.3">
      <c r="AL4632">
        <v>0</v>
      </c>
      <c r="AM4632" t="s">
        <v>649</v>
      </c>
      <c r="AN4632" t="s">
        <v>649</v>
      </c>
    </row>
    <row r="4633" spans="38:40" x14ac:dyDescent="0.3">
      <c r="AL4633">
        <v>0</v>
      </c>
      <c r="AM4633" t="s">
        <v>649</v>
      </c>
      <c r="AN4633" t="s">
        <v>649</v>
      </c>
    </row>
    <row r="4634" spans="38:40" x14ac:dyDescent="0.3">
      <c r="AL4634">
        <v>0</v>
      </c>
      <c r="AM4634" t="s">
        <v>649</v>
      </c>
      <c r="AN4634" t="s">
        <v>649</v>
      </c>
    </row>
    <row r="4635" spans="38:40" x14ac:dyDescent="0.3">
      <c r="AL4635">
        <v>0</v>
      </c>
      <c r="AM4635" t="s">
        <v>649</v>
      </c>
      <c r="AN4635" t="s">
        <v>649</v>
      </c>
    </row>
    <row r="4636" spans="38:40" x14ac:dyDescent="0.3">
      <c r="AL4636">
        <v>0</v>
      </c>
      <c r="AM4636" t="s">
        <v>649</v>
      </c>
      <c r="AN4636" t="s">
        <v>649</v>
      </c>
    </row>
    <row r="4637" spans="38:40" x14ac:dyDescent="0.3">
      <c r="AL4637">
        <v>0</v>
      </c>
      <c r="AM4637" t="s">
        <v>649</v>
      </c>
      <c r="AN4637" t="s">
        <v>649</v>
      </c>
    </row>
    <row r="4638" spans="38:40" x14ac:dyDescent="0.3">
      <c r="AL4638">
        <v>0</v>
      </c>
      <c r="AM4638" t="s">
        <v>649</v>
      </c>
      <c r="AN4638" t="s">
        <v>649</v>
      </c>
    </row>
    <row r="4639" spans="38:40" x14ac:dyDescent="0.3">
      <c r="AL4639">
        <v>0</v>
      </c>
      <c r="AM4639" t="s">
        <v>649</v>
      </c>
      <c r="AN4639" t="s">
        <v>649</v>
      </c>
    </row>
    <row r="4640" spans="38:40" x14ac:dyDescent="0.3">
      <c r="AL4640">
        <v>0</v>
      </c>
      <c r="AM4640" t="s">
        <v>649</v>
      </c>
      <c r="AN4640" t="s">
        <v>649</v>
      </c>
    </row>
    <row r="4641" spans="38:40" x14ac:dyDescent="0.3">
      <c r="AL4641">
        <v>0</v>
      </c>
      <c r="AM4641" t="s">
        <v>649</v>
      </c>
      <c r="AN4641" t="s">
        <v>649</v>
      </c>
    </row>
    <row r="4642" spans="38:40" x14ac:dyDescent="0.3">
      <c r="AL4642">
        <v>0</v>
      </c>
      <c r="AM4642" t="s">
        <v>649</v>
      </c>
      <c r="AN4642" t="s">
        <v>649</v>
      </c>
    </row>
    <row r="4643" spans="38:40" x14ac:dyDescent="0.3">
      <c r="AL4643">
        <v>0</v>
      </c>
      <c r="AM4643" t="s">
        <v>649</v>
      </c>
      <c r="AN4643" t="s">
        <v>649</v>
      </c>
    </row>
    <row r="4644" spans="38:40" x14ac:dyDescent="0.3">
      <c r="AL4644">
        <v>0</v>
      </c>
      <c r="AM4644" t="s">
        <v>649</v>
      </c>
      <c r="AN4644" t="s">
        <v>649</v>
      </c>
    </row>
    <row r="4645" spans="38:40" x14ac:dyDescent="0.3">
      <c r="AL4645">
        <v>0</v>
      </c>
      <c r="AM4645" t="s">
        <v>649</v>
      </c>
      <c r="AN4645" t="s">
        <v>649</v>
      </c>
    </row>
    <row r="4646" spans="38:40" x14ac:dyDescent="0.3">
      <c r="AL4646">
        <v>0</v>
      </c>
      <c r="AM4646" t="s">
        <v>649</v>
      </c>
      <c r="AN4646" t="s">
        <v>649</v>
      </c>
    </row>
    <row r="4647" spans="38:40" x14ac:dyDescent="0.3">
      <c r="AL4647">
        <v>0</v>
      </c>
      <c r="AM4647" t="s">
        <v>649</v>
      </c>
      <c r="AN4647" t="s">
        <v>649</v>
      </c>
    </row>
    <row r="4648" spans="38:40" x14ac:dyDescent="0.3">
      <c r="AL4648">
        <v>0</v>
      </c>
      <c r="AM4648" t="s">
        <v>649</v>
      </c>
      <c r="AN4648" t="s">
        <v>649</v>
      </c>
    </row>
    <row r="4649" spans="38:40" x14ac:dyDescent="0.3">
      <c r="AL4649">
        <v>0</v>
      </c>
      <c r="AM4649" t="s">
        <v>649</v>
      </c>
      <c r="AN4649" t="s">
        <v>649</v>
      </c>
    </row>
    <row r="4650" spans="38:40" x14ac:dyDescent="0.3">
      <c r="AL4650">
        <v>0</v>
      </c>
      <c r="AM4650" t="s">
        <v>649</v>
      </c>
      <c r="AN4650" t="s">
        <v>649</v>
      </c>
    </row>
    <row r="4651" spans="38:40" x14ac:dyDescent="0.3">
      <c r="AL4651">
        <v>0</v>
      </c>
      <c r="AM4651" t="s">
        <v>649</v>
      </c>
      <c r="AN4651" t="s">
        <v>649</v>
      </c>
    </row>
    <row r="4652" spans="38:40" x14ac:dyDescent="0.3">
      <c r="AL4652">
        <v>0</v>
      </c>
      <c r="AM4652" t="s">
        <v>649</v>
      </c>
      <c r="AN4652" t="s">
        <v>649</v>
      </c>
    </row>
    <row r="4653" spans="38:40" x14ac:dyDescent="0.3">
      <c r="AL4653">
        <v>0</v>
      </c>
      <c r="AM4653" t="s">
        <v>649</v>
      </c>
      <c r="AN4653" t="s">
        <v>649</v>
      </c>
    </row>
    <row r="4654" spans="38:40" x14ac:dyDescent="0.3">
      <c r="AL4654">
        <v>0</v>
      </c>
      <c r="AM4654" t="s">
        <v>649</v>
      </c>
      <c r="AN4654" t="s">
        <v>649</v>
      </c>
    </row>
    <row r="4655" spans="38:40" x14ac:dyDescent="0.3">
      <c r="AL4655">
        <v>0</v>
      </c>
      <c r="AM4655" t="s">
        <v>649</v>
      </c>
      <c r="AN4655" t="s">
        <v>649</v>
      </c>
    </row>
    <row r="4656" spans="38:40" x14ac:dyDescent="0.3">
      <c r="AL4656">
        <v>0</v>
      </c>
      <c r="AM4656" t="s">
        <v>649</v>
      </c>
      <c r="AN4656" t="s">
        <v>649</v>
      </c>
    </row>
    <row r="4657" spans="38:40" x14ac:dyDescent="0.3">
      <c r="AL4657">
        <v>0</v>
      </c>
      <c r="AM4657" t="s">
        <v>649</v>
      </c>
      <c r="AN4657" t="s">
        <v>649</v>
      </c>
    </row>
    <row r="4658" spans="38:40" x14ac:dyDescent="0.3">
      <c r="AL4658">
        <v>0</v>
      </c>
      <c r="AM4658" t="s">
        <v>649</v>
      </c>
      <c r="AN4658" t="s">
        <v>649</v>
      </c>
    </row>
    <row r="4659" spans="38:40" x14ac:dyDescent="0.3">
      <c r="AL4659">
        <v>0</v>
      </c>
      <c r="AM4659" t="s">
        <v>649</v>
      </c>
      <c r="AN4659" t="s">
        <v>649</v>
      </c>
    </row>
    <row r="4660" spans="38:40" x14ac:dyDescent="0.3">
      <c r="AL4660">
        <v>0</v>
      </c>
      <c r="AM4660" t="s">
        <v>649</v>
      </c>
      <c r="AN4660" t="s">
        <v>649</v>
      </c>
    </row>
    <row r="4661" spans="38:40" x14ac:dyDescent="0.3">
      <c r="AL4661">
        <v>0</v>
      </c>
      <c r="AM4661" t="s">
        <v>649</v>
      </c>
      <c r="AN4661" t="s">
        <v>649</v>
      </c>
    </row>
    <row r="4662" spans="38:40" x14ac:dyDescent="0.3">
      <c r="AL4662">
        <v>0</v>
      </c>
      <c r="AM4662" t="s">
        <v>649</v>
      </c>
      <c r="AN4662" t="s">
        <v>649</v>
      </c>
    </row>
    <row r="4663" spans="38:40" x14ac:dyDescent="0.3">
      <c r="AL4663">
        <v>0</v>
      </c>
      <c r="AM4663" t="s">
        <v>649</v>
      </c>
      <c r="AN4663" t="s">
        <v>649</v>
      </c>
    </row>
    <row r="4664" spans="38:40" x14ac:dyDescent="0.3">
      <c r="AL4664">
        <v>0</v>
      </c>
      <c r="AM4664" t="s">
        <v>649</v>
      </c>
      <c r="AN4664" t="s">
        <v>649</v>
      </c>
    </row>
    <row r="4665" spans="38:40" x14ac:dyDescent="0.3">
      <c r="AL4665">
        <v>0</v>
      </c>
      <c r="AM4665" t="s">
        <v>649</v>
      </c>
      <c r="AN4665" t="s">
        <v>649</v>
      </c>
    </row>
    <row r="4666" spans="38:40" x14ac:dyDescent="0.3">
      <c r="AL4666">
        <v>0</v>
      </c>
      <c r="AM4666" t="s">
        <v>649</v>
      </c>
      <c r="AN4666" t="s">
        <v>649</v>
      </c>
    </row>
    <row r="4667" spans="38:40" x14ac:dyDescent="0.3">
      <c r="AL4667">
        <v>0</v>
      </c>
      <c r="AM4667" t="s">
        <v>649</v>
      </c>
      <c r="AN4667" t="s">
        <v>649</v>
      </c>
    </row>
    <row r="4668" spans="38:40" x14ac:dyDescent="0.3">
      <c r="AL4668">
        <v>0</v>
      </c>
      <c r="AM4668" t="s">
        <v>649</v>
      </c>
      <c r="AN4668" t="s">
        <v>649</v>
      </c>
    </row>
    <row r="4669" spans="38:40" x14ac:dyDescent="0.3">
      <c r="AL4669">
        <v>0</v>
      </c>
      <c r="AM4669" t="s">
        <v>649</v>
      </c>
      <c r="AN4669" t="s">
        <v>649</v>
      </c>
    </row>
    <row r="4670" spans="38:40" x14ac:dyDescent="0.3">
      <c r="AL4670">
        <v>0</v>
      </c>
      <c r="AM4670" t="s">
        <v>649</v>
      </c>
      <c r="AN4670" t="s">
        <v>649</v>
      </c>
    </row>
    <row r="4671" spans="38:40" x14ac:dyDescent="0.3">
      <c r="AL4671">
        <v>0</v>
      </c>
      <c r="AM4671" t="s">
        <v>649</v>
      </c>
      <c r="AN4671" t="s">
        <v>649</v>
      </c>
    </row>
    <row r="4672" spans="38:40" x14ac:dyDescent="0.3">
      <c r="AL4672">
        <v>0</v>
      </c>
      <c r="AM4672" t="s">
        <v>649</v>
      </c>
      <c r="AN4672" t="s">
        <v>649</v>
      </c>
    </row>
    <row r="4673" spans="38:40" x14ac:dyDescent="0.3">
      <c r="AL4673">
        <v>0</v>
      </c>
      <c r="AM4673" t="s">
        <v>649</v>
      </c>
      <c r="AN4673" t="s">
        <v>649</v>
      </c>
    </row>
    <row r="4674" spans="38:40" x14ac:dyDescent="0.3">
      <c r="AL4674">
        <v>0</v>
      </c>
      <c r="AM4674" t="s">
        <v>649</v>
      </c>
      <c r="AN4674" t="s">
        <v>649</v>
      </c>
    </row>
    <row r="4675" spans="38:40" x14ac:dyDescent="0.3">
      <c r="AL4675">
        <v>0</v>
      </c>
      <c r="AM4675" t="s">
        <v>649</v>
      </c>
      <c r="AN4675" t="s">
        <v>649</v>
      </c>
    </row>
    <row r="4676" spans="38:40" x14ac:dyDescent="0.3">
      <c r="AL4676">
        <v>0</v>
      </c>
      <c r="AM4676" t="s">
        <v>649</v>
      </c>
      <c r="AN4676" t="s">
        <v>649</v>
      </c>
    </row>
    <row r="4677" spans="38:40" x14ac:dyDescent="0.3">
      <c r="AL4677">
        <v>0</v>
      </c>
      <c r="AM4677" t="s">
        <v>649</v>
      </c>
      <c r="AN4677" t="s">
        <v>649</v>
      </c>
    </row>
    <row r="4678" spans="38:40" x14ac:dyDescent="0.3">
      <c r="AL4678">
        <v>0</v>
      </c>
      <c r="AM4678" t="s">
        <v>649</v>
      </c>
      <c r="AN4678" t="s">
        <v>649</v>
      </c>
    </row>
    <row r="4679" spans="38:40" x14ac:dyDescent="0.3">
      <c r="AL4679">
        <v>0</v>
      </c>
      <c r="AM4679" t="s">
        <v>649</v>
      </c>
      <c r="AN4679" t="s">
        <v>649</v>
      </c>
    </row>
    <row r="4680" spans="38:40" x14ac:dyDescent="0.3">
      <c r="AL4680">
        <v>0</v>
      </c>
      <c r="AM4680" t="s">
        <v>649</v>
      </c>
      <c r="AN4680" t="s">
        <v>649</v>
      </c>
    </row>
    <row r="4681" spans="38:40" x14ac:dyDescent="0.3">
      <c r="AL4681">
        <v>0</v>
      </c>
      <c r="AM4681" t="s">
        <v>649</v>
      </c>
      <c r="AN4681" t="s">
        <v>649</v>
      </c>
    </row>
    <row r="4682" spans="38:40" x14ac:dyDescent="0.3">
      <c r="AL4682">
        <v>0</v>
      </c>
      <c r="AM4682" t="s">
        <v>649</v>
      </c>
      <c r="AN4682" t="s">
        <v>649</v>
      </c>
    </row>
    <row r="4683" spans="38:40" x14ac:dyDescent="0.3">
      <c r="AL4683">
        <v>0</v>
      </c>
      <c r="AM4683" t="s">
        <v>649</v>
      </c>
      <c r="AN4683" t="s">
        <v>649</v>
      </c>
    </row>
    <row r="4684" spans="38:40" x14ac:dyDescent="0.3">
      <c r="AL4684">
        <v>0</v>
      </c>
      <c r="AM4684" t="s">
        <v>649</v>
      </c>
      <c r="AN4684" t="s">
        <v>649</v>
      </c>
    </row>
    <row r="4685" spans="38:40" x14ac:dyDescent="0.3">
      <c r="AL4685">
        <v>0</v>
      </c>
      <c r="AM4685" t="s">
        <v>649</v>
      </c>
      <c r="AN4685" t="s">
        <v>649</v>
      </c>
    </row>
    <row r="4686" spans="38:40" x14ac:dyDescent="0.3">
      <c r="AL4686">
        <v>0</v>
      </c>
      <c r="AM4686" t="s">
        <v>649</v>
      </c>
      <c r="AN4686" t="s">
        <v>649</v>
      </c>
    </row>
    <row r="4687" spans="38:40" x14ac:dyDescent="0.3">
      <c r="AL4687">
        <v>0</v>
      </c>
      <c r="AM4687" t="s">
        <v>649</v>
      </c>
      <c r="AN4687" t="s">
        <v>649</v>
      </c>
    </row>
    <row r="4688" spans="38:40" x14ac:dyDescent="0.3">
      <c r="AL4688">
        <v>0</v>
      </c>
      <c r="AM4688" t="s">
        <v>649</v>
      </c>
      <c r="AN4688" t="s">
        <v>649</v>
      </c>
    </row>
    <row r="4689" spans="38:40" x14ac:dyDescent="0.3">
      <c r="AL4689">
        <v>0</v>
      </c>
      <c r="AM4689" t="s">
        <v>649</v>
      </c>
      <c r="AN4689" t="s">
        <v>649</v>
      </c>
    </row>
    <row r="4690" spans="38:40" x14ac:dyDescent="0.3">
      <c r="AL4690">
        <v>0</v>
      </c>
      <c r="AM4690" t="s">
        <v>649</v>
      </c>
      <c r="AN4690" t="s">
        <v>649</v>
      </c>
    </row>
    <row r="4691" spans="38:40" x14ac:dyDescent="0.3">
      <c r="AL4691">
        <v>0</v>
      </c>
      <c r="AM4691" t="s">
        <v>649</v>
      </c>
      <c r="AN4691" t="s">
        <v>649</v>
      </c>
    </row>
    <row r="4692" spans="38:40" x14ac:dyDescent="0.3">
      <c r="AL4692">
        <v>0</v>
      </c>
      <c r="AM4692" t="s">
        <v>649</v>
      </c>
      <c r="AN4692" t="s">
        <v>649</v>
      </c>
    </row>
    <row r="4693" spans="38:40" x14ac:dyDescent="0.3">
      <c r="AL4693">
        <v>0</v>
      </c>
      <c r="AM4693" t="s">
        <v>649</v>
      </c>
      <c r="AN4693" t="s">
        <v>649</v>
      </c>
    </row>
    <row r="4694" spans="38:40" x14ac:dyDescent="0.3">
      <c r="AL4694">
        <v>0</v>
      </c>
      <c r="AM4694" t="s">
        <v>649</v>
      </c>
      <c r="AN4694" t="s">
        <v>649</v>
      </c>
    </row>
    <row r="4695" spans="38:40" x14ac:dyDescent="0.3">
      <c r="AL4695">
        <v>0</v>
      </c>
      <c r="AM4695" t="s">
        <v>649</v>
      </c>
      <c r="AN4695" t="s">
        <v>649</v>
      </c>
    </row>
    <row r="4696" spans="38:40" x14ac:dyDescent="0.3">
      <c r="AL4696">
        <v>0</v>
      </c>
      <c r="AM4696" t="s">
        <v>649</v>
      </c>
      <c r="AN4696" t="s">
        <v>649</v>
      </c>
    </row>
    <row r="4697" spans="38:40" x14ac:dyDescent="0.3">
      <c r="AL4697">
        <v>0</v>
      </c>
      <c r="AM4697" t="s">
        <v>649</v>
      </c>
      <c r="AN4697" t="s">
        <v>649</v>
      </c>
    </row>
    <row r="4698" spans="38:40" x14ac:dyDescent="0.3">
      <c r="AL4698">
        <v>0</v>
      </c>
      <c r="AM4698" t="s">
        <v>649</v>
      </c>
      <c r="AN4698" t="s">
        <v>649</v>
      </c>
    </row>
    <row r="4699" spans="38:40" x14ac:dyDescent="0.3">
      <c r="AL4699">
        <v>0</v>
      </c>
      <c r="AM4699" t="s">
        <v>649</v>
      </c>
      <c r="AN4699" t="s">
        <v>649</v>
      </c>
    </row>
    <row r="4700" spans="38:40" x14ac:dyDescent="0.3">
      <c r="AL4700">
        <v>0</v>
      </c>
      <c r="AM4700" t="s">
        <v>649</v>
      </c>
      <c r="AN4700" t="s">
        <v>649</v>
      </c>
    </row>
    <row r="4701" spans="38:40" x14ac:dyDescent="0.3">
      <c r="AL4701">
        <v>0</v>
      </c>
      <c r="AM4701" t="s">
        <v>649</v>
      </c>
      <c r="AN4701" t="s">
        <v>649</v>
      </c>
    </row>
    <row r="4702" spans="38:40" x14ac:dyDescent="0.3">
      <c r="AL4702">
        <v>0</v>
      </c>
      <c r="AM4702" t="s">
        <v>649</v>
      </c>
      <c r="AN4702" t="s">
        <v>649</v>
      </c>
    </row>
    <row r="4703" spans="38:40" x14ac:dyDescent="0.3">
      <c r="AL4703">
        <v>0</v>
      </c>
      <c r="AM4703" t="s">
        <v>649</v>
      </c>
      <c r="AN4703" t="s">
        <v>649</v>
      </c>
    </row>
    <row r="4704" spans="38:40" x14ac:dyDescent="0.3">
      <c r="AL4704">
        <v>0</v>
      </c>
      <c r="AM4704" t="s">
        <v>649</v>
      </c>
      <c r="AN4704" t="s">
        <v>649</v>
      </c>
    </row>
    <row r="4705" spans="38:40" x14ac:dyDescent="0.3">
      <c r="AL4705">
        <v>0</v>
      </c>
      <c r="AM4705" t="s">
        <v>649</v>
      </c>
      <c r="AN4705" t="s">
        <v>649</v>
      </c>
    </row>
    <row r="4706" spans="38:40" x14ac:dyDescent="0.3">
      <c r="AL4706">
        <v>0</v>
      </c>
      <c r="AM4706" t="s">
        <v>649</v>
      </c>
      <c r="AN4706" t="s">
        <v>649</v>
      </c>
    </row>
    <row r="4707" spans="38:40" x14ac:dyDescent="0.3">
      <c r="AL4707">
        <v>0</v>
      </c>
      <c r="AM4707" t="s">
        <v>649</v>
      </c>
      <c r="AN4707" t="s">
        <v>649</v>
      </c>
    </row>
    <row r="4708" spans="38:40" x14ac:dyDescent="0.3">
      <c r="AL4708">
        <v>0</v>
      </c>
      <c r="AM4708" t="s">
        <v>649</v>
      </c>
      <c r="AN4708" t="s">
        <v>649</v>
      </c>
    </row>
    <row r="4709" spans="38:40" x14ac:dyDescent="0.3">
      <c r="AL4709">
        <v>0</v>
      </c>
      <c r="AM4709" t="s">
        <v>649</v>
      </c>
      <c r="AN4709" t="s">
        <v>649</v>
      </c>
    </row>
    <row r="4710" spans="38:40" x14ac:dyDescent="0.3">
      <c r="AL4710">
        <v>0</v>
      </c>
      <c r="AM4710" t="s">
        <v>649</v>
      </c>
      <c r="AN4710" t="s">
        <v>649</v>
      </c>
    </row>
    <row r="4711" spans="38:40" x14ac:dyDescent="0.3">
      <c r="AL4711">
        <v>0</v>
      </c>
      <c r="AM4711" t="s">
        <v>649</v>
      </c>
      <c r="AN4711" t="s">
        <v>649</v>
      </c>
    </row>
    <row r="4712" spans="38:40" x14ac:dyDescent="0.3">
      <c r="AL4712">
        <v>0</v>
      </c>
      <c r="AM4712" t="s">
        <v>649</v>
      </c>
      <c r="AN4712" t="s">
        <v>649</v>
      </c>
    </row>
    <row r="4713" spans="38:40" x14ac:dyDescent="0.3">
      <c r="AL4713">
        <v>0</v>
      </c>
      <c r="AM4713" t="s">
        <v>649</v>
      </c>
      <c r="AN4713" t="s">
        <v>649</v>
      </c>
    </row>
    <row r="4714" spans="38:40" x14ac:dyDescent="0.3">
      <c r="AL4714">
        <v>0</v>
      </c>
      <c r="AM4714" t="s">
        <v>649</v>
      </c>
      <c r="AN4714" t="s">
        <v>649</v>
      </c>
    </row>
    <row r="4715" spans="38:40" x14ac:dyDescent="0.3">
      <c r="AL4715">
        <v>0</v>
      </c>
      <c r="AM4715" t="s">
        <v>649</v>
      </c>
      <c r="AN4715" t="s">
        <v>649</v>
      </c>
    </row>
    <row r="4716" spans="38:40" x14ac:dyDescent="0.3">
      <c r="AL4716">
        <v>0</v>
      </c>
      <c r="AM4716" t="s">
        <v>649</v>
      </c>
      <c r="AN4716" t="s">
        <v>649</v>
      </c>
    </row>
    <row r="4717" spans="38:40" x14ac:dyDescent="0.3">
      <c r="AL4717">
        <v>0</v>
      </c>
      <c r="AM4717" t="s">
        <v>649</v>
      </c>
      <c r="AN4717" t="s">
        <v>649</v>
      </c>
    </row>
    <row r="4718" spans="38:40" x14ac:dyDescent="0.3">
      <c r="AL4718">
        <v>0</v>
      </c>
      <c r="AM4718" t="s">
        <v>649</v>
      </c>
      <c r="AN4718" t="s">
        <v>649</v>
      </c>
    </row>
    <row r="4719" spans="38:40" x14ac:dyDescent="0.3">
      <c r="AL4719">
        <v>0</v>
      </c>
      <c r="AM4719" t="s">
        <v>649</v>
      </c>
      <c r="AN4719" t="s">
        <v>649</v>
      </c>
    </row>
    <row r="4720" spans="38:40" x14ac:dyDescent="0.3">
      <c r="AL4720">
        <v>0</v>
      </c>
      <c r="AM4720" t="s">
        <v>649</v>
      </c>
      <c r="AN4720" t="s">
        <v>649</v>
      </c>
    </row>
    <row r="4721" spans="38:40" x14ac:dyDescent="0.3">
      <c r="AL4721">
        <v>0</v>
      </c>
      <c r="AM4721" t="s">
        <v>649</v>
      </c>
      <c r="AN4721" t="s">
        <v>649</v>
      </c>
    </row>
    <row r="4722" spans="38:40" x14ac:dyDescent="0.3">
      <c r="AL4722">
        <v>0</v>
      </c>
      <c r="AM4722" t="s">
        <v>649</v>
      </c>
      <c r="AN4722" t="s">
        <v>649</v>
      </c>
    </row>
    <row r="4723" spans="38:40" x14ac:dyDescent="0.3">
      <c r="AL4723">
        <v>0</v>
      </c>
      <c r="AM4723" t="s">
        <v>649</v>
      </c>
      <c r="AN4723" t="s">
        <v>649</v>
      </c>
    </row>
    <row r="4724" spans="38:40" x14ac:dyDescent="0.3">
      <c r="AL4724">
        <v>0</v>
      </c>
      <c r="AM4724" t="s">
        <v>649</v>
      </c>
      <c r="AN4724" t="s">
        <v>649</v>
      </c>
    </row>
    <row r="4725" spans="38:40" x14ac:dyDescent="0.3">
      <c r="AL4725">
        <v>0</v>
      </c>
      <c r="AM4725" t="s">
        <v>649</v>
      </c>
      <c r="AN4725" t="s">
        <v>649</v>
      </c>
    </row>
    <row r="4726" spans="38:40" x14ac:dyDescent="0.3">
      <c r="AL4726">
        <v>0</v>
      </c>
      <c r="AM4726" t="s">
        <v>649</v>
      </c>
      <c r="AN4726" t="s">
        <v>649</v>
      </c>
    </row>
    <row r="4727" spans="38:40" x14ac:dyDescent="0.3">
      <c r="AL4727">
        <v>0</v>
      </c>
      <c r="AM4727" t="s">
        <v>649</v>
      </c>
      <c r="AN4727" t="s">
        <v>649</v>
      </c>
    </row>
    <row r="4728" spans="38:40" x14ac:dyDescent="0.3">
      <c r="AL4728">
        <v>0</v>
      </c>
      <c r="AM4728" t="s">
        <v>649</v>
      </c>
      <c r="AN4728" t="s">
        <v>649</v>
      </c>
    </row>
    <row r="4729" spans="38:40" x14ac:dyDescent="0.3">
      <c r="AL4729">
        <v>0</v>
      </c>
      <c r="AM4729" t="s">
        <v>649</v>
      </c>
      <c r="AN4729" t="s">
        <v>649</v>
      </c>
    </row>
    <row r="4730" spans="38:40" x14ac:dyDescent="0.3">
      <c r="AL4730">
        <v>0</v>
      </c>
      <c r="AM4730" t="s">
        <v>649</v>
      </c>
      <c r="AN4730" t="s">
        <v>649</v>
      </c>
    </row>
    <row r="4731" spans="38:40" x14ac:dyDescent="0.3">
      <c r="AL4731">
        <v>0</v>
      </c>
      <c r="AM4731" t="s">
        <v>649</v>
      </c>
      <c r="AN4731" t="s">
        <v>649</v>
      </c>
    </row>
    <row r="4732" spans="38:40" x14ac:dyDescent="0.3">
      <c r="AL4732">
        <v>0</v>
      </c>
      <c r="AM4732" t="s">
        <v>649</v>
      </c>
      <c r="AN4732" t="s">
        <v>649</v>
      </c>
    </row>
    <row r="4733" spans="38:40" x14ac:dyDescent="0.3">
      <c r="AL4733">
        <v>0</v>
      </c>
      <c r="AM4733" t="s">
        <v>649</v>
      </c>
      <c r="AN4733" t="s">
        <v>649</v>
      </c>
    </row>
    <row r="4734" spans="38:40" x14ac:dyDescent="0.3">
      <c r="AL4734">
        <v>0</v>
      </c>
      <c r="AM4734" t="s">
        <v>649</v>
      </c>
      <c r="AN4734" t="s">
        <v>649</v>
      </c>
    </row>
    <row r="4735" spans="38:40" x14ac:dyDescent="0.3">
      <c r="AL4735">
        <v>0</v>
      </c>
      <c r="AM4735" t="s">
        <v>649</v>
      </c>
      <c r="AN4735" t="s">
        <v>649</v>
      </c>
    </row>
    <row r="4736" spans="38:40" x14ac:dyDescent="0.3">
      <c r="AL4736">
        <v>0</v>
      </c>
      <c r="AM4736" t="s">
        <v>649</v>
      </c>
      <c r="AN4736" t="s">
        <v>649</v>
      </c>
    </row>
    <row r="4737" spans="38:40" x14ac:dyDescent="0.3">
      <c r="AL4737">
        <v>0</v>
      </c>
      <c r="AM4737" t="s">
        <v>649</v>
      </c>
      <c r="AN4737" t="s">
        <v>649</v>
      </c>
    </row>
    <row r="4738" spans="38:40" x14ac:dyDescent="0.3">
      <c r="AL4738">
        <v>0</v>
      </c>
      <c r="AM4738" t="s">
        <v>649</v>
      </c>
      <c r="AN4738" t="s">
        <v>649</v>
      </c>
    </row>
    <row r="4739" spans="38:40" x14ac:dyDescent="0.3">
      <c r="AL4739">
        <v>0</v>
      </c>
      <c r="AM4739" t="s">
        <v>649</v>
      </c>
      <c r="AN4739" t="s">
        <v>649</v>
      </c>
    </row>
    <row r="4740" spans="38:40" x14ac:dyDescent="0.3">
      <c r="AL4740">
        <v>0</v>
      </c>
      <c r="AM4740" t="s">
        <v>649</v>
      </c>
      <c r="AN4740" t="s">
        <v>649</v>
      </c>
    </row>
    <row r="4741" spans="38:40" x14ac:dyDescent="0.3">
      <c r="AL4741">
        <v>0</v>
      </c>
      <c r="AM4741" t="s">
        <v>649</v>
      </c>
      <c r="AN4741" t="s">
        <v>649</v>
      </c>
    </row>
    <row r="4742" spans="38:40" x14ac:dyDescent="0.3">
      <c r="AL4742">
        <v>0</v>
      </c>
      <c r="AM4742" t="s">
        <v>649</v>
      </c>
      <c r="AN4742" t="s">
        <v>649</v>
      </c>
    </row>
    <row r="4743" spans="38:40" x14ac:dyDescent="0.3">
      <c r="AL4743">
        <v>0</v>
      </c>
      <c r="AM4743" t="s">
        <v>649</v>
      </c>
      <c r="AN4743" t="s">
        <v>649</v>
      </c>
    </row>
    <row r="4744" spans="38:40" x14ac:dyDescent="0.3">
      <c r="AL4744">
        <v>0</v>
      </c>
      <c r="AM4744" t="s">
        <v>649</v>
      </c>
      <c r="AN4744" t="s">
        <v>649</v>
      </c>
    </row>
    <row r="4745" spans="38:40" x14ac:dyDescent="0.3">
      <c r="AL4745">
        <v>0</v>
      </c>
      <c r="AM4745" t="s">
        <v>649</v>
      </c>
      <c r="AN4745" t="s">
        <v>649</v>
      </c>
    </row>
    <row r="4746" spans="38:40" x14ac:dyDescent="0.3">
      <c r="AL4746">
        <v>0</v>
      </c>
      <c r="AM4746" t="s">
        <v>649</v>
      </c>
      <c r="AN4746" t="s">
        <v>649</v>
      </c>
    </row>
    <row r="4747" spans="38:40" x14ac:dyDescent="0.3">
      <c r="AL4747">
        <v>0</v>
      </c>
      <c r="AM4747" t="s">
        <v>649</v>
      </c>
      <c r="AN4747" t="s">
        <v>649</v>
      </c>
    </row>
    <row r="4748" spans="38:40" x14ac:dyDescent="0.3">
      <c r="AL4748">
        <v>0</v>
      </c>
      <c r="AM4748" t="s">
        <v>649</v>
      </c>
      <c r="AN4748" t="s">
        <v>649</v>
      </c>
    </row>
    <row r="4749" spans="38:40" x14ac:dyDescent="0.3">
      <c r="AL4749">
        <v>0</v>
      </c>
      <c r="AM4749" t="s">
        <v>649</v>
      </c>
      <c r="AN4749" t="s">
        <v>649</v>
      </c>
    </row>
    <row r="4750" spans="38:40" x14ac:dyDescent="0.3">
      <c r="AL4750">
        <v>0</v>
      </c>
      <c r="AM4750" t="s">
        <v>649</v>
      </c>
      <c r="AN4750" t="s">
        <v>649</v>
      </c>
    </row>
    <row r="4751" spans="38:40" x14ac:dyDescent="0.3">
      <c r="AL4751">
        <v>0</v>
      </c>
      <c r="AM4751" t="s">
        <v>649</v>
      </c>
      <c r="AN4751" t="s">
        <v>649</v>
      </c>
    </row>
    <row r="4752" spans="38:40" x14ac:dyDescent="0.3">
      <c r="AL4752">
        <v>0</v>
      </c>
      <c r="AM4752" t="s">
        <v>649</v>
      </c>
      <c r="AN4752" t="s">
        <v>649</v>
      </c>
    </row>
    <row r="4753" spans="38:40" x14ac:dyDescent="0.3">
      <c r="AL4753">
        <v>0</v>
      </c>
      <c r="AM4753" t="s">
        <v>649</v>
      </c>
      <c r="AN4753" t="s">
        <v>649</v>
      </c>
    </row>
    <row r="4754" spans="38:40" x14ac:dyDescent="0.3">
      <c r="AL4754">
        <v>0</v>
      </c>
      <c r="AM4754" t="s">
        <v>649</v>
      </c>
      <c r="AN4754" t="s">
        <v>649</v>
      </c>
    </row>
    <row r="4755" spans="38:40" x14ac:dyDescent="0.3">
      <c r="AL4755">
        <v>0</v>
      </c>
      <c r="AM4755" t="s">
        <v>649</v>
      </c>
      <c r="AN4755" t="s">
        <v>649</v>
      </c>
    </row>
    <row r="4756" spans="38:40" x14ac:dyDescent="0.3">
      <c r="AL4756">
        <v>0</v>
      </c>
      <c r="AM4756" t="s">
        <v>649</v>
      </c>
      <c r="AN4756" t="s">
        <v>649</v>
      </c>
    </row>
    <row r="4757" spans="38:40" x14ac:dyDescent="0.3">
      <c r="AL4757">
        <v>0</v>
      </c>
      <c r="AM4757" t="s">
        <v>649</v>
      </c>
      <c r="AN4757" t="s">
        <v>649</v>
      </c>
    </row>
    <row r="4758" spans="38:40" x14ac:dyDescent="0.3">
      <c r="AL4758">
        <v>0</v>
      </c>
      <c r="AM4758" t="s">
        <v>649</v>
      </c>
      <c r="AN4758" t="s">
        <v>649</v>
      </c>
    </row>
    <row r="4759" spans="38:40" x14ac:dyDescent="0.3">
      <c r="AL4759">
        <v>0</v>
      </c>
      <c r="AM4759" t="s">
        <v>649</v>
      </c>
      <c r="AN4759" t="s">
        <v>649</v>
      </c>
    </row>
    <row r="4760" spans="38:40" x14ac:dyDescent="0.3">
      <c r="AL4760">
        <v>0</v>
      </c>
      <c r="AM4760" t="s">
        <v>649</v>
      </c>
      <c r="AN4760" t="s">
        <v>649</v>
      </c>
    </row>
    <row r="4761" spans="38:40" x14ac:dyDescent="0.3">
      <c r="AL4761">
        <v>0</v>
      </c>
      <c r="AM4761" t="s">
        <v>649</v>
      </c>
      <c r="AN4761" t="s">
        <v>649</v>
      </c>
    </row>
    <row r="4762" spans="38:40" x14ac:dyDescent="0.3">
      <c r="AL4762">
        <v>0</v>
      </c>
      <c r="AM4762" t="s">
        <v>649</v>
      </c>
      <c r="AN4762" t="s">
        <v>649</v>
      </c>
    </row>
    <row r="4763" spans="38:40" x14ac:dyDescent="0.3">
      <c r="AL4763">
        <v>0</v>
      </c>
      <c r="AM4763" t="s">
        <v>649</v>
      </c>
      <c r="AN4763" t="s">
        <v>649</v>
      </c>
    </row>
    <row r="4764" spans="38:40" x14ac:dyDescent="0.3">
      <c r="AL4764">
        <v>0</v>
      </c>
      <c r="AM4764" t="s">
        <v>649</v>
      </c>
      <c r="AN4764" t="s">
        <v>649</v>
      </c>
    </row>
    <row r="4765" spans="38:40" x14ac:dyDescent="0.3">
      <c r="AL4765">
        <v>0</v>
      </c>
      <c r="AM4765" t="s">
        <v>649</v>
      </c>
      <c r="AN4765" t="s">
        <v>649</v>
      </c>
    </row>
    <row r="4766" spans="38:40" x14ac:dyDescent="0.3">
      <c r="AL4766">
        <v>0</v>
      </c>
      <c r="AM4766" t="s">
        <v>649</v>
      </c>
      <c r="AN4766" t="s">
        <v>649</v>
      </c>
    </row>
    <row r="4767" spans="38:40" x14ac:dyDescent="0.3">
      <c r="AL4767">
        <v>0</v>
      </c>
      <c r="AM4767" t="s">
        <v>649</v>
      </c>
      <c r="AN4767" t="s">
        <v>649</v>
      </c>
    </row>
    <row r="4768" spans="38:40" x14ac:dyDescent="0.3">
      <c r="AL4768">
        <v>0</v>
      </c>
      <c r="AM4768" t="s">
        <v>649</v>
      </c>
      <c r="AN4768" t="s">
        <v>649</v>
      </c>
    </row>
    <row r="4769" spans="38:40" x14ac:dyDescent="0.3">
      <c r="AL4769">
        <v>0</v>
      </c>
      <c r="AM4769" t="s">
        <v>649</v>
      </c>
      <c r="AN4769" t="s">
        <v>649</v>
      </c>
    </row>
    <row r="4770" spans="38:40" x14ac:dyDescent="0.3">
      <c r="AL4770">
        <v>0</v>
      </c>
      <c r="AM4770" t="s">
        <v>649</v>
      </c>
      <c r="AN4770" t="s">
        <v>649</v>
      </c>
    </row>
    <row r="4771" spans="38:40" x14ac:dyDescent="0.3">
      <c r="AL4771">
        <v>0</v>
      </c>
      <c r="AM4771" t="s">
        <v>649</v>
      </c>
      <c r="AN4771" t="s">
        <v>649</v>
      </c>
    </row>
    <row r="4772" spans="38:40" x14ac:dyDescent="0.3">
      <c r="AL4772">
        <v>0</v>
      </c>
      <c r="AM4772" t="s">
        <v>649</v>
      </c>
      <c r="AN4772" t="s">
        <v>649</v>
      </c>
    </row>
    <row r="4773" spans="38:40" x14ac:dyDescent="0.3">
      <c r="AL4773">
        <v>0</v>
      </c>
      <c r="AM4773" t="s">
        <v>649</v>
      </c>
      <c r="AN4773" t="s">
        <v>649</v>
      </c>
    </row>
    <row r="4774" spans="38:40" x14ac:dyDescent="0.3">
      <c r="AL4774">
        <v>0</v>
      </c>
      <c r="AM4774" t="s">
        <v>649</v>
      </c>
      <c r="AN4774" t="s">
        <v>649</v>
      </c>
    </row>
    <row r="4775" spans="38:40" x14ac:dyDescent="0.3">
      <c r="AL4775">
        <v>0</v>
      </c>
      <c r="AM4775" t="s">
        <v>649</v>
      </c>
      <c r="AN4775" t="s">
        <v>649</v>
      </c>
    </row>
    <row r="4776" spans="38:40" x14ac:dyDescent="0.3">
      <c r="AL4776">
        <v>0</v>
      </c>
      <c r="AM4776" t="s">
        <v>649</v>
      </c>
      <c r="AN4776" t="s">
        <v>649</v>
      </c>
    </row>
    <row r="4777" spans="38:40" x14ac:dyDescent="0.3">
      <c r="AL4777">
        <v>0</v>
      </c>
      <c r="AM4777" t="s">
        <v>649</v>
      </c>
      <c r="AN4777" t="s">
        <v>649</v>
      </c>
    </row>
    <row r="4778" spans="38:40" x14ac:dyDescent="0.3">
      <c r="AL4778">
        <v>0</v>
      </c>
      <c r="AM4778" t="s">
        <v>649</v>
      </c>
      <c r="AN4778" t="s">
        <v>649</v>
      </c>
    </row>
    <row r="4779" spans="38:40" x14ac:dyDescent="0.3">
      <c r="AL4779">
        <v>0</v>
      </c>
      <c r="AM4779" t="s">
        <v>649</v>
      </c>
      <c r="AN4779" t="s">
        <v>649</v>
      </c>
    </row>
    <row r="4780" spans="38:40" x14ac:dyDescent="0.3">
      <c r="AL4780">
        <v>0</v>
      </c>
      <c r="AM4780" t="s">
        <v>649</v>
      </c>
      <c r="AN4780" t="s">
        <v>649</v>
      </c>
    </row>
    <row r="4781" spans="38:40" x14ac:dyDescent="0.3">
      <c r="AL4781">
        <v>0</v>
      </c>
      <c r="AM4781" t="s">
        <v>649</v>
      </c>
      <c r="AN4781" t="s">
        <v>649</v>
      </c>
    </row>
    <row r="4782" spans="38:40" x14ac:dyDescent="0.3">
      <c r="AL4782">
        <v>0</v>
      </c>
      <c r="AM4782" t="s">
        <v>649</v>
      </c>
      <c r="AN4782" t="s">
        <v>649</v>
      </c>
    </row>
    <row r="4783" spans="38:40" x14ac:dyDescent="0.3">
      <c r="AL4783">
        <v>0</v>
      </c>
      <c r="AM4783" t="s">
        <v>649</v>
      </c>
      <c r="AN4783" t="s">
        <v>649</v>
      </c>
    </row>
    <row r="4784" spans="38:40" x14ac:dyDescent="0.3">
      <c r="AL4784">
        <v>0</v>
      </c>
      <c r="AM4784" t="s">
        <v>649</v>
      </c>
      <c r="AN4784" t="s">
        <v>649</v>
      </c>
    </row>
    <row r="4785" spans="38:40" x14ac:dyDescent="0.3">
      <c r="AL4785">
        <v>0</v>
      </c>
      <c r="AM4785" t="s">
        <v>649</v>
      </c>
      <c r="AN4785" t="s">
        <v>649</v>
      </c>
    </row>
    <row r="4786" spans="38:40" x14ac:dyDescent="0.3">
      <c r="AL4786">
        <v>0</v>
      </c>
      <c r="AM4786" t="s">
        <v>649</v>
      </c>
      <c r="AN4786" t="s">
        <v>649</v>
      </c>
    </row>
    <row r="4787" spans="38:40" x14ac:dyDescent="0.3">
      <c r="AL4787">
        <v>0</v>
      </c>
      <c r="AM4787" t="s">
        <v>649</v>
      </c>
      <c r="AN4787" t="s">
        <v>649</v>
      </c>
    </row>
    <row r="4788" spans="38:40" x14ac:dyDescent="0.3">
      <c r="AL4788">
        <v>0</v>
      </c>
      <c r="AM4788" t="s">
        <v>649</v>
      </c>
      <c r="AN4788" t="s">
        <v>649</v>
      </c>
    </row>
    <row r="4789" spans="38:40" x14ac:dyDescent="0.3">
      <c r="AL4789">
        <v>0</v>
      </c>
      <c r="AM4789" t="s">
        <v>649</v>
      </c>
      <c r="AN4789" t="s">
        <v>649</v>
      </c>
    </row>
    <row r="4790" spans="38:40" x14ac:dyDescent="0.3">
      <c r="AL4790">
        <v>0</v>
      </c>
      <c r="AM4790" t="s">
        <v>649</v>
      </c>
      <c r="AN4790" t="s">
        <v>649</v>
      </c>
    </row>
    <row r="4791" spans="38:40" x14ac:dyDescent="0.3">
      <c r="AL4791">
        <v>0</v>
      </c>
      <c r="AM4791" t="s">
        <v>649</v>
      </c>
      <c r="AN4791" t="s">
        <v>649</v>
      </c>
    </row>
    <row r="4792" spans="38:40" x14ac:dyDescent="0.3">
      <c r="AL4792">
        <v>0</v>
      </c>
      <c r="AM4792" t="s">
        <v>649</v>
      </c>
      <c r="AN4792" t="s">
        <v>649</v>
      </c>
    </row>
    <row r="4793" spans="38:40" x14ac:dyDescent="0.3">
      <c r="AL4793">
        <v>0</v>
      </c>
      <c r="AM4793" t="s">
        <v>649</v>
      </c>
      <c r="AN4793" t="s">
        <v>649</v>
      </c>
    </row>
    <row r="4794" spans="38:40" x14ac:dyDescent="0.3">
      <c r="AL4794">
        <v>0</v>
      </c>
      <c r="AM4794" t="s">
        <v>649</v>
      </c>
      <c r="AN4794" t="s">
        <v>649</v>
      </c>
    </row>
    <row r="4795" spans="38:40" x14ac:dyDescent="0.3">
      <c r="AL4795">
        <v>0</v>
      </c>
      <c r="AM4795" t="s">
        <v>649</v>
      </c>
      <c r="AN4795" t="s">
        <v>649</v>
      </c>
    </row>
    <row r="4796" spans="38:40" x14ac:dyDescent="0.3">
      <c r="AL4796">
        <v>0</v>
      </c>
      <c r="AM4796" t="s">
        <v>649</v>
      </c>
      <c r="AN4796" t="s">
        <v>649</v>
      </c>
    </row>
    <row r="4797" spans="38:40" x14ac:dyDescent="0.3">
      <c r="AL4797">
        <v>0</v>
      </c>
      <c r="AM4797" t="s">
        <v>649</v>
      </c>
      <c r="AN4797" t="s">
        <v>649</v>
      </c>
    </row>
    <row r="4798" spans="38:40" x14ac:dyDescent="0.3">
      <c r="AL4798">
        <v>0</v>
      </c>
      <c r="AM4798" t="s">
        <v>649</v>
      </c>
      <c r="AN4798" t="s">
        <v>649</v>
      </c>
    </row>
    <row r="4799" spans="38:40" x14ac:dyDescent="0.3">
      <c r="AL4799">
        <v>0</v>
      </c>
      <c r="AM4799" t="s">
        <v>649</v>
      </c>
      <c r="AN4799" t="s">
        <v>649</v>
      </c>
    </row>
    <row r="4800" spans="38:40" x14ac:dyDescent="0.3">
      <c r="AL4800">
        <v>0</v>
      </c>
      <c r="AM4800" t="s">
        <v>649</v>
      </c>
      <c r="AN4800" t="s">
        <v>649</v>
      </c>
    </row>
    <row r="4801" spans="38:40" x14ac:dyDescent="0.3">
      <c r="AL4801">
        <v>0</v>
      </c>
      <c r="AM4801" t="s">
        <v>649</v>
      </c>
      <c r="AN4801" t="s">
        <v>649</v>
      </c>
    </row>
    <row r="4802" spans="38:40" x14ac:dyDescent="0.3">
      <c r="AL4802">
        <v>0</v>
      </c>
      <c r="AM4802" t="s">
        <v>649</v>
      </c>
      <c r="AN4802" t="s">
        <v>649</v>
      </c>
    </row>
    <row r="4803" spans="38:40" x14ac:dyDescent="0.3">
      <c r="AL4803">
        <v>0</v>
      </c>
      <c r="AM4803" t="s">
        <v>649</v>
      </c>
      <c r="AN4803" t="s">
        <v>649</v>
      </c>
    </row>
    <row r="4804" spans="38:40" x14ac:dyDescent="0.3">
      <c r="AL4804">
        <v>0</v>
      </c>
      <c r="AM4804" t="s">
        <v>649</v>
      </c>
      <c r="AN4804" t="s">
        <v>649</v>
      </c>
    </row>
    <row r="4805" spans="38:40" x14ac:dyDescent="0.3">
      <c r="AL4805">
        <v>0</v>
      </c>
      <c r="AM4805" t="s">
        <v>649</v>
      </c>
      <c r="AN4805" t="s">
        <v>649</v>
      </c>
    </row>
    <row r="4806" spans="38:40" x14ac:dyDescent="0.3">
      <c r="AL4806">
        <v>0</v>
      </c>
      <c r="AM4806" t="s">
        <v>649</v>
      </c>
      <c r="AN4806" t="s">
        <v>649</v>
      </c>
    </row>
    <row r="4807" spans="38:40" x14ac:dyDescent="0.3">
      <c r="AL4807">
        <v>0</v>
      </c>
      <c r="AM4807" t="s">
        <v>649</v>
      </c>
      <c r="AN4807" t="s">
        <v>649</v>
      </c>
    </row>
    <row r="4808" spans="38:40" x14ac:dyDescent="0.3">
      <c r="AL4808">
        <v>0</v>
      </c>
      <c r="AM4808" t="s">
        <v>649</v>
      </c>
      <c r="AN4808" t="s">
        <v>649</v>
      </c>
    </row>
    <row r="4809" spans="38:40" x14ac:dyDescent="0.3">
      <c r="AL4809">
        <v>0</v>
      </c>
      <c r="AM4809" t="s">
        <v>649</v>
      </c>
      <c r="AN4809" t="s">
        <v>649</v>
      </c>
    </row>
    <row r="4810" spans="38:40" x14ac:dyDescent="0.3">
      <c r="AL4810">
        <v>0</v>
      </c>
      <c r="AM4810" t="s">
        <v>649</v>
      </c>
      <c r="AN4810" t="s">
        <v>649</v>
      </c>
    </row>
    <row r="4811" spans="38:40" x14ac:dyDescent="0.3">
      <c r="AL4811">
        <v>0</v>
      </c>
      <c r="AM4811" t="s">
        <v>649</v>
      </c>
      <c r="AN4811" t="s">
        <v>649</v>
      </c>
    </row>
    <row r="4812" spans="38:40" x14ac:dyDescent="0.3">
      <c r="AL4812">
        <v>0</v>
      </c>
      <c r="AM4812" t="s">
        <v>649</v>
      </c>
      <c r="AN4812" t="s">
        <v>649</v>
      </c>
    </row>
    <row r="4813" spans="38:40" x14ac:dyDescent="0.3">
      <c r="AL4813">
        <v>0</v>
      </c>
      <c r="AM4813" t="s">
        <v>649</v>
      </c>
      <c r="AN4813" t="s">
        <v>649</v>
      </c>
    </row>
    <row r="4814" spans="38:40" x14ac:dyDescent="0.3">
      <c r="AL4814">
        <v>0</v>
      </c>
      <c r="AM4814" t="s">
        <v>649</v>
      </c>
      <c r="AN4814" t="s">
        <v>649</v>
      </c>
    </row>
    <row r="4815" spans="38:40" x14ac:dyDescent="0.3">
      <c r="AL4815">
        <v>0</v>
      </c>
      <c r="AM4815" t="s">
        <v>649</v>
      </c>
      <c r="AN4815" t="s">
        <v>649</v>
      </c>
    </row>
    <row r="4816" spans="38:40" x14ac:dyDescent="0.3">
      <c r="AL4816">
        <v>0</v>
      </c>
      <c r="AM4816" t="s">
        <v>649</v>
      </c>
      <c r="AN4816" t="s">
        <v>649</v>
      </c>
    </row>
    <row r="4817" spans="38:40" x14ac:dyDescent="0.3">
      <c r="AL4817">
        <v>0</v>
      </c>
      <c r="AM4817" t="s">
        <v>649</v>
      </c>
      <c r="AN4817" t="s">
        <v>649</v>
      </c>
    </row>
    <row r="4818" spans="38:40" x14ac:dyDescent="0.3">
      <c r="AL4818">
        <v>0</v>
      </c>
      <c r="AM4818" t="s">
        <v>649</v>
      </c>
      <c r="AN4818" t="s">
        <v>649</v>
      </c>
    </row>
    <row r="4819" spans="38:40" x14ac:dyDescent="0.3">
      <c r="AL4819">
        <v>0</v>
      </c>
      <c r="AM4819" t="s">
        <v>649</v>
      </c>
      <c r="AN4819" t="s">
        <v>649</v>
      </c>
    </row>
    <row r="4820" spans="38:40" x14ac:dyDescent="0.3">
      <c r="AL4820">
        <v>0</v>
      </c>
      <c r="AM4820" t="s">
        <v>649</v>
      </c>
      <c r="AN4820" t="s">
        <v>649</v>
      </c>
    </row>
    <row r="4821" spans="38:40" x14ac:dyDescent="0.3">
      <c r="AL4821">
        <v>0</v>
      </c>
      <c r="AM4821" t="s">
        <v>649</v>
      </c>
      <c r="AN4821" t="s">
        <v>649</v>
      </c>
    </row>
    <row r="4822" spans="38:40" x14ac:dyDescent="0.3">
      <c r="AL4822">
        <v>0</v>
      </c>
      <c r="AM4822" t="s">
        <v>649</v>
      </c>
      <c r="AN4822" t="s">
        <v>649</v>
      </c>
    </row>
    <row r="4823" spans="38:40" x14ac:dyDescent="0.3">
      <c r="AL4823">
        <v>0</v>
      </c>
      <c r="AM4823" t="s">
        <v>649</v>
      </c>
      <c r="AN4823" t="s">
        <v>649</v>
      </c>
    </row>
    <row r="4824" spans="38:40" x14ac:dyDescent="0.3">
      <c r="AL4824">
        <v>0</v>
      </c>
      <c r="AM4824" t="s">
        <v>649</v>
      </c>
      <c r="AN4824" t="s">
        <v>649</v>
      </c>
    </row>
    <row r="4825" spans="38:40" x14ac:dyDescent="0.3">
      <c r="AL4825">
        <v>0</v>
      </c>
      <c r="AM4825" t="s">
        <v>649</v>
      </c>
      <c r="AN4825" t="s">
        <v>649</v>
      </c>
    </row>
    <row r="4826" spans="38:40" x14ac:dyDescent="0.3">
      <c r="AL4826">
        <v>0</v>
      </c>
      <c r="AM4826" t="s">
        <v>649</v>
      </c>
      <c r="AN4826" t="s">
        <v>649</v>
      </c>
    </row>
    <row r="4827" spans="38:40" x14ac:dyDescent="0.3">
      <c r="AL4827">
        <v>0</v>
      </c>
      <c r="AM4827" t="s">
        <v>649</v>
      </c>
      <c r="AN4827" t="s">
        <v>649</v>
      </c>
    </row>
    <row r="4828" spans="38:40" x14ac:dyDescent="0.3">
      <c r="AL4828">
        <v>0</v>
      </c>
      <c r="AM4828" t="s">
        <v>649</v>
      </c>
      <c r="AN4828" t="s">
        <v>649</v>
      </c>
    </row>
    <row r="4829" spans="38:40" x14ac:dyDescent="0.3">
      <c r="AL4829">
        <v>0</v>
      </c>
      <c r="AM4829" t="s">
        <v>649</v>
      </c>
      <c r="AN4829" t="s">
        <v>649</v>
      </c>
    </row>
    <row r="4830" spans="38:40" x14ac:dyDescent="0.3">
      <c r="AL4830">
        <v>0</v>
      </c>
      <c r="AM4830" t="s">
        <v>649</v>
      </c>
      <c r="AN4830" t="s">
        <v>649</v>
      </c>
    </row>
    <row r="4831" spans="38:40" x14ac:dyDescent="0.3">
      <c r="AL4831">
        <v>0</v>
      </c>
      <c r="AM4831" t="s">
        <v>649</v>
      </c>
      <c r="AN4831" t="s">
        <v>649</v>
      </c>
    </row>
    <row r="4832" spans="38:40" x14ac:dyDescent="0.3">
      <c r="AL4832">
        <v>0</v>
      </c>
      <c r="AM4832" t="s">
        <v>649</v>
      </c>
      <c r="AN4832" t="s">
        <v>649</v>
      </c>
    </row>
    <row r="4833" spans="38:40" x14ac:dyDescent="0.3">
      <c r="AL4833">
        <v>0</v>
      </c>
      <c r="AM4833" t="s">
        <v>649</v>
      </c>
      <c r="AN4833" t="s">
        <v>649</v>
      </c>
    </row>
    <row r="4834" spans="38:40" x14ac:dyDescent="0.3">
      <c r="AL4834">
        <v>0</v>
      </c>
      <c r="AM4834" t="s">
        <v>649</v>
      </c>
      <c r="AN4834" t="s">
        <v>649</v>
      </c>
    </row>
    <row r="4835" spans="38:40" x14ac:dyDescent="0.3">
      <c r="AL4835">
        <v>0</v>
      </c>
      <c r="AM4835" t="s">
        <v>649</v>
      </c>
      <c r="AN4835" t="s">
        <v>649</v>
      </c>
    </row>
    <row r="4836" spans="38:40" x14ac:dyDescent="0.3">
      <c r="AL4836">
        <v>0</v>
      </c>
      <c r="AM4836" t="s">
        <v>649</v>
      </c>
      <c r="AN4836" t="s">
        <v>649</v>
      </c>
    </row>
    <row r="4837" spans="38:40" x14ac:dyDescent="0.3">
      <c r="AL4837">
        <v>0</v>
      </c>
      <c r="AM4837" t="s">
        <v>649</v>
      </c>
      <c r="AN4837" t="s">
        <v>649</v>
      </c>
    </row>
    <row r="4838" spans="38:40" x14ac:dyDescent="0.3">
      <c r="AL4838">
        <v>0</v>
      </c>
      <c r="AM4838" t="s">
        <v>649</v>
      </c>
      <c r="AN4838" t="s">
        <v>649</v>
      </c>
    </row>
    <row r="4839" spans="38:40" x14ac:dyDescent="0.3">
      <c r="AL4839">
        <v>0</v>
      </c>
      <c r="AM4839" t="s">
        <v>649</v>
      </c>
      <c r="AN4839" t="s">
        <v>649</v>
      </c>
    </row>
    <row r="4840" spans="38:40" x14ac:dyDescent="0.3">
      <c r="AL4840">
        <v>0</v>
      </c>
      <c r="AM4840" t="s">
        <v>649</v>
      </c>
      <c r="AN4840" t="s">
        <v>649</v>
      </c>
    </row>
    <row r="4841" spans="38:40" x14ac:dyDescent="0.3">
      <c r="AL4841">
        <v>0</v>
      </c>
      <c r="AM4841" t="s">
        <v>649</v>
      </c>
      <c r="AN4841" t="s">
        <v>649</v>
      </c>
    </row>
    <row r="4842" spans="38:40" x14ac:dyDescent="0.3">
      <c r="AL4842">
        <v>0</v>
      </c>
      <c r="AM4842" t="s">
        <v>649</v>
      </c>
      <c r="AN4842" t="s">
        <v>649</v>
      </c>
    </row>
    <row r="4843" spans="38:40" x14ac:dyDescent="0.3">
      <c r="AL4843">
        <v>0</v>
      </c>
      <c r="AM4843" t="s">
        <v>649</v>
      </c>
      <c r="AN4843" t="s">
        <v>649</v>
      </c>
    </row>
    <row r="4844" spans="38:40" x14ac:dyDescent="0.3">
      <c r="AL4844">
        <v>0</v>
      </c>
      <c r="AM4844" t="s">
        <v>649</v>
      </c>
      <c r="AN4844" t="s">
        <v>649</v>
      </c>
    </row>
    <row r="4845" spans="38:40" x14ac:dyDescent="0.3">
      <c r="AL4845">
        <v>0</v>
      </c>
      <c r="AM4845" t="s">
        <v>649</v>
      </c>
      <c r="AN4845" t="s">
        <v>649</v>
      </c>
    </row>
    <row r="4846" spans="38:40" x14ac:dyDescent="0.3">
      <c r="AL4846">
        <v>0</v>
      </c>
      <c r="AM4846" t="s">
        <v>649</v>
      </c>
      <c r="AN4846" t="s">
        <v>649</v>
      </c>
    </row>
    <row r="4847" spans="38:40" x14ac:dyDescent="0.3">
      <c r="AL4847">
        <v>0</v>
      </c>
      <c r="AM4847" t="s">
        <v>649</v>
      </c>
      <c r="AN4847" t="s">
        <v>649</v>
      </c>
    </row>
    <row r="4848" spans="38:40" x14ac:dyDescent="0.3">
      <c r="AL4848">
        <v>0</v>
      </c>
      <c r="AM4848" t="s">
        <v>649</v>
      </c>
      <c r="AN4848" t="s">
        <v>649</v>
      </c>
    </row>
    <row r="4849" spans="38:40" x14ac:dyDescent="0.3">
      <c r="AL4849">
        <v>0</v>
      </c>
      <c r="AM4849" t="s">
        <v>649</v>
      </c>
      <c r="AN4849" t="s">
        <v>649</v>
      </c>
    </row>
    <row r="4850" spans="38:40" x14ac:dyDescent="0.3">
      <c r="AL4850">
        <v>0</v>
      </c>
      <c r="AM4850" t="s">
        <v>649</v>
      </c>
      <c r="AN4850" t="s">
        <v>649</v>
      </c>
    </row>
    <row r="4851" spans="38:40" x14ac:dyDescent="0.3">
      <c r="AL4851">
        <v>0</v>
      </c>
      <c r="AM4851" t="s">
        <v>649</v>
      </c>
      <c r="AN4851" t="s">
        <v>649</v>
      </c>
    </row>
    <row r="4852" spans="38:40" x14ac:dyDescent="0.3">
      <c r="AL4852">
        <v>0</v>
      </c>
      <c r="AM4852" t="s">
        <v>649</v>
      </c>
      <c r="AN4852" t="s">
        <v>649</v>
      </c>
    </row>
    <row r="4853" spans="38:40" x14ac:dyDescent="0.3">
      <c r="AL4853">
        <v>0</v>
      </c>
      <c r="AM4853" t="s">
        <v>649</v>
      </c>
      <c r="AN4853" t="s">
        <v>649</v>
      </c>
    </row>
    <row r="4854" spans="38:40" x14ac:dyDescent="0.3">
      <c r="AL4854">
        <v>0</v>
      </c>
      <c r="AM4854" t="s">
        <v>649</v>
      </c>
      <c r="AN4854" t="s">
        <v>649</v>
      </c>
    </row>
    <row r="4855" spans="38:40" x14ac:dyDescent="0.3">
      <c r="AL4855">
        <v>0</v>
      </c>
      <c r="AM4855" t="s">
        <v>649</v>
      </c>
      <c r="AN4855" t="s">
        <v>649</v>
      </c>
    </row>
    <row r="4856" spans="38:40" x14ac:dyDescent="0.3">
      <c r="AL4856">
        <v>0</v>
      </c>
      <c r="AM4856" t="s">
        <v>649</v>
      </c>
      <c r="AN4856" t="s">
        <v>649</v>
      </c>
    </row>
    <row r="4857" spans="38:40" x14ac:dyDescent="0.3">
      <c r="AL4857">
        <v>0</v>
      </c>
      <c r="AM4857" t="s">
        <v>649</v>
      </c>
      <c r="AN4857" t="s">
        <v>649</v>
      </c>
    </row>
    <row r="4858" spans="38:40" x14ac:dyDescent="0.3">
      <c r="AL4858">
        <v>0</v>
      </c>
      <c r="AM4858" t="s">
        <v>649</v>
      </c>
      <c r="AN4858" t="s">
        <v>649</v>
      </c>
    </row>
    <row r="4859" spans="38:40" x14ac:dyDescent="0.3">
      <c r="AL4859">
        <v>0</v>
      </c>
      <c r="AM4859" t="s">
        <v>649</v>
      </c>
      <c r="AN4859" t="s">
        <v>649</v>
      </c>
    </row>
    <row r="4860" spans="38:40" x14ac:dyDescent="0.3">
      <c r="AL4860">
        <v>0</v>
      </c>
      <c r="AM4860" t="s">
        <v>649</v>
      </c>
      <c r="AN4860" t="s">
        <v>649</v>
      </c>
    </row>
    <row r="4861" spans="38:40" x14ac:dyDescent="0.3">
      <c r="AL4861">
        <v>0</v>
      </c>
      <c r="AM4861" t="s">
        <v>649</v>
      </c>
      <c r="AN4861" t="s">
        <v>649</v>
      </c>
    </row>
    <row r="4862" spans="38:40" x14ac:dyDescent="0.3">
      <c r="AL4862">
        <v>0</v>
      </c>
      <c r="AM4862" t="s">
        <v>649</v>
      </c>
      <c r="AN4862" t="s">
        <v>649</v>
      </c>
    </row>
    <row r="4863" spans="38:40" x14ac:dyDescent="0.3">
      <c r="AL4863">
        <v>0</v>
      </c>
      <c r="AM4863" t="s">
        <v>649</v>
      </c>
      <c r="AN4863" t="s">
        <v>649</v>
      </c>
    </row>
    <row r="4864" spans="38:40" x14ac:dyDescent="0.3">
      <c r="AL4864">
        <v>0</v>
      </c>
      <c r="AM4864" t="s">
        <v>649</v>
      </c>
      <c r="AN4864" t="s">
        <v>649</v>
      </c>
    </row>
    <row r="4865" spans="38:40" x14ac:dyDescent="0.3">
      <c r="AL4865">
        <v>0</v>
      </c>
      <c r="AM4865" t="s">
        <v>649</v>
      </c>
      <c r="AN4865" t="s">
        <v>649</v>
      </c>
    </row>
    <row r="4866" spans="38:40" x14ac:dyDescent="0.3">
      <c r="AL4866">
        <v>0</v>
      </c>
      <c r="AM4866" t="s">
        <v>649</v>
      </c>
      <c r="AN4866" t="s">
        <v>649</v>
      </c>
    </row>
    <row r="4867" spans="38:40" x14ac:dyDescent="0.3">
      <c r="AL4867">
        <v>0</v>
      </c>
      <c r="AM4867" t="s">
        <v>649</v>
      </c>
      <c r="AN4867" t="s">
        <v>649</v>
      </c>
    </row>
    <row r="4868" spans="38:40" x14ac:dyDescent="0.3">
      <c r="AL4868">
        <v>0</v>
      </c>
      <c r="AM4868" t="s">
        <v>649</v>
      </c>
      <c r="AN4868" t="s">
        <v>649</v>
      </c>
    </row>
    <row r="4869" spans="38:40" x14ac:dyDescent="0.3">
      <c r="AL4869">
        <v>0</v>
      </c>
      <c r="AM4869" t="s">
        <v>649</v>
      </c>
      <c r="AN4869" t="s">
        <v>649</v>
      </c>
    </row>
    <row r="4870" spans="38:40" x14ac:dyDescent="0.3">
      <c r="AL4870">
        <v>0</v>
      </c>
      <c r="AM4870" t="s">
        <v>649</v>
      </c>
      <c r="AN4870" t="s">
        <v>649</v>
      </c>
    </row>
    <row r="4871" spans="38:40" x14ac:dyDescent="0.3">
      <c r="AL4871">
        <v>0</v>
      </c>
      <c r="AM4871" t="s">
        <v>649</v>
      </c>
      <c r="AN4871" t="s">
        <v>649</v>
      </c>
    </row>
    <row r="4872" spans="38:40" x14ac:dyDescent="0.3">
      <c r="AL4872">
        <v>0</v>
      </c>
      <c r="AM4872" t="s">
        <v>649</v>
      </c>
      <c r="AN4872" t="s">
        <v>649</v>
      </c>
    </row>
    <row r="4873" spans="38:40" x14ac:dyDescent="0.3">
      <c r="AL4873">
        <v>0</v>
      </c>
      <c r="AM4873" t="s">
        <v>649</v>
      </c>
      <c r="AN4873" t="s">
        <v>649</v>
      </c>
    </row>
    <row r="4874" spans="38:40" x14ac:dyDescent="0.3">
      <c r="AL4874">
        <v>0</v>
      </c>
      <c r="AM4874" t="s">
        <v>649</v>
      </c>
      <c r="AN4874" t="s">
        <v>649</v>
      </c>
    </row>
    <row r="4875" spans="38:40" x14ac:dyDescent="0.3">
      <c r="AL4875">
        <v>0</v>
      </c>
      <c r="AM4875" t="s">
        <v>649</v>
      </c>
      <c r="AN4875" t="s">
        <v>649</v>
      </c>
    </row>
    <row r="4876" spans="38:40" x14ac:dyDescent="0.3">
      <c r="AL4876">
        <v>0</v>
      </c>
      <c r="AM4876" t="s">
        <v>649</v>
      </c>
      <c r="AN4876" t="s">
        <v>649</v>
      </c>
    </row>
    <row r="4877" spans="38:40" x14ac:dyDescent="0.3">
      <c r="AL4877">
        <v>0</v>
      </c>
      <c r="AM4877" t="s">
        <v>649</v>
      </c>
      <c r="AN4877" t="s">
        <v>649</v>
      </c>
    </row>
    <row r="4878" spans="38:40" x14ac:dyDescent="0.3">
      <c r="AL4878">
        <v>0</v>
      </c>
      <c r="AM4878" t="s">
        <v>649</v>
      </c>
      <c r="AN4878" t="s">
        <v>649</v>
      </c>
    </row>
    <row r="4879" spans="38:40" x14ac:dyDescent="0.3">
      <c r="AL4879">
        <v>0</v>
      </c>
      <c r="AM4879" t="s">
        <v>649</v>
      </c>
      <c r="AN4879" t="s">
        <v>649</v>
      </c>
    </row>
    <row r="4880" spans="38:40" x14ac:dyDescent="0.3">
      <c r="AL4880">
        <v>0</v>
      </c>
      <c r="AM4880" t="s">
        <v>649</v>
      </c>
      <c r="AN4880" t="s">
        <v>649</v>
      </c>
    </row>
    <row r="4881" spans="38:40" x14ac:dyDescent="0.3">
      <c r="AL4881">
        <v>0</v>
      </c>
      <c r="AM4881" t="s">
        <v>649</v>
      </c>
      <c r="AN4881" t="s">
        <v>649</v>
      </c>
    </row>
    <row r="4882" spans="38:40" x14ac:dyDescent="0.3">
      <c r="AL4882">
        <v>0</v>
      </c>
      <c r="AM4882" t="s">
        <v>649</v>
      </c>
      <c r="AN4882" t="s">
        <v>649</v>
      </c>
    </row>
    <row r="4883" spans="38:40" x14ac:dyDescent="0.3">
      <c r="AL4883">
        <v>0</v>
      </c>
      <c r="AM4883" t="s">
        <v>649</v>
      </c>
      <c r="AN4883" t="s">
        <v>649</v>
      </c>
    </row>
    <row r="4884" spans="38:40" x14ac:dyDescent="0.3">
      <c r="AL4884">
        <v>0</v>
      </c>
      <c r="AM4884" t="s">
        <v>649</v>
      </c>
      <c r="AN4884" t="s">
        <v>649</v>
      </c>
    </row>
    <row r="4885" spans="38:40" x14ac:dyDescent="0.3">
      <c r="AL4885">
        <v>0</v>
      </c>
      <c r="AM4885" t="s">
        <v>649</v>
      </c>
      <c r="AN4885" t="s">
        <v>649</v>
      </c>
    </row>
    <row r="4886" spans="38:40" x14ac:dyDescent="0.3">
      <c r="AL4886">
        <v>0</v>
      </c>
      <c r="AM4886" t="s">
        <v>649</v>
      </c>
      <c r="AN4886" t="s">
        <v>649</v>
      </c>
    </row>
    <row r="4887" spans="38:40" x14ac:dyDescent="0.3">
      <c r="AL4887">
        <v>0</v>
      </c>
      <c r="AM4887" t="s">
        <v>649</v>
      </c>
      <c r="AN4887" t="s">
        <v>649</v>
      </c>
    </row>
    <row r="4888" spans="38:40" x14ac:dyDescent="0.3">
      <c r="AL4888">
        <v>0</v>
      </c>
      <c r="AM4888" t="s">
        <v>649</v>
      </c>
      <c r="AN4888" t="s">
        <v>649</v>
      </c>
    </row>
    <row r="4889" spans="38:40" x14ac:dyDescent="0.3">
      <c r="AL4889">
        <v>0</v>
      </c>
      <c r="AM4889" t="s">
        <v>649</v>
      </c>
      <c r="AN4889" t="s">
        <v>649</v>
      </c>
    </row>
    <row r="4890" spans="38:40" x14ac:dyDescent="0.3">
      <c r="AL4890">
        <v>0</v>
      </c>
      <c r="AM4890" t="s">
        <v>649</v>
      </c>
      <c r="AN4890" t="s">
        <v>649</v>
      </c>
    </row>
    <row r="4891" spans="38:40" x14ac:dyDescent="0.3">
      <c r="AL4891">
        <v>0</v>
      </c>
      <c r="AM4891" t="s">
        <v>649</v>
      </c>
      <c r="AN4891" t="s">
        <v>649</v>
      </c>
    </row>
    <row r="4892" spans="38:40" x14ac:dyDescent="0.3">
      <c r="AL4892">
        <v>0</v>
      </c>
      <c r="AM4892" t="s">
        <v>649</v>
      </c>
      <c r="AN4892" t="s">
        <v>649</v>
      </c>
    </row>
    <row r="4893" spans="38:40" x14ac:dyDescent="0.3">
      <c r="AL4893">
        <v>0</v>
      </c>
      <c r="AM4893" t="s">
        <v>649</v>
      </c>
      <c r="AN4893" t="s">
        <v>649</v>
      </c>
    </row>
    <row r="4894" spans="38:40" x14ac:dyDescent="0.3">
      <c r="AL4894">
        <v>0</v>
      </c>
      <c r="AM4894" t="s">
        <v>649</v>
      </c>
      <c r="AN4894" t="s">
        <v>649</v>
      </c>
    </row>
    <row r="4895" spans="38:40" x14ac:dyDescent="0.3">
      <c r="AL4895">
        <v>0</v>
      </c>
      <c r="AM4895" t="s">
        <v>649</v>
      </c>
      <c r="AN4895" t="s">
        <v>649</v>
      </c>
    </row>
    <row r="4896" spans="38:40" x14ac:dyDescent="0.3">
      <c r="AL4896">
        <v>0</v>
      </c>
      <c r="AM4896" t="s">
        <v>649</v>
      </c>
      <c r="AN4896" t="s">
        <v>649</v>
      </c>
    </row>
    <row r="4897" spans="38:40" x14ac:dyDescent="0.3">
      <c r="AL4897">
        <v>0</v>
      </c>
      <c r="AM4897" t="s">
        <v>649</v>
      </c>
      <c r="AN4897" t="s">
        <v>649</v>
      </c>
    </row>
    <row r="4898" spans="38:40" x14ac:dyDescent="0.3">
      <c r="AL4898">
        <v>0</v>
      </c>
      <c r="AM4898" t="s">
        <v>649</v>
      </c>
      <c r="AN4898" t="s">
        <v>649</v>
      </c>
    </row>
    <row r="4899" spans="38:40" x14ac:dyDescent="0.3">
      <c r="AL4899">
        <v>0</v>
      </c>
      <c r="AM4899" t="s">
        <v>649</v>
      </c>
      <c r="AN4899" t="s">
        <v>649</v>
      </c>
    </row>
    <row r="4900" spans="38:40" x14ac:dyDescent="0.3">
      <c r="AL4900">
        <v>0</v>
      </c>
      <c r="AM4900" t="s">
        <v>649</v>
      </c>
      <c r="AN4900" t="s">
        <v>649</v>
      </c>
    </row>
    <row r="4901" spans="38:40" x14ac:dyDescent="0.3">
      <c r="AL4901">
        <v>0</v>
      </c>
      <c r="AM4901" t="s">
        <v>649</v>
      </c>
      <c r="AN4901" t="s">
        <v>649</v>
      </c>
    </row>
    <row r="4902" spans="38:40" x14ac:dyDescent="0.3">
      <c r="AL4902">
        <v>0</v>
      </c>
      <c r="AM4902" t="s">
        <v>649</v>
      </c>
      <c r="AN4902" t="s">
        <v>649</v>
      </c>
    </row>
    <row r="4903" spans="38:40" x14ac:dyDescent="0.3">
      <c r="AL4903">
        <v>0</v>
      </c>
      <c r="AM4903" t="s">
        <v>649</v>
      </c>
      <c r="AN4903" t="s">
        <v>649</v>
      </c>
    </row>
    <row r="4904" spans="38:40" x14ac:dyDescent="0.3">
      <c r="AL4904">
        <v>0</v>
      </c>
      <c r="AM4904" t="s">
        <v>649</v>
      </c>
      <c r="AN4904" t="s">
        <v>649</v>
      </c>
    </row>
    <row r="4905" spans="38:40" x14ac:dyDescent="0.3">
      <c r="AL4905">
        <v>0</v>
      </c>
      <c r="AM4905" t="s">
        <v>649</v>
      </c>
      <c r="AN4905" t="s">
        <v>649</v>
      </c>
    </row>
    <row r="4906" spans="38:40" x14ac:dyDescent="0.3">
      <c r="AL4906">
        <v>0</v>
      </c>
      <c r="AM4906" t="s">
        <v>649</v>
      </c>
      <c r="AN4906" t="s">
        <v>649</v>
      </c>
    </row>
    <row r="4907" spans="38:40" x14ac:dyDescent="0.3">
      <c r="AL4907">
        <v>0</v>
      </c>
      <c r="AM4907" t="s">
        <v>649</v>
      </c>
      <c r="AN4907" t="s">
        <v>649</v>
      </c>
    </row>
    <row r="4908" spans="38:40" x14ac:dyDescent="0.3">
      <c r="AL4908">
        <v>0</v>
      </c>
      <c r="AM4908" t="s">
        <v>649</v>
      </c>
      <c r="AN4908" t="s">
        <v>649</v>
      </c>
    </row>
    <row r="4909" spans="38:40" x14ac:dyDescent="0.3">
      <c r="AL4909">
        <v>0</v>
      </c>
      <c r="AM4909" t="s">
        <v>649</v>
      </c>
      <c r="AN4909" t="s">
        <v>649</v>
      </c>
    </row>
    <row r="4910" spans="38:40" x14ac:dyDescent="0.3">
      <c r="AL4910">
        <v>0</v>
      </c>
      <c r="AM4910" t="s">
        <v>649</v>
      </c>
      <c r="AN4910" t="s">
        <v>649</v>
      </c>
    </row>
    <row r="4911" spans="38:40" x14ac:dyDescent="0.3">
      <c r="AL4911">
        <v>0</v>
      </c>
      <c r="AM4911" t="s">
        <v>649</v>
      </c>
      <c r="AN4911" t="s">
        <v>649</v>
      </c>
    </row>
    <row r="4912" spans="38:40" x14ac:dyDescent="0.3">
      <c r="AL4912">
        <v>0</v>
      </c>
      <c r="AM4912" t="s">
        <v>649</v>
      </c>
      <c r="AN4912" t="s">
        <v>649</v>
      </c>
    </row>
    <row r="4913" spans="38:40" x14ac:dyDescent="0.3">
      <c r="AL4913">
        <v>0</v>
      </c>
      <c r="AM4913" t="s">
        <v>649</v>
      </c>
      <c r="AN4913" t="s">
        <v>649</v>
      </c>
    </row>
    <row r="4914" spans="38:40" x14ac:dyDescent="0.3">
      <c r="AL4914">
        <v>0</v>
      </c>
      <c r="AM4914" t="s">
        <v>649</v>
      </c>
      <c r="AN4914" t="s">
        <v>649</v>
      </c>
    </row>
    <row r="4915" spans="38:40" x14ac:dyDescent="0.3">
      <c r="AL4915">
        <v>0</v>
      </c>
      <c r="AM4915" t="s">
        <v>649</v>
      </c>
      <c r="AN4915" t="s">
        <v>649</v>
      </c>
    </row>
    <row r="4916" spans="38:40" x14ac:dyDescent="0.3">
      <c r="AL4916">
        <v>0</v>
      </c>
      <c r="AM4916" t="s">
        <v>649</v>
      </c>
      <c r="AN4916" t="s">
        <v>649</v>
      </c>
    </row>
    <row r="4917" spans="38:40" x14ac:dyDescent="0.3">
      <c r="AL4917">
        <v>0</v>
      </c>
      <c r="AM4917" t="s">
        <v>649</v>
      </c>
      <c r="AN4917" t="s">
        <v>649</v>
      </c>
    </row>
    <row r="4918" spans="38:40" x14ac:dyDescent="0.3">
      <c r="AL4918">
        <v>0</v>
      </c>
      <c r="AM4918" t="s">
        <v>649</v>
      </c>
      <c r="AN4918" t="s">
        <v>649</v>
      </c>
    </row>
    <row r="4919" spans="38:40" x14ac:dyDescent="0.3">
      <c r="AL4919">
        <v>0</v>
      </c>
      <c r="AM4919" t="s">
        <v>649</v>
      </c>
      <c r="AN4919" t="s">
        <v>649</v>
      </c>
    </row>
    <row r="4920" spans="38:40" x14ac:dyDescent="0.3">
      <c r="AL4920">
        <v>0</v>
      </c>
      <c r="AM4920" t="s">
        <v>649</v>
      </c>
      <c r="AN4920" t="s">
        <v>649</v>
      </c>
    </row>
    <row r="4921" spans="38:40" x14ac:dyDescent="0.3">
      <c r="AL4921">
        <v>0</v>
      </c>
      <c r="AM4921" t="s">
        <v>649</v>
      </c>
      <c r="AN4921" t="s">
        <v>649</v>
      </c>
    </row>
    <row r="4922" spans="38:40" x14ac:dyDescent="0.3">
      <c r="AL4922">
        <v>0</v>
      </c>
      <c r="AM4922" t="s">
        <v>649</v>
      </c>
      <c r="AN4922" t="s">
        <v>649</v>
      </c>
    </row>
    <row r="4923" spans="38:40" x14ac:dyDescent="0.3">
      <c r="AL4923">
        <v>0</v>
      </c>
      <c r="AM4923" t="s">
        <v>649</v>
      </c>
      <c r="AN4923" t="s">
        <v>649</v>
      </c>
    </row>
    <row r="4924" spans="38:40" x14ac:dyDescent="0.3">
      <c r="AL4924">
        <v>0</v>
      </c>
      <c r="AM4924" t="s">
        <v>649</v>
      </c>
      <c r="AN4924" t="s">
        <v>649</v>
      </c>
    </row>
    <row r="4925" spans="38:40" x14ac:dyDescent="0.3">
      <c r="AL4925">
        <v>0</v>
      </c>
      <c r="AM4925" t="s">
        <v>649</v>
      </c>
      <c r="AN4925" t="s">
        <v>649</v>
      </c>
    </row>
    <row r="4926" spans="38:40" x14ac:dyDescent="0.3">
      <c r="AL4926">
        <v>0</v>
      </c>
      <c r="AM4926" t="s">
        <v>649</v>
      </c>
      <c r="AN4926" t="s">
        <v>649</v>
      </c>
    </row>
    <row r="4927" spans="38:40" x14ac:dyDescent="0.3">
      <c r="AL4927">
        <v>0</v>
      </c>
      <c r="AM4927" t="s">
        <v>649</v>
      </c>
      <c r="AN4927" t="s">
        <v>649</v>
      </c>
    </row>
    <row r="4928" spans="38:40" x14ac:dyDescent="0.3">
      <c r="AL4928">
        <v>0</v>
      </c>
      <c r="AM4928" t="s">
        <v>649</v>
      </c>
      <c r="AN4928" t="s">
        <v>649</v>
      </c>
    </row>
    <row r="4929" spans="38:40" x14ac:dyDescent="0.3">
      <c r="AL4929">
        <v>0</v>
      </c>
      <c r="AM4929" t="s">
        <v>649</v>
      </c>
      <c r="AN4929" t="s">
        <v>649</v>
      </c>
    </row>
    <row r="4930" spans="38:40" x14ac:dyDescent="0.3">
      <c r="AL4930">
        <v>0</v>
      </c>
      <c r="AM4930" t="s">
        <v>649</v>
      </c>
      <c r="AN4930" t="s">
        <v>649</v>
      </c>
    </row>
    <row r="4931" spans="38:40" x14ac:dyDescent="0.3">
      <c r="AL4931">
        <v>0</v>
      </c>
      <c r="AM4931" t="s">
        <v>649</v>
      </c>
      <c r="AN4931" t="s">
        <v>649</v>
      </c>
    </row>
    <row r="4932" spans="38:40" x14ac:dyDescent="0.3">
      <c r="AL4932">
        <v>0</v>
      </c>
      <c r="AM4932" t="s">
        <v>649</v>
      </c>
      <c r="AN4932" t="s">
        <v>649</v>
      </c>
    </row>
    <row r="4933" spans="38:40" x14ac:dyDescent="0.3">
      <c r="AL4933">
        <v>0</v>
      </c>
      <c r="AM4933" t="s">
        <v>649</v>
      </c>
      <c r="AN4933" t="s">
        <v>649</v>
      </c>
    </row>
    <row r="4934" spans="38:40" x14ac:dyDescent="0.3">
      <c r="AL4934">
        <v>0</v>
      </c>
      <c r="AM4934" t="s">
        <v>649</v>
      </c>
      <c r="AN4934" t="s">
        <v>649</v>
      </c>
    </row>
    <row r="4935" spans="38:40" x14ac:dyDescent="0.3">
      <c r="AL4935">
        <v>0</v>
      </c>
      <c r="AM4935" t="s">
        <v>649</v>
      </c>
      <c r="AN4935" t="s">
        <v>649</v>
      </c>
    </row>
    <row r="4936" spans="38:40" x14ac:dyDescent="0.3">
      <c r="AL4936">
        <v>0</v>
      </c>
      <c r="AM4936" t="s">
        <v>649</v>
      </c>
      <c r="AN4936" t="s">
        <v>649</v>
      </c>
    </row>
    <row r="4937" spans="38:40" x14ac:dyDescent="0.3">
      <c r="AL4937">
        <v>0</v>
      </c>
      <c r="AM4937" t="s">
        <v>649</v>
      </c>
      <c r="AN4937" t="s">
        <v>649</v>
      </c>
    </row>
    <row r="4938" spans="38:40" x14ac:dyDescent="0.3">
      <c r="AL4938">
        <v>0</v>
      </c>
      <c r="AM4938" t="s">
        <v>649</v>
      </c>
      <c r="AN4938" t="s">
        <v>649</v>
      </c>
    </row>
    <row r="4939" spans="38:40" x14ac:dyDescent="0.3">
      <c r="AL4939">
        <v>0</v>
      </c>
      <c r="AM4939" t="s">
        <v>649</v>
      </c>
      <c r="AN4939" t="s">
        <v>649</v>
      </c>
    </row>
    <row r="4940" spans="38:40" x14ac:dyDescent="0.3">
      <c r="AL4940">
        <v>0</v>
      </c>
      <c r="AM4940" t="s">
        <v>649</v>
      </c>
      <c r="AN4940" t="s">
        <v>649</v>
      </c>
    </row>
    <row r="4941" spans="38:40" x14ac:dyDescent="0.3">
      <c r="AL4941">
        <v>0</v>
      </c>
      <c r="AM4941" t="s">
        <v>649</v>
      </c>
      <c r="AN4941" t="s">
        <v>649</v>
      </c>
    </row>
    <row r="4942" spans="38:40" x14ac:dyDescent="0.3">
      <c r="AL4942">
        <v>0</v>
      </c>
      <c r="AM4942" t="s">
        <v>649</v>
      </c>
      <c r="AN4942" t="s">
        <v>649</v>
      </c>
    </row>
    <row r="4943" spans="38:40" x14ac:dyDescent="0.3">
      <c r="AL4943">
        <v>0</v>
      </c>
      <c r="AM4943" t="s">
        <v>649</v>
      </c>
      <c r="AN4943" t="s">
        <v>649</v>
      </c>
    </row>
    <row r="4944" spans="38:40" x14ac:dyDescent="0.3">
      <c r="AL4944">
        <v>0</v>
      </c>
      <c r="AM4944" t="s">
        <v>649</v>
      </c>
      <c r="AN4944" t="s">
        <v>649</v>
      </c>
    </row>
    <row r="4945" spans="38:40" x14ac:dyDescent="0.3">
      <c r="AL4945">
        <v>0</v>
      </c>
      <c r="AM4945" t="s">
        <v>649</v>
      </c>
      <c r="AN4945" t="s">
        <v>649</v>
      </c>
    </row>
    <row r="4946" spans="38:40" x14ac:dyDescent="0.3">
      <c r="AL4946">
        <v>0</v>
      </c>
      <c r="AM4946" t="s">
        <v>649</v>
      </c>
      <c r="AN4946" t="s">
        <v>649</v>
      </c>
    </row>
    <row r="4947" spans="38:40" x14ac:dyDescent="0.3">
      <c r="AL4947">
        <v>0</v>
      </c>
      <c r="AM4947" t="s">
        <v>649</v>
      </c>
      <c r="AN4947" t="s">
        <v>649</v>
      </c>
    </row>
    <row r="4948" spans="38:40" x14ac:dyDescent="0.3">
      <c r="AL4948">
        <v>0</v>
      </c>
      <c r="AM4948" t="s">
        <v>649</v>
      </c>
      <c r="AN4948" t="s">
        <v>649</v>
      </c>
    </row>
    <row r="4949" spans="38:40" x14ac:dyDescent="0.3">
      <c r="AL4949">
        <v>0</v>
      </c>
      <c r="AM4949" t="s">
        <v>649</v>
      </c>
      <c r="AN4949" t="s">
        <v>649</v>
      </c>
    </row>
    <row r="4950" spans="38:40" x14ac:dyDescent="0.3">
      <c r="AL4950">
        <v>0</v>
      </c>
      <c r="AM4950" t="s">
        <v>649</v>
      </c>
      <c r="AN4950" t="s">
        <v>649</v>
      </c>
    </row>
    <row r="4951" spans="38:40" x14ac:dyDescent="0.3">
      <c r="AL4951">
        <v>0</v>
      </c>
      <c r="AM4951" t="s">
        <v>649</v>
      </c>
      <c r="AN4951" t="s">
        <v>649</v>
      </c>
    </row>
    <row r="4952" spans="38:40" x14ac:dyDescent="0.3">
      <c r="AL4952">
        <v>0</v>
      </c>
      <c r="AM4952" t="s">
        <v>649</v>
      </c>
      <c r="AN4952" t="s">
        <v>649</v>
      </c>
    </row>
    <row r="4953" spans="38:40" x14ac:dyDescent="0.3">
      <c r="AL4953">
        <v>0</v>
      </c>
      <c r="AM4953" t="s">
        <v>649</v>
      </c>
      <c r="AN4953" t="s">
        <v>649</v>
      </c>
    </row>
    <row r="4954" spans="38:40" x14ac:dyDescent="0.3">
      <c r="AL4954">
        <v>0</v>
      </c>
      <c r="AM4954" t="s">
        <v>649</v>
      </c>
      <c r="AN4954" t="s">
        <v>649</v>
      </c>
    </row>
    <row r="4955" spans="38:40" x14ac:dyDescent="0.3">
      <c r="AL4955">
        <v>0</v>
      </c>
      <c r="AM4955" t="s">
        <v>649</v>
      </c>
      <c r="AN4955" t="s">
        <v>649</v>
      </c>
    </row>
    <row r="4956" spans="38:40" x14ac:dyDescent="0.3">
      <c r="AL4956">
        <v>0</v>
      </c>
      <c r="AM4956" t="s">
        <v>649</v>
      </c>
      <c r="AN4956" t="s">
        <v>649</v>
      </c>
    </row>
    <row r="4957" spans="38:40" x14ac:dyDescent="0.3">
      <c r="AL4957">
        <v>0</v>
      </c>
      <c r="AM4957" t="s">
        <v>649</v>
      </c>
      <c r="AN4957" t="s">
        <v>649</v>
      </c>
    </row>
    <row r="4958" spans="38:40" x14ac:dyDescent="0.3">
      <c r="AL4958">
        <v>0</v>
      </c>
      <c r="AM4958" t="s">
        <v>649</v>
      </c>
      <c r="AN4958" t="s">
        <v>649</v>
      </c>
    </row>
    <row r="4959" spans="38:40" x14ac:dyDescent="0.3">
      <c r="AL4959">
        <v>0</v>
      </c>
      <c r="AM4959" t="s">
        <v>649</v>
      </c>
      <c r="AN4959" t="s">
        <v>649</v>
      </c>
    </row>
    <row r="4960" spans="38:40" x14ac:dyDescent="0.3">
      <c r="AL4960">
        <v>0</v>
      </c>
      <c r="AM4960" t="s">
        <v>649</v>
      </c>
      <c r="AN4960" t="s">
        <v>649</v>
      </c>
    </row>
    <row r="4961" spans="38:40" x14ac:dyDescent="0.3">
      <c r="AL4961">
        <v>0</v>
      </c>
      <c r="AM4961" t="s">
        <v>649</v>
      </c>
      <c r="AN4961" t="s">
        <v>649</v>
      </c>
    </row>
    <row r="4962" spans="38:40" x14ac:dyDescent="0.3">
      <c r="AL4962">
        <v>0</v>
      </c>
      <c r="AM4962" t="s">
        <v>649</v>
      </c>
      <c r="AN4962" t="s">
        <v>649</v>
      </c>
    </row>
    <row r="4963" spans="38:40" x14ac:dyDescent="0.3">
      <c r="AL4963">
        <v>0</v>
      </c>
      <c r="AM4963" t="s">
        <v>649</v>
      </c>
      <c r="AN4963" t="s">
        <v>649</v>
      </c>
    </row>
    <row r="4964" spans="38:40" x14ac:dyDescent="0.3">
      <c r="AL4964">
        <v>0</v>
      </c>
      <c r="AM4964" t="s">
        <v>649</v>
      </c>
      <c r="AN4964" t="s">
        <v>649</v>
      </c>
    </row>
    <row r="4965" spans="38:40" x14ac:dyDescent="0.3">
      <c r="AL4965">
        <v>0</v>
      </c>
      <c r="AM4965" t="s">
        <v>649</v>
      </c>
      <c r="AN4965" t="s">
        <v>649</v>
      </c>
    </row>
    <row r="4966" spans="38:40" x14ac:dyDescent="0.3">
      <c r="AL4966">
        <v>0</v>
      </c>
      <c r="AM4966" t="s">
        <v>649</v>
      </c>
      <c r="AN4966" t="s">
        <v>649</v>
      </c>
    </row>
    <row r="4967" spans="38:40" x14ac:dyDescent="0.3">
      <c r="AL4967">
        <v>0</v>
      </c>
      <c r="AM4967" t="s">
        <v>649</v>
      </c>
      <c r="AN4967" t="s">
        <v>649</v>
      </c>
    </row>
    <row r="4968" spans="38:40" x14ac:dyDescent="0.3">
      <c r="AL4968">
        <v>0</v>
      </c>
      <c r="AM4968" t="s">
        <v>649</v>
      </c>
      <c r="AN4968" t="s">
        <v>649</v>
      </c>
    </row>
    <row r="4969" spans="38:40" x14ac:dyDescent="0.3">
      <c r="AL4969">
        <v>0</v>
      </c>
      <c r="AM4969" t="s">
        <v>649</v>
      </c>
      <c r="AN4969" t="s">
        <v>649</v>
      </c>
    </row>
    <row r="4970" spans="38:40" x14ac:dyDescent="0.3">
      <c r="AL4970">
        <v>0</v>
      </c>
      <c r="AM4970" t="s">
        <v>649</v>
      </c>
      <c r="AN4970" t="s">
        <v>649</v>
      </c>
    </row>
    <row r="4971" spans="38:40" x14ac:dyDescent="0.3">
      <c r="AL4971">
        <v>0</v>
      </c>
      <c r="AM4971" t="s">
        <v>649</v>
      </c>
      <c r="AN4971" t="s">
        <v>649</v>
      </c>
    </row>
    <row r="4972" spans="38:40" x14ac:dyDescent="0.3">
      <c r="AL4972">
        <v>0</v>
      </c>
      <c r="AM4972" t="s">
        <v>649</v>
      </c>
      <c r="AN4972" t="s">
        <v>649</v>
      </c>
    </row>
    <row r="4973" spans="38:40" x14ac:dyDescent="0.3">
      <c r="AL4973">
        <v>0</v>
      </c>
      <c r="AM4973" t="s">
        <v>649</v>
      </c>
      <c r="AN4973" t="s">
        <v>649</v>
      </c>
    </row>
    <row r="4974" spans="38:40" x14ac:dyDescent="0.3">
      <c r="AL4974">
        <v>0</v>
      </c>
      <c r="AM4974" t="s">
        <v>649</v>
      </c>
      <c r="AN4974" t="s">
        <v>649</v>
      </c>
    </row>
    <row r="4975" spans="38:40" x14ac:dyDescent="0.3">
      <c r="AL4975">
        <v>0</v>
      </c>
      <c r="AM4975" t="s">
        <v>649</v>
      </c>
      <c r="AN4975" t="s">
        <v>649</v>
      </c>
    </row>
    <row r="4976" spans="38:40" x14ac:dyDescent="0.3">
      <c r="AL4976">
        <v>0</v>
      </c>
      <c r="AM4976" t="s">
        <v>649</v>
      </c>
      <c r="AN4976" t="s">
        <v>649</v>
      </c>
    </row>
    <row r="4977" spans="38:40" x14ac:dyDescent="0.3">
      <c r="AL4977">
        <v>0</v>
      </c>
      <c r="AM4977" t="s">
        <v>649</v>
      </c>
      <c r="AN4977" t="s">
        <v>649</v>
      </c>
    </row>
    <row r="4978" spans="38:40" x14ac:dyDescent="0.3">
      <c r="AL4978">
        <v>0</v>
      </c>
      <c r="AM4978" t="s">
        <v>649</v>
      </c>
      <c r="AN4978" t="s">
        <v>649</v>
      </c>
    </row>
    <row r="4979" spans="38:40" x14ac:dyDescent="0.3">
      <c r="AL4979">
        <v>0</v>
      </c>
      <c r="AM4979" t="s">
        <v>649</v>
      </c>
      <c r="AN4979" t="s">
        <v>649</v>
      </c>
    </row>
    <row r="4980" spans="38:40" x14ac:dyDescent="0.3">
      <c r="AL4980">
        <v>0</v>
      </c>
      <c r="AM4980" t="s">
        <v>649</v>
      </c>
      <c r="AN4980" t="s">
        <v>649</v>
      </c>
    </row>
    <row r="4981" spans="38:40" x14ac:dyDescent="0.3">
      <c r="AL4981">
        <v>0</v>
      </c>
      <c r="AM4981" t="s">
        <v>649</v>
      </c>
      <c r="AN4981" t="s">
        <v>649</v>
      </c>
    </row>
    <row r="4982" spans="38:40" x14ac:dyDescent="0.3">
      <c r="AL4982">
        <v>0</v>
      </c>
      <c r="AM4982" t="s">
        <v>649</v>
      </c>
      <c r="AN4982" t="s">
        <v>649</v>
      </c>
    </row>
    <row r="4983" spans="38:40" x14ac:dyDescent="0.3">
      <c r="AL4983">
        <v>0</v>
      </c>
      <c r="AM4983" t="s">
        <v>649</v>
      </c>
      <c r="AN4983" t="s">
        <v>649</v>
      </c>
    </row>
    <row r="4984" spans="38:40" x14ac:dyDescent="0.3">
      <c r="AL4984">
        <v>0</v>
      </c>
      <c r="AM4984" t="s">
        <v>649</v>
      </c>
      <c r="AN4984" t="s">
        <v>649</v>
      </c>
    </row>
    <row r="4985" spans="38:40" x14ac:dyDescent="0.3">
      <c r="AL4985">
        <v>0</v>
      </c>
      <c r="AM4985" t="s">
        <v>649</v>
      </c>
      <c r="AN4985" t="s">
        <v>649</v>
      </c>
    </row>
    <row r="4986" spans="38:40" x14ac:dyDescent="0.3">
      <c r="AL4986">
        <v>0</v>
      </c>
      <c r="AM4986" t="s">
        <v>649</v>
      </c>
      <c r="AN4986" t="s">
        <v>649</v>
      </c>
    </row>
    <row r="4987" spans="38:40" x14ac:dyDescent="0.3">
      <c r="AL4987">
        <v>0</v>
      </c>
      <c r="AM4987" t="s">
        <v>649</v>
      </c>
      <c r="AN4987" t="s">
        <v>649</v>
      </c>
    </row>
    <row r="4988" spans="38:40" x14ac:dyDescent="0.3">
      <c r="AL4988">
        <v>0</v>
      </c>
      <c r="AM4988" t="s">
        <v>649</v>
      </c>
      <c r="AN4988" t="s">
        <v>649</v>
      </c>
    </row>
    <row r="4989" spans="38:40" x14ac:dyDescent="0.3">
      <c r="AL4989">
        <v>0</v>
      </c>
      <c r="AM4989" t="s">
        <v>649</v>
      </c>
      <c r="AN4989" t="s">
        <v>649</v>
      </c>
    </row>
    <row r="4990" spans="38:40" x14ac:dyDescent="0.3">
      <c r="AL4990">
        <v>0</v>
      </c>
      <c r="AM4990" t="s">
        <v>649</v>
      </c>
      <c r="AN4990" t="s">
        <v>649</v>
      </c>
    </row>
    <row r="4991" spans="38:40" x14ac:dyDescent="0.3">
      <c r="AL4991">
        <v>0</v>
      </c>
      <c r="AM4991" t="s">
        <v>649</v>
      </c>
      <c r="AN4991" t="s">
        <v>649</v>
      </c>
    </row>
    <row r="4992" spans="38:40" x14ac:dyDescent="0.3">
      <c r="AL4992">
        <v>0</v>
      </c>
      <c r="AM4992" t="s">
        <v>649</v>
      </c>
      <c r="AN4992" t="s">
        <v>649</v>
      </c>
    </row>
    <row r="4993" spans="38:40" x14ac:dyDescent="0.3">
      <c r="AL4993">
        <v>0</v>
      </c>
      <c r="AM4993" t="s">
        <v>649</v>
      </c>
      <c r="AN4993" t="s">
        <v>649</v>
      </c>
    </row>
    <row r="4994" spans="38:40" x14ac:dyDescent="0.3">
      <c r="AL4994">
        <v>0</v>
      </c>
      <c r="AM4994" t="s">
        <v>649</v>
      </c>
      <c r="AN4994" t="s">
        <v>649</v>
      </c>
    </row>
    <row r="4995" spans="38:40" x14ac:dyDescent="0.3">
      <c r="AL4995">
        <v>0</v>
      </c>
      <c r="AM4995" t="s">
        <v>649</v>
      </c>
      <c r="AN4995" t="s">
        <v>649</v>
      </c>
    </row>
    <row r="4996" spans="38:40" x14ac:dyDescent="0.3">
      <c r="AL4996">
        <v>0</v>
      </c>
      <c r="AM4996" t="s">
        <v>649</v>
      </c>
      <c r="AN4996" t="s">
        <v>649</v>
      </c>
    </row>
    <row r="4997" spans="38:40" x14ac:dyDescent="0.3">
      <c r="AL4997">
        <v>0</v>
      </c>
      <c r="AM4997" t="s">
        <v>649</v>
      </c>
      <c r="AN4997" t="s">
        <v>649</v>
      </c>
    </row>
    <row r="4998" spans="38:40" x14ac:dyDescent="0.3">
      <c r="AL4998">
        <v>0</v>
      </c>
      <c r="AM4998" t="s">
        <v>649</v>
      </c>
      <c r="AN4998" t="s">
        <v>649</v>
      </c>
    </row>
    <row r="4999" spans="38:40" x14ac:dyDescent="0.3">
      <c r="AL4999">
        <v>0</v>
      </c>
      <c r="AM4999" t="s">
        <v>649</v>
      </c>
      <c r="AN4999" t="s">
        <v>649</v>
      </c>
    </row>
    <row r="5000" spans="38:40" x14ac:dyDescent="0.3">
      <c r="AL5000">
        <v>0</v>
      </c>
      <c r="AM5000" t="s">
        <v>649</v>
      </c>
      <c r="AN5000" t="s">
        <v>649</v>
      </c>
    </row>
    <row r="5001" spans="38:40" x14ac:dyDescent="0.3">
      <c r="AL5001">
        <v>0</v>
      </c>
      <c r="AM5001" t="s">
        <v>649</v>
      </c>
      <c r="AN5001" t="s">
        <v>649</v>
      </c>
    </row>
    <row r="5002" spans="38:40" x14ac:dyDescent="0.3">
      <c r="AL5002">
        <v>0</v>
      </c>
      <c r="AM5002" t="s">
        <v>649</v>
      </c>
      <c r="AN5002" t="s">
        <v>649</v>
      </c>
    </row>
    <row r="5003" spans="38:40" x14ac:dyDescent="0.3">
      <c r="AL5003">
        <v>0</v>
      </c>
      <c r="AM5003" t="s">
        <v>649</v>
      </c>
      <c r="AN5003" t="s">
        <v>649</v>
      </c>
    </row>
    <row r="5004" spans="38:40" x14ac:dyDescent="0.3">
      <c r="AL5004">
        <v>0</v>
      </c>
      <c r="AM5004" t="s">
        <v>649</v>
      </c>
      <c r="AN5004" t="s">
        <v>649</v>
      </c>
    </row>
    <row r="5005" spans="38:40" x14ac:dyDescent="0.3">
      <c r="AL5005">
        <v>0</v>
      </c>
      <c r="AM5005" t="s">
        <v>649</v>
      </c>
      <c r="AN5005" t="s">
        <v>649</v>
      </c>
    </row>
    <row r="5006" spans="38:40" x14ac:dyDescent="0.3">
      <c r="AL5006">
        <v>0</v>
      </c>
      <c r="AM5006" t="s">
        <v>649</v>
      </c>
      <c r="AN5006" t="s">
        <v>649</v>
      </c>
    </row>
    <row r="5007" spans="38:40" x14ac:dyDescent="0.3">
      <c r="AL5007">
        <v>0</v>
      </c>
      <c r="AM5007" t="s">
        <v>649</v>
      </c>
      <c r="AN5007" t="s">
        <v>649</v>
      </c>
    </row>
    <row r="5008" spans="38:40" x14ac:dyDescent="0.3">
      <c r="AL5008">
        <v>0</v>
      </c>
      <c r="AM5008" t="s">
        <v>649</v>
      </c>
      <c r="AN5008" t="s">
        <v>649</v>
      </c>
    </row>
    <row r="5009" spans="38:40" x14ac:dyDescent="0.3">
      <c r="AL5009">
        <v>0</v>
      </c>
      <c r="AM5009" t="s">
        <v>649</v>
      </c>
      <c r="AN5009" t="s">
        <v>649</v>
      </c>
    </row>
    <row r="5010" spans="38:40" x14ac:dyDescent="0.3">
      <c r="AL5010">
        <v>0</v>
      </c>
      <c r="AM5010" t="s">
        <v>649</v>
      </c>
      <c r="AN5010" t="s">
        <v>649</v>
      </c>
    </row>
    <row r="5011" spans="38:40" x14ac:dyDescent="0.3">
      <c r="AL5011">
        <v>0</v>
      </c>
      <c r="AM5011" t="s">
        <v>649</v>
      </c>
      <c r="AN5011" t="s">
        <v>649</v>
      </c>
    </row>
    <row r="5012" spans="38:40" x14ac:dyDescent="0.3">
      <c r="AL5012">
        <v>0</v>
      </c>
      <c r="AM5012" t="s">
        <v>649</v>
      </c>
      <c r="AN5012" t="s">
        <v>649</v>
      </c>
    </row>
    <row r="5013" spans="38:40" x14ac:dyDescent="0.3">
      <c r="AL5013">
        <v>0</v>
      </c>
      <c r="AM5013" t="s">
        <v>649</v>
      </c>
      <c r="AN5013" t="s">
        <v>649</v>
      </c>
    </row>
    <row r="5014" spans="38:40" x14ac:dyDescent="0.3">
      <c r="AL5014">
        <v>0</v>
      </c>
      <c r="AM5014" t="s">
        <v>649</v>
      </c>
      <c r="AN5014" t="s">
        <v>649</v>
      </c>
    </row>
    <row r="5015" spans="38:40" x14ac:dyDescent="0.3">
      <c r="AL5015">
        <v>0</v>
      </c>
      <c r="AM5015" t="s">
        <v>649</v>
      </c>
      <c r="AN5015" t="s">
        <v>649</v>
      </c>
    </row>
    <row r="5016" spans="38:40" x14ac:dyDescent="0.3">
      <c r="AL5016">
        <v>0</v>
      </c>
      <c r="AM5016" t="s">
        <v>649</v>
      </c>
      <c r="AN5016" t="s">
        <v>649</v>
      </c>
    </row>
    <row r="5017" spans="38:40" x14ac:dyDescent="0.3">
      <c r="AL5017">
        <v>0</v>
      </c>
      <c r="AM5017" t="s">
        <v>649</v>
      </c>
      <c r="AN5017" t="s">
        <v>649</v>
      </c>
    </row>
    <row r="5018" spans="38:40" x14ac:dyDescent="0.3">
      <c r="AL5018">
        <v>0</v>
      </c>
      <c r="AM5018" t="s">
        <v>649</v>
      </c>
      <c r="AN5018" t="s">
        <v>649</v>
      </c>
    </row>
    <row r="5019" spans="38:40" x14ac:dyDescent="0.3">
      <c r="AL5019">
        <v>0</v>
      </c>
      <c r="AM5019" t="s">
        <v>649</v>
      </c>
      <c r="AN5019" t="s">
        <v>649</v>
      </c>
    </row>
    <row r="5020" spans="38:40" x14ac:dyDescent="0.3">
      <c r="AL5020">
        <v>0</v>
      </c>
      <c r="AM5020" t="s">
        <v>649</v>
      </c>
      <c r="AN5020" t="s">
        <v>649</v>
      </c>
    </row>
    <row r="5021" spans="38:40" x14ac:dyDescent="0.3">
      <c r="AL5021">
        <v>0</v>
      </c>
      <c r="AM5021" t="s">
        <v>649</v>
      </c>
      <c r="AN5021" t="s">
        <v>649</v>
      </c>
    </row>
    <row r="5022" spans="38:40" x14ac:dyDescent="0.3">
      <c r="AL5022">
        <v>0</v>
      </c>
      <c r="AM5022" t="s">
        <v>649</v>
      </c>
      <c r="AN5022" t="s">
        <v>649</v>
      </c>
    </row>
    <row r="5023" spans="38:40" x14ac:dyDescent="0.3">
      <c r="AL5023">
        <v>0</v>
      </c>
      <c r="AM5023" t="s">
        <v>649</v>
      </c>
      <c r="AN5023" t="s">
        <v>649</v>
      </c>
    </row>
    <row r="5024" spans="38:40" x14ac:dyDescent="0.3">
      <c r="AL5024">
        <v>0</v>
      </c>
      <c r="AM5024" t="s">
        <v>649</v>
      </c>
      <c r="AN5024" t="s">
        <v>649</v>
      </c>
    </row>
    <row r="5025" spans="38:40" x14ac:dyDescent="0.3">
      <c r="AL5025">
        <v>0</v>
      </c>
      <c r="AM5025" t="s">
        <v>649</v>
      </c>
      <c r="AN5025" t="s">
        <v>649</v>
      </c>
    </row>
    <row r="5026" spans="38:40" x14ac:dyDescent="0.3">
      <c r="AL5026">
        <v>0</v>
      </c>
      <c r="AM5026" t="s">
        <v>649</v>
      </c>
      <c r="AN5026" t="s">
        <v>649</v>
      </c>
    </row>
    <row r="5027" spans="38:40" x14ac:dyDescent="0.3">
      <c r="AL5027">
        <v>0</v>
      </c>
      <c r="AM5027" t="s">
        <v>649</v>
      </c>
      <c r="AN5027" t="s">
        <v>649</v>
      </c>
    </row>
    <row r="5028" spans="38:40" x14ac:dyDescent="0.3">
      <c r="AL5028">
        <v>0</v>
      </c>
      <c r="AM5028" t="s">
        <v>649</v>
      </c>
      <c r="AN5028" t="s">
        <v>649</v>
      </c>
    </row>
    <row r="5029" spans="38:40" x14ac:dyDescent="0.3">
      <c r="AL5029">
        <v>0</v>
      </c>
      <c r="AM5029" t="s">
        <v>649</v>
      </c>
      <c r="AN5029" t="s">
        <v>649</v>
      </c>
    </row>
    <row r="5030" spans="38:40" x14ac:dyDescent="0.3">
      <c r="AL5030">
        <v>0</v>
      </c>
      <c r="AM5030" t="s">
        <v>649</v>
      </c>
      <c r="AN5030" t="s">
        <v>649</v>
      </c>
    </row>
    <row r="5031" spans="38:40" x14ac:dyDescent="0.3">
      <c r="AL5031">
        <v>0</v>
      </c>
      <c r="AM5031" t="s">
        <v>649</v>
      </c>
      <c r="AN5031" t="s">
        <v>649</v>
      </c>
    </row>
    <row r="5032" spans="38:40" x14ac:dyDescent="0.3">
      <c r="AL5032">
        <v>0</v>
      </c>
      <c r="AM5032" t="s">
        <v>649</v>
      </c>
      <c r="AN5032" t="s">
        <v>649</v>
      </c>
    </row>
    <row r="5033" spans="38:40" x14ac:dyDescent="0.3">
      <c r="AL5033">
        <v>0</v>
      </c>
      <c r="AM5033" t="s">
        <v>649</v>
      </c>
      <c r="AN5033" t="s">
        <v>649</v>
      </c>
    </row>
    <row r="5034" spans="38:40" x14ac:dyDescent="0.3">
      <c r="AL5034">
        <v>0</v>
      </c>
      <c r="AM5034" t="s">
        <v>649</v>
      </c>
      <c r="AN5034" t="s">
        <v>649</v>
      </c>
    </row>
    <row r="5035" spans="38:40" x14ac:dyDescent="0.3">
      <c r="AL5035">
        <v>0</v>
      </c>
      <c r="AM5035" t="s">
        <v>649</v>
      </c>
      <c r="AN5035" t="s">
        <v>649</v>
      </c>
    </row>
    <row r="5036" spans="38:40" x14ac:dyDescent="0.3">
      <c r="AL5036">
        <v>0</v>
      </c>
      <c r="AM5036" t="s">
        <v>649</v>
      </c>
      <c r="AN5036" t="s">
        <v>649</v>
      </c>
    </row>
    <row r="5037" spans="38:40" x14ac:dyDescent="0.3">
      <c r="AL5037">
        <v>0</v>
      </c>
      <c r="AM5037" t="s">
        <v>649</v>
      </c>
      <c r="AN5037" t="s">
        <v>649</v>
      </c>
    </row>
    <row r="5038" spans="38:40" x14ac:dyDescent="0.3">
      <c r="AL5038">
        <v>0</v>
      </c>
      <c r="AM5038" t="s">
        <v>649</v>
      </c>
      <c r="AN5038" t="s">
        <v>649</v>
      </c>
    </row>
    <row r="5039" spans="38:40" x14ac:dyDescent="0.3">
      <c r="AL5039">
        <v>0</v>
      </c>
      <c r="AM5039" t="s">
        <v>649</v>
      </c>
      <c r="AN5039" t="s">
        <v>649</v>
      </c>
    </row>
    <row r="5040" spans="38:40" x14ac:dyDescent="0.3">
      <c r="AL5040">
        <v>0</v>
      </c>
      <c r="AM5040" t="s">
        <v>649</v>
      </c>
      <c r="AN5040" t="s">
        <v>649</v>
      </c>
    </row>
    <row r="5041" spans="38:40" x14ac:dyDescent="0.3">
      <c r="AL5041">
        <v>0</v>
      </c>
      <c r="AM5041" t="s">
        <v>649</v>
      </c>
      <c r="AN5041" t="s">
        <v>649</v>
      </c>
    </row>
    <row r="5042" spans="38:40" x14ac:dyDescent="0.3">
      <c r="AL5042">
        <v>0</v>
      </c>
      <c r="AM5042" t="s">
        <v>649</v>
      </c>
      <c r="AN5042" t="s">
        <v>649</v>
      </c>
    </row>
    <row r="5043" spans="38:40" x14ac:dyDescent="0.3">
      <c r="AL5043">
        <v>0</v>
      </c>
      <c r="AM5043" t="s">
        <v>649</v>
      </c>
      <c r="AN5043" t="s">
        <v>649</v>
      </c>
    </row>
    <row r="5044" spans="38:40" x14ac:dyDescent="0.3">
      <c r="AL5044">
        <v>0</v>
      </c>
      <c r="AM5044" t="s">
        <v>649</v>
      </c>
      <c r="AN5044" t="s">
        <v>649</v>
      </c>
    </row>
    <row r="5045" spans="38:40" x14ac:dyDescent="0.3">
      <c r="AL5045">
        <v>0</v>
      </c>
      <c r="AM5045" t="s">
        <v>649</v>
      </c>
      <c r="AN5045" t="s">
        <v>649</v>
      </c>
    </row>
    <row r="5046" spans="38:40" x14ac:dyDescent="0.3">
      <c r="AL5046">
        <v>0</v>
      </c>
      <c r="AM5046" t="s">
        <v>649</v>
      </c>
      <c r="AN5046" t="s">
        <v>649</v>
      </c>
    </row>
    <row r="5047" spans="38:40" x14ac:dyDescent="0.3">
      <c r="AL5047">
        <v>0</v>
      </c>
      <c r="AM5047" t="s">
        <v>649</v>
      </c>
      <c r="AN5047" t="s">
        <v>649</v>
      </c>
    </row>
    <row r="5048" spans="38:40" x14ac:dyDescent="0.3">
      <c r="AL5048">
        <v>0</v>
      </c>
      <c r="AM5048" t="s">
        <v>649</v>
      </c>
      <c r="AN5048" t="s">
        <v>649</v>
      </c>
    </row>
    <row r="5049" spans="38:40" x14ac:dyDescent="0.3">
      <c r="AL5049">
        <v>0</v>
      </c>
      <c r="AM5049" t="s">
        <v>649</v>
      </c>
      <c r="AN5049" t="s">
        <v>649</v>
      </c>
    </row>
    <row r="5050" spans="38:40" x14ac:dyDescent="0.3">
      <c r="AL5050">
        <v>0</v>
      </c>
      <c r="AM5050" t="s">
        <v>649</v>
      </c>
      <c r="AN5050" t="s">
        <v>649</v>
      </c>
    </row>
    <row r="5051" spans="38:40" x14ac:dyDescent="0.3">
      <c r="AL5051">
        <v>0</v>
      </c>
      <c r="AM5051" t="s">
        <v>649</v>
      </c>
      <c r="AN5051" t="s">
        <v>649</v>
      </c>
    </row>
    <row r="5052" spans="38:40" x14ac:dyDescent="0.3">
      <c r="AL5052">
        <v>0</v>
      </c>
      <c r="AM5052" t="s">
        <v>649</v>
      </c>
      <c r="AN5052" t="s">
        <v>649</v>
      </c>
    </row>
    <row r="5053" spans="38:40" x14ac:dyDescent="0.3">
      <c r="AL5053">
        <v>0</v>
      </c>
      <c r="AM5053" t="s">
        <v>649</v>
      </c>
      <c r="AN5053" t="s">
        <v>649</v>
      </c>
    </row>
    <row r="5054" spans="38:40" x14ac:dyDescent="0.3">
      <c r="AL5054">
        <v>0</v>
      </c>
      <c r="AM5054" t="s">
        <v>649</v>
      </c>
      <c r="AN5054" t="s">
        <v>649</v>
      </c>
    </row>
    <row r="5055" spans="38:40" x14ac:dyDescent="0.3">
      <c r="AL5055">
        <v>0</v>
      </c>
      <c r="AM5055" t="s">
        <v>649</v>
      </c>
      <c r="AN5055" t="s">
        <v>649</v>
      </c>
    </row>
    <row r="5056" spans="38:40" x14ac:dyDescent="0.3">
      <c r="AL5056">
        <v>0</v>
      </c>
      <c r="AM5056" t="s">
        <v>649</v>
      </c>
      <c r="AN5056" t="s">
        <v>649</v>
      </c>
    </row>
    <row r="5057" spans="38:40" x14ac:dyDescent="0.3">
      <c r="AL5057">
        <v>0</v>
      </c>
      <c r="AM5057" t="s">
        <v>649</v>
      </c>
      <c r="AN5057" t="s">
        <v>649</v>
      </c>
    </row>
    <row r="5058" spans="38:40" x14ac:dyDescent="0.3">
      <c r="AL5058">
        <v>0</v>
      </c>
      <c r="AM5058" t="s">
        <v>649</v>
      </c>
      <c r="AN5058" t="s">
        <v>649</v>
      </c>
    </row>
    <row r="5059" spans="38:40" x14ac:dyDescent="0.3">
      <c r="AL5059">
        <v>0</v>
      </c>
      <c r="AM5059" t="s">
        <v>649</v>
      </c>
      <c r="AN5059" t="s">
        <v>649</v>
      </c>
    </row>
    <row r="5060" spans="38:40" x14ac:dyDescent="0.3">
      <c r="AL5060">
        <v>0</v>
      </c>
      <c r="AM5060" t="s">
        <v>649</v>
      </c>
      <c r="AN5060" t="s">
        <v>649</v>
      </c>
    </row>
    <row r="5061" spans="38:40" x14ac:dyDescent="0.3">
      <c r="AL5061">
        <v>0</v>
      </c>
      <c r="AM5061" t="s">
        <v>649</v>
      </c>
      <c r="AN5061" t="s">
        <v>649</v>
      </c>
    </row>
    <row r="5062" spans="38:40" x14ac:dyDescent="0.3">
      <c r="AL5062">
        <v>0</v>
      </c>
      <c r="AM5062" t="s">
        <v>649</v>
      </c>
      <c r="AN5062" t="s">
        <v>649</v>
      </c>
    </row>
    <row r="5063" spans="38:40" x14ac:dyDescent="0.3">
      <c r="AL5063">
        <v>0</v>
      </c>
      <c r="AM5063" t="s">
        <v>649</v>
      </c>
      <c r="AN5063" t="s">
        <v>649</v>
      </c>
    </row>
    <row r="5064" spans="38:40" x14ac:dyDescent="0.3">
      <c r="AL5064">
        <v>0</v>
      </c>
      <c r="AM5064" t="s">
        <v>649</v>
      </c>
      <c r="AN5064" t="s">
        <v>649</v>
      </c>
    </row>
    <row r="5065" spans="38:40" x14ac:dyDescent="0.3">
      <c r="AL5065">
        <v>0</v>
      </c>
      <c r="AM5065" t="s">
        <v>649</v>
      </c>
      <c r="AN5065" t="s">
        <v>649</v>
      </c>
    </row>
    <row r="5066" spans="38:40" x14ac:dyDescent="0.3">
      <c r="AL5066">
        <v>0</v>
      </c>
      <c r="AM5066" t="s">
        <v>649</v>
      </c>
      <c r="AN5066" t="s">
        <v>649</v>
      </c>
    </row>
    <row r="5067" spans="38:40" x14ac:dyDescent="0.3">
      <c r="AL5067">
        <v>0</v>
      </c>
      <c r="AM5067" t="s">
        <v>649</v>
      </c>
      <c r="AN5067" t="s">
        <v>649</v>
      </c>
    </row>
    <row r="5068" spans="38:40" x14ac:dyDescent="0.3">
      <c r="AL5068">
        <v>0</v>
      </c>
      <c r="AM5068" t="s">
        <v>649</v>
      </c>
      <c r="AN5068" t="s">
        <v>649</v>
      </c>
    </row>
    <row r="5069" spans="38:40" x14ac:dyDescent="0.3">
      <c r="AL5069">
        <v>0</v>
      </c>
      <c r="AM5069" t="s">
        <v>649</v>
      </c>
      <c r="AN5069" t="s">
        <v>649</v>
      </c>
    </row>
    <row r="5070" spans="38:40" x14ac:dyDescent="0.3">
      <c r="AL5070">
        <v>0</v>
      </c>
      <c r="AM5070" t="s">
        <v>649</v>
      </c>
      <c r="AN5070" t="s">
        <v>649</v>
      </c>
    </row>
    <row r="5071" spans="38:40" x14ac:dyDescent="0.3">
      <c r="AL5071">
        <v>0</v>
      </c>
      <c r="AM5071" t="s">
        <v>649</v>
      </c>
      <c r="AN5071" t="s">
        <v>649</v>
      </c>
    </row>
    <row r="5072" spans="38:40" x14ac:dyDescent="0.3">
      <c r="AL5072">
        <v>0</v>
      </c>
      <c r="AM5072" t="s">
        <v>649</v>
      </c>
      <c r="AN5072" t="s">
        <v>649</v>
      </c>
    </row>
    <row r="5073" spans="38:40" x14ac:dyDescent="0.3">
      <c r="AL5073">
        <v>0</v>
      </c>
      <c r="AM5073" t="s">
        <v>649</v>
      </c>
      <c r="AN5073" t="s">
        <v>649</v>
      </c>
    </row>
    <row r="5074" spans="38:40" x14ac:dyDescent="0.3">
      <c r="AL5074">
        <v>0</v>
      </c>
      <c r="AM5074" t="s">
        <v>649</v>
      </c>
      <c r="AN5074" t="s">
        <v>649</v>
      </c>
    </row>
    <row r="5075" spans="38:40" x14ac:dyDescent="0.3">
      <c r="AL5075">
        <v>0</v>
      </c>
      <c r="AM5075" t="s">
        <v>649</v>
      </c>
      <c r="AN5075" t="s">
        <v>649</v>
      </c>
    </row>
    <row r="5076" spans="38:40" x14ac:dyDescent="0.3">
      <c r="AL5076">
        <v>0</v>
      </c>
      <c r="AM5076" t="s">
        <v>649</v>
      </c>
      <c r="AN5076" t="s">
        <v>649</v>
      </c>
    </row>
    <row r="5077" spans="38:40" x14ac:dyDescent="0.3">
      <c r="AL5077">
        <v>0</v>
      </c>
      <c r="AM5077" t="s">
        <v>649</v>
      </c>
      <c r="AN5077" t="s">
        <v>649</v>
      </c>
    </row>
    <row r="5078" spans="38:40" x14ac:dyDescent="0.3">
      <c r="AL5078">
        <v>0</v>
      </c>
      <c r="AM5078" t="s">
        <v>649</v>
      </c>
      <c r="AN5078" t="s">
        <v>649</v>
      </c>
    </row>
    <row r="5079" spans="38:40" x14ac:dyDescent="0.3">
      <c r="AL5079">
        <v>0</v>
      </c>
      <c r="AM5079" t="s">
        <v>649</v>
      </c>
      <c r="AN5079" t="s">
        <v>649</v>
      </c>
    </row>
    <row r="5080" spans="38:40" x14ac:dyDescent="0.3">
      <c r="AL5080">
        <v>0</v>
      </c>
      <c r="AM5080" t="s">
        <v>649</v>
      </c>
      <c r="AN5080" t="s">
        <v>649</v>
      </c>
    </row>
    <row r="5081" spans="38:40" x14ac:dyDescent="0.3">
      <c r="AL5081">
        <v>0</v>
      </c>
      <c r="AM5081" t="s">
        <v>649</v>
      </c>
      <c r="AN5081" t="s">
        <v>649</v>
      </c>
    </row>
    <row r="5082" spans="38:40" x14ac:dyDescent="0.3">
      <c r="AL5082">
        <v>0</v>
      </c>
      <c r="AM5082" t="s">
        <v>649</v>
      </c>
      <c r="AN5082" t="s">
        <v>649</v>
      </c>
    </row>
    <row r="5083" spans="38:40" x14ac:dyDescent="0.3">
      <c r="AL5083">
        <v>0</v>
      </c>
      <c r="AM5083" t="s">
        <v>649</v>
      </c>
      <c r="AN5083" t="s">
        <v>649</v>
      </c>
    </row>
    <row r="5084" spans="38:40" x14ac:dyDescent="0.3">
      <c r="AL5084">
        <v>0</v>
      </c>
      <c r="AM5084" t="s">
        <v>649</v>
      </c>
      <c r="AN5084" t="s">
        <v>649</v>
      </c>
    </row>
    <row r="5085" spans="38:40" x14ac:dyDescent="0.3">
      <c r="AL5085">
        <v>0</v>
      </c>
      <c r="AM5085" t="s">
        <v>649</v>
      </c>
      <c r="AN5085" t="s">
        <v>649</v>
      </c>
    </row>
    <row r="5086" spans="38:40" x14ac:dyDescent="0.3">
      <c r="AL5086">
        <v>0</v>
      </c>
      <c r="AM5086" t="s">
        <v>649</v>
      </c>
      <c r="AN5086" t="s">
        <v>649</v>
      </c>
    </row>
    <row r="5087" spans="38:40" x14ac:dyDescent="0.3">
      <c r="AL5087">
        <v>0</v>
      </c>
      <c r="AM5087" t="s">
        <v>649</v>
      </c>
      <c r="AN5087" t="s">
        <v>649</v>
      </c>
    </row>
    <row r="5088" spans="38:40" x14ac:dyDescent="0.3">
      <c r="AL5088">
        <v>0</v>
      </c>
      <c r="AM5088" t="s">
        <v>649</v>
      </c>
      <c r="AN5088" t="s">
        <v>649</v>
      </c>
    </row>
    <row r="5089" spans="38:40" x14ac:dyDescent="0.3">
      <c r="AL5089">
        <v>0</v>
      </c>
      <c r="AM5089" t="s">
        <v>649</v>
      </c>
      <c r="AN5089" t="s">
        <v>649</v>
      </c>
    </row>
    <row r="5090" spans="38:40" x14ac:dyDescent="0.3">
      <c r="AL5090">
        <v>0</v>
      </c>
      <c r="AM5090" t="s">
        <v>649</v>
      </c>
      <c r="AN5090" t="s">
        <v>649</v>
      </c>
    </row>
    <row r="5091" spans="38:40" x14ac:dyDescent="0.3">
      <c r="AL5091">
        <v>0</v>
      </c>
      <c r="AM5091" t="s">
        <v>649</v>
      </c>
      <c r="AN5091" t="s">
        <v>649</v>
      </c>
    </row>
    <row r="5092" spans="38:40" x14ac:dyDescent="0.3">
      <c r="AL5092">
        <v>0</v>
      </c>
      <c r="AM5092" t="s">
        <v>649</v>
      </c>
      <c r="AN5092" t="s">
        <v>649</v>
      </c>
    </row>
    <row r="5093" spans="38:40" x14ac:dyDescent="0.3">
      <c r="AL5093">
        <v>0</v>
      </c>
      <c r="AM5093" t="s">
        <v>649</v>
      </c>
      <c r="AN5093" t="s">
        <v>649</v>
      </c>
    </row>
    <row r="5094" spans="38:40" x14ac:dyDescent="0.3">
      <c r="AL5094">
        <v>0</v>
      </c>
      <c r="AM5094" t="s">
        <v>649</v>
      </c>
      <c r="AN5094" t="s">
        <v>649</v>
      </c>
    </row>
    <row r="5095" spans="38:40" x14ac:dyDescent="0.3">
      <c r="AL5095">
        <v>0</v>
      </c>
      <c r="AM5095" t="s">
        <v>649</v>
      </c>
      <c r="AN5095" t="s">
        <v>649</v>
      </c>
    </row>
    <row r="5096" spans="38:40" x14ac:dyDescent="0.3">
      <c r="AL5096">
        <v>0</v>
      </c>
      <c r="AM5096" t="s">
        <v>649</v>
      </c>
      <c r="AN5096" t="s">
        <v>649</v>
      </c>
    </row>
    <row r="5097" spans="38:40" x14ac:dyDescent="0.3">
      <c r="AL5097">
        <v>0</v>
      </c>
      <c r="AM5097" t="s">
        <v>649</v>
      </c>
      <c r="AN5097" t="s">
        <v>649</v>
      </c>
    </row>
    <row r="5098" spans="38:40" x14ac:dyDescent="0.3">
      <c r="AL5098">
        <v>0</v>
      </c>
      <c r="AM5098" t="s">
        <v>649</v>
      </c>
      <c r="AN5098" t="s">
        <v>649</v>
      </c>
    </row>
    <row r="5099" spans="38:40" x14ac:dyDescent="0.3">
      <c r="AL5099">
        <v>0</v>
      </c>
      <c r="AM5099" t="s">
        <v>649</v>
      </c>
      <c r="AN5099" t="s">
        <v>649</v>
      </c>
    </row>
    <row r="5100" spans="38:40" x14ac:dyDescent="0.3">
      <c r="AL5100">
        <v>0</v>
      </c>
      <c r="AM5100" t="s">
        <v>649</v>
      </c>
      <c r="AN5100" t="s">
        <v>649</v>
      </c>
    </row>
    <row r="5101" spans="38:40" x14ac:dyDescent="0.3">
      <c r="AL5101">
        <v>0</v>
      </c>
      <c r="AM5101" t="s">
        <v>649</v>
      </c>
      <c r="AN5101" t="s">
        <v>649</v>
      </c>
    </row>
    <row r="5102" spans="38:40" x14ac:dyDescent="0.3">
      <c r="AL5102">
        <v>0</v>
      </c>
      <c r="AM5102" t="s">
        <v>649</v>
      </c>
      <c r="AN5102" t="s">
        <v>649</v>
      </c>
    </row>
    <row r="5103" spans="38:40" x14ac:dyDescent="0.3">
      <c r="AL5103">
        <v>0</v>
      </c>
      <c r="AM5103" t="s">
        <v>649</v>
      </c>
      <c r="AN5103" t="s">
        <v>649</v>
      </c>
    </row>
    <row r="5104" spans="38:40" x14ac:dyDescent="0.3">
      <c r="AL5104">
        <v>0</v>
      </c>
      <c r="AM5104" t="s">
        <v>649</v>
      </c>
      <c r="AN5104" t="s">
        <v>649</v>
      </c>
    </row>
    <row r="5105" spans="38:40" x14ac:dyDescent="0.3">
      <c r="AL5105">
        <v>0</v>
      </c>
      <c r="AM5105" t="s">
        <v>649</v>
      </c>
      <c r="AN5105" t="s">
        <v>649</v>
      </c>
    </row>
    <row r="5106" spans="38:40" x14ac:dyDescent="0.3">
      <c r="AL5106">
        <v>0</v>
      </c>
      <c r="AM5106" t="s">
        <v>649</v>
      </c>
      <c r="AN5106" t="s">
        <v>649</v>
      </c>
    </row>
    <row r="5107" spans="38:40" x14ac:dyDescent="0.3">
      <c r="AL5107">
        <v>0</v>
      </c>
      <c r="AM5107" t="s">
        <v>649</v>
      </c>
      <c r="AN5107" t="s">
        <v>649</v>
      </c>
    </row>
    <row r="5108" spans="38:40" x14ac:dyDescent="0.3">
      <c r="AL5108">
        <v>0</v>
      </c>
      <c r="AM5108" t="s">
        <v>649</v>
      </c>
      <c r="AN5108" t="s">
        <v>649</v>
      </c>
    </row>
    <row r="5109" spans="38:40" x14ac:dyDescent="0.3">
      <c r="AL5109">
        <v>0</v>
      </c>
      <c r="AM5109" t="s">
        <v>649</v>
      </c>
      <c r="AN5109" t="s">
        <v>649</v>
      </c>
    </row>
    <row r="5110" spans="38:40" x14ac:dyDescent="0.3">
      <c r="AL5110">
        <v>0</v>
      </c>
      <c r="AM5110" t="s">
        <v>649</v>
      </c>
      <c r="AN5110" t="s">
        <v>649</v>
      </c>
    </row>
    <row r="5111" spans="38:40" x14ac:dyDescent="0.3">
      <c r="AL5111">
        <v>0</v>
      </c>
      <c r="AM5111" t="s">
        <v>649</v>
      </c>
      <c r="AN5111" t="s">
        <v>649</v>
      </c>
    </row>
    <row r="5112" spans="38:40" x14ac:dyDescent="0.3">
      <c r="AL5112">
        <v>0</v>
      </c>
      <c r="AM5112" t="s">
        <v>649</v>
      </c>
      <c r="AN5112" t="s">
        <v>649</v>
      </c>
    </row>
    <row r="5113" spans="38:40" x14ac:dyDescent="0.3">
      <c r="AL5113">
        <v>0</v>
      </c>
      <c r="AM5113" t="s">
        <v>649</v>
      </c>
      <c r="AN5113" t="s">
        <v>649</v>
      </c>
    </row>
    <row r="5114" spans="38:40" x14ac:dyDescent="0.3">
      <c r="AL5114">
        <v>0</v>
      </c>
      <c r="AM5114" t="s">
        <v>649</v>
      </c>
      <c r="AN5114" t="s">
        <v>649</v>
      </c>
    </row>
    <row r="5115" spans="38:40" x14ac:dyDescent="0.3">
      <c r="AL5115">
        <v>0</v>
      </c>
      <c r="AM5115" t="s">
        <v>649</v>
      </c>
      <c r="AN5115" t="s">
        <v>649</v>
      </c>
    </row>
    <row r="5116" spans="38:40" x14ac:dyDescent="0.3">
      <c r="AL5116">
        <v>0</v>
      </c>
      <c r="AM5116" t="s">
        <v>649</v>
      </c>
      <c r="AN5116" t="s">
        <v>649</v>
      </c>
    </row>
    <row r="5117" spans="38:40" x14ac:dyDescent="0.3">
      <c r="AL5117">
        <v>0</v>
      </c>
      <c r="AM5117" t="s">
        <v>649</v>
      </c>
      <c r="AN5117" t="s">
        <v>649</v>
      </c>
    </row>
    <row r="5118" spans="38:40" x14ac:dyDescent="0.3">
      <c r="AL5118">
        <v>0</v>
      </c>
      <c r="AM5118" t="s">
        <v>649</v>
      </c>
      <c r="AN5118" t="s">
        <v>649</v>
      </c>
    </row>
    <row r="5119" spans="38:40" x14ac:dyDescent="0.3">
      <c r="AL5119">
        <v>0</v>
      </c>
      <c r="AM5119" t="s">
        <v>649</v>
      </c>
      <c r="AN5119" t="s">
        <v>649</v>
      </c>
    </row>
    <row r="5120" spans="38:40" x14ac:dyDescent="0.3">
      <c r="AL5120">
        <v>0</v>
      </c>
      <c r="AM5120" t="s">
        <v>649</v>
      </c>
      <c r="AN5120" t="s">
        <v>649</v>
      </c>
    </row>
    <row r="5121" spans="38:40" x14ac:dyDescent="0.3">
      <c r="AL5121">
        <v>0</v>
      </c>
      <c r="AM5121" t="s">
        <v>649</v>
      </c>
      <c r="AN5121" t="s">
        <v>649</v>
      </c>
    </row>
    <row r="5122" spans="38:40" x14ac:dyDescent="0.3">
      <c r="AL5122">
        <v>0</v>
      </c>
      <c r="AM5122" t="s">
        <v>649</v>
      </c>
      <c r="AN5122" t="s">
        <v>649</v>
      </c>
    </row>
    <row r="5123" spans="38:40" x14ac:dyDescent="0.3">
      <c r="AL5123">
        <v>0</v>
      </c>
      <c r="AM5123" t="s">
        <v>649</v>
      </c>
      <c r="AN5123" t="s">
        <v>649</v>
      </c>
    </row>
    <row r="5124" spans="38:40" x14ac:dyDescent="0.3">
      <c r="AL5124">
        <v>0</v>
      </c>
      <c r="AM5124" t="s">
        <v>649</v>
      </c>
      <c r="AN5124" t="s">
        <v>649</v>
      </c>
    </row>
    <row r="5125" spans="38:40" x14ac:dyDescent="0.3">
      <c r="AL5125">
        <v>0</v>
      </c>
      <c r="AM5125" t="s">
        <v>649</v>
      </c>
      <c r="AN5125" t="s">
        <v>649</v>
      </c>
    </row>
    <row r="5126" spans="38:40" x14ac:dyDescent="0.3">
      <c r="AL5126">
        <v>0</v>
      </c>
      <c r="AM5126" t="s">
        <v>649</v>
      </c>
      <c r="AN5126" t="s">
        <v>649</v>
      </c>
    </row>
    <row r="5127" spans="38:40" x14ac:dyDescent="0.3">
      <c r="AL5127">
        <v>0</v>
      </c>
      <c r="AM5127" t="s">
        <v>649</v>
      </c>
      <c r="AN5127" t="s">
        <v>649</v>
      </c>
    </row>
    <row r="5128" spans="38:40" x14ac:dyDescent="0.3">
      <c r="AL5128">
        <v>0</v>
      </c>
      <c r="AM5128" t="s">
        <v>649</v>
      </c>
      <c r="AN5128" t="s">
        <v>649</v>
      </c>
    </row>
    <row r="5129" spans="38:40" x14ac:dyDescent="0.3">
      <c r="AL5129">
        <v>0</v>
      </c>
      <c r="AM5129" t="s">
        <v>649</v>
      </c>
      <c r="AN5129" t="s">
        <v>649</v>
      </c>
    </row>
    <row r="5130" spans="38:40" x14ac:dyDescent="0.3">
      <c r="AL5130">
        <v>0</v>
      </c>
      <c r="AM5130" t="s">
        <v>649</v>
      </c>
      <c r="AN5130" t="s">
        <v>649</v>
      </c>
    </row>
    <row r="5131" spans="38:40" x14ac:dyDescent="0.3">
      <c r="AL5131">
        <v>0</v>
      </c>
      <c r="AM5131" t="s">
        <v>649</v>
      </c>
      <c r="AN5131" t="s">
        <v>649</v>
      </c>
    </row>
    <row r="5132" spans="38:40" x14ac:dyDescent="0.3">
      <c r="AL5132">
        <v>0</v>
      </c>
      <c r="AM5132" t="s">
        <v>649</v>
      </c>
      <c r="AN5132" t="s">
        <v>649</v>
      </c>
    </row>
    <row r="5133" spans="38:40" x14ac:dyDescent="0.3">
      <c r="AL5133">
        <v>0</v>
      </c>
      <c r="AM5133" t="s">
        <v>649</v>
      </c>
      <c r="AN5133" t="s">
        <v>649</v>
      </c>
    </row>
    <row r="5134" spans="38:40" x14ac:dyDescent="0.3">
      <c r="AL5134">
        <v>0</v>
      </c>
      <c r="AM5134" t="s">
        <v>649</v>
      </c>
      <c r="AN5134" t="s">
        <v>649</v>
      </c>
    </row>
    <row r="5135" spans="38:40" x14ac:dyDescent="0.3">
      <c r="AL5135">
        <v>0</v>
      </c>
      <c r="AM5135" t="s">
        <v>649</v>
      </c>
      <c r="AN5135" t="s">
        <v>649</v>
      </c>
    </row>
    <row r="5136" spans="38:40" x14ac:dyDescent="0.3">
      <c r="AL5136">
        <v>0</v>
      </c>
      <c r="AM5136" t="s">
        <v>649</v>
      </c>
      <c r="AN5136" t="s">
        <v>649</v>
      </c>
    </row>
    <row r="5137" spans="38:40" x14ac:dyDescent="0.3">
      <c r="AL5137">
        <v>0</v>
      </c>
      <c r="AM5137" t="s">
        <v>649</v>
      </c>
      <c r="AN5137" t="s">
        <v>649</v>
      </c>
    </row>
    <row r="5138" spans="38:40" x14ac:dyDescent="0.3">
      <c r="AL5138">
        <v>0</v>
      </c>
      <c r="AM5138" t="s">
        <v>649</v>
      </c>
      <c r="AN5138" t="s">
        <v>649</v>
      </c>
    </row>
    <row r="5139" spans="38:40" x14ac:dyDescent="0.3">
      <c r="AL5139">
        <v>0</v>
      </c>
      <c r="AM5139" t="s">
        <v>649</v>
      </c>
      <c r="AN5139" t="s">
        <v>649</v>
      </c>
    </row>
    <row r="5140" spans="38:40" x14ac:dyDescent="0.3">
      <c r="AL5140">
        <v>0</v>
      </c>
      <c r="AM5140" t="s">
        <v>649</v>
      </c>
      <c r="AN5140" t="s">
        <v>649</v>
      </c>
    </row>
    <row r="5141" spans="38:40" x14ac:dyDescent="0.3">
      <c r="AL5141">
        <v>0</v>
      </c>
      <c r="AM5141" t="s">
        <v>649</v>
      </c>
      <c r="AN5141" t="s">
        <v>649</v>
      </c>
    </row>
    <row r="5142" spans="38:40" x14ac:dyDescent="0.3">
      <c r="AL5142">
        <v>0</v>
      </c>
      <c r="AM5142" t="s">
        <v>649</v>
      </c>
      <c r="AN5142" t="s">
        <v>649</v>
      </c>
    </row>
    <row r="5143" spans="38:40" x14ac:dyDescent="0.3">
      <c r="AL5143">
        <v>0</v>
      </c>
      <c r="AM5143" t="s">
        <v>649</v>
      </c>
      <c r="AN5143" t="s">
        <v>649</v>
      </c>
    </row>
    <row r="5144" spans="38:40" x14ac:dyDescent="0.3">
      <c r="AL5144">
        <v>0</v>
      </c>
      <c r="AM5144" t="s">
        <v>649</v>
      </c>
      <c r="AN5144" t="s">
        <v>649</v>
      </c>
    </row>
    <row r="5145" spans="38:40" x14ac:dyDescent="0.3">
      <c r="AL5145">
        <v>0</v>
      </c>
      <c r="AM5145" t="s">
        <v>649</v>
      </c>
      <c r="AN5145" t="s">
        <v>649</v>
      </c>
    </row>
    <row r="5146" spans="38:40" x14ac:dyDescent="0.3">
      <c r="AL5146">
        <v>0</v>
      </c>
      <c r="AM5146" t="s">
        <v>649</v>
      </c>
      <c r="AN5146" t="s">
        <v>649</v>
      </c>
    </row>
    <row r="5147" spans="38:40" x14ac:dyDescent="0.3">
      <c r="AL5147">
        <v>0</v>
      </c>
      <c r="AM5147" t="s">
        <v>649</v>
      </c>
      <c r="AN5147" t="s">
        <v>649</v>
      </c>
    </row>
    <row r="5148" spans="38:40" x14ac:dyDescent="0.3">
      <c r="AL5148">
        <v>0</v>
      </c>
      <c r="AM5148" t="s">
        <v>649</v>
      </c>
      <c r="AN5148" t="s">
        <v>649</v>
      </c>
    </row>
    <row r="5149" spans="38:40" x14ac:dyDescent="0.3">
      <c r="AL5149">
        <v>0</v>
      </c>
      <c r="AM5149" t="s">
        <v>649</v>
      </c>
      <c r="AN5149" t="s">
        <v>649</v>
      </c>
    </row>
    <row r="5150" spans="38:40" x14ac:dyDescent="0.3">
      <c r="AL5150">
        <v>0</v>
      </c>
      <c r="AM5150" t="s">
        <v>649</v>
      </c>
      <c r="AN5150" t="s">
        <v>649</v>
      </c>
    </row>
    <row r="5151" spans="38:40" x14ac:dyDescent="0.3">
      <c r="AL5151">
        <v>0</v>
      </c>
      <c r="AM5151" t="s">
        <v>649</v>
      </c>
      <c r="AN5151" t="s">
        <v>649</v>
      </c>
    </row>
    <row r="5152" spans="38:40" x14ac:dyDescent="0.3">
      <c r="AL5152">
        <v>0</v>
      </c>
      <c r="AM5152" t="s">
        <v>649</v>
      </c>
      <c r="AN5152" t="s">
        <v>649</v>
      </c>
    </row>
    <row r="5153" spans="38:40" x14ac:dyDescent="0.3">
      <c r="AL5153">
        <v>0</v>
      </c>
      <c r="AM5153" t="s">
        <v>649</v>
      </c>
      <c r="AN5153" t="s">
        <v>649</v>
      </c>
    </row>
    <row r="5154" spans="38:40" x14ac:dyDescent="0.3">
      <c r="AL5154">
        <v>0</v>
      </c>
      <c r="AM5154" t="s">
        <v>649</v>
      </c>
      <c r="AN5154" t="s">
        <v>649</v>
      </c>
    </row>
    <row r="5155" spans="38:40" x14ac:dyDescent="0.3">
      <c r="AL5155">
        <v>0</v>
      </c>
      <c r="AM5155" t="s">
        <v>649</v>
      </c>
      <c r="AN5155" t="s">
        <v>649</v>
      </c>
    </row>
    <row r="5156" spans="38:40" x14ac:dyDescent="0.3">
      <c r="AL5156">
        <v>0</v>
      </c>
      <c r="AM5156" t="s">
        <v>649</v>
      </c>
      <c r="AN5156" t="s">
        <v>649</v>
      </c>
    </row>
    <row r="5157" spans="38:40" x14ac:dyDescent="0.3">
      <c r="AL5157">
        <v>0</v>
      </c>
      <c r="AM5157" t="s">
        <v>649</v>
      </c>
      <c r="AN5157" t="s">
        <v>649</v>
      </c>
    </row>
    <row r="5158" spans="38:40" x14ac:dyDescent="0.3">
      <c r="AL5158">
        <v>0</v>
      </c>
      <c r="AM5158" t="s">
        <v>649</v>
      </c>
      <c r="AN5158" t="s">
        <v>649</v>
      </c>
    </row>
    <row r="5159" spans="38:40" x14ac:dyDescent="0.3">
      <c r="AL5159">
        <v>0</v>
      </c>
      <c r="AM5159" t="s">
        <v>649</v>
      </c>
      <c r="AN5159" t="s">
        <v>649</v>
      </c>
    </row>
    <row r="5160" spans="38:40" x14ac:dyDescent="0.3">
      <c r="AL5160">
        <v>0</v>
      </c>
      <c r="AM5160" t="s">
        <v>649</v>
      </c>
      <c r="AN5160" t="s">
        <v>649</v>
      </c>
    </row>
    <row r="5161" spans="38:40" x14ac:dyDescent="0.3">
      <c r="AL5161">
        <v>0</v>
      </c>
      <c r="AM5161" t="s">
        <v>649</v>
      </c>
      <c r="AN5161" t="s">
        <v>649</v>
      </c>
    </row>
    <row r="5162" spans="38:40" x14ac:dyDescent="0.3">
      <c r="AL5162">
        <v>0</v>
      </c>
      <c r="AM5162" t="s">
        <v>649</v>
      </c>
      <c r="AN5162" t="s">
        <v>649</v>
      </c>
    </row>
    <row r="5163" spans="38:40" x14ac:dyDescent="0.3">
      <c r="AL5163">
        <v>0</v>
      </c>
      <c r="AM5163" t="s">
        <v>649</v>
      </c>
      <c r="AN5163" t="s">
        <v>649</v>
      </c>
    </row>
    <row r="5164" spans="38:40" x14ac:dyDescent="0.3">
      <c r="AL5164">
        <v>0</v>
      </c>
      <c r="AM5164" t="s">
        <v>649</v>
      </c>
      <c r="AN5164" t="s">
        <v>649</v>
      </c>
    </row>
    <row r="5165" spans="38:40" x14ac:dyDescent="0.3">
      <c r="AL5165">
        <v>0</v>
      </c>
      <c r="AM5165" t="s">
        <v>649</v>
      </c>
      <c r="AN5165" t="s">
        <v>649</v>
      </c>
    </row>
    <row r="5166" spans="38:40" x14ac:dyDescent="0.3">
      <c r="AL5166">
        <v>0</v>
      </c>
      <c r="AM5166" t="s">
        <v>649</v>
      </c>
      <c r="AN5166" t="s">
        <v>649</v>
      </c>
    </row>
    <row r="5167" spans="38:40" x14ac:dyDescent="0.3">
      <c r="AL5167">
        <v>0</v>
      </c>
      <c r="AM5167" t="s">
        <v>649</v>
      </c>
      <c r="AN5167" t="s">
        <v>649</v>
      </c>
    </row>
    <row r="5168" spans="38:40" x14ac:dyDescent="0.3">
      <c r="AL5168">
        <v>0</v>
      </c>
      <c r="AM5168" t="s">
        <v>649</v>
      </c>
      <c r="AN5168" t="s">
        <v>649</v>
      </c>
    </row>
    <row r="5169" spans="38:40" x14ac:dyDescent="0.3">
      <c r="AL5169">
        <v>0</v>
      </c>
      <c r="AM5169" t="s">
        <v>649</v>
      </c>
      <c r="AN5169" t="s">
        <v>649</v>
      </c>
    </row>
    <row r="5170" spans="38:40" x14ac:dyDescent="0.3">
      <c r="AL5170">
        <v>0</v>
      </c>
      <c r="AM5170" t="s">
        <v>649</v>
      </c>
      <c r="AN5170" t="s">
        <v>649</v>
      </c>
    </row>
    <row r="5171" spans="38:40" x14ac:dyDescent="0.3">
      <c r="AL5171">
        <v>0</v>
      </c>
      <c r="AM5171" t="s">
        <v>649</v>
      </c>
      <c r="AN5171" t="s">
        <v>649</v>
      </c>
    </row>
    <row r="5172" spans="38:40" x14ac:dyDescent="0.3">
      <c r="AL5172">
        <v>0</v>
      </c>
      <c r="AM5172" t="s">
        <v>649</v>
      </c>
      <c r="AN5172" t="s">
        <v>649</v>
      </c>
    </row>
    <row r="5173" spans="38:40" x14ac:dyDescent="0.3">
      <c r="AL5173">
        <v>0</v>
      </c>
      <c r="AM5173" t="s">
        <v>649</v>
      </c>
      <c r="AN5173" t="s">
        <v>649</v>
      </c>
    </row>
    <row r="5174" spans="38:40" x14ac:dyDescent="0.3">
      <c r="AL5174">
        <v>0</v>
      </c>
      <c r="AM5174" t="s">
        <v>649</v>
      </c>
      <c r="AN5174" t="s">
        <v>649</v>
      </c>
    </row>
    <row r="5175" spans="38:40" x14ac:dyDescent="0.3">
      <c r="AL5175">
        <v>0</v>
      </c>
      <c r="AM5175" t="s">
        <v>649</v>
      </c>
      <c r="AN5175" t="s">
        <v>649</v>
      </c>
    </row>
    <row r="5176" spans="38:40" x14ac:dyDescent="0.3">
      <c r="AL5176">
        <v>0</v>
      </c>
      <c r="AM5176" t="s">
        <v>649</v>
      </c>
      <c r="AN5176" t="s">
        <v>649</v>
      </c>
    </row>
    <row r="5177" spans="38:40" x14ac:dyDescent="0.3">
      <c r="AL5177">
        <v>0</v>
      </c>
      <c r="AM5177" t="s">
        <v>649</v>
      </c>
      <c r="AN5177" t="s">
        <v>649</v>
      </c>
    </row>
    <row r="5178" spans="38:40" x14ac:dyDescent="0.3">
      <c r="AL5178">
        <v>0</v>
      </c>
      <c r="AM5178" t="s">
        <v>649</v>
      </c>
      <c r="AN5178" t="s">
        <v>649</v>
      </c>
    </row>
    <row r="5179" spans="38:40" x14ac:dyDescent="0.3">
      <c r="AL5179">
        <v>0</v>
      </c>
      <c r="AM5179" t="s">
        <v>649</v>
      </c>
      <c r="AN5179" t="s">
        <v>649</v>
      </c>
    </row>
    <row r="5180" spans="38:40" x14ac:dyDescent="0.3">
      <c r="AL5180">
        <v>0</v>
      </c>
      <c r="AM5180" t="s">
        <v>649</v>
      </c>
      <c r="AN5180" t="s">
        <v>649</v>
      </c>
    </row>
    <row r="5181" spans="38:40" x14ac:dyDescent="0.3">
      <c r="AL5181">
        <v>0</v>
      </c>
      <c r="AM5181" t="s">
        <v>649</v>
      </c>
      <c r="AN5181" t="s">
        <v>649</v>
      </c>
    </row>
    <row r="5182" spans="38:40" x14ac:dyDescent="0.3">
      <c r="AL5182">
        <v>0</v>
      </c>
      <c r="AM5182" t="s">
        <v>649</v>
      </c>
      <c r="AN5182" t="s">
        <v>649</v>
      </c>
    </row>
    <row r="5183" spans="38:40" x14ac:dyDescent="0.3">
      <c r="AL5183">
        <v>0</v>
      </c>
      <c r="AM5183" t="s">
        <v>649</v>
      </c>
      <c r="AN5183" t="s">
        <v>649</v>
      </c>
    </row>
    <row r="5184" spans="38:40" x14ac:dyDescent="0.3">
      <c r="AL5184">
        <v>0</v>
      </c>
      <c r="AM5184" t="s">
        <v>649</v>
      </c>
      <c r="AN5184" t="s">
        <v>649</v>
      </c>
    </row>
    <row r="5185" spans="38:40" x14ac:dyDescent="0.3">
      <c r="AL5185">
        <v>0</v>
      </c>
      <c r="AM5185" t="s">
        <v>649</v>
      </c>
      <c r="AN5185" t="s">
        <v>649</v>
      </c>
    </row>
    <row r="5186" spans="38:40" x14ac:dyDescent="0.3">
      <c r="AL5186">
        <v>0</v>
      </c>
      <c r="AM5186" t="s">
        <v>649</v>
      </c>
      <c r="AN5186" t="s">
        <v>649</v>
      </c>
    </row>
    <row r="5187" spans="38:40" x14ac:dyDescent="0.3">
      <c r="AL5187">
        <v>0</v>
      </c>
      <c r="AM5187" t="s">
        <v>649</v>
      </c>
      <c r="AN5187" t="s">
        <v>649</v>
      </c>
    </row>
    <row r="5188" spans="38:40" x14ac:dyDescent="0.3">
      <c r="AL5188">
        <v>0</v>
      </c>
      <c r="AM5188" t="s">
        <v>649</v>
      </c>
      <c r="AN5188" t="s">
        <v>649</v>
      </c>
    </row>
    <row r="5189" spans="38:40" x14ac:dyDescent="0.3">
      <c r="AL5189">
        <v>0</v>
      </c>
      <c r="AM5189" t="s">
        <v>649</v>
      </c>
      <c r="AN5189" t="s">
        <v>649</v>
      </c>
    </row>
    <row r="5190" spans="38:40" x14ac:dyDescent="0.3">
      <c r="AL5190">
        <v>0</v>
      </c>
      <c r="AM5190" t="s">
        <v>649</v>
      </c>
      <c r="AN5190" t="s">
        <v>649</v>
      </c>
    </row>
    <row r="5191" spans="38:40" x14ac:dyDescent="0.3">
      <c r="AL5191">
        <v>0</v>
      </c>
      <c r="AM5191" t="s">
        <v>649</v>
      </c>
      <c r="AN5191" t="s">
        <v>649</v>
      </c>
    </row>
    <row r="5192" spans="38:40" x14ac:dyDescent="0.3">
      <c r="AL5192">
        <v>0</v>
      </c>
      <c r="AM5192" t="s">
        <v>649</v>
      </c>
      <c r="AN5192" t="s">
        <v>649</v>
      </c>
    </row>
    <row r="5193" spans="38:40" x14ac:dyDescent="0.3">
      <c r="AL5193">
        <v>0</v>
      </c>
      <c r="AM5193" t="s">
        <v>649</v>
      </c>
      <c r="AN5193" t="s">
        <v>649</v>
      </c>
    </row>
    <row r="5194" spans="38:40" x14ac:dyDescent="0.3">
      <c r="AL5194">
        <v>0</v>
      </c>
      <c r="AM5194" t="s">
        <v>649</v>
      </c>
      <c r="AN5194" t="s">
        <v>649</v>
      </c>
    </row>
    <row r="5195" spans="38:40" x14ac:dyDescent="0.3">
      <c r="AL5195">
        <v>0</v>
      </c>
      <c r="AM5195" t="s">
        <v>649</v>
      </c>
      <c r="AN5195" t="s">
        <v>649</v>
      </c>
    </row>
    <row r="5196" spans="38:40" x14ac:dyDescent="0.3">
      <c r="AL5196">
        <v>0</v>
      </c>
      <c r="AM5196" t="s">
        <v>649</v>
      </c>
      <c r="AN5196" t="s">
        <v>649</v>
      </c>
    </row>
    <row r="5197" spans="38:40" x14ac:dyDescent="0.3">
      <c r="AL5197">
        <v>0</v>
      </c>
      <c r="AM5197" t="s">
        <v>649</v>
      </c>
      <c r="AN5197" t="s">
        <v>649</v>
      </c>
    </row>
    <row r="5198" spans="38:40" x14ac:dyDescent="0.3">
      <c r="AL5198">
        <v>0</v>
      </c>
      <c r="AM5198" t="s">
        <v>649</v>
      </c>
      <c r="AN5198" t="s">
        <v>649</v>
      </c>
    </row>
    <row r="5199" spans="38:40" x14ac:dyDescent="0.3">
      <c r="AL5199">
        <v>0</v>
      </c>
      <c r="AM5199" t="s">
        <v>649</v>
      </c>
      <c r="AN5199" t="s">
        <v>649</v>
      </c>
    </row>
    <row r="5200" spans="38:40" x14ac:dyDescent="0.3">
      <c r="AL5200">
        <v>0</v>
      </c>
      <c r="AM5200" t="s">
        <v>649</v>
      </c>
      <c r="AN5200" t="s">
        <v>649</v>
      </c>
    </row>
    <row r="5201" spans="38:40" x14ac:dyDescent="0.3">
      <c r="AL5201">
        <v>0</v>
      </c>
      <c r="AM5201" t="s">
        <v>649</v>
      </c>
      <c r="AN5201" t="s">
        <v>649</v>
      </c>
    </row>
    <row r="5202" spans="38:40" x14ac:dyDescent="0.3">
      <c r="AL5202">
        <v>0</v>
      </c>
      <c r="AM5202" t="s">
        <v>649</v>
      </c>
      <c r="AN5202" t="s">
        <v>649</v>
      </c>
    </row>
    <row r="5203" spans="38:40" x14ac:dyDescent="0.3">
      <c r="AL5203">
        <v>0</v>
      </c>
      <c r="AM5203" t="s">
        <v>649</v>
      </c>
      <c r="AN5203" t="s">
        <v>649</v>
      </c>
    </row>
    <row r="5204" spans="38:40" x14ac:dyDescent="0.3">
      <c r="AL5204">
        <v>0</v>
      </c>
      <c r="AM5204" t="s">
        <v>649</v>
      </c>
      <c r="AN5204" t="s">
        <v>649</v>
      </c>
    </row>
    <row r="5205" spans="38:40" x14ac:dyDescent="0.3">
      <c r="AL5205">
        <v>0</v>
      </c>
      <c r="AM5205" t="s">
        <v>649</v>
      </c>
      <c r="AN5205" t="s">
        <v>649</v>
      </c>
    </row>
    <row r="5206" spans="38:40" x14ac:dyDescent="0.3">
      <c r="AL5206">
        <v>0</v>
      </c>
      <c r="AM5206" t="s">
        <v>649</v>
      </c>
      <c r="AN5206" t="s">
        <v>649</v>
      </c>
    </row>
    <row r="5207" spans="38:40" x14ac:dyDescent="0.3">
      <c r="AL5207">
        <v>0</v>
      </c>
      <c r="AM5207" t="s">
        <v>649</v>
      </c>
      <c r="AN5207" t="s">
        <v>649</v>
      </c>
    </row>
    <row r="5208" spans="38:40" x14ac:dyDescent="0.3">
      <c r="AL5208">
        <v>0</v>
      </c>
      <c r="AM5208" t="s">
        <v>649</v>
      </c>
      <c r="AN5208" t="s">
        <v>649</v>
      </c>
    </row>
    <row r="5209" spans="38:40" x14ac:dyDescent="0.3">
      <c r="AL5209">
        <v>0</v>
      </c>
      <c r="AM5209" t="s">
        <v>649</v>
      </c>
      <c r="AN5209" t="s">
        <v>649</v>
      </c>
    </row>
    <row r="5210" spans="38:40" x14ac:dyDescent="0.3">
      <c r="AL5210">
        <v>0</v>
      </c>
      <c r="AM5210" t="s">
        <v>649</v>
      </c>
      <c r="AN5210" t="s">
        <v>649</v>
      </c>
    </row>
    <row r="5211" spans="38:40" x14ac:dyDescent="0.3">
      <c r="AL5211">
        <v>0</v>
      </c>
      <c r="AM5211" t="s">
        <v>649</v>
      </c>
      <c r="AN5211" t="s">
        <v>649</v>
      </c>
    </row>
    <row r="5212" spans="38:40" x14ac:dyDescent="0.3">
      <c r="AL5212">
        <v>0</v>
      </c>
      <c r="AM5212" t="s">
        <v>649</v>
      </c>
      <c r="AN5212" t="s">
        <v>649</v>
      </c>
    </row>
    <row r="5213" spans="38:40" x14ac:dyDescent="0.3">
      <c r="AL5213">
        <v>0</v>
      </c>
      <c r="AM5213" t="s">
        <v>649</v>
      </c>
      <c r="AN5213" t="s">
        <v>649</v>
      </c>
    </row>
    <row r="5214" spans="38:40" x14ac:dyDescent="0.3">
      <c r="AL5214">
        <v>0</v>
      </c>
      <c r="AM5214" t="s">
        <v>649</v>
      </c>
      <c r="AN5214" t="s">
        <v>649</v>
      </c>
    </row>
    <row r="5215" spans="38:40" x14ac:dyDescent="0.3">
      <c r="AL5215">
        <v>0</v>
      </c>
      <c r="AM5215" t="s">
        <v>649</v>
      </c>
      <c r="AN5215" t="s">
        <v>649</v>
      </c>
    </row>
    <row r="5216" spans="38:40" x14ac:dyDescent="0.3">
      <c r="AL5216">
        <v>0</v>
      </c>
      <c r="AM5216" t="s">
        <v>649</v>
      </c>
      <c r="AN5216" t="s">
        <v>649</v>
      </c>
    </row>
    <row r="5217" spans="38:40" x14ac:dyDescent="0.3">
      <c r="AL5217">
        <v>0</v>
      </c>
      <c r="AM5217" t="s">
        <v>649</v>
      </c>
      <c r="AN5217" t="s">
        <v>649</v>
      </c>
    </row>
    <row r="5218" spans="38:40" x14ac:dyDescent="0.3">
      <c r="AL5218">
        <v>0</v>
      </c>
      <c r="AM5218" t="s">
        <v>649</v>
      </c>
      <c r="AN5218" t="s">
        <v>649</v>
      </c>
    </row>
    <row r="5219" spans="38:40" x14ac:dyDescent="0.3">
      <c r="AL5219">
        <v>0</v>
      </c>
      <c r="AM5219" t="s">
        <v>649</v>
      </c>
      <c r="AN5219" t="s">
        <v>649</v>
      </c>
    </row>
    <row r="5220" spans="38:40" x14ac:dyDescent="0.3">
      <c r="AL5220">
        <v>0</v>
      </c>
      <c r="AM5220" t="s">
        <v>649</v>
      </c>
      <c r="AN5220" t="s">
        <v>649</v>
      </c>
    </row>
    <row r="5221" spans="38:40" x14ac:dyDescent="0.3">
      <c r="AL5221">
        <v>0</v>
      </c>
      <c r="AM5221" t="s">
        <v>649</v>
      </c>
      <c r="AN5221" t="s">
        <v>649</v>
      </c>
    </row>
    <row r="5222" spans="38:40" x14ac:dyDescent="0.3">
      <c r="AL5222">
        <v>0</v>
      </c>
      <c r="AM5222" t="s">
        <v>649</v>
      </c>
      <c r="AN5222" t="s">
        <v>649</v>
      </c>
    </row>
    <row r="5223" spans="38:40" x14ac:dyDescent="0.3">
      <c r="AL5223">
        <v>0</v>
      </c>
      <c r="AM5223" t="s">
        <v>649</v>
      </c>
      <c r="AN5223" t="s">
        <v>649</v>
      </c>
    </row>
    <row r="5224" spans="38:40" x14ac:dyDescent="0.3">
      <c r="AL5224">
        <v>0</v>
      </c>
      <c r="AM5224" t="s">
        <v>649</v>
      </c>
      <c r="AN5224" t="s">
        <v>649</v>
      </c>
    </row>
    <row r="5225" spans="38:40" x14ac:dyDescent="0.3">
      <c r="AL5225">
        <v>0</v>
      </c>
      <c r="AM5225" t="s">
        <v>649</v>
      </c>
      <c r="AN5225" t="s">
        <v>649</v>
      </c>
    </row>
    <row r="5226" spans="38:40" x14ac:dyDescent="0.3">
      <c r="AL5226">
        <v>0</v>
      </c>
      <c r="AM5226" t="s">
        <v>649</v>
      </c>
      <c r="AN5226" t="s">
        <v>649</v>
      </c>
    </row>
    <row r="5227" spans="38:40" x14ac:dyDescent="0.3">
      <c r="AL5227">
        <v>0</v>
      </c>
      <c r="AM5227" t="s">
        <v>649</v>
      </c>
      <c r="AN5227" t="s">
        <v>649</v>
      </c>
    </row>
    <row r="5228" spans="38:40" x14ac:dyDescent="0.3">
      <c r="AL5228">
        <v>0</v>
      </c>
      <c r="AM5228" t="s">
        <v>649</v>
      </c>
      <c r="AN5228" t="s">
        <v>649</v>
      </c>
    </row>
    <row r="5229" spans="38:40" x14ac:dyDescent="0.3">
      <c r="AL5229">
        <v>0</v>
      </c>
      <c r="AM5229" t="s">
        <v>649</v>
      </c>
      <c r="AN5229" t="s">
        <v>649</v>
      </c>
    </row>
    <row r="5230" spans="38:40" x14ac:dyDescent="0.3">
      <c r="AL5230">
        <v>0</v>
      </c>
      <c r="AM5230" t="s">
        <v>649</v>
      </c>
      <c r="AN5230" t="s">
        <v>649</v>
      </c>
    </row>
    <row r="5231" spans="38:40" x14ac:dyDescent="0.3">
      <c r="AL5231">
        <v>0</v>
      </c>
      <c r="AM5231" t="s">
        <v>649</v>
      </c>
      <c r="AN5231" t="s">
        <v>649</v>
      </c>
    </row>
    <row r="5232" spans="38:40" x14ac:dyDescent="0.3">
      <c r="AL5232">
        <v>0</v>
      </c>
      <c r="AM5232" t="s">
        <v>649</v>
      </c>
      <c r="AN5232" t="s">
        <v>649</v>
      </c>
    </row>
    <row r="5233" spans="38:40" x14ac:dyDescent="0.3">
      <c r="AL5233">
        <v>0</v>
      </c>
      <c r="AM5233" t="s">
        <v>649</v>
      </c>
      <c r="AN5233" t="s">
        <v>649</v>
      </c>
    </row>
    <row r="5234" spans="38:40" x14ac:dyDescent="0.3">
      <c r="AL5234">
        <v>0</v>
      </c>
      <c r="AM5234" t="s">
        <v>649</v>
      </c>
      <c r="AN5234" t="s">
        <v>649</v>
      </c>
    </row>
    <row r="5235" spans="38:40" x14ac:dyDescent="0.3">
      <c r="AL5235">
        <v>0</v>
      </c>
      <c r="AM5235" t="s">
        <v>649</v>
      </c>
      <c r="AN5235" t="s">
        <v>649</v>
      </c>
    </row>
    <row r="5236" spans="38:40" x14ac:dyDescent="0.3">
      <c r="AL5236">
        <v>0</v>
      </c>
      <c r="AM5236" t="s">
        <v>649</v>
      </c>
      <c r="AN5236" t="s">
        <v>649</v>
      </c>
    </row>
    <row r="5237" spans="38:40" x14ac:dyDescent="0.3">
      <c r="AL5237">
        <v>0</v>
      </c>
      <c r="AM5237" t="s">
        <v>649</v>
      </c>
      <c r="AN5237" t="s">
        <v>649</v>
      </c>
    </row>
    <row r="5238" spans="38:40" x14ac:dyDescent="0.3">
      <c r="AL5238">
        <v>0</v>
      </c>
      <c r="AM5238" t="s">
        <v>649</v>
      </c>
      <c r="AN5238" t="s">
        <v>649</v>
      </c>
    </row>
    <row r="5239" spans="38:40" x14ac:dyDescent="0.3">
      <c r="AL5239">
        <v>0</v>
      </c>
      <c r="AM5239" t="s">
        <v>649</v>
      </c>
      <c r="AN5239" t="s">
        <v>649</v>
      </c>
    </row>
    <row r="5240" spans="38:40" x14ac:dyDescent="0.3">
      <c r="AL5240">
        <v>0</v>
      </c>
      <c r="AM5240" t="s">
        <v>649</v>
      </c>
      <c r="AN5240" t="s">
        <v>649</v>
      </c>
    </row>
    <row r="5241" spans="38:40" x14ac:dyDescent="0.3">
      <c r="AL5241">
        <v>0</v>
      </c>
      <c r="AM5241" t="s">
        <v>649</v>
      </c>
      <c r="AN5241" t="s">
        <v>649</v>
      </c>
    </row>
    <row r="5242" spans="38:40" x14ac:dyDescent="0.3">
      <c r="AL5242">
        <v>0</v>
      </c>
      <c r="AM5242" t="s">
        <v>649</v>
      </c>
      <c r="AN5242" t="s">
        <v>649</v>
      </c>
    </row>
    <row r="5243" spans="38:40" x14ac:dyDescent="0.3">
      <c r="AL5243">
        <v>0</v>
      </c>
      <c r="AM5243" t="s">
        <v>649</v>
      </c>
      <c r="AN5243" t="s">
        <v>649</v>
      </c>
    </row>
    <row r="5244" spans="38:40" x14ac:dyDescent="0.3">
      <c r="AL5244">
        <v>0</v>
      </c>
      <c r="AM5244" t="s">
        <v>649</v>
      </c>
      <c r="AN5244" t="s">
        <v>649</v>
      </c>
    </row>
    <row r="5245" spans="38:40" x14ac:dyDescent="0.3">
      <c r="AL5245">
        <v>0</v>
      </c>
      <c r="AM5245" t="s">
        <v>649</v>
      </c>
      <c r="AN5245" t="s">
        <v>649</v>
      </c>
    </row>
    <row r="5246" spans="38:40" x14ac:dyDescent="0.3">
      <c r="AL5246">
        <v>0</v>
      </c>
      <c r="AM5246" t="s">
        <v>649</v>
      </c>
      <c r="AN5246" t="s">
        <v>649</v>
      </c>
    </row>
    <row r="5247" spans="38:40" x14ac:dyDescent="0.3">
      <c r="AL5247">
        <v>0</v>
      </c>
      <c r="AM5247" t="s">
        <v>649</v>
      </c>
      <c r="AN5247" t="s">
        <v>649</v>
      </c>
    </row>
    <row r="5248" spans="38:40" x14ac:dyDescent="0.3">
      <c r="AL5248">
        <v>0</v>
      </c>
      <c r="AM5248" t="s">
        <v>649</v>
      </c>
      <c r="AN5248" t="s">
        <v>649</v>
      </c>
    </row>
    <row r="5249" spans="38:40" x14ac:dyDescent="0.3">
      <c r="AL5249">
        <v>0</v>
      </c>
      <c r="AM5249" t="s">
        <v>649</v>
      </c>
      <c r="AN5249" t="s">
        <v>649</v>
      </c>
    </row>
    <row r="5250" spans="38:40" x14ac:dyDescent="0.3">
      <c r="AL5250">
        <v>0</v>
      </c>
      <c r="AM5250" t="s">
        <v>649</v>
      </c>
      <c r="AN5250" t="s">
        <v>649</v>
      </c>
    </row>
    <row r="5251" spans="38:40" x14ac:dyDescent="0.3">
      <c r="AL5251">
        <v>0</v>
      </c>
      <c r="AM5251" t="s">
        <v>649</v>
      </c>
      <c r="AN5251" t="s">
        <v>649</v>
      </c>
    </row>
    <row r="5252" spans="38:40" x14ac:dyDescent="0.3">
      <c r="AL5252">
        <v>0</v>
      </c>
      <c r="AM5252" t="s">
        <v>649</v>
      </c>
      <c r="AN5252" t="s">
        <v>649</v>
      </c>
    </row>
    <row r="5253" spans="38:40" x14ac:dyDescent="0.3">
      <c r="AL5253">
        <v>0</v>
      </c>
      <c r="AM5253" t="s">
        <v>649</v>
      </c>
      <c r="AN5253" t="s">
        <v>649</v>
      </c>
    </row>
    <row r="5254" spans="38:40" x14ac:dyDescent="0.3">
      <c r="AL5254">
        <v>0</v>
      </c>
      <c r="AM5254" t="s">
        <v>649</v>
      </c>
      <c r="AN5254" t="s">
        <v>649</v>
      </c>
    </row>
    <row r="5255" spans="38:40" x14ac:dyDescent="0.3">
      <c r="AL5255">
        <v>0</v>
      </c>
      <c r="AM5255" t="s">
        <v>649</v>
      </c>
      <c r="AN5255" t="s">
        <v>649</v>
      </c>
    </row>
    <row r="5256" spans="38:40" x14ac:dyDescent="0.3">
      <c r="AL5256">
        <v>0</v>
      </c>
      <c r="AM5256" t="s">
        <v>649</v>
      </c>
      <c r="AN5256" t="s">
        <v>649</v>
      </c>
    </row>
    <row r="5257" spans="38:40" x14ac:dyDescent="0.3">
      <c r="AL5257">
        <v>0</v>
      </c>
      <c r="AM5257" t="s">
        <v>649</v>
      </c>
      <c r="AN5257" t="s">
        <v>649</v>
      </c>
    </row>
    <row r="5258" spans="38:40" x14ac:dyDescent="0.3">
      <c r="AL5258">
        <v>0</v>
      </c>
      <c r="AM5258" t="s">
        <v>649</v>
      </c>
      <c r="AN5258" t="s">
        <v>649</v>
      </c>
    </row>
    <row r="5259" spans="38:40" x14ac:dyDescent="0.3">
      <c r="AL5259">
        <v>0</v>
      </c>
      <c r="AM5259" t="s">
        <v>649</v>
      </c>
      <c r="AN5259" t="s">
        <v>649</v>
      </c>
    </row>
    <row r="5260" spans="38:40" x14ac:dyDescent="0.3">
      <c r="AL5260">
        <v>0</v>
      </c>
      <c r="AM5260" t="s">
        <v>649</v>
      </c>
      <c r="AN5260" t="s">
        <v>649</v>
      </c>
    </row>
    <row r="5261" spans="38:40" x14ac:dyDescent="0.3">
      <c r="AL5261">
        <v>0</v>
      </c>
      <c r="AM5261" t="s">
        <v>649</v>
      </c>
      <c r="AN5261" t="s">
        <v>649</v>
      </c>
    </row>
    <row r="5262" spans="38:40" x14ac:dyDescent="0.3">
      <c r="AL5262">
        <v>0</v>
      </c>
      <c r="AM5262" t="s">
        <v>649</v>
      </c>
      <c r="AN5262" t="s">
        <v>649</v>
      </c>
    </row>
    <row r="5263" spans="38:40" x14ac:dyDescent="0.3">
      <c r="AL5263">
        <v>0</v>
      </c>
      <c r="AM5263" t="s">
        <v>649</v>
      </c>
      <c r="AN5263" t="s">
        <v>649</v>
      </c>
    </row>
    <row r="5264" spans="38:40" x14ac:dyDescent="0.3">
      <c r="AL5264">
        <v>0</v>
      </c>
      <c r="AM5264" t="s">
        <v>649</v>
      </c>
      <c r="AN5264" t="s">
        <v>649</v>
      </c>
    </row>
    <row r="5265" spans="38:40" x14ac:dyDescent="0.3">
      <c r="AL5265">
        <v>0</v>
      </c>
      <c r="AM5265" t="s">
        <v>649</v>
      </c>
      <c r="AN5265" t="s">
        <v>649</v>
      </c>
    </row>
    <row r="5266" spans="38:40" x14ac:dyDescent="0.3">
      <c r="AL5266">
        <v>0</v>
      </c>
      <c r="AM5266" t="s">
        <v>649</v>
      </c>
      <c r="AN5266" t="s">
        <v>649</v>
      </c>
    </row>
    <row r="5267" spans="38:40" x14ac:dyDescent="0.3">
      <c r="AL5267">
        <v>0</v>
      </c>
      <c r="AM5267" t="s">
        <v>649</v>
      </c>
      <c r="AN5267" t="s">
        <v>649</v>
      </c>
    </row>
    <row r="5268" spans="38:40" x14ac:dyDescent="0.3">
      <c r="AL5268">
        <v>0</v>
      </c>
      <c r="AM5268" t="s">
        <v>649</v>
      </c>
      <c r="AN5268" t="s">
        <v>649</v>
      </c>
    </row>
    <row r="5269" spans="38:40" x14ac:dyDescent="0.3">
      <c r="AL5269">
        <v>0</v>
      </c>
      <c r="AM5269" t="s">
        <v>649</v>
      </c>
      <c r="AN5269" t="s">
        <v>649</v>
      </c>
    </row>
    <row r="5270" spans="38:40" x14ac:dyDescent="0.3">
      <c r="AL5270">
        <v>0</v>
      </c>
      <c r="AM5270" t="s">
        <v>649</v>
      </c>
      <c r="AN5270" t="s">
        <v>649</v>
      </c>
    </row>
    <row r="5271" spans="38:40" x14ac:dyDescent="0.3">
      <c r="AL5271">
        <v>0</v>
      </c>
      <c r="AM5271" t="s">
        <v>649</v>
      </c>
      <c r="AN5271" t="s">
        <v>649</v>
      </c>
    </row>
    <row r="5272" spans="38:40" x14ac:dyDescent="0.3">
      <c r="AL5272">
        <v>0</v>
      </c>
      <c r="AM5272" t="s">
        <v>649</v>
      </c>
      <c r="AN5272" t="s">
        <v>649</v>
      </c>
    </row>
    <row r="5273" spans="38:40" x14ac:dyDescent="0.3">
      <c r="AL5273">
        <v>0</v>
      </c>
      <c r="AM5273" t="s">
        <v>649</v>
      </c>
      <c r="AN5273" t="s">
        <v>649</v>
      </c>
    </row>
    <row r="5274" spans="38:40" x14ac:dyDescent="0.3">
      <c r="AL5274">
        <v>0</v>
      </c>
      <c r="AM5274" t="s">
        <v>649</v>
      </c>
      <c r="AN5274" t="s">
        <v>649</v>
      </c>
    </row>
    <row r="5275" spans="38:40" x14ac:dyDescent="0.3">
      <c r="AL5275">
        <v>0</v>
      </c>
      <c r="AM5275" t="s">
        <v>649</v>
      </c>
      <c r="AN5275" t="s">
        <v>649</v>
      </c>
    </row>
    <row r="5276" spans="38:40" x14ac:dyDescent="0.3">
      <c r="AL5276">
        <v>0</v>
      </c>
      <c r="AM5276" t="s">
        <v>649</v>
      </c>
      <c r="AN5276" t="s">
        <v>649</v>
      </c>
    </row>
    <row r="5277" spans="38:40" x14ac:dyDescent="0.3">
      <c r="AL5277">
        <v>0</v>
      </c>
      <c r="AM5277" t="s">
        <v>649</v>
      </c>
      <c r="AN5277" t="s">
        <v>649</v>
      </c>
    </row>
    <row r="5278" spans="38:40" x14ac:dyDescent="0.3">
      <c r="AL5278">
        <v>0</v>
      </c>
      <c r="AM5278" t="s">
        <v>649</v>
      </c>
      <c r="AN5278" t="s">
        <v>649</v>
      </c>
    </row>
    <row r="5279" spans="38:40" x14ac:dyDescent="0.3">
      <c r="AL5279">
        <v>0</v>
      </c>
      <c r="AM5279" t="s">
        <v>649</v>
      </c>
      <c r="AN5279" t="s">
        <v>649</v>
      </c>
    </row>
    <row r="5280" spans="38:40" x14ac:dyDescent="0.3">
      <c r="AL5280">
        <v>0</v>
      </c>
      <c r="AM5280" t="s">
        <v>649</v>
      </c>
      <c r="AN5280" t="s">
        <v>649</v>
      </c>
    </row>
    <row r="5281" spans="38:40" x14ac:dyDescent="0.3">
      <c r="AL5281">
        <v>0</v>
      </c>
      <c r="AM5281" t="s">
        <v>649</v>
      </c>
      <c r="AN5281" t="s">
        <v>649</v>
      </c>
    </row>
    <row r="5282" spans="38:40" x14ac:dyDescent="0.3">
      <c r="AL5282">
        <v>0</v>
      </c>
      <c r="AM5282" t="s">
        <v>649</v>
      </c>
      <c r="AN5282" t="s">
        <v>649</v>
      </c>
    </row>
    <row r="5283" spans="38:40" x14ac:dyDescent="0.3">
      <c r="AL5283">
        <v>0</v>
      </c>
      <c r="AM5283" t="s">
        <v>649</v>
      </c>
      <c r="AN5283" t="s">
        <v>649</v>
      </c>
    </row>
    <row r="5284" spans="38:40" x14ac:dyDescent="0.3">
      <c r="AL5284">
        <v>0</v>
      </c>
      <c r="AM5284" t="s">
        <v>649</v>
      </c>
      <c r="AN5284" t="s">
        <v>649</v>
      </c>
    </row>
    <row r="5285" spans="38:40" x14ac:dyDescent="0.3">
      <c r="AL5285">
        <v>0</v>
      </c>
      <c r="AM5285" t="s">
        <v>649</v>
      </c>
      <c r="AN5285" t="s">
        <v>649</v>
      </c>
    </row>
    <row r="5286" spans="38:40" x14ac:dyDescent="0.3">
      <c r="AL5286">
        <v>0</v>
      </c>
      <c r="AM5286" t="s">
        <v>649</v>
      </c>
      <c r="AN5286" t="s">
        <v>649</v>
      </c>
    </row>
    <row r="5287" spans="38:40" x14ac:dyDescent="0.3">
      <c r="AL5287">
        <v>0</v>
      </c>
      <c r="AM5287" t="s">
        <v>649</v>
      </c>
      <c r="AN5287" t="s">
        <v>649</v>
      </c>
    </row>
    <row r="5288" spans="38:40" x14ac:dyDescent="0.3">
      <c r="AL5288">
        <v>0</v>
      </c>
      <c r="AM5288" t="s">
        <v>649</v>
      </c>
      <c r="AN5288" t="s">
        <v>649</v>
      </c>
    </row>
    <row r="5289" spans="38:40" x14ac:dyDescent="0.3">
      <c r="AL5289">
        <v>0</v>
      </c>
      <c r="AM5289" t="s">
        <v>649</v>
      </c>
      <c r="AN5289" t="s">
        <v>649</v>
      </c>
    </row>
    <row r="5290" spans="38:40" x14ac:dyDescent="0.3">
      <c r="AL5290">
        <v>0</v>
      </c>
      <c r="AM5290" t="s">
        <v>649</v>
      </c>
      <c r="AN5290" t="s">
        <v>649</v>
      </c>
    </row>
    <row r="5291" spans="38:40" x14ac:dyDescent="0.3">
      <c r="AL5291">
        <v>0</v>
      </c>
      <c r="AM5291" t="s">
        <v>649</v>
      </c>
      <c r="AN5291" t="s">
        <v>649</v>
      </c>
    </row>
    <row r="5292" spans="38:40" x14ac:dyDescent="0.3">
      <c r="AL5292">
        <v>0</v>
      </c>
      <c r="AM5292" t="s">
        <v>649</v>
      </c>
      <c r="AN5292" t="s">
        <v>649</v>
      </c>
    </row>
    <row r="5293" spans="38:40" x14ac:dyDescent="0.3">
      <c r="AL5293">
        <v>0</v>
      </c>
      <c r="AM5293" t="s">
        <v>649</v>
      </c>
      <c r="AN5293" t="s">
        <v>649</v>
      </c>
    </row>
    <row r="5294" spans="38:40" x14ac:dyDescent="0.3">
      <c r="AL5294">
        <v>0</v>
      </c>
      <c r="AM5294" t="s">
        <v>649</v>
      </c>
      <c r="AN5294" t="s">
        <v>649</v>
      </c>
    </row>
    <row r="5295" spans="38:40" x14ac:dyDescent="0.3">
      <c r="AL5295">
        <v>0</v>
      </c>
      <c r="AM5295" t="s">
        <v>649</v>
      </c>
      <c r="AN5295" t="s">
        <v>649</v>
      </c>
    </row>
    <row r="5296" spans="38:40" x14ac:dyDescent="0.3">
      <c r="AL5296">
        <v>0</v>
      </c>
      <c r="AM5296" t="s">
        <v>649</v>
      </c>
      <c r="AN5296" t="s">
        <v>649</v>
      </c>
    </row>
    <row r="5297" spans="38:40" x14ac:dyDescent="0.3">
      <c r="AL5297">
        <v>0</v>
      </c>
      <c r="AM5297" t="s">
        <v>649</v>
      </c>
      <c r="AN5297" t="s">
        <v>649</v>
      </c>
    </row>
    <row r="5298" spans="38:40" x14ac:dyDescent="0.3">
      <c r="AL5298">
        <v>0</v>
      </c>
      <c r="AM5298" t="s">
        <v>649</v>
      </c>
      <c r="AN5298" t="s">
        <v>649</v>
      </c>
    </row>
    <row r="5299" spans="38:40" x14ac:dyDescent="0.3">
      <c r="AL5299">
        <v>0</v>
      </c>
      <c r="AM5299" t="s">
        <v>649</v>
      </c>
      <c r="AN5299" t="s">
        <v>649</v>
      </c>
    </row>
    <row r="5300" spans="38:40" x14ac:dyDescent="0.3">
      <c r="AL5300">
        <v>0</v>
      </c>
      <c r="AM5300" t="s">
        <v>649</v>
      </c>
      <c r="AN5300" t="s">
        <v>649</v>
      </c>
    </row>
    <row r="5301" spans="38:40" x14ac:dyDescent="0.3">
      <c r="AL5301">
        <v>0</v>
      </c>
      <c r="AM5301" t="s">
        <v>649</v>
      </c>
      <c r="AN5301" t="s">
        <v>649</v>
      </c>
    </row>
    <row r="5302" spans="38:40" x14ac:dyDescent="0.3">
      <c r="AL5302">
        <v>0</v>
      </c>
      <c r="AM5302" t="s">
        <v>649</v>
      </c>
      <c r="AN5302" t="s">
        <v>649</v>
      </c>
    </row>
    <row r="5303" spans="38:40" x14ac:dyDescent="0.3">
      <c r="AL5303">
        <v>0</v>
      </c>
      <c r="AM5303" t="s">
        <v>649</v>
      </c>
      <c r="AN5303" t="s">
        <v>649</v>
      </c>
    </row>
    <row r="5304" spans="38:40" x14ac:dyDescent="0.3">
      <c r="AL5304">
        <v>0</v>
      </c>
      <c r="AM5304" t="s">
        <v>649</v>
      </c>
      <c r="AN5304" t="s">
        <v>649</v>
      </c>
    </row>
    <row r="5305" spans="38:40" x14ac:dyDescent="0.3">
      <c r="AL5305">
        <v>0</v>
      </c>
      <c r="AM5305" t="s">
        <v>649</v>
      </c>
      <c r="AN5305" t="s">
        <v>649</v>
      </c>
    </row>
    <row r="5306" spans="38:40" x14ac:dyDescent="0.3">
      <c r="AL5306">
        <v>0</v>
      </c>
      <c r="AM5306" t="s">
        <v>649</v>
      </c>
      <c r="AN5306" t="s">
        <v>649</v>
      </c>
    </row>
    <row r="5307" spans="38:40" x14ac:dyDescent="0.3">
      <c r="AL5307">
        <v>0</v>
      </c>
      <c r="AM5307" t="s">
        <v>649</v>
      </c>
      <c r="AN5307" t="s">
        <v>649</v>
      </c>
    </row>
    <row r="5308" spans="38:40" x14ac:dyDescent="0.3">
      <c r="AL5308">
        <v>0</v>
      </c>
      <c r="AM5308" t="s">
        <v>649</v>
      </c>
      <c r="AN5308" t="s">
        <v>649</v>
      </c>
    </row>
    <row r="5309" spans="38:40" x14ac:dyDescent="0.3">
      <c r="AL5309">
        <v>0</v>
      </c>
      <c r="AM5309" t="s">
        <v>649</v>
      </c>
      <c r="AN5309" t="s">
        <v>649</v>
      </c>
    </row>
    <row r="5310" spans="38:40" x14ac:dyDescent="0.3">
      <c r="AL5310">
        <v>0</v>
      </c>
      <c r="AM5310" t="s">
        <v>649</v>
      </c>
      <c r="AN5310" t="s">
        <v>649</v>
      </c>
    </row>
    <row r="5311" spans="38:40" x14ac:dyDescent="0.3">
      <c r="AL5311">
        <v>0</v>
      </c>
      <c r="AM5311" t="s">
        <v>649</v>
      </c>
      <c r="AN5311" t="s">
        <v>649</v>
      </c>
    </row>
    <row r="5312" spans="38:40" x14ac:dyDescent="0.3">
      <c r="AL5312">
        <v>0</v>
      </c>
      <c r="AM5312" t="s">
        <v>649</v>
      </c>
      <c r="AN5312" t="s">
        <v>649</v>
      </c>
    </row>
    <row r="5313" spans="38:40" x14ac:dyDescent="0.3">
      <c r="AL5313">
        <v>0</v>
      </c>
      <c r="AM5313" t="s">
        <v>649</v>
      </c>
      <c r="AN5313" t="s">
        <v>649</v>
      </c>
    </row>
    <row r="5314" spans="38:40" x14ac:dyDescent="0.3">
      <c r="AL5314">
        <v>0</v>
      </c>
      <c r="AM5314" t="s">
        <v>649</v>
      </c>
      <c r="AN5314" t="s">
        <v>649</v>
      </c>
    </row>
    <row r="5315" spans="38:40" x14ac:dyDescent="0.3">
      <c r="AL5315">
        <v>0</v>
      </c>
      <c r="AM5315" t="s">
        <v>649</v>
      </c>
      <c r="AN5315" t="s">
        <v>649</v>
      </c>
    </row>
    <row r="5316" spans="38:40" x14ac:dyDescent="0.3">
      <c r="AL5316">
        <v>0</v>
      </c>
      <c r="AM5316" t="s">
        <v>649</v>
      </c>
      <c r="AN5316" t="s">
        <v>649</v>
      </c>
    </row>
    <row r="5317" spans="38:40" x14ac:dyDescent="0.3">
      <c r="AL5317">
        <v>0</v>
      </c>
      <c r="AM5317" t="s">
        <v>649</v>
      </c>
      <c r="AN5317" t="s">
        <v>649</v>
      </c>
    </row>
    <row r="5318" spans="38:40" x14ac:dyDescent="0.3">
      <c r="AL5318">
        <v>0</v>
      </c>
      <c r="AM5318" t="s">
        <v>649</v>
      </c>
      <c r="AN5318" t="s">
        <v>649</v>
      </c>
    </row>
    <row r="5319" spans="38:40" x14ac:dyDescent="0.3">
      <c r="AL5319">
        <v>0</v>
      </c>
      <c r="AM5319" t="s">
        <v>649</v>
      </c>
      <c r="AN5319" t="s">
        <v>649</v>
      </c>
    </row>
    <row r="5320" spans="38:40" x14ac:dyDescent="0.3">
      <c r="AL5320">
        <v>0</v>
      </c>
      <c r="AM5320" t="s">
        <v>649</v>
      </c>
      <c r="AN5320" t="s">
        <v>649</v>
      </c>
    </row>
    <row r="5321" spans="38:40" x14ac:dyDescent="0.3">
      <c r="AL5321">
        <v>0</v>
      </c>
      <c r="AM5321" t="s">
        <v>649</v>
      </c>
      <c r="AN5321" t="s">
        <v>649</v>
      </c>
    </row>
    <row r="5322" spans="38:40" x14ac:dyDescent="0.3">
      <c r="AL5322">
        <v>0</v>
      </c>
      <c r="AM5322" t="s">
        <v>649</v>
      </c>
      <c r="AN5322" t="s">
        <v>649</v>
      </c>
    </row>
    <row r="5323" spans="38:40" x14ac:dyDescent="0.3">
      <c r="AL5323">
        <v>0</v>
      </c>
      <c r="AM5323" t="s">
        <v>649</v>
      </c>
      <c r="AN5323" t="s">
        <v>649</v>
      </c>
    </row>
    <row r="5324" spans="38:40" x14ac:dyDescent="0.3">
      <c r="AL5324">
        <v>0</v>
      </c>
      <c r="AM5324" t="s">
        <v>649</v>
      </c>
      <c r="AN5324" t="s">
        <v>649</v>
      </c>
    </row>
    <row r="5325" spans="38:40" x14ac:dyDescent="0.3">
      <c r="AL5325">
        <v>0</v>
      </c>
      <c r="AM5325" t="s">
        <v>649</v>
      </c>
      <c r="AN5325" t="s">
        <v>649</v>
      </c>
    </row>
    <row r="5326" spans="38:40" x14ac:dyDescent="0.3">
      <c r="AL5326">
        <v>0</v>
      </c>
      <c r="AM5326" t="s">
        <v>649</v>
      </c>
      <c r="AN5326" t="s">
        <v>649</v>
      </c>
    </row>
    <row r="5327" spans="38:40" x14ac:dyDescent="0.3">
      <c r="AL5327">
        <v>0</v>
      </c>
      <c r="AM5327" t="s">
        <v>649</v>
      </c>
      <c r="AN5327" t="s">
        <v>649</v>
      </c>
    </row>
    <row r="5328" spans="38:40" x14ac:dyDescent="0.3">
      <c r="AL5328">
        <v>0</v>
      </c>
      <c r="AM5328" t="s">
        <v>649</v>
      </c>
      <c r="AN5328" t="s">
        <v>649</v>
      </c>
    </row>
    <row r="5329" spans="38:40" x14ac:dyDescent="0.3">
      <c r="AL5329">
        <v>0</v>
      </c>
      <c r="AM5329" t="s">
        <v>649</v>
      </c>
      <c r="AN5329" t="s">
        <v>649</v>
      </c>
    </row>
    <row r="5330" spans="38:40" x14ac:dyDescent="0.3">
      <c r="AL5330">
        <v>0</v>
      </c>
      <c r="AM5330" t="s">
        <v>649</v>
      </c>
      <c r="AN5330" t="s">
        <v>649</v>
      </c>
    </row>
    <row r="5331" spans="38:40" x14ac:dyDescent="0.3">
      <c r="AL5331">
        <v>0</v>
      </c>
      <c r="AM5331" t="s">
        <v>649</v>
      </c>
      <c r="AN5331" t="s">
        <v>649</v>
      </c>
    </row>
    <row r="5332" spans="38:40" x14ac:dyDescent="0.3">
      <c r="AL5332">
        <v>0</v>
      </c>
      <c r="AM5332" t="s">
        <v>649</v>
      </c>
      <c r="AN5332" t="s">
        <v>649</v>
      </c>
    </row>
    <row r="5333" spans="38:40" x14ac:dyDescent="0.3">
      <c r="AL5333">
        <v>0</v>
      </c>
      <c r="AM5333" t="s">
        <v>649</v>
      </c>
      <c r="AN5333" t="s">
        <v>649</v>
      </c>
    </row>
    <row r="5334" spans="38:40" x14ac:dyDescent="0.3">
      <c r="AL5334">
        <v>0</v>
      </c>
      <c r="AM5334" t="s">
        <v>649</v>
      </c>
      <c r="AN5334" t="s">
        <v>649</v>
      </c>
    </row>
    <row r="5335" spans="38:40" x14ac:dyDescent="0.3">
      <c r="AL5335">
        <v>0</v>
      </c>
      <c r="AM5335" t="s">
        <v>649</v>
      </c>
      <c r="AN5335" t="s">
        <v>649</v>
      </c>
    </row>
    <row r="5336" spans="38:40" x14ac:dyDescent="0.3">
      <c r="AL5336">
        <v>0</v>
      </c>
      <c r="AM5336" t="s">
        <v>649</v>
      </c>
      <c r="AN5336" t="s">
        <v>649</v>
      </c>
    </row>
    <row r="5337" spans="38:40" x14ac:dyDescent="0.3">
      <c r="AL5337">
        <v>0</v>
      </c>
      <c r="AM5337" t="s">
        <v>649</v>
      </c>
      <c r="AN5337" t="s">
        <v>649</v>
      </c>
    </row>
    <row r="5338" spans="38:40" x14ac:dyDescent="0.3">
      <c r="AL5338">
        <v>0</v>
      </c>
      <c r="AM5338" t="s">
        <v>649</v>
      </c>
      <c r="AN5338" t="s">
        <v>649</v>
      </c>
    </row>
    <row r="5339" spans="38:40" x14ac:dyDescent="0.3">
      <c r="AL5339">
        <v>0</v>
      </c>
      <c r="AM5339" t="s">
        <v>649</v>
      </c>
      <c r="AN5339" t="s">
        <v>649</v>
      </c>
    </row>
    <row r="5340" spans="38:40" x14ac:dyDescent="0.3">
      <c r="AL5340">
        <v>0</v>
      </c>
      <c r="AM5340" t="s">
        <v>649</v>
      </c>
      <c r="AN5340" t="s">
        <v>649</v>
      </c>
    </row>
    <row r="5341" spans="38:40" x14ac:dyDescent="0.3">
      <c r="AL5341">
        <v>0</v>
      </c>
      <c r="AM5341" t="s">
        <v>649</v>
      </c>
      <c r="AN5341" t="s">
        <v>649</v>
      </c>
    </row>
    <row r="5342" spans="38:40" x14ac:dyDescent="0.3">
      <c r="AL5342">
        <v>0</v>
      </c>
      <c r="AM5342" t="s">
        <v>649</v>
      </c>
      <c r="AN5342" t="s">
        <v>649</v>
      </c>
    </row>
    <row r="5343" spans="38:40" x14ac:dyDescent="0.3">
      <c r="AL5343">
        <v>0</v>
      </c>
      <c r="AM5343" t="s">
        <v>649</v>
      </c>
      <c r="AN5343" t="s">
        <v>649</v>
      </c>
    </row>
    <row r="5344" spans="38:40" x14ac:dyDescent="0.3">
      <c r="AL5344">
        <v>0</v>
      </c>
      <c r="AM5344" t="s">
        <v>649</v>
      </c>
      <c r="AN5344" t="s">
        <v>649</v>
      </c>
    </row>
    <row r="5345" spans="38:40" x14ac:dyDescent="0.3">
      <c r="AL5345">
        <v>0</v>
      </c>
      <c r="AM5345" t="s">
        <v>649</v>
      </c>
      <c r="AN5345" t="s">
        <v>649</v>
      </c>
    </row>
    <row r="5346" spans="38:40" x14ac:dyDescent="0.3">
      <c r="AL5346">
        <v>0</v>
      </c>
      <c r="AM5346" t="s">
        <v>649</v>
      </c>
      <c r="AN5346" t="s">
        <v>649</v>
      </c>
    </row>
    <row r="5347" spans="38:40" x14ac:dyDescent="0.3">
      <c r="AL5347">
        <v>0</v>
      </c>
      <c r="AM5347" t="s">
        <v>649</v>
      </c>
      <c r="AN5347" t="s">
        <v>649</v>
      </c>
    </row>
    <row r="5348" spans="38:40" x14ac:dyDescent="0.3">
      <c r="AL5348">
        <v>0</v>
      </c>
      <c r="AM5348" t="s">
        <v>649</v>
      </c>
      <c r="AN5348" t="s">
        <v>649</v>
      </c>
    </row>
    <row r="5349" spans="38:40" x14ac:dyDescent="0.3">
      <c r="AL5349">
        <v>0</v>
      </c>
      <c r="AM5349" t="s">
        <v>649</v>
      </c>
      <c r="AN5349" t="s">
        <v>649</v>
      </c>
    </row>
    <row r="5350" spans="38:40" x14ac:dyDescent="0.3">
      <c r="AL5350">
        <v>0</v>
      </c>
      <c r="AM5350" t="s">
        <v>649</v>
      </c>
      <c r="AN5350" t="s">
        <v>649</v>
      </c>
    </row>
    <row r="5351" spans="38:40" x14ac:dyDescent="0.3">
      <c r="AL5351">
        <v>0</v>
      </c>
      <c r="AM5351" t="s">
        <v>649</v>
      </c>
      <c r="AN5351" t="s">
        <v>649</v>
      </c>
    </row>
    <row r="5352" spans="38:40" x14ac:dyDescent="0.3">
      <c r="AL5352">
        <v>0</v>
      </c>
      <c r="AM5352" t="s">
        <v>649</v>
      </c>
      <c r="AN5352" t="s">
        <v>649</v>
      </c>
    </row>
    <row r="5353" spans="38:40" x14ac:dyDescent="0.3">
      <c r="AL5353">
        <v>0</v>
      </c>
      <c r="AM5353" t="s">
        <v>649</v>
      </c>
      <c r="AN5353" t="s">
        <v>649</v>
      </c>
    </row>
    <row r="5354" spans="38:40" x14ac:dyDescent="0.3">
      <c r="AL5354">
        <v>0</v>
      </c>
      <c r="AM5354" t="s">
        <v>649</v>
      </c>
      <c r="AN5354" t="s">
        <v>649</v>
      </c>
    </row>
    <row r="5355" spans="38:40" x14ac:dyDescent="0.3">
      <c r="AL5355">
        <v>0</v>
      </c>
      <c r="AM5355" t="s">
        <v>649</v>
      </c>
      <c r="AN5355" t="s">
        <v>649</v>
      </c>
    </row>
    <row r="5356" spans="38:40" x14ac:dyDescent="0.3">
      <c r="AL5356">
        <v>0</v>
      </c>
      <c r="AM5356" t="s">
        <v>649</v>
      </c>
      <c r="AN5356" t="s">
        <v>649</v>
      </c>
    </row>
    <row r="5357" spans="38:40" x14ac:dyDescent="0.3">
      <c r="AL5357">
        <v>0</v>
      </c>
      <c r="AM5357" t="s">
        <v>649</v>
      </c>
      <c r="AN5357" t="s">
        <v>649</v>
      </c>
    </row>
    <row r="5358" spans="38:40" x14ac:dyDescent="0.3">
      <c r="AL5358">
        <v>0</v>
      </c>
      <c r="AM5358" t="s">
        <v>649</v>
      </c>
      <c r="AN5358" t="s">
        <v>649</v>
      </c>
    </row>
    <row r="5359" spans="38:40" x14ac:dyDescent="0.3">
      <c r="AL5359">
        <v>0</v>
      </c>
      <c r="AM5359" t="s">
        <v>649</v>
      </c>
      <c r="AN5359" t="s">
        <v>649</v>
      </c>
    </row>
    <row r="5360" spans="38:40" x14ac:dyDescent="0.3">
      <c r="AL5360">
        <v>0</v>
      </c>
      <c r="AM5360" t="s">
        <v>649</v>
      </c>
      <c r="AN5360" t="s">
        <v>649</v>
      </c>
    </row>
    <row r="5361" spans="38:40" x14ac:dyDescent="0.3">
      <c r="AL5361">
        <v>0</v>
      </c>
      <c r="AM5361" t="s">
        <v>649</v>
      </c>
      <c r="AN5361" t="s">
        <v>649</v>
      </c>
    </row>
    <row r="5362" spans="38:40" x14ac:dyDescent="0.3">
      <c r="AL5362">
        <v>0</v>
      </c>
      <c r="AM5362" t="s">
        <v>649</v>
      </c>
      <c r="AN5362" t="s">
        <v>649</v>
      </c>
    </row>
    <row r="5363" spans="38:40" x14ac:dyDescent="0.3">
      <c r="AL5363">
        <v>0</v>
      </c>
      <c r="AM5363" t="s">
        <v>649</v>
      </c>
      <c r="AN5363" t="s">
        <v>649</v>
      </c>
    </row>
    <row r="5364" spans="38:40" x14ac:dyDescent="0.3">
      <c r="AL5364">
        <v>0</v>
      </c>
      <c r="AM5364" t="s">
        <v>649</v>
      </c>
      <c r="AN5364" t="s">
        <v>649</v>
      </c>
    </row>
    <row r="5365" spans="38:40" x14ac:dyDescent="0.3">
      <c r="AL5365">
        <v>0</v>
      </c>
      <c r="AM5365" t="s">
        <v>649</v>
      </c>
      <c r="AN5365" t="s">
        <v>649</v>
      </c>
    </row>
    <row r="5366" spans="38:40" x14ac:dyDescent="0.3">
      <c r="AL5366">
        <v>0</v>
      </c>
      <c r="AM5366" t="s">
        <v>649</v>
      </c>
      <c r="AN5366" t="s">
        <v>649</v>
      </c>
    </row>
    <row r="5367" spans="38:40" x14ac:dyDescent="0.3">
      <c r="AL5367">
        <v>0</v>
      </c>
      <c r="AM5367" t="s">
        <v>649</v>
      </c>
      <c r="AN5367" t="s">
        <v>649</v>
      </c>
    </row>
    <row r="5368" spans="38:40" x14ac:dyDescent="0.3">
      <c r="AL5368">
        <v>0</v>
      </c>
      <c r="AM5368" t="s">
        <v>649</v>
      </c>
      <c r="AN5368" t="s">
        <v>649</v>
      </c>
    </row>
    <row r="5369" spans="38:40" x14ac:dyDescent="0.3">
      <c r="AL5369">
        <v>0</v>
      </c>
      <c r="AM5369" t="s">
        <v>649</v>
      </c>
      <c r="AN5369" t="s">
        <v>649</v>
      </c>
    </row>
    <row r="5370" spans="38:40" x14ac:dyDescent="0.3">
      <c r="AL5370">
        <v>0</v>
      </c>
      <c r="AM5370" t="s">
        <v>649</v>
      </c>
      <c r="AN5370" t="s">
        <v>649</v>
      </c>
    </row>
    <row r="5371" spans="38:40" x14ac:dyDescent="0.3">
      <c r="AL5371">
        <v>0</v>
      </c>
      <c r="AM5371" t="s">
        <v>649</v>
      </c>
      <c r="AN5371" t="s">
        <v>649</v>
      </c>
    </row>
    <row r="5372" spans="38:40" x14ac:dyDescent="0.3">
      <c r="AL5372">
        <v>0</v>
      </c>
      <c r="AM5372" t="s">
        <v>649</v>
      </c>
      <c r="AN5372" t="s">
        <v>649</v>
      </c>
    </row>
    <row r="5373" spans="38:40" x14ac:dyDescent="0.3">
      <c r="AL5373">
        <v>0</v>
      </c>
      <c r="AM5373" t="s">
        <v>649</v>
      </c>
      <c r="AN5373" t="s">
        <v>649</v>
      </c>
    </row>
    <row r="5374" spans="38:40" x14ac:dyDescent="0.3">
      <c r="AL5374">
        <v>0</v>
      </c>
      <c r="AM5374" t="s">
        <v>649</v>
      </c>
      <c r="AN5374" t="s">
        <v>649</v>
      </c>
    </row>
    <row r="5375" spans="38:40" x14ac:dyDescent="0.3">
      <c r="AL5375">
        <v>0</v>
      </c>
      <c r="AM5375" t="s">
        <v>649</v>
      </c>
      <c r="AN5375" t="s">
        <v>649</v>
      </c>
    </row>
    <row r="5376" spans="38:40" x14ac:dyDescent="0.3">
      <c r="AL5376">
        <v>0</v>
      </c>
      <c r="AM5376" t="s">
        <v>649</v>
      </c>
      <c r="AN5376" t="s">
        <v>649</v>
      </c>
    </row>
    <row r="5377" spans="38:40" x14ac:dyDescent="0.3">
      <c r="AL5377">
        <v>0</v>
      </c>
      <c r="AM5377" t="s">
        <v>649</v>
      </c>
      <c r="AN5377" t="s">
        <v>649</v>
      </c>
    </row>
    <row r="5378" spans="38:40" x14ac:dyDescent="0.3">
      <c r="AL5378">
        <v>0</v>
      </c>
      <c r="AM5378" t="s">
        <v>649</v>
      </c>
      <c r="AN5378" t="s">
        <v>649</v>
      </c>
    </row>
    <row r="5379" spans="38:40" x14ac:dyDescent="0.3">
      <c r="AL5379">
        <v>0</v>
      </c>
      <c r="AM5379" t="s">
        <v>649</v>
      </c>
      <c r="AN5379" t="s">
        <v>649</v>
      </c>
    </row>
    <row r="5380" spans="38:40" x14ac:dyDescent="0.3">
      <c r="AL5380">
        <v>0</v>
      </c>
      <c r="AM5380" t="s">
        <v>649</v>
      </c>
      <c r="AN5380" t="s">
        <v>649</v>
      </c>
    </row>
    <row r="5381" spans="38:40" x14ac:dyDescent="0.3">
      <c r="AL5381">
        <v>0</v>
      </c>
      <c r="AM5381" t="s">
        <v>649</v>
      </c>
      <c r="AN5381" t="s">
        <v>649</v>
      </c>
    </row>
    <row r="5382" spans="38:40" x14ac:dyDescent="0.3">
      <c r="AL5382">
        <v>0</v>
      </c>
      <c r="AM5382" t="s">
        <v>649</v>
      </c>
      <c r="AN5382" t="s">
        <v>649</v>
      </c>
    </row>
    <row r="5383" spans="38:40" x14ac:dyDescent="0.3">
      <c r="AL5383">
        <v>0</v>
      </c>
      <c r="AM5383" t="s">
        <v>649</v>
      </c>
      <c r="AN5383" t="s">
        <v>649</v>
      </c>
    </row>
    <row r="5384" spans="38:40" x14ac:dyDescent="0.3">
      <c r="AL5384">
        <v>0</v>
      </c>
      <c r="AM5384" t="s">
        <v>649</v>
      </c>
      <c r="AN5384" t="s">
        <v>649</v>
      </c>
    </row>
    <row r="5385" spans="38:40" x14ac:dyDescent="0.3">
      <c r="AL5385">
        <v>0</v>
      </c>
      <c r="AM5385" t="s">
        <v>649</v>
      </c>
      <c r="AN5385" t="s">
        <v>649</v>
      </c>
    </row>
    <row r="5386" spans="38:40" x14ac:dyDescent="0.3">
      <c r="AL5386">
        <v>0</v>
      </c>
      <c r="AM5386" t="s">
        <v>649</v>
      </c>
      <c r="AN5386" t="s">
        <v>649</v>
      </c>
    </row>
    <row r="5387" spans="38:40" x14ac:dyDescent="0.3">
      <c r="AL5387">
        <v>0</v>
      </c>
      <c r="AM5387" t="s">
        <v>649</v>
      </c>
      <c r="AN5387" t="s">
        <v>649</v>
      </c>
    </row>
    <row r="5388" spans="38:40" x14ac:dyDescent="0.3">
      <c r="AL5388">
        <v>0</v>
      </c>
      <c r="AM5388" t="s">
        <v>649</v>
      </c>
      <c r="AN5388" t="s">
        <v>649</v>
      </c>
    </row>
    <row r="5389" spans="38:40" x14ac:dyDescent="0.3">
      <c r="AL5389">
        <v>0</v>
      </c>
      <c r="AM5389" t="s">
        <v>649</v>
      </c>
      <c r="AN5389" t="s">
        <v>649</v>
      </c>
    </row>
    <row r="5390" spans="38:40" x14ac:dyDescent="0.3">
      <c r="AL5390">
        <v>0</v>
      </c>
      <c r="AM5390" t="s">
        <v>649</v>
      </c>
      <c r="AN5390" t="s">
        <v>649</v>
      </c>
    </row>
    <row r="5391" spans="38:40" x14ac:dyDescent="0.3">
      <c r="AL5391">
        <v>0</v>
      </c>
      <c r="AM5391" t="s">
        <v>649</v>
      </c>
      <c r="AN5391" t="s">
        <v>649</v>
      </c>
    </row>
    <row r="5392" spans="38:40" x14ac:dyDescent="0.3">
      <c r="AL5392">
        <v>0</v>
      </c>
      <c r="AM5392" t="s">
        <v>649</v>
      </c>
      <c r="AN5392" t="s">
        <v>649</v>
      </c>
    </row>
    <row r="5393" spans="38:40" x14ac:dyDescent="0.3">
      <c r="AL5393">
        <v>0</v>
      </c>
      <c r="AM5393" t="s">
        <v>649</v>
      </c>
      <c r="AN5393" t="s">
        <v>649</v>
      </c>
    </row>
    <row r="5394" spans="38:40" x14ac:dyDescent="0.3">
      <c r="AL5394">
        <v>0</v>
      </c>
      <c r="AM5394" t="s">
        <v>649</v>
      </c>
      <c r="AN5394" t="s">
        <v>649</v>
      </c>
    </row>
    <row r="5395" spans="38:40" x14ac:dyDescent="0.3">
      <c r="AL5395">
        <v>0</v>
      </c>
      <c r="AM5395" t="s">
        <v>649</v>
      </c>
      <c r="AN5395" t="s">
        <v>649</v>
      </c>
    </row>
    <row r="5396" spans="38:40" x14ac:dyDescent="0.3">
      <c r="AL5396">
        <v>0</v>
      </c>
      <c r="AM5396" t="s">
        <v>649</v>
      </c>
      <c r="AN5396" t="s">
        <v>649</v>
      </c>
    </row>
    <row r="5397" spans="38:40" x14ac:dyDescent="0.3">
      <c r="AL5397">
        <v>0</v>
      </c>
      <c r="AM5397" t="s">
        <v>649</v>
      </c>
      <c r="AN5397" t="s">
        <v>649</v>
      </c>
    </row>
    <row r="5398" spans="38:40" x14ac:dyDescent="0.3">
      <c r="AL5398">
        <v>0</v>
      </c>
      <c r="AM5398" t="s">
        <v>649</v>
      </c>
      <c r="AN5398" t="s">
        <v>649</v>
      </c>
    </row>
    <row r="5399" spans="38:40" x14ac:dyDescent="0.3">
      <c r="AL5399">
        <v>0</v>
      </c>
      <c r="AM5399" t="s">
        <v>649</v>
      </c>
      <c r="AN5399" t="s">
        <v>649</v>
      </c>
    </row>
    <row r="5400" spans="38:40" x14ac:dyDescent="0.3">
      <c r="AL5400">
        <v>0</v>
      </c>
      <c r="AM5400" t="s">
        <v>649</v>
      </c>
      <c r="AN5400" t="s">
        <v>649</v>
      </c>
    </row>
    <row r="5401" spans="38:40" x14ac:dyDescent="0.3">
      <c r="AL5401">
        <v>0</v>
      </c>
      <c r="AM5401" t="s">
        <v>649</v>
      </c>
      <c r="AN5401" t="s">
        <v>649</v>
      </c>
    </row>
    <row r="5402" spans="38:40" x14ac:dyDescent="0.3">
      <c r="AL5402">
        <v>0</v>
      </c>
      <c r="AM5402" t="s">
        <v>649</v>
      </c>
      <c r="AN5402" t="s">
        <v>649</v>
      </c>
    </row>
    <row r="5403" spans="38:40" x14ac:dyDescent="0.3">
      <c r="AL5403">
        <v>0</v>
      </c>
      <c r="AM5403" t="s">
        <v>649</v>
      </c>
      <c r="AN5403" t="s">
        <v>649</v>
      </c>
    </row>
    <row r="5404" spans="38:40" x14ac:dyDescent="0.3">
      <c r="AL5404">
        <v>0</v>
      </c>
      <c r="AM5404" t="s">
        <v>649</v>
      </c>
      <c r="AN5404" t="s">
        <v>649</v>
      </c>
    </row>
    <row r="5405" spans="38:40" x14ac:dyDescent="0.3">
      <c r="AL5405">
        <v>0</v>
      </c>
      <c r="AM5405" t="s">
        <v>649</v>
      </c>
      <c r="AN5405" t="s">
        <v>649</v>
      </c>
    </row>
    <row r="5406" spans="38:40" x14ac:dyDescent="0.3">
      <c r="AL5406">
        <v>0</v>
      </c>
      <c r="AM5406" t="s">
        <v>649</v>
      </c>
      <c r="AN5406" t="s">
        <v>649</v>
      </c>
    </row>
    <row r="5407" spans="38:40" x14ac:dyDescent="0.3">
      <c r="AL5407">
        <v>0</v>
      </c>
      <c r="AM5407" t="s">
        <v>649</v>
      </c>
      <c r="AN5407" t="s">
        <v>649</v>
      </c>
    </row>
    <row r="5408" spans="38:40" x14ac:dyDescent="0.3">
      <c r="AL5408">
        <v>0</v>
      </c>
      <c r="AM5408" t="s">
        <v>649</v>
      </c>
      <c r="AN5408" t="s">
        <v>649</v>
      </c>
    </row>
    <row r="5409" spans="38:40" x14ac:dyDescent="0.3">
      <c r="AL5409">
        <v>0</v>
      </c>
      <c r="AM5409" t="s">
        <v>649</v>
      </c>
      <c r="AN5409" t="s">
        <v>649</v>
      </c>
    </row>
    <row r="5410" spans="38:40" x14ac:dyDescent="0.3">
      <c r="AL5410">
        <v>0</v>
      </c>
      <c r="AM5410" t="s">
        <v>649</v>
      </c>
      <c r="AN5410" t="s">
        <v>649</v>
      </c>
    </row>
    <row r="5411" spans="38:40" x14ac:dyDescent="0.3">
      <c r="AL5411">
        <v>0</v>
      </c>
      <c r="AM5411" t="s">
        <v>649</v>
      </c>
      <c r="AN5411" t="s">
        <v>649</v>
      </c>
    </row>
    <row r="5412" spans="38:40" x14ac:dyDescent="0.3">
      <c r="AL5412">
        <v>0</v>
      </c>
      <c r="AM5412" t="s">
        <v>649</v>
      </c>
      <c r="AN5412" t="s">
        <v>649</v>
      </c>
    </row>
    <row r="5413" spans="38:40" x14ac:dyDescent="0.3">
      <c r="AL5413">
        <v>0</v>
      </c>
      <c r="AM5413" t="s">
        <v>649</v>
      </c>
      <c r="AN5413" t="s">
        <v>649</v>
      </c>
    </row>
    <row r="5414" spans="38:40" x14ac:dyDescent="0.3">
      <c r="AL5414">
        <v>0</v>
      </c>
      <c r="AM5414" t="s">
        <v>649</v>
      </c>
      <c r="AN5414" t="s">
        <v>649</v>
      </c>
    </row>
    <row r="5415" spans="38:40" x14ac:dyDescent="0.3">
      <c r="AL5415">
        <v>0</v>
      </c>
      <c r="AM5415" t="s">
        <v>649</v>
      </c>
      <c r="AN5415" t="s">
        <v>649</v>
      </c>
    </row>
    <row r="5416" spans="38:40" x14ac:dyDescent="0.3">
      <c r="AL5416">
        <v>0</v>
      </c>
      <c r="AM5416" t="s">
        <v>649</v>
      </c>
      <c r="AN5416" t="s">
        <v>649</v>
      </c>
    </row>
    <row r="5417" spans="38:40" x14ac:dyDescent="0.3">
      <c r="AL5417">
        <v>0</v>
      </c>
      <c r="AM5417" t="s">
        <v>649</v>
      </c>
      <c r="AN5417" t="s">
        <v>649</v>
      </c>
    </row>
    <row r="5418" spans="38:40" x14ac:dyDescent="0.3">
      <c r="AL5418">
        <v>0</v>
      </c>
      <c r="AM5418" t="s">
        <v>649</v>
      </c>
      <c r="AN5418" t="s">
        <v>649</v>
      </c>
    </row>
    <row r="5419" spans="38:40" x14ac:dyDescent="0.3">
      <c r="AL5419">
        <v>0</v>
      </c>
      <c r="AM5419" t="s">
        <v>649</v>
      </c>
      <c r="AN5419" t="s">
        <v>649</v>
      </c>
    </row>
    <row r="5420" spans="38:40" x14ac:dyDescent="0.3">
      <c r="AL5420">
        <v>0</v>
      </c>
      <c r="AM5420" t="s">
        <v>649</v>
      </c>
      <c r="AN5420" t="s">
        <v>649</v>
      </c>
    </row>
    <row r="5421" spans="38:40" x14ac:dyDescent="0.3">
      <c r="AL5421">
        <v>0</v>
      </c>
      <c r="AM5421" t="s">
        <v>649</v>
      </c>
      <c r="AN5421" t="s">
        <v>649</v>
      </c>
    </row>
    <row r="5422" spans="38:40" x14ac:dyDescent="0.3">
      <c r="AL5422">
        <v>0</v>
      </c>
      <c r="AM5422" t="s">
        <v>649</v>
      </c>
      <c r="AN5422" t="s">
        <v>649</v>
      </c>
    </row>
    <row r="5423" spans="38:40" x14ac:dyDescent="0.3">
      <c r="AL5423">
        <v>0</v>
      </c>
      <c r="AM5423" t="s">
        <v>649</v>
      </c>
      <c r="AN5423" t="s">
        <v>649</v>
      </c>
    </row>
    <row r="5424" spans="38:40" x14ac:dyDescent="0.3">
      <c r="AL5424">
        <v>0</v>
      </c>
      <c r="AM5424" t="s">
        <v>649</v>
      </c>
      <c r="AN5424" t="s">
        <v>649</v>
      </c>
    </row>
    <row r="5425" spans="38:40" x14ac:dyDescent="0.3">
      <c r="AL5425">
        <v>0</v>
      </c>
      <c r="AM5425" t="s">
        <v>649</v>
      </c>
      <c r="AN5425" t="s">
        <v>649</v>
      </c>
    </row>
    <row r="5426" spans="38:40" x14ac:dyDescent="0.3">
      <c r="AL5426">
        <v>0</v>
      </c>
      <c r="AM5426" t="s">
        <v>649</v>
      </c>
      <c r="AN5426" t="s">
        <v>649</v>
      </c>
    </row>
    <row r="5427" spans="38:40" x14ac:dyDescent="0.3">
      <c r="AL5427">
        <v>0</v>
      </c>
      <c r="AM5427" t="s">
        <v>649</v>
      </c>
      <c r="AN5427" t="s">
        <v>649</v>
      </c>
    </row>
    <row r="5428" spans="38:40" x14ac:dyDescent="0.3">
      <c r="AL5428">
        <v>0</v>
      </c>
      <c r="AM5428" t="s">
        <v>649</v>
      </c>
      <c r="AN5428" t="s">
        <v>649</v>
      </c>
    </row>
    <row r="5429" spans="38:40" x14ac:dyDescent="0.3">
      <c r="AL5429">
        <v>0</v>
      </c>
      <c r="AM5429" t="s">
        <v>649</v>
      </c>
      <c r="AN5429" t="s">
        <v>649</v>
      </c>
    </row>
    <row r="5430" spans="38:40" x14ac:dyDescent="0.3">
      <c r="AL5430">
        <v>0</v>
      </c>
      <c r="AM5430" t="s">
        <v>649</v>
      </c>
      <c r="AN5430" t="s">
        <v>649</v>
      </c>
    </row>
    <row r="5431" spans="38:40" x14ac:dyDescent="0.3">
      <c r="AL5431">
        <v>0</v>
      </c>
      <c r="AM5431" t="s">
        <v>649</v>
      </c>
      <c r="AN5431" t="s">
        <v>649</v>
      </c>
    </row>
    <row r="5432" spans="38:40" x14ac:dyDescent="0.3">
      <c r="AL5432">
        <v>0</v>
      </c>
      <c r="AM5432" t="s">
        <v>649</v>
      </c>
      <c r="AN5432" t="s">
        <v>649</v>
      </c>
    </row>
    <row r="5433" spans="38:40" x14ac:dyDescent="0.3">
      <c r="AL5433">
        <v>0</v>
      </c>
      <c r="AM5433" t="s">
        <v>649</v>
      </c>
      <c r="AN5433" t="s">
        <v>649</v>
      </c>
    </row>
    <row r="5434" spans="38:40" x14ac:dyDescent="0.3">
      <c r="AL5434">
        <v>0</v>
      </c>
      <c r="AM5434" t="s">
        <v>649</v>
      </c>
      <c r="AN5434" t="s">
        <v>649</v>
      </c>
    </row>
    <row r="5435" spans="38:40" x14ac:dyDescent="0.3">
      <c r="AL5435">
        <v>0</v>
      </c>
      <c r="AM5435" t="s">
        <v>649</v>
      </c>
      <c r="AN5435" t="s">
        <v>649</v>
      </c>
    </row>
    <row r="5436" spans="38:40" x14ac:dyDescent="0.3">
      <c r="AL5436">
        <v>0</v>
      </c>
      <c r="AM5436" t="s">
        <v>649</v>
      </c>
      <c r="AN5436" t="s">
        <v>649</v>
      </c>
    </row>
    <row r="5437" spans="38:40" x14ac:dyDescent="0.3">
      <c r="AL5437">
        <v>0</v>
      </c>
      <c r="AM5437" t="s">
        <v>649</v>
      </c>
      <c r="AN5437" t="s">
        <v>649</v>
      </c>
    </row>
    <row r="5438" spans="38:40" x14ac:dyDescent="0.3">
      <c r="AL5438">
        <v>0</v>
      </c>
      <c r="AM5438" t="s">
        <v>649</v>
      </c>
      <c r="AN5438" t="s">
        <v>649</v>
      </c>
    </row>
    <row r="5439" spans="38:40" x14ac:dyDescent="0.3">
      <c r="AL5439">
        <v>0</v>
      </c>
      <c r="AM5439" t="s">
        <v>649</v>
      </c>
      <c r="AN5439" t="s">
        <v>649</v>
      </c>
    </row>
    <row r="5440" spans="38:40" x14ac:dyDescent="0.3">
      <c r="AL5440">
        <v>0</v>
      </c>
      <c r="AM5440" t="s">
        <v>649</v>
      </c>
      <c r="AN5440" t="s">
        <v>649</v>
      </c>
    </row>
    <row r="5441" spans="38:40" x14ac:dyDescent="0.3">
      <c r="AL5441">
        <v>0</v>
      </c>
      <c r="AM5441" t="s">
        <v>649</v>
      </c>
      <c r="AN5441" t="s">
        <v>649</v>
      </c>
    </row>
    <row r="5442" spans="38:40" x14ac:dyDescent="0.3">
      <c r="AL5442">
        <v>0</v>
      </c>
      <c r="AM5442" t="s">
        <v>649</v>
      </c>
      <c r="AN5442" t="s">
        <v>649</v>
      </c>
    </row>
    <row r="5443" spans="38:40" x14ac:dyDescent="0.3">
      <c r="AL5443">
        <v>0</v>
      </c>
      <c r="AM5443" t="s">
        <v>649</v>
      </c>
      <c r="AN5443" t="s">
        <v>649</v>
      </c>
    </row>
    <row r="5444" spans="38:40" x14ac:dyDescent="0.3">
      <c r="AL5444">
        <v>0</v>
      </c>
      <c r="AM5444" t="s">
        <v>649</v>
      </c>
      <c r="AN5444" t="s">
        <v>649</v>
      </c>
    </row>
    <row r="5445" spans="38:40" x14ac:dyDescent="0.3">
      <c r="AL5445">
        <v>0</v>
      </c>
      <c r="AM5445" t="s">
        <v>649</v>
      </c>
      <c r="AN5445" t="s">
        <v>649</v>
      </c>
    </row>
    <row r="5446" spans="38:40" x14ac:dyDescent="0.3">
      <c r="AL5446">
        <v>0</v>
      </c>
      <c r="AM5446" t="s">
        <v>649</v>
      </c>
      <c r="AN5446" t="s">
        <v>649</v>
      </c>
    </row>
    <row r="5447" spans="38:40" x14ac:dyDescent="0.3">
      <c r="AL5447">
        <v>0</v>
      </c>
      <c r="AM5447" t="s">
        <v>649</v>
      </c>
      <c r="AN5447" t="s">
        <v>649</v>
      </c>
    </row>
    <row r="5448" spans="38:40" x14ac:dyDescent="0.3">
      <c r="AL5448">
        <v>0</v>
      </c>
      <c r="AM5448" t="s">
        <v>649</v>
      </c>
      <c r="AN5448" t="s">
        <v>649</v>
      </c>
    </row>
    <row r="5449" spans="38:40" x14ac:dyDescent="0.3">
      <c r="AL5449">
        <v>0</v>
      </c>
      <c r="AM5449" t="s">
        <v>649</v>
      </c>
      <c r="AN5449" t="s">
        <v>649</v>
      </c>
    </row>
    <row r="5450" spans="38:40" x14ac:dyDescent="0.3">
      <c r="AL5450">
        <v>0</v>
      </c>
      <c r="AM5450" t="s">
        <v>649</v>
      </c>
      <c r="AN5450" t="s">
        <v>649</v>
      </c>
    </row>
    <row r="5451" spans="38:40" x14ac:dyDescent="0.3">
      <c r="AL5451">
        <v>0</v>
      </c>
      <c r="AM5451" t="s">
        <v>649</v>
      </c>
      <c r="AN5451" t="s">
        <v>649</v>
      </c>
    </row>
    <row r="5452" spans="38:40" x14ac:dyDescent="0.3">
      <c r="AL5452">
        <v>0</v>
      </c>
      <c r="AM5452" t="s">
        <v>649</v>
      </c>
      <c r="AN5452" t="s">
        <v>649</v>
      </c>
    </row>
    <row r="5453" spans="38:40" x14ac:dyDescent="0.3">
      <c r="AL5453">
        <v>0</v>
      </c>
      <c r="AM5453" t="s">
        <v>649</v>
      </c>
      <c r="AN5453" t="s">
        <v>649</v>
      </c>
    </row>
    <row r="5454" spans="38:40" x14ac:dyDescent="0.3">
      <c r="AL5454">
        <v>0</v>
      </c>
      <c r="AM5454" t="s">
        <v>649</v>
      </c>
      <c r="AN5454" t="s">
        <v>649</v>
      </c>
    </row>
    <row r="5455" spans="38:40" x14ac:dyDescent="0.3">
      <c r="AL5455">
        <v>0</v>
      </c>
      <c r="AM5455" t="s">
        <v>649</v>
      </c>
      <c r="AN5455" t="s">
        <v>649</v>
      </c>
    </row>
    <row r="5456" spans="38:40" x14ac:dyDescent="0.3">
      <c r="AL5456">
        <v>0</v>
      </c>
      <c r="AM5456" t="s">
        <v>649</v>
      </c>
      <c r="AN5456" t="s">
        <v>649</v>
      </c>
    </row>
    <row r="5457" spans="38:40" x14ac:dyDescent="0.3">
      <c r="AL5457">
        <v>0</v>
      </c>
      <c r="AM5457" t="s">
        <v>649</v>
      </c>
      <c r="AN5457" t="s">
        <v>649</v>
      </c>
    </row>
    <row r="5458" spans="38:40" x14ac:dyDescent="0.3">
      <c r="AL5458">
        <v>0</v>
      </c>
      <c r="AM5458" t="s">
        <v>649</v>
      </c>
      <c r="AN5458" t="s">
        <v>649</v>
      </c>
    </row>
    <row r="5459" spans="38:40" x14ac:dyDescent="0.3">
      <c r="AL5459">
        <v>0</v>
      </c>
      <c r="AM5459" t="s">
        <v>649</v>
      </c>
      <c r="AN5459" t="s">
        <v>649</v>
      </c>
    </row>
    <row r="5460" spans="38:40" x14ac:dyDescent="0.3">
      <c r="AL5460">
        <v>0</v>
      </c>
      <c r="AM5460" t="s">
        <v>649</v>
      </c>
      <c r="AN5460" t="s">
        <v>649</v>
      </c>
    </row>
    <row r="5461" spans="38:40" x14ac:dyDescent="0.3">
      <c r="AL5461">
        <v>0</v>
      </c>
      <c r="AM5461" t="s">
        <v>649</v>
      </c>
      <c r="AN5461" t="s">
        <v>649</v>
      </c>
    </row>
    <row r="5462" spans="38:40" x14ac:dyDescent="0.3">
      <c r="AL5462">
        <v>0</v>
      </c>
      <c r="AM5462" t="s">
        <v>649</v>
      </c>
      <c r="AN5462" t="s">
        <v>649</v>
      </c>
    </row>
    <row r="5463" spans="38:40" x14ac:dyDescent="0.3">
      <c r="AL5463">
        <v>0</v>
      </c>
      <c r="AM5463" t="s">
        <v>649</v>
      </c>
      <c r="AN5463" t="s">
        <v>649</v>
      </c>
    </row>
    <row r="5464" spans="38:40" x14ac:dyDescent="0.3">
      <c r="AL5464">
        <v>0</v>
      </c>
      <c r="AM5464" t="s">
        <v>649</v>
      </c>
      <c r="AN5464" t="s">
        <v>649</v>
      </c>
    </row>
    <row r="5465" spans="38:40" x14ac:dyDescent="0.3">
      <c r="AL5465">
        <v>0</v>
      </c>
      <c r="AM5465" t="s">
        <v>649</v>
      </c>
      <c r="AN5465" t="s">
        <v>649</v>
      </c>
    </row>
    <row r="5466" spans="38:40" x14ac:dyDescent="0.3">
      <c r="AL5466">
        <v>0</v>
      </c>
      <c r="AM5466" t="s">
        <v>649</v>
      </c>
      <c r="AN5466" t="s">
        <v>649</v>
      </c>
    </row>
    <row r="5467" spans="38:40" x14ac:dyDescent="0.3">
      <c r="AL5467">
        <v>0</v>
      </c>
      <c r="AM5467" t="s">
        <v>649</v>
      </c>
      <c r="AN5467" t="s">
        <v>649</v>
      </c>
    </row>
    <row r="5468" spans="38:40" x14ac:dyDescent="0.3">
      <c r="AL5468">
        <v>0</v>
      </c>
      <c r="AM5468" t="s">
        <v>649</v>
      </c>
      <c r="AN5468" t="s">
        <v>649</v>
      </c>
    </row>
    <row r="5469" spans="38:40" x14ac:dyDescent="0.3">
      <c r="AL5469">
        <v>0</v>
      </c>
      <c r="AM5469" t="s">
        <v>649</v>
      </c>
      <c r="AN5469" t="s">
        <v>649</v>
      </c>
    </row>
    <row r="5470" spans="38:40" x14ac:dyDescent="0.3">
      <c r="AL5470">
        <v>0</v>
      </c>
      <c r="AM5470" t="s">
        <v>649</v>
      </c>
      <c r="AN5470" t="s">
        <v>649</v>
      </c>
    </row>
    <row r="5471" spans="38:40" x14ac:dyDescent="0.3">
      <c r="AL5471">
        <v>0</v>
      </c>
      <c r="AM5471" t="s">
        <v>649</v>
      </c>
      <c r="AN5471" t="s">
        <v>649</v>
      </c>
    </row>
    <row r="5472" spans="38:40" x14ac:dyDescent="0.3">
      <c r="AL5472">
        <v>0</v>
      </c>
      <c r="AM5472" t="s">
        <v>649</v>
      </c>
      <c r="AN5472" t="s">
        <v>649</v>
      </c>
    </row>
    <row r="5473" spans="38:40" x14ac:dyDescent="0.3">
      <c r="AL5473">
        <v>0</v>
      </c>
      <c r="AM5473" t="s">
        <v>649</v>
      </c>
      <c r="AN5473" t="s">
        <v>649</v>
      </c>
    </row>
    <row r="5474" spans="38:40" x14ac:dyDescent="0.3">
      <c r="AL5474">
        <v>0</v>
      </c>
      <c r="AM5474" t="s">
        <v>649</v>
      </c>
      <c r="AN5474" t="s">
        <v>649</v>
      </c>
    </row>
    <row r="5475" spans="38:40" x14ac:dyDescent="0.3">
      <c r="AL5475">
        <v>0</v>
      </c>
      <c r="AM5475" t="s">
        <v>649</v>
      </c>
      <c r="AN5475" t="s">
        <v>649</v>
      </c>
    </row>
    <row r="5476" spans="38:40" x14ac:dyDescent="0.3">
      <c r="AL5476">
        <v>0</v>
      </c>
      <c r="AM5476" t="s">
        <v>649</v>
      </c>
      <c r="AN5476" t="s">
        <v>649</v>
      </c>
    </row>
    <row r="5477" spans="38:40" x14ac:dyDescent="0.3">
      <c r="AL5477">
        <v>0</v>
      </c>
      <c r="AM5477" t="s">
        <v>649</v>
      </c>
      <c r="AN5477" t="s">
        <v>649</v>
      </c>
    </row>
    <row r="5478" spans="38:40" x14ac:dyDescent="0.3">
      <c r="AL5478">
        <v>0</v>
      </c>
      <c r="AM5478" t="s">
        <v>649</v>
      </c>
      <c r="AN5478" t="s">
        <v>649</v>
      </c>
    </row>
    <row r="5479" spans="38:40" x14ac:dyDescent="0.3">
      <c r="AL5479">
        <v>0</v>
      </c>
      <c r="AM5479" t="s">
        <v>649</v>
      </c>
      <c r="AN5479" t="s">
        <v>649</v>
      </c>
    </row>
    <row r="5480" spans="38:40" x14ac:dyDescent="0.3">
      <c r="AL5480">
        <v>0</v>
      </c>
      <c r="AM5480" t="s">
        <v>649</v>
      </c>
      <c r="AN5480" t="s">
        <v>649</v>
      </c>
    </row>
    <row r="5481" spans="38:40" x14ac:dyDescent="0.3">
      <c r="AL5481">
        <v>0</v>
      </c>
      <c r="AM5481" t="s">
        <v>649</v>
      </c>
      <c r="AN5481" t="s">
        <v>649</v>
      </c>
    </row>
    <row r="5482" spans="38:40" x14ac:dyDescent="0.3">
      <c r="AL5482">
        <v>0</v>
      </c>
      <c r="AM5482" t="s">
        <v>649</v>
      </c>
      <c r="AN5482" t="s">
        <v>649</v>
      </c>
    </row>
    <row r="5483" spans="38:40" x14ac:dyDescent="0.3">
      <c r="AL5483">
        <v>0</v>
      </c>
      <c r="AM5483" t="s">
        <v>649</v>
      </c>
      <c r="AN5483" t="s">
        <v>649</v>
      </c>
    </row>
    <row r="5484" spans="38:40" x14ac:dyDescent="0.3">
      <c r="AL5484">
        <v>0</v>
      </c>
      <c r="AM5484" t="s">
        <v>649</v>
      </c>
      <c r="AN5484" t="s">
        <v>649</v>
      </c>
    </row>
    <row r="5485" spans="38:40" x14ac:dyDescent="0.3">
      <c r="AL5485">
        <v>0</v>
      </c>
      <c r="AM5485" t="s">
        <v>649</v>
      </c>
      <c r="AN5485" t="s">
        <v>649</v>
      </c>
    </row>
    <row r="5486" spans="38:40" x14ac:dyDescent="0.3">
      <c r="AL5486">
        <v>0</v>
      </c>
      <c r="AM5486" t="s">
        <v>649</v>
      </c>
      <c r="AN5486" t="s">
        <v>649</v>
      </c>
    </row>
    <row r="5487" spans="38:40" x14ac:dyDescent="0.3">
      <c r="AL5487">
        <v>0</v>
      </c>
      <c r="AM5487" t="s">
        <v>649</v>
      </c>
      <c r="AN5487" t="s">
        <v>649</v>
      </c>
    </row>
    <row r="5488" spans="38:40" x14ac:dyDescent="0.3">
      <c r="AL5488">
        <v>0</v>
      </c>
      <c r="AM5488" t="s">
        <v>649</v>
      </c>
      <c r="AN5488" t="s">
        <v>649</v>
      </c>
    </row>
    <row r="5489" spans="38:40" x14ac:dyDescent="0.3">
      <c r="AL5489">
        <v>0</v>
      </c>
      <c r="AM5489" t="s">
        <v>649</v>
      </c>
      <c r="AN5489" t="s">
        <v>649</v>
      </c>
    </row>
    <row r="5490" spans="38:40" x14ac:dyDescent="0.3">
      <c r="AL5490">
        <v>0</v>
      </c>
      <c r="AM5490" t="s">
        <v>649</v>
      </c>
      <c r="AN5490" t="s">
        <v>649</v>
      </c>
    </row>
    <row r="5491" spans="38:40" x14ac:dyDescent="0.3">
      <c r="AL5491">
        <v>0</v>
      </c>
      <c r="AM5491" t="s">
        <v>649</v>
      </c>
      <c r="AN5491" t="s">
        <v>649</v>
      </c>
    </row>
    <row r="5492" spans="38:40" x14ac:dyDescent="0.3">
      <c r="AL5492">
        <v>0</v>
      </c>
      <c r="AM5492" t="s">
        <v>649</v>
      </c>
      <c r="AN5492" t="s">
        <v>649</v>
      </c>
    </row>
    <row r="5493" spans="38:40" x14ac:dyDescent="0.3">
      <c r="AL5493">
        <v>0</v>
      </c>
      <c r="AM5493" t="s">
        <v>649</v>
      </c>
      <c r="AN5493" t="s">
        <v>649</v>
      </c>
    </row>
    <row r="5494" spans="38:40" x14ac:dyDescent="0.3">
      <c r="AL5494">
        <v>0</v>
      </c>
      <c r="AM5494" t="s">
        <v>649</v>
      </c>
      <c r="AN5494" t="s">
        <v>649</v>
      </c>
    </row>
    <row r="5495" spans="38:40" x14ac:dyDescent="0.3">
      <c r="AL5495">
        <v>0</v>
      </c>
      <c r="AM5495" t="s">
        <v>649</v>
      </c>
      <c r="AN5495" t="s">
        <v>649</v>
      </c>
    </row>
    <row r="5496" spans="38:40" x14ac:dyDescent="0.3">
      <c r="AL5496">
        <v>0</v>
      </c>
      <c r="AM5496" t="s">
        <v>649</v>
      </c>
      <c r="AN5496" t="s">
        <v>649</v>
      </c>
    </row>
    <row r="5497" spans="38:40" x14ac:dyDescent="0.3">
      <c r="AL5497">
        <v>0</v>
      </c>
      <c r="AM5497" t="s">
        <v>649</v>
      </c>
      <c r="AN5497" t="s">
        <v>649</v>
      </c>
    </row>
    <row r="5498" spans="38:40" x14ac:dyDescent="0.3">
      <c r="AL5498">
        <v>0</v>
      </c>
      <c r="AM5498" t="s">
        <v>649</v>
      </c>
      <c r="AN5498" t="s">
        <v>649</v>
      </c>
    </row>
    <row r="5499" spans="38:40" x14ac:dyDescent="0.3">
      <c r="AL5499">
        <v>0</v>
      </c>
      <c r="AM5499" t="s">
        <v>649</v>
      </c>
      <c r="AN5499" t="s">
        <v>649</v>
      </c>
    </row>
    <row r="5500" spans="38:40" x14ac:dyDescent="0.3">
      <c r="AL5500">
        <v>0</v>
      </c>
      <c r="AM5500" t="s">
        <v>649</v>
      </c>
      <c r="AN5500" t="s">
        <v>649</v>
      </c>
    </row>
    <row r="5501" spans="38:40" x14ac:dyDescent="0.3">
      <c r="AL5501">
        <v>0</v>
      </c>
      <c r="AM5501" t="s">
        <v>649</v>
      </c>
      <c r="AN5501" t="s">
        <v>649</v>
      </c>
    </row>
    <row r="5502" spans="38:40" x14ac:dyDescent="0.3">
      <c r="AL5502">
        <v>0</v>
      </c>
      <c r="AM5502" t="s">
        <v>649</v>
      </c>
      <c r="AN5502" t="s">
        <v>649</v>
      </c>
    </row>
    <row r="5503" spans="38:40" x14ac:dyDescent="0.3">
      <c r="AL5503">
        <v>0</v>
      </c>
      <c r="AM5503" t="s">
        <v>649</v>
      </c>
      <c r="AN5503" t="s">
        <v>649</v>
      </c>
    </row>
    <row r="5504" spans="38:40" x14ac:dyDescent="0.3">
      <c r="AL5504">
        <v>0</v>
      </c>
      <c r="AM5504" t="s">
        <v>649</v>
      </c>
      <c r="AN5504" t="s">
        <v>649</v>
      </c>
    </row>
    <row r="5505" spans="38:40" x14ac:dyDescent="0.3">
      <c r="AL5505">
        <v>0</v>
      </c>
      <c r="AM5505" t="s">
        <v>649</v>
      </c>
      <c r="AN5505" t="s">
        <v>649</v>
      </c>
    </row>
    <row r="5506" spans="38:40" x14ac:dyDescent="0.3">
      <c r="AL5506">
        <v>0</v>
      </c>
      <c r="AM5506" t="s">
        <v>649</v>
      </c>
      <c r="AN5506" t="s">
        <v>649</v>
      </c>
    </row>
    <row r="5507" spans="38:40" x14ac:dyDescent="0.3">
      <c r="AL5507">
        <v>0</v>
      </c>
      <c r="AM5507" t="s">
        <v>649</v>
      </c>
      <c r="AN5507" t="s">
        <v>649</v>
      </c>
    </row>
    <row r="5508" spans="38:40" x14ac:dyDescent="0.3">
      <c r="AL5508">
        <v>0</v>
      </c>
      <c r="AM5508" t="s">
        <v>649</v>
      </c>
      <c r="AN5508" t="s">
        <v>649</v>
      </c>
    </row>
    <row r="5509" spans="38:40" x14ac:dyDescent="0.3">
      <c r="AL5509">
        <v>0</v>
      </c>
      <c r="AM5509" t="s">
        <v>649</v>
      </c>
      <c r="AN5509" t="s">
        <v>649</v>
      </c>
    </row>
    <row r="5510" spans="38:40" x14ac:dyDescent="0.3">
      <c r="AL5510">
        <v>0</v>
      </c>
      <c r="AM5510" t="s">
        <v>649</v>
      </c>
      <c r="AN5510" t="s">
        <v>649</v>
      </c>
    </row>
    <row r="5511" spans="38:40" x14ac:dyDescent="0.3">
      <c r="AL5511">
        <v>0</v>
      </c>
      <c r="AM5511" t="s">
        <v>649</v>
      </c>
      <c r="AN5511" t="s">
        <v>649</v>
      </c>
    </row>
    <row r="5512" spans="38:40" x14ac:dyDescent="0.3">
      <c r="AL5512">
        <v>0</v>
      </c>
      <c r="AM5512" t="s">
        <v>649</v>
      </c>
      <c r="AN5512" t="s">
        <v>649</v>
      </c>
    </row>
    <row r="5513" spans="38:40" x14ac:dyDescent="0.3">
      <c r="AL5513">
        <v>0</v>
      </c>
      <c r="AM5513" t="s">
        <v>649</v>
      </c>
      <c r="AN5513" t="s">
        <v>649</v>
      </c>
    </row>
    <row r="5514" spans="38:40" x14ac:dyDescent="0.3">
      <c r="AL5514">
        <v>0</v>
      </c>
      <c r="AM5514" t="s">
        <v>649</v>
      </c>
      <c r="AN5514" t="s">
        <v>649</v>
      </c>
    </row>
    <row r="5515" spans="38:40" x14ac:dyDescent="0.3">
      <c r="AL5515">
        <v>0</v>
      </c>
      <c r="AM5515" t="s">
        <v>649</v>
      </c>
      <c r="AN5515" t="s">
        <v>649</v>
      </c>
    </row>
    <row r="5516" spans="38:40" x14ac:dyDescent="0.3">
      <c r="AL5516">
        <v>0</v>
      </c>
      <c r="AM5516" t="s">
        <v>649</v>
      </c>
      <c r="AN5516" t="s">
        <v>649</v>
      </c>
    </row>
    <row r="5517" spans="38:40" x14ac:dyDescent="0.3">
      <c r="AL5517">
        <v>0</v>
      </c>
      <c r="AM5517" t="s">
        <v>649</v>
      </c>
      <c r="AN5517" t="s">
        <v>649</v>
      </c>
    </row>
    <row r="5518" spans="38:40" x14ac:dyDescent="0.3">
      <c r="AL5518">
        <v>0</v>
      </c>
      <c r="AM5518" t="s">
        <v>649</v>
      </c>
      <c r="AN5518" t="s">
        <v>649</v>
      </c>
    </row>
    <row r="5519" spans="38:40" x14ac:dyDescent="0.3">
      <c r="AL5519">
        <v>0</v>
      </c>
      <c r="AM5519" t="s">
        <v>649</v>
      </c>
      <c r="AN5519" t="s">
        <v>649</v>
      </c>
    </row>
    <row r="5520" spans="38:40" x14ac:dyDescent="0.3">
      <c r="AL5520">
        <v>0</v>
      </c>
      <c r="AM5520" t="s">
        <v>649</v>
      </c>
      <c r="AN5520" t="s">
        <v>649</v>
      </c>
    </row>
    <row r="5521" spans="38:40" x14ac:dyDescent="0.3">
      <c r="AL5521">
        <v>0</v>
      </c>
      <c r="AM5521" t="s">
        <v>649</v>
      </c>
      <c r="AN5521" t="s">
        <v>649</v>
      </c>
    </row>
    <row r="5522" spans="38:40" x14ac:dyDescent="0.3">
      <c r="AL5522">
        <v>0</v>
      </c>
      <c r="AM5522" t="s">
        <v>649</v>
      </c>
      <c r="AN5522" t="s">
        <v>649</v>
      </c>
    </row>
    <row r="5523" spans="38:40" x14ac:dyDescent="0.3">
      <c r="AL5523">
        <v>0</v>
      </c>
      <c r="AM5523" t="s">
        <v>649</v>
      </c>
      <c r="AN5523" t="s">
        <v>649</v>
      </c>
    </row>
    <row r="5524" spans="38:40" x14ac:dyDescent="0.3">
      <c r="AL5524">
        <v>0</v>
      </c>
      <c r="AM5524" t="s">
        <v>649</v>
      </c>
      <c r="AN5524" t="s">
        <v>649</v>
      </c>
    </row>
    <row r="5525" spans="38:40" x14ac:dyDescent="0.3">
      <c r="AL5525">
        <v>0</v>
      </c>
      <c r="AM5525" t="s">
        <v>649</v>
      </c>
      <c r="AN5525" t="s">
        <v>649</v>
      </c>
    </row>
    <row r="5526" spans="38:40" x14ac:dyDescent="0.3">
      <c r="AL5526">
        <v>0</v>
      </c>
      <c r="AM5526" t="s">
        <v>649</v>
      </c>
      <c r="AN5526" t="s">
        <v>649</v>
      </c>
    </row>
    <row r="5527" spans="38:40" x14ac:dyDescent="0.3">
      <c r="AL5527">
        <v>0</v>
      </c>
      <c r="AM5527" t="s">
        <v>649</v>
      </c>
      <c r="AN5527" t="s">
        <v>649</v>
      </c>
    </row>
    <row r="5528" spans="38:40" x14ac:dyDescent="0.3">
      <c r="AL5528">
        <v>0</v>
      </c>
      <c r="AM5528" t="s">
        <v>649</v>
      </c>
      <c r="AN5528" t="s">
        <v>649</v>
      </c>
    </row>
    <row r="5529" spans="38:40" x14ac:dyDescent="0.3">
      <c r="AL5529">
        <v>0</v>
      </c>
      <c r="AM5529" t="s">
        <v>649</v>
      </c>
      <c r="AN5529" t="s">
        <v>649</v>
      </c>
    </row>
    <row r="5530" spans="38:40" x14ac:dyDescent="0.3">
      <c r="AL5530">
        <v>0</v>
      </c>
      <c r="AM5530" t="s">
        <v>649</v>
      </c>
      <c r="AN5530" t="s">
        <v>649</v>
      </c>
    </row>
    <row r="5531" spans="38:40" x14ac:dyDescent="0.3">
      <c r="AL5531">
        <v>0</v>
      </c>
      <c r="AM5531" t="s">
        <v>649</v>
      </c>
      <c r="AN5531" t="s">
        <v>649</v>
      </c>
    </row>
    <row r="5532" spans="38:40" x14ac:dyDescent="0.3">
      <c r="AL5532">
        <v>0</v>
      </c>
      <c r="AM5532" t="s">
        <v>649</v>
      </c>
      <c r="AN5532" t="s">
        <v>649</v>
      </c>
    </row>
    <row r="5533" spans="38:40" x14ac:dyDescent="0.3">
      <c r="AL5533">
        <v>0</v>
      </c>
      <c r="AM5533" t="s">
        <v>649</v>
      </c>
      <c r="AN5533" t="s">
        <v>649</v>
      </c>
    </row>
    <row r="5534" spans="38:40" x14ac:dyDescent="0.3">
      <c r="AL5534">
        <v>0</v>
      </c>
      <c r="AM5534" t="s">
        <v>649</v>
      </c>
      <c r="AN5534" t="s">
        <v>649</v>
      </c>
    </row>
    <row r="5535" spans="38:40" x14ac:dyDescent="0.3">
      <c r="AL5535">
        <v>0</v>
      </c>
      <c r="AM5535" t="s">
        <v>649</v>
      </c>
      <c r="AN5535" t="s">
        <v>649</v>
      </c>
    </row>
    <row r="5536" spans="38:40" x14ac:dyDescent="0.3">
      <c r="AL5536">
        <v>0</v>
      </c>
      <c r="AM5536" t="s">
        <v>649</v>
      </c>
      <c r="AN5536" t="s">
        <v>649</v>
      </c>
    </row>
    <row r="5537" spans="38:40" x14ac:dyDescent="0.3">
      <c r="AL5537">
        <v>0</v>
      </c>
      <c r="AM5537" t="s">
        <v>649</v>
      </c>
      <c r="AN5537" t="s">
        <v>649</v>
      </c>
    </row>
    <row r="5538" spans="38:40" x14ac:dyDescent="0.3">
      <c r="AL5538">
        <v>0</v>
      </c>
      <c r="AM5538" t="s">
        <v>649</v>
      </c>
      <c r="AN5538" t="s">
        <v>649</v>
      </c>
    </row>
    <row r="5539" spans="38:40" x14ac:dyDescent="0.3">
      <c r="AL5539">
        <v>0</v>
      </c>
      <c r="AM5539" t="s">
        <v>649</v>
      </c>
      <c r="AN5539" t="s">
        <v>649</v>
      </c>
    </row>
    <row r="5540" spans="38:40" x14ac:dyDescent="0.3">
      <c r="AL5540">
        <v>0</v>
      </c>
      <c r="AM5540" t="s">
        <v>649</v>
      </c>
      <c r="AN5540" t="s">
        <v>649</v>
      </c>
    </row>
    <row r="5541" spans="38:40" x14ac:dyDescent="0.3">
      <c r="AL5541">
        <v>0</v>
      </c>
      <c r="AM5541" t="s">
        <v>649</v>
      </c>
      <c r="AN5541" t="s">
        <v>649</v>
      </c>
    </row>
    <row r="5542" spans="38:40" x14ac:dyDescent="0.3">
      <c r="AL5542">
        <v>0</v>
      </c>
      <c r="AM5542" t="s">
        <v>649</v>
      </c>
      <c r="AN5542" t="s">
        <v>649</v>
      </c>
    </row>
    <row r="5543" spans="38:40" x14ac:dyDescent="0.3">
      <c r="AL5543">
        <v>0</v>
      </c>
      <c r="AM5543" t="s">
        <v>649</v>
      </c>
      <c r="AN5543" t="s">
        <v>649</v>
      </c>
    </row>
    <row r="5544" spans="38:40" x14ac:dyDescent="0.3">
      <c r="AL5544">
        <v>0</v>
      </c>
      <c r="AM5544" t="s">
        <v>649</v>
      </c>
      <c r="AN5544" t="s">
        <v>649</v>
      </c>
    </row>
    <row r="5545" spans="38:40" x14ac:dyDescent="0.3">
      <c r="AL5545">
        <v>0</v>
      </c>
      <c r="AM5545" t="s">
        <v>649</v>
      </c>
      <c r="AN5545" t="s">
        <v>649</v>
      </c>
    </row>
    <row r="5546" spans="38:40" x14ac:dyDescent="0.3">
      <c r="AL5546">
        <v>0</v>
      </c>
      <c r="AM5546" t="s">
        <v>649</v>
      </c>
      <c r="AN5546" t="s">
        <v>649</v>
      </c>
    </row>
    <row r="5547" spans="38:40" x14ac:dyDescent="0.3">
      <c r="AL5547">
        <v>0</v>
      </c>
      <c r="AM5547" t="s">
        <v>649</v>
      </c>
      <c r="AN5547" t="s">
        <v>649</v>
      </c>
    </row>
    <row r="5548" spans="38:40" x14ac:dyDescent="0.3">
      <c r="AL5548">
        <v>0</v>
      </c>
      <c r="AM5548" t="s">
        <v>649</v>
      </c>
      <c r="AN5548" t="s">
        <v>649</v>
      </c>
    </row>
    <row r="5549" spans="38:40" x14ac:dyDescent="0.3">
      <c r="AL5549">
        <v>0</v>
      </c>
      <c r="AM5549" t="s">
        <v>649</v>
      </c>
      <c r="AN5549" t="s">
        <v>649</v>
      </c>
    </row>
    <row r="5550" spans="38:40" x14ac:dyDescent="0.3">
      <c r="AL5550">
        <v>0</v>
      </c>
      <c r="AM5550" t="s">
        <v>649</v>
      </c>
      <c r="AN5550" t="s">
        <v>649</v>
      </c>
    </row>
    <row r="5551" spans="38:40" x14ac:dyDescent="0.3">
      <c r="AL5551">
        <v>0</v>
      </c>
      <c r="AM5551" t="s">
        <v>649</v>
      </c>
      <c r="AN5551" t="s">
        <v>649</v>
      </c>
    </row>
    <row r="5552" spans="38:40" x14ac:dyDescent="0.3">
      <c r="AL5552">
        <v>0</v>
      </c>
      <c r="AM5552" t="s">
        <v>649</v>
      </c>
      <c r="AN5552" t="s">
        <v>649</v>
      </c>
    </row>
    <row r="5553" spans="38:40" x14ac:dyDescent="0.3">
      <c r="AL5553">
        <v>0</v>
      </c>
      <c r="AM5553" t="s">
        <v>649</v>
      </c>
      <c r="AN5553" t="s">
        <v>649</v>
      </c>
    </row>
    <row r="5554" spans="38:40" x14ac:dyDescent="0.3">
      <c r="AL5554">
        <v>0</v>
      </c>
      <c r="AM5554" t="s">
        <v>649</v>
      </c>
      <c r="AN5554" t="s">
        <v>649</v>
      </c>
    </row>
    <row r="5555" spans="38:40" x14ac:dyDescent="0.3">
      <c r="AL5555">
        <v>0</v>
      </c>
      <c r="AM5555" t="s">
        <v>649</v>
      </c>
      <c r="AN5555" t="s">
        <v>649</v>
      </c>
    </row>
    <row r="5556" spans="38:40" x14ac:dyDescent="0.3">
      <c r="AL5556">
        <v>0</v>
      </c>
      <c r="AM5556" t="s">
        <v>649</v>
      </c>
      <c r="AN5556" t="s">
        <v>649</v>
      </c>
    </row>
    <row r="5557" spans="38:40" x14ac:dyDescent="0.3">
      <c r="AL5557">
        <v>0</v>
      </c>
      <c r="AM5557" t="s">
        <v>649</v>
      </c>
      <c r="AN5557" t="s">
        <v>649</v>
      </c>
    </row>
    <row r="5558" spans="38:40" x14ac:dyDescent="0.3">
      <c r="AL5558">
        <v>0</v>
      </c>
      <c r="AM5558" t="s">
        <v>649</v>
      </c>
      <c r="AN5558" t="s">
        <v>649</v>
      </c>
    </row>
    <row r="5559" spans="38:40" x14ac:dyDescent="0.3">
      <c r="AL5559">
        <v>0</v>
      </c>
      <c r="AM5559" t="s">
        <v>649</v>
      </c>
      <c r="AN5559" t="s">
        <v>649</v>
      </c>
    </row>
    <row r="5560" spans="38:40" x14ac:dyDescent="0.3">
      <c r="AL5560">
        <v>0</v>
      </c>
      <c r="AM5560" t="s">
        <v>649</v>
      </c>
      <c r="AN5560" t="s">
        <v>649</v>
      </c>
    </row>
    <row r="5561" spans="38:40" x14ac:dyDescent="0.3">
      <c r="AL5561">
        <v>0</v>
      </c>
      <c r="AM5561" t="s">
        <v>649</v>
      </c>
      <c r="AN5561" t="s">
        <v>649</v>
      </c>
    </row>
    <row r="5562" spans="38:40" x14ac:dyDescent="0.3">
      <c r="AL5562">
        <v>0</v>
      </c>
      <c r="AM5562" t="s">
        <v>649</v>
      </c>
      <c r="AN5562" t="s">
        <v>649</v>
      </c>
    </row>
    <row r="5563" spans="38:40" x14ac:dyDescent="0.3">
      <c r="AL5563">
        <v>0</v>
      </c>
      <c r="AM5563" t="s">
        <v>649</v>
      </c>
      <c r="AN5563" t="s">
        <v>649</v>
      </c>
    </row>
    <row r="5564" spans="38:40" x14ac:dyDescent="0.3">
      <c r="AL5564">
        <v>0</v>
      </c>
      <c r="AM5564" t="s">
        <v>649</v>
      </c>
      <c r="AN5564" t="s">
        <v>649</v>
      </c>
    </row>
    <row r="5565" spans="38:40" x14ac:dyDescent="0.3">
      <c r="AL5565">
        <v>0</v>
      </c>
      <c r="AM5565" t="s">
        <v>649</v>
      </c>
      <c r="AN5565" t="s">
        <v>649</v>
      </c>
    </row>
    <row r="5566" spans="38:40" x14ac:dyDescent="0.3">
      <c r="AL5566">
        <v>0</v>
      </c>
      <c r="AM5566" t="s">
        <v>649</v>
      </c>
      <c r="AN5566" t="s">
        <v>649</v>
      </c>
    </row>
    <row r="5567" spans="38:40" x14ac:dyDescent="0.3">
      <c r="AL5567">
        <v>0</v>
      </c>
      <c r="AM5567" t="s">
        <v>649</v>
      </c>
      <c r="AN5567" t="s">
        <v>649</v>
      </c>
    </row>
    <row r="5568" spans="38:40" x14ac:dyDescent="0.3">
      <c r="AL5568">
        <v>0</v>
      </c>
      <c r="AM5568" t="s">
        <v>649</v>
      </c>
      <c r="AN5568" t="s">
        <v>649</v>
      </c>
    </row>
    <row r="5569" spans="38:40" x14ac:dyDescent="0.3">
      <c r="AL5569">
        <v>0</v>
      </c>
      <c r="AM5569" t="s">
        <v>649</v>
      </c>
      <c r="AN5569" t="s">
        <v>649</v>
      </c>
    </row>
    <row r="5570" spans="38:40" x14ac:dyDescent="0.3">
      <c r="AL5570">
        <v>0</v>
      </c>
      <c r="AM5570" t="s">
        <v>649</v>
      </c>
      <c r="AN5570" t="s">
        <v>649</v>
      </c>
    </row>
    <row r="5571" spans="38:40" x14ac:dyDescent="0.3">
      <c r="AL5571">
        <v>0</v>
      </c>
      <c r="AM5571" t="s">
        <v>649</v>
      </c>
      <c r="AN5571" t="s">
        <v>649</v>
      </c>
    </row>
    <row r="5572" spans="38:40" x14ac:dyDescent="0.3">
      <c r="AL5572">
        <v>0</v>
      </c>
      <c r="AM5572" t="s">
        <v>649</v>
      </c>
      <c r="AN5572" t="s">
        <v>649</v>
      </c>
    </row>
    <row r="5573" spans="38:40" x14ac:dyDescent="0.3">
      <c r="AL5573">
        <v>0</v>
      </c>
      <c r="AM5573" t="s">
        <v>649</v>
      </c>
      <c r="AN5573" t="s">
        <v>649</v>
      </c>
    </row>
    <row r="5574" spans="38:40" x14ac:dyDescent="0.3">
      <c r="AL5574">
        <v>0</v>
      </c>
      <c r="AM5574" t="s">
        <v>649</v>
      </c>
      <c r="AN5574" t="s">
        <v>649</v>
      </c>
    </row>
    <row r="5575" spans="38:40" x14ac:dyDescent="0.3">
      <c r="AL5575">
        <v>0</v>
      </c>
      <c r="AM5575" t="s">
        <v>649</v>
      </c>
      <c r="AN5575" t="s">
        <v>649</v>
      </c>
    </row>
    <row r="5576" spans="38:40" x14ac:dyDescent="0.3">
      <c r="AL5576">
        <v>0</v>
      </c>
      <c r="AM5576" t="s">
        <v>649</v>
      </c>
      <c r="AN5576" t="s">
        <v>649</v>
      </c>
    </row>
    <row r="5577" spans="38:40" x14ac:dyDescent="0.3">
      <c r="AL5577">
        <v>0</v>
      </c>
      <c r="AM5577" t="s">
        <v>649</v>
      </c>
      <c r="AN5577" t="s">
        <v>649</v>
      </c>
    </row>
    <row r="5578" spans="38:40" x14ac:dyDescent="0.3">
      <c r="AL5578">
        <v>0</v>
      </c>
      <c r="AM5578" t="s">
        <v>649</v>
      </c>
      <c r="AN5578" t="s">
        <v>649</v>
      </c>
    </row>
    <row r="5579" spans="38:40" x14ac:dyDescent="0.3">
      <c r="AL5579">
        <v>0</v>
      </c>
      <c r="AM5579" t="s">
        <v>649</v>
      </c>
      <c r="AN5579" t="s">
        <v>649</v>
      </c>
    </row>
    <row r="5580" spans="38:40" x14ac:dyDescent="0.3">
      <c r="AL5580">
        <v>0</v>
      </c>
      <c r="AM5580" t="s">
        <v>649</v>
      </c>
      <c r="AN5580" t="s">
        <v>649</v>
      </c>
    </row>
    <row r="5581" spans="38:40" x14ac:dyDescent="0.3">
      <c r="AL5581">
        <v>0</v>
      </c>
      <c r="AM5581" t="s">
        <v>649</v>
      </c>
      <c r="AN5581" t="s">
        <v>649</v>
      </c>
    </row>
    <row r="5582" spans="38:40" x14ac:dyDescent="0.3">
      <c r="AL5582">
        <v>0</v>
      </c>
      <c r="AM5582" t="s">
        <v>649</v>
      </c>
      <c r="AN5582" t="s">
        <v>649</v>
      </c>
    </row>
    <row r="5583" spans="38:40" x14ac:dyDescent="0.3">
      <c r="AL5583">
        <v>0</v>
      </c>
      <c r="AM5583" t="s">
        <v>649</v>
      </c>
      <c r="AN5583" t="s">
        <v>649</v>
      </c>
    </row>
    <row r="5584" spans="38:40" x14ac:dyDescent="0.3">
      <c r="AL5584">
        <v>0</v>
      </c>
      <c r="AM5584" t="s">
        <v>649</v>
      </c>
      <c r="AN5584" t="s">
        <v>649</v>
      </c>
    </row>
    <row r="5585" spans="38:40" x14ac:dyDescent="0.3">
      <c r="AL5585">
        <v>0</v>
      </c>
      <c r="AM5585" t="s">
        <v>649</v>
      </c>
      <c r="AN5585" t="s">
        <v>649</v>
      </c>
    </row>
    <row r="5586" spans="38:40" x14ac:dyDescent="0.3">
      <c r="AL5586">
        <v>0</v>
      </c>
      <c r="AM5586" t="s">
        <v>649</v>
      </c>
      <c r="AN5586" t="s">
        <v>649</v>
      </c>
    </row>
    <row r="5587" spans="38:40" x14ac:dyDescent="0.3">
      <c r="AL5587">
        <v>0</v>
      </c>
      <c r="AM5587" t="s">
        <v>649</v>
      </c>
      <c r="AN5587" t="s">
        <v>649</v>
      </c>
    </row>
    <row r="5588" spans="38:40" x14ac:dyDescent="0.3">
      <c r="AL5588">
        <v>0</v>
      </c>
      <c r="AM5588" t="s">
        <v>649</v>
      </c>
      <c r="AN5588" t="s">
        <v>649</v>
      </c>
    </row>
    <row r="5589" spans="38:40" x14ac:dyDescent="0.3">
      <c r="AL5589">
        <v>0</v>
      </c>
      <c r="AM5589" t="s">
        <v>649</v>
      </c>
      <c r="AN5589" t="s">
        <v>649</v>
      </c>
    </row>
    <row r="5590" spans="38:40" x14ac:dyDescent="0.3">
      <c r="AL5590">
        <v>0</v>
      </c>
      <c r="AM5590" t="s">
        <v>649</v>
      </c>
      <c r="AN5590" t="s">
        <v>649</v>
      </c>
    </row>
    <row r="5591" spans="38:40" x14ac:dyDescent="0.3">
      <c r="AL5591">
        <v>0</v>
      </c>
      <c r="AM5591" t="s">
        <v>649</v>
      </c>
      <c r="AN5591" t="s">
        <v>649</v>
      </c>
    </row>
    <row r="5592" spans="38:40" x14ac:dyDescent="0.3">
      <c r="AL5592">
        <v>0</v>
      </c>
      <c r="AM5592" t="s">
        <v>649</v>
      </c>
      <c r="AN5592" t="s">
        <v>649</v>
      </c>
    </row>
    <row r="5593" spans="38:40" x14ac:dyDescent="0.3">
      <c r="AL5593">
        <v>0</v>
      </c>
      <c r="AM5593" t="s">
        <v>649</v>
      </c>
      <c r="AN5593" t="s">
        <v>649</v>
      </c>
    </row>
    <row r="5594" spans="38:40" x14ac:dyDescent="0.3">
      <c r="AL5594">
        <v>0</v>
      </c>
      <c r="AM5594" t="s">
        <v>649</v>
      </c>
      <c r="AN5594" t="s">
        <v>649</v>
      </c>
    </row>
    <row r="5595" spans="38:40" x14ac:dyDescent="0.3">
      <c r="AL5595">
        <v>0</v>
      </c>
      <c r="AM5595" t="s">
        <v>649</v>
      </c>
      <c r="AN5595" t="s">
        <v>649</v>
      </c>
    </row>
    <row r="5596" spans="38:40" x14ac:dyDescent="0.3">
      <c r="AL5596">
        <v>0</v>
      </c>
      <c r="AM5596" t="s">
        <v>649</v>
      </c>
      <c r="AN5596" t="s">
        <v>649</v>
      </c>
    </row>
    <row r="5597" spans="38:40" x14ac:dyDescent="0.3">
      <c r="AL5597">
        <v>0</v>
      </c>
      <c r="AM5597" t="s">
        <v>649</v>
      </c>
      <c r="AN5597" t="s">
        <v>649</v>
      </c>
    </row>
    <row r="5598" spans="38:40" x14ac:dyDescent="0.3">
      <c r="AL5598">
        <v>0</v>
      </c>
      <c r="AM5598" t="s">
        <v>649</v>
      </c>
      <c r="AN5598" t="s">
        <v>649</v>
      </c>
    </row>
    <row r="5599" spans="38:40" x14ac:dyDescent="0.3">
      <c r="AL5599">
        <v>0</v>
      </c>
      <c r="AM5599" t="s">
        <v>649</v>
      </c>
      <c r="AN5599" t="s">
        <v>649</v>
      </c>
    </row>
    <row r="5600" spans="38:40" x14ac:dyDescent="0.3">
      <c r="AL5600">
        <v>0</v>
      </c>
      <c r="AM5600" t="s">
        <v>649</v>
      </c>
      <c r="AN5600" t="s">
        <v>649</v>
      </c>
    </row>
    <row r="5601" spans="38:40" x14ac:dyDescent="0.3">
      <c r="AL5601">
        <v>0</v>
      </c>
      <c r="AM5601" t="s">
        <v>649</v>
      </c>
      <c r="AN5601" t="s">
        <v>649</v>
      </c>
    </row>
    <row r="5602" spans="38:40" x14ac:dyDescent="0.3">
      <c r="AL5602">
        <v>0</v>
      </c>
      <c r="AM5602" t="s">
        <v>649</v>
      </c>
      <c r="AN5602" t="s">
        <v>649</v>
      </c>
    </row>
    <row r="5603" spans="38:40" x14ac:dyDescent="0.3">
      <c r="AL5603">
        <v>0</v>
      </c>
      <c r="AM5603" t="s">
        <v>649</v>
      </c>
      <c r="AN5603" t="s">
        <v>649</v>
      </c>
    </row>
    <row r="5604" spans="38:40" x14ac:dyDescent="0.3">
      <c r="AL5604">
        <v>0</v>
      </c>
      <c r="AM5604" t="s">
        <v>649</v>
      </c>
      <c r="AN5604" t="s">
        <v>649</v>
      </c>
    </row>
    <row r="5605" spans="38:40" x14ac:dyDescent="0.3">
      <c r="AL5605">
        <v>0</v>
      </c>
      <c r="AM5605" t="s">
        <v>649</v>
      </c>
      <c r="AN5605" t="s">
        <v>649</v>
      </c>
    </row>
    <row r="5606" spans="38:40" x14ac:dyDescent="0.3">
      <c r="AL5606">
        <v>0</v>
      </c>
      <c r="AM5606" t="s">
        <v>649</v>
      </c>
      <c r="AN5606" t="s">
        <v>649</v>
      </c>
    </row>
    <row r="5607" spans="38:40" x14ac:dyDescent="0.3">
      <c r="AL5607">
        <v>0</v>
      </c>
      <c r="AM5607" t="s">
        <v>649</v>
      </c>
      <c r="AN5607" t="s">
        <v>649</v>
      </c>
    </row>
    <row r="5608" spans="38:40" x14ac:dyDescent="0.3">
      <c r="AL5608">
        <v>0</v>
      </c>
      <c r="AM5608" t="s">
        <v>649</v>
      </c>
      <c r="AN5608" t="s">
        <v>649</v>
      </c>
    </row>
    <row r="5609" spans="38:40" x14ac:dyDescent="0.3">
      <c r="AL5609">
        <v>0</v>
      </c>
      <c r="AM5609" t="s">
        <v>649</v>
      </c>
      <c r="AN5609" t="s">
        <v>649</v>
      </c>
    </row>
    <row r="5610" spans="38:40" x14ac:dyDescent="0.3">
      <c r="AL5610">
        <v>0</v>
      </c>
      <c r="AM5610" t="s">
        <v>649</v>
      </c>
      <c r="AN5610" t="s">
        <v>649</v>
      </c>
    </row>
    <row r="5611" spans="38:40" x14ac:dyDescent="0.3">
      <c r="AL5611">
        <v>0</v>
      </c>
      <c r="AM5611" t="s">
        <v>649</v>
      </c>
      <c r="AN5611" t="s">
        <v>649</v>
      </c>
    </row>
    <row r="5612" spans="38:40" x14ac:dyDescent="0.3">
      <c r="AL5612">
        <v>0</v>
      </c>
      <c r="AM5612" t="s">
        <v>649</v>
      </c>
      <c r="AN5612" t="s">
        <v>649</v>
      </c>
    </row>
    <row r="5613" spans="38:40" x14ac:dyDescent="0.3">
      <c r="AL5613">
        <v>0</v>
      </c>
      <c r="AM5613" t="s">
        <v>649</v>
      </c>
      <c r="AN5613" t="s">
        <v>649</v>
      </c>
    </row>
    <row r="5614" spans="38:40" x14ac:dyDescent="0.3">
      <c r="AL5614">
        <v>0</v>
      </c>
      <c r="AM5614" t="s">
        <v>649</v>
      </c>
      <c r="AN5614" t="s">
        <v>649</v>
      </c>
    </row>
    <row r="5615" spans="38:40" x14ac:dyDescent="0.3">
      <c r="AL5615">
        <v>0</v>
      </c>
      <c r="AM5615" t="s">
        <v>649</v>
      </c>
      <c r="AN5615" t="s">
        <v>649</v>
      </c>
    </row>
    <row r="5616" spans="38:40" x14ac:dyDescent="0.3">
      <c r="AL5616">
        <v>0</v>
      </c>
      <c r="AM5616" t="s">
        <v>649</v>
      </c>
      <c r="AN5616" t="s">
        <v>649</v>
      </c>
    </row>
    <row r="5617" spans="38:40" x14ac:dyDescent="0.3">
      <c r="AL5617">
        <v>0</v>
      </c>
      <c r="AM5617" t="s">
        <v>649</v>
      </c>
      <c r="AN5617" t="s">
        <v>649</v>
      </c>
    </row>
    <row r="5618" spans="38:40" x14ac:dyDescent="0.3">
      <c r="AL5618">
        <v>0</v>
      </c>
      <c r="AM5618" t="s">
        <v>649</v>
      </c>
      <c r="AN5618" t="s">
        <v>649</v>
      </c>
    </row>
    <row r="5619" spans="38:40" x14ac:dyDescent="0.3">
      <c r="AL5619">
        <v>0</v>
      </c>
      <c r="AM5619" t="s">
        <v>649</v>
      </c>
      <c r="AN5619" t="s">
        <v>649</v>
      </c>
    </row>
    <row r="5620" spans="38:40" x14ac:dyDescent="0.3">
      <c r="AL5620">
        <v>0</v>
      </c>
      <c r="AM5620" t="s">
        <v>649</v>
      </c>
      <c r="AN5620" t="s">
        <v>649</v>
      </c>
    </row>
    <row r="5621" spans="38:40" x14ac:dyDescent="0.3">
      <c r="AL5621">
        <v>0</v>
      </c>
      <c r="AM5621" t="s">
        <v>649</v>
      </c>
      <c r="AN5621" t="s">
        <v>649</v>
      </c>
    </row>
    <row r="5622" spans="38:40" x14ac:dyDescent="0.3">
      <c r="AL5622">
        <v>0</v>
      </c>
      <c r="AM5622" t="s">
        <v>649</v>
      </c>
      <c r="AN5622" t="s">
        <v>649</v>
      </c>
    </row>
    <row r="5623" spans="38:40" x14ac:dyDescent="0.3">
      <c r="AL5623">
        <v>0</v>
      </c>
      <c r="AM5623" t="s">
        <v>649</v>
      </c>
      <c r="AN5623" t="s">
        <v>649</v>
      </c>
    </row>
    <row r="5624" spans="38:40" x14ac:dyDescent="0.3">
      <c r="AL5624">
        <v>0</v>
      </c>
      <c r="AM5624" t="s">
        <v>649</v>
      </c>
      <c r="AN5624" t="s">
        <v>649</v>
      </c>
    </row>
    <row r="5625" spans="38:40" x14ac:dyDescent="0.3">
      <c r="AL5625">
        <v>0</v>
      </c>
      <c r="AM5625" t="s">
        <v>649</v>
      </c>
      <c r="AN5625" t="s">
        <v>649</v>
      </c>
    </row>
    <row r="5626" spans="38:40" x14ac:dyDescent="0.3">
      <c r="AL5626">
        <v>0</v>
      </c>
      <c r="AM5626" t="s">
        <v>649</v>
      </c>
      <c r="AN5626" t="s">
        <v>649</v>
      </c>
    </row>
    <row r="5627" spans="38:40" x14ac:dyDescent="0.3">
      <c r="AL5627">
        <v>0</v>
      </c>
      <c r="AM5627" t="s">
        <v>649</v>
      </c>
      <c r="AN5627" t="s">
        <v>649</v>
      </c>
    </row>
    <row r="5628" spans="38:40" x14ac:dyDescent="0.3">
      <c r="AL5628">
        <v>0</v>
      </c>
      <c r="AM5628" t="s">
        <v>649</v>
      </c>
      <c r="AN5628" t="s">
        <v>649</v>
      </c>
    </row>
    <row r="5629" spans="38:40" x14ac:dyDescent="0.3">
      <c r="AL5629">
        <v>0</v>
      </c>
      <c r="AM5629" t="s">
        <v>649</v>
      </c>
      <c r="AN5629" t="s">
        <v>649</v>
      </c>
    </row>
    <row r="5630" spans="38:40" x14ac:dyDescent="0.3">
      <c r="AL5630">
        <v>0</v>
      </c>
      <c r="AM5630" t="s">
        <v>649</v>
      </c>
      <c r="AN5630" t="s">
        <v>649</v>
      </c>
    </row>
    <row r="5631" spans="38:40" x14ac:dyDescent="0.3">
      <c r="AL5631">
        <v>0</v>
      </c>
      <c r="AM5631" t="s">
        <v>649</v>
      </c>
      <c r="AN5631" t="s">
        <v>649</v>
      </c>
    </row>
    <row r="5632" spans="38:40" x14ac:dyDescent="0.3">
      <c r="AL5632">
        <v>0</v>
      </c>
      <c r="AM5632" t="s">
        <v>649</v>
      </c>
      <c r="AN5632" t="s">
        <v>649</v>
      </c>
    </row>
    <row r="5633" spans="38:40" x14ac:dyDescent="0.3">
      <c r="AL5633">
        <v>0</v>
      </c>
      <c r="AM5633" t="s">
        <v>649</v>
      </c>
      <c r="AN5633" t="s">
        <v>649</v>
      </c>
    </row>
    <row r="5634" spans="38:40" x14ac:dyDescent="0.3">
      <c r="AL5634">
        <v>0</v>
      </c>
      <c r="AM5634" t="s">
        <v>649</v>
      </c>
      <c r="AN5634" t="s">
        <v>649</v>
      </c>
    </row>
    <row r="5635" spans="38:40" x14ac:dyDescent="0.3">
      <c r="AL5635">
        <v>0</v>
      </c>
      <c r="AM5635" t="s">
        <v>649</v>
      </c>
      <c r="AN5635" t="s">
        <v>649</v>
      </c>
    </row>
    <row r="5636" spans="38:40" x14ac:dyDescent="0.3">
      <c r="AL5636">
        <v>0</v>
      </c>
      <c r="AM5636" t="s">
        <v>649</v>
      </c>
      <c r="AN5636" t="s">
        <v>649</v>
      </c>
    </row>
    <row r="5637" spans="38:40" x14ac:dyDescent="0.3">
      <c r="AL5637">
        <v>0</v>
      </c>
      <c r="AM5637" t="s">
        <v>649</v>
      </c>
      <c r="AN5637" t="s">
        <v>649</v>
      </c>
    </row>
    <row r="5638" spans="38:40" x14ac:dyDescent="0.3">
      <c r="AL5638">
        <v>0</v>
      </c>
      <c r="AM5638" t="s">
        <v>649</v>
      </c>
      <c r="AN5638" t="s">
        <v>649</v>
      </c>
    </row>
    <row r="5639" spans="38:40" x14ac:dyDescent="0.3">
      <c r="AL5639">
        <v>0</v>
      </c>
      <c r="AM5639" t="s">
        <v>649</v>
      </c>
      <c r="AN5639" t="s">
        <v>649</v>
      </c>
    </row>
    <row r="5640" spans="38:40" x14ac:dyDescent="0.3">
      <c r="AL5640">
        <v>0</v>
      </c>
      <c r="AM5640" t="s">
        <v>649</v>
      </c>
      <c r="AN5640" t="s">
        <v>649</v>
      </c>
    </row>
    <row r="5641" spans="38:40" x14ac:dyDescent="0.3">
      <c r="AL5641">
        <v>0</v>
      </c>
      <c r="AM5641" t="s">
        <v>649</v>
      </c>
      <c r="AN5641" t="s">
        <v>649</v>
      </c>
    </row>
    <row r="5642" spans="38:40" x14ac:dyDescent="0.3">
      <c r="AL5642">
        <v>0</v>
      </c>
      <c r="AM5642" t="s">
        <v>649</v>
      </c>
      <c r="AN5642" t="s">
        <v>649</v>
      </c>
    </row>
    <row r="5643" spans="38:40" x14ac:dyDescent="0.3">
      <c r="AL5643">
        <v>0</v>
      </c>
      <c r="AM5643" t="s">
        <v>649</v>
      </c>
      <c r="AN5643" t="s">
        <v>649</v>
      </c>
    </row>
    <row r="5644" spans="38:40" x14ac:dyDescent="0.3">
      <c r="AL5644">
        <v>0</v>
      </c>
      <c r="AM5644" t="s">
        <v>649</v>
      </c>
      <c r="AN5644" t="s">
        <v>649</v>
      </c>
    </row>
    <row r="5645" spans="38:40" x14ac:dyDescent="0.3">
      <c r="AL5645">
        <v>0</v>
      </c>
      <c r="AM5645" t="s">
        <v>649</v>
      </c>
      <c r="AN5645" t="s">
        <v>649</v>
      </c>
    </row>
    <row r="5646" spans="38:40" x14ac:dyDescent="0.3">
      <c r="AL5646">
        <v>0</v>
      </c>
      <c r="AM5646" t="s">
        <v>649</v>
      </c>
      <c r="AN5646" t="s">
        <v>649</v>
      </c>
    </row>
    <row r="5647" spans="38:40" x14ac:dyDescent="0.3">
      <c r="AL5647">
        <v>0</v>
      </c>
      <c r="AM5647" t="s">
        <v>649</v>
      </c>
      <c r="AN5647" t="s">
        <v>649</v>
      </c>
    </row>
    <row r="5648" spans="38:40" x14ac:dyDescent="0.3">
      <c r="AL5648">
        <v>0</v>
      </c>
      <c r="AM5648" t="s">
        <v>649</v>
      </c>
      <c r="AN5648" t="s">
        <v>649</v>
      </c>
    </row>
    <row r="5649" spans="38:40" x14ac:dyDescent="0.3">
      <c r="AL5649">
        <v>0</v>
      </c>
      <c r="AM5649" t="s">
        <v>649</v>
      </c>
      <c r="AN5649" t="s">
        <v>649</v>
      </c>
    </row>
    <row r="5650" spans="38:40" x14ac:dyDescent="0.3">
      <c r="AL5650">
        <v>0</v>
      </c>
      <c r="AM5650" t="s">
        <v>649</v>
      </c>
      <c r="AN5650" t="s">
        <v>649</v>
      </c>
    </row>
    <row r="5651" spans="38:40" x14ac:dyDescent="0.3">
      <c r="AL5651">
        <v>0</v>
      </c>
      <c r="AM5651" t="s">
        <v>649</v>
      </c>
      <c r="AN5651" t="s">
        <v>649</v>
      </c>
    </row>
    <row r="5652" spans="38:40" x14ac:dyDescent="0.3">
      <c r="AL5652">
        <v>0</v>
      </c>
      <c r="AM5652" t="s">
        <v>649</v>
      </c>
      <c r="AN5652" t="s">
        <v>649</v>
      </c>
    </row>
    <row r="5653" spans="38:40" x14ac:dyDescent="0.3">
      <c r="AL5653">
        <v>0</v>
      </c>
      <c r="AM5653" t="s">
        <v>649</v>
      </c>
      <c r="AN5653" t="s">
        <v>649</v>
      </c>
    </row>
    <row r="5654" spans="38:40" x14ac:dyDescent="0.3">
      <c r="AL5654">
        <v>0</v>
      </c>
      <c r="AM5654" t="s">
        <v>649</v>
      </c>
      <c r="AN5654" t="s">
        <v>649</v>
      </c>
    </row>
    <row r="5655" spans="38:40" x14ac:dyDescent="0.3">
      <c r="AL5655">
        <v>0</v>
      </c>
      <c r="AM5655" t="s">
        <v>649</v>
      </c>
      <c r="AN5655" t="s">
        <v>649</v>
      </c>
    </row>
    <row r="5656" spans="38:40" x14ac:dyDescent="0.3">
      <c r="AL5656">
        <v>0</v>
      </c>
      <c r="AM5656" t="s">
        <v>649</v>
      </c>
      <c r="AN5656" t="s">
        <v>649</v>
      </c>
    </row>
    <row r="5657" spans="38:40" x14ac:dyDescent="0.3">
      <c r="AL5657">
        <v>0</v>
      </c>
      <c r="AM5657" t="s">
        <v>649</v>
      </c>
      <c r="AN5657" t="s">
        <v>649</v>
      </c>
    </row>
    <row r="5658" spans="38:40" x14ac:dyDescent="0.3">
      <c r="AL5658">
        <v>0</v>
      </c>
      <c r="AM5658" t="s">
        <v>649</v>
      </c>
      <c r="AN5658" t="s">
        <v>649</v>
      </c>
    </row>
    <row r="5659" spans="38:40" x14ac:dyDescent="0.3">
      <c r="AL5659">
        <v>0</v>
      </c>
      <c r="AM5659" t="s">
        <v>649</v>
      </c>
      <c r="AN5659" t="s">
        <v>649</v>
      </c>
    </row>
    <row r="5660" spans="38:40" x14ac:dyDescent="0.3">
      <c r="AL5660">
        <v>0</v>
      </c>
      <c r="AM5660" t="s">
        <v>649</v>
      </c>
      <c r="AN5660" t="s">
        <v>649</v>
      </c>
    </row>
    <row r="5661" spans="38:40" x14ac:dyDescent="0.3">
      <c r="AL5661">
        <v>0</v>
      </c>
      <c r="AM5661" t="s">
        <v>649</v>
      </c>
      <c r="AN5661" t="s">
        <v>649</v>
      </c>
    </row>
    <row r="5662" spans="38:40" x14ac:dyDescent="0.3">
      <c r="AL5662">
        <v>0</v>
      </c>
      <c r="AM5662" t="s">
        <v>649</v>
      </c>
      <c r="AN5662" t="s">
        <v>649</v>
      </c>
    </row>
    <row r="5663" spans="38:40" x14ac:dyDescent="0.3">
      <c r="AL5663">
        <v>0</v>
      </c>
      <c r="AM5663" t="s">
        <v>649</v>
      </c>
      <c r="AN5663" t="s">
        <v>649</v>
      </c>
    </row>
    <row r="5664" spans="38:40" x14ac:dyDescent="0.3">
      <c r="AL5664">
        <v>0</v>
      </c>
      <c r="AM5664" t="s">
        <v>649</v>
      </c>
      <c r="AN5664" t="s">
        <v>649</v>
      </c>
    </row>
    <row r="5665" spans="38:40" x14ac:dyDescent="0.3">
      <c r="AL5665">
        <v>0</v>
      </c>
      <c r="AM5665" t="s">
        <v>649</v>
      </c>
      <c r="AN5665" t="s">
        <v>649</v>
      </c>
    </row>
    <row r="5666" spans="38:40" x14ac:dyDescent="0.3">
      <c r="AL5666">
        <v>0</v>
      </c>
      <c r="AM5666" t="s">
        <v>649</v>
      </c>
      <c r="AN5666" t="s">
        <v>649</v>
      </c>
    </row>
    <row r="5667" spans="38:40" x14ac:dyDescent="0.3">
      <c r="AL5667">
        <v>0</v>
      </c>
      <c r="AM5667" t="s">
        <v>649</v>
      </c>
      <c r="AN5667" t="s">
        <v>649</v>
      </c>
    </row>
    <row r="5668" spans="38:40" x14ac:dyDescent="0.3">
      <c r="AL5668">
        <v>0</v>
      </c>
      <c r="AM5668" t="s">
        <v>649</v>
      </c>
      <c r="AN5668" t="s">
        <v>649</v>
      </c>
    </row>
    <row r="5669" spans="38:40" x14ac:dyDescent="0.3">
      <c r="AL5669">
        <v>0</v>
      </c>
      <c r="AM5669" t="s">
        <v>649</v>
      </c>
      <c r="AN5669" t="s">
        <v>649</v>
      </c>
    </row>
    <row r="5670" spans="38:40" x14ac:dyDescent="0.3">
      <c r="AL5670">
        <v>0</v>
      </c>
      <c r="AM5670" t="s">
        <v>649</v>
      </c>
      <c r="AN5670" t="s">
        <v>649</v>
      </c>
    </row>
    <row r="5671" spans="38:40" x14ac:dyDescent="0.3">
      <c r="AL5671">
        <v>0</v>
      </c>
      <c r="AM5671" t="s">
        <v>649</v>
      </c>
      <c r="AN5671" t="s">
        <v>649</v>
      </c>
    </row>
    <row r="5672" spans="38:40" x14ac:dyDescent="0.3">
      <c r="AL5672">
        <v>0</v>
      </c>
      <c r="AM5672" t="s">
        <v>649</v>
      </c>
      <c r="AN5672" t="s">
        <v>649</v>
      </c>
    </row>
    <row r="5673" spans="38:40" x14ac:dyDescent="0.3">
      <c r="AL5673">
        <v>0</v>
      </c>
      <c r="AM5673" t="s">
        <v>649</v>
      </c>
      <c r="AN5673" t="s">
        <v>649</v>
      </c>
    </row>
    <row r="5674" spans="38:40" x14ac:dyDescent="0.3">
      <c r="AL5674">
        <v>0</v>
      </c>
      <c r="AM5674" t="s">
        <v>649</v>
      </c>
      <c r="AN5674" t="s">
        <v>649</v>
      </c>
    </row>
    <row r="5675" spans="38:40" x14ac:dyDescent="0.3">
      <c r="AL5675">
        <v>0</v>
      </c>
      <c r="AM5675" t="s">
        <v>649</v>
      </c>
      <c r="AN5675" t="s">
        <v>649</v>
      </c>
    </row>
    <row r="5676" spans="38:40" x14ac:dyDescent="0.3">
      <c r="AL5676">
        <v>0</v>
      </c>
      <c r="AM5676" t="s">
        <v>649</v>
      </c>
      <c r="AN5676" t="s">
        <v>649</v>
      </c>
    </row>
    <row r="5677" spans="38:40" x14ac:dyDescent="0.3">
      <c r="AL5677">
        <v>0</v>
      </c>
      <c r="AM5677" t="s">
        <v>649</v>
      </c>
      <c r="AN5677" t="s">
        <v>649</v>
      </c>
    </row>
    <row r="5678" spans="38:40" x14ac:dyDescent="0.3">
      <c r="AL5678">
        <v>0</v>
      </c>
      <c r="AM5678" t="s">
        <v>649</v>
      </c>
      <c r="AN5678" t="s">
        <v>649</v>
      </c>
    </row>
    <row r="5679" spans="38:40" x14ac:dyDescent="0.3">
      <c r="AL5679">
        <v>0</v>
      </c>
      <c r="AM5679" t="s">
        <v>649</v>
      </c>
      <c r="AN5679" t="s">
        <v>649</v>
      </c>
    </row>
    <row r="5680" spans="38:40" x14ac:dyDescent="0.3">
      <c r="AL5680">
        <v>0</v>
      </c>
      <c r="AM5680" t="s">
        <v>649</v>
      </c>
      <c r="AN5680" t="s">
        <v>649</v>
      </c>
    </row>
    <row r="5681" spans="38:40" x14ac:dyDescent="0.3">
      <c r="AL5681">
        <v>0</v>
      </c>
      <c r="AM5681" t="s">
        <v>649</v>
      </c>
      <c r="AN5681" t="s">
        <v>649</v>
      </c>
    </row>
    <row r="5682" spans="38:40" x14ac:dyDescent="0.3">
      <c r="AL5682">
        <v>0</v>
      </c>
      <c r="AM5682" t="s">
        <v>649</v>
      </c>
      <c r="AN5682" t="s">
        <v>649</v>
      </c>
    </row>
    <row r="5683" spans="38:40" x14ac:dyDescent="0.3">
      <c r="AL5683">
        <v>0</v>
      </c>
      <c r="AM5683" t="s">
        <v>649</v>
      </c>
      <c r="AN5683" t="s">
        <v>649</v>
      </c>
    </row>
    <row r="5684" spans="38:40" x14ac:dyDescent="0.3">
      <c r="AL5684">
        <v>0</v>
      </c>
      <c r="AM5684" t="s">
        <v>649</v>
      </c>
      <c r="AN5684" t="s">
        <v>649</v>
      </c>
    </row>
    <row r="5685" spans="38:40" x14ac:dyDescent="0.3">
      <c r="AL5685">
        <v>0</v>
      </c>
      <c r="AM5685" t="s">
        <v>649</v>
      </c>
      <c r="AN5685" t="s">
        <v>649</v>
      </c>
    </row>
    <row r="5686" spans="38:40" x14ac:dyDescent="0.3">
      <c r="AL5686">
        <v>0</v>
      </c>
      <c r="AM5686" t="s">
        <v>649</v>
      </c>
      <c r="AN5686" t="s">
        <v>649</v>
      </c>
    </row>
    <row r="5687" spans="38:40" x14ac:dyDescent="0.3">
      <c r="AL5687">
        <v>0</v>
      </c>
      <c r="AM5687" t="s">
        <v>649</v>
      </c>
      <c r="AN5687" t="s">
        <v>649</v>
      </c>
    </row>
    <row r="5688" spans="38:40" x14ac:dyDescent="0.3">
      <c r="AL5688">
        <v>0</v>
      </c>
      <c r="AM5688" t="s">
        <v>649</v>
      </c>
      <c r="AN5688" t="s">
        <v>649</v>
      </c>
    </row>
    <row r="5689" spans="38:40" x14ac:dyDescent="0.3">
      <c r="AL5689">
        <v>0</v>
      </c>
      <c r="AM5689" t="s">
        <v>649</v>
      </c>
      <c r="AN5689" t="s">
        <v>649</v>
      </c>
    </row>
    <row r="5690" spans="38:40" x14ac:dyDescent="0.3">
      <c r="AL5690">
        <v>0</v>
      </c>
      <c r="AM5690" t="s">
        <v>649</v>
      </c>
      <c r="AN5690" t="s">
        <v>649</v>
      </c>
    </row>
    <row r="5691" spans="38:40" x14ac:dyDescent="0.3">
      <c r="AL5691">
        <v>0</v>
      </c>
      <c r="AM5691" t="s">
        <v>649</v>
      </c>
      <c r="AN5691" t="s">
        <v>649</v>
      </c>
    </row>
    <row r="5692" spans="38:40" x14ac:dyDescent="0.3">
      <c r="AL5692">
        <v>0</v>
      </c>
      <c r="AM5692" t="s">
        <v>649</v>
      </c>
      <c r="AN5692" t="s">
        <v>649</v>
      </c>
    </row>
    <row r="5693" spans="38:40" x14ac:dyDescent="0.3">
      <c r="AL5693">
        <v>0</v>
      </c>
      <c r="AM5693" t="s">
        <v>649</v>
      </c>
      <c r="AN5693" t="s">
        <v>649</v>
      </c>
    </row>
    <row r="5694" spans="38:40" x14ac:dyDescent="0.3">
      <c r="AL5694">
        <v>0</v>
      </c>
      <c r="AM5694" t="s">
        <v>649</v>
      </c>
      <c r="AN5694" t="s">
        <v>649</v>
      </c>
    </row>
    <row r="5695" spans="38:40" x14ac:dyDescent="0.3">
      <c r="AL5695">
        <v>0</v>
      </c>
      <c r="AM5695" t="s">
        <v>649</v>
      </c>
      <c r="AN5695" t="s">
        <v>649</v>
      </c>
    </row>
    <row r="5696" spans="38:40" x14ac:dyDescent="0.3">
      <c r="AL5696">
        <v>0</v>
      </c>
      <c r="AM5696" t="s">
        <v>649</v>
      </c>
      <c r="AN5696" t="s">
        <v>649</v>
      </c>
    </row>
    <row r="5697" spans="38:40" x14ac:dyDescent="0.3">
      <c r="AL5697">
        <v>0</v>
      </c>
      <c r="AM5697" t="s">
        <v>649</v>
      </c>
      <c r="AN5697" t="s">
        <v>649</v>
      </c>
    </row>
    <row r="5698" spans="38:40" x14ac:dyDescent="0.3">
      <c r="AL5698">
        <v>0</v>
      </c>
      <c r="AM5698" t="s">
        <v>649</v>
      </c>
      <c r="AN5698" t="s">
        <v>649</v>
      </c>
    </row>
    <row r="5699" spans="38:40" x14ac:dyDescent="0.3">
      <c r="AL5699">
        <v>0</v>
      </c>
      <c r="AM5699" t="s">
        <v>649</v>
      </c>
      <c r="AN5699" t="s">
        <v>649</v>
      </c>
    </row>
    <row r="5700" spans="38:40" x14ac:dyDescent="0.3">
      <c r="AL5700">
        <v>0</v>
      </c>
      <c r="AM5700" t="s">
        <v>649</v>
      </c>
      <c r="AN5700" t="s">
        <v>649</v>
      </c>
    </row>
    <row r="5701" spans="38:40" x14ac:dyDescent="0.3">
      <c r="AL5701">
        <v>0</v>
      </c>
      <c r="AM5701" t="s">
        <v>649</v>
      </c>
      <c r="AN5701" t="s">
        <v>649</v>
      </c>
    </row>
    <row r="5702" spans="38:40" x14ac:dyDescent="0.3">
      <c r="AL5702">
        <v>0</v>
      </c>
      <c r="AM5702" t="s">
        <v>649</v>
      </c>
      <c r="AN5702" t="s">
        <v>649</v>
      </c>
    </row>
    <row r="5703" spans="38:40" x14ac:dyDescent="0.3">
      <c r="AL5703">
        <v>0</v>
      </c>
      <c r="AM5703" t="s">
        <v>649</v>
      </c>
      <c r="AN5703" t="s">
        <v>649</v>
      </c>
    </row>
    <row r="5704" spans="38:40" x14ac:dyDescent="0.3">
      <c r="AL5704">
        <v>0</v>
      </c>
      <c r="AM5704" t="s">
        <v>649</v>
      </c>
      <c r="AN5704" t="s">
        <v>649</v>
      </c>
    </row>
    <row r="5705" spans="38:40" x14ac:dyDescent="0.3">
      <c r="AL5705">
        <v>0</v>
      </c>
      <c r="AM5705" t="s">
        <v>649</v>
      </c>
      <c r="AN5705" t="s">
        <v>649</v>
      </c>
    </row>
    <row r="5706" spans="38:40" x14ac:dyDescent="0.3">
      <c r="AL5706">
        <v>0</v>
      </c>
      <c r="AM5706" t="s">
        <v>649</v>
      </c>
      <c r="AN5706" t="s">
        <v>649</v>
      </c>
    </row>
    <row r="5707" spans="38:40" x14ac:dyDescent="0.3">
      <c r="AL5707">
        <v>0</v>
      </c>
      <c r="AM5707" t="s">
        <v>649</v>
      </c>
      <c r="AN5707" t="s">
        <v>649</v>
      </c>
    </row>
    <row r="5708" spans="38:40" x14ac:dyDescent="0.3">
      <c r="AL5708">
        <v>0</v>
      </c>
      <c r="AM5708" t="s">
        <v>649</v>
      </c>
      <c r="AN5708" t="s">
        <v>649</v>
      </c>
    </row>
    <row r="5709" spans="38:40" x14ac:dyDescent="0.3">
      <c r="AL5709">
        <v>0</v>
      </c>
      <c r="AM5709" t="s">
        <v>649</v>
      </c>
      <c r="AN5709" t="s">
        <v>649</v>
      </c>
    </row>
    <row r="5710" spans="38:40" x14ac:dyDescent="0.3">
      <c r="AL5710">
        <v>0</v>
      </c>
      <c r="AM5710" t="s">
        <v>649</v>
      </c>
      <c r="AN5710" t="s">
        <v>649</v>
      </c>
    </row>
    <row r="5711" spans="38:40" x14ac:dyDescent="0.3">
      <c r="AL5711">
        <v>0</v>
      </c>
      <c r="AM5711" t="s">
        <v>649</v>
      </c>
      <c r="AN5711" t="s">
        <v>649</v>
      </c>
    </row>
    <row r="5712" spans="38:40" x14ac:dyDescent="0.3">
      <c r="AL5712">
        <v>0</v>
      </c>
      <c r="AM5712" t="s">
        <v>649</v>
      </c>
      <c r="AN5712" t="s">
        <v>649</v>
      </c>
    </row>
    <row r="5713" spans="38:40" x14ac:dyDescent="0.3">
      <c r="AL5713">
        <v>0</v>
      </c>
      <c r="AM5713" t="s">
        <v>649</v>
      </c>
      <c r="AN5713" t="s">
        <v>649</v>
      </c>
    </row>
    <row r="5714" spans="38:40" x14ac:dyDescent="0.3">
      <c r="AL5714">
        <v>0</v>
      </c>
      <c r="AM5714" t="s">
        <v>649</v>
      </c>
      <c r="AN5714" t="s">
        <v>649</v>
      </c>
    </row>
    <row r="5715" spans="38:40" x14ac:dyDescent="0.3">
      <c r="AL5715">
        <v>0</v>
      </c>
      <c r="AM5715" t="s">
        <v>649</v>
      </c>
      <c r="AN5715" t="s">
        <v>649</v>
      </c>
    </row>
    <row r="5716" spans="38:40" x14ac:dyDescent="0.3">
      <c r="AL5716">
        <v>0</v>
      </c>
      <c r="AM5716" t="s">
        <v>649</v>
      </c>
      <c r="AN5716" t="s">
        <v>649</v>
      </c>
    </row>
    <row r="5717" spans="38:40" x14ac:dyDescent="0.3">
      <c r="AL5717">
        <v>0</v>
      </c>
      <c r="AM5717" t="s">
        <v>649</v>
      </c>
      <c r="AN5717" t="s">
        <v>649</v>
      </c>
    </row>
    <row r="5718" spans="38:40" x14ac:dyDescent="0.3">
      <c r="AL5718">
        <v>0</v>
      </c>
      <c r="AM5718" t="s">
        <v>649</v>
      </c>
      <c r="AN5718" t="s">
        <v>649</v>
      </c>
    </row>
    <row r="5719" spans="38:40" x14ac:dyDescent="0.3">
      <c r="AL5719">
        <v>0</v>
      </c>
      <c r="AM5719" t="s">
        <v>649</v>
      </c>
      <c r="AN5719" t="s">
        <v>649</v>
      </c>
    </row>
    <row r="5720" spans="38:40" x14ac:dyDescent="0.3">
      <c r="AL5720">
        <v>0</v>
      </c>
      <c r="AM5720" t="s">
        <v>649</v>
      </c>
      <c r="AN5720" t="s">
        <v>649</v>
      </c>
    </row>
    <row r="5721" spans="38:40" x14ac:dyDescent="0.3">
      <c r="AL5721">
        <v>0</v>
      </c>
      <c r="AM5721" t="s">
        <v>649</v>
      </c>
      <c r="AN5721" t="s">
        <v>649</v>
      </c>
    </row>
    <row r="5722" spans="38:40" x14ac:dyDescent="0.3">
      <c r="AL5722">
        <v>0</v>
      </c>
      <c r="AM5722" t="s">
        <v>649</v>
      </c>
      <c r="AN5722" t="s">
        <v>649</v>
      </c>
    </row>
    <row r="5723" spans="38:40" x14ac:dyDescent="0.3">
      <c r="AL5723">
        <v>0</v>
      </c>
      <c r="AM5723" t="s">
        <v>649</v>
      </c>
      <c r="AN5723" t="s">
        <v>649</v>
      </c>
    </row>
    <row r="5724" spans="38:40" x14ac:dyDescent="0.3">
      <c r="AL5724">
        <v>0</v>
      </c>
      <c r="AM5724" t="s">
        <v>649</v>
      </c>
      <c r="AN5724" t="s">
        <v>649</v>
      </c>
    </row>
    <row r="5725" spans="38:40" x14ac:dyDescent="0.3">
      <c r="AL5725">
        <v>0</v>
      </c>
      <c r="AM5725" t="s">
        <v>649</v>
      </c>
      <c r="AN5725" t="s">
        <v>649</v>
      </c>
    </row>
    <row r="5726" spans="38:40" x14ac:dyDescent="0.3">
      <c r="AL5726">
        <v>0</v>
      </c>
      <c r="AM5726" t="s">
        <v>649</v>
      </c>
      <c r="AN5726" t="s">
        <v>649</v>
      </c>
    </row>
    <row r="5727" spans="38:40" x14ac:dyDescent="0.3">
      <c r="AL5727">
        <v>0</v>
      </c>
      <c r="AM5727" t="s">
        <v>649</v>
      </c>
      <c r="AN5727" t="s">
        <v>649</v>
      </c>
    </row>
    <row r="5728" spans="38:40" x14ac:dyDescent="0.3">
      <c r="AL5728">
        <v>0</v>
      </c>
      <c r="AM5728" t="s">
        <v>649</v>
      </c>
      <c r="AN5728" t="s">
        <v>649</v>
      </c>
    </row>
    <row r="5729" spans="38:40" x14ac:dyDescent="0.3">
      <c r="AL5729">
        <v>0</v>
      </c>
      <c r="AM5729" t="s">
        <v>649</v>
      </c>
      <c r="AN5729" t="s">
        <v>649</v>
      </c>
    </row>
    <row r="5730" spans="38:40" x14ac:dyDescent="0.3">
      <c r="AL5730">
        <v>0</v>
      </c>
      <c r="AM5730" t="s">
        <v>649</v>
      </c>
      <c r="AN5730" t="s">
        <v>649</v>
      </c>
    </row>
    <row r="5731" spans="38:40" x14ac:dyDescent="0.3">
      <c r="AL5731">
        <v>0</v>
      </c>
      <c r="AM5731" t="s">
        <v>649</v>
      </c>
      <c r="AN5731" t="s">
        <v>649</v>
      </c>
    </row>
    <row r="5732" spans="38:40" x14ac:dyDescent="0.3">
      <c r="AL5732">
        <v>0</v>
      </c>
      <c r="AM5732" t="s">
        <v>649</v>
      </c>
      <c r="AN5732" t="s">
        <v>649</v>
      </c>
    </row>
    <row r="5733" spans="38:40" x14ac:dyDescent="0.3">
      <c r="AL5733">
        <v>0</v>
      </c>
      <c r="AM5733" t="s">
        <v>649</v>
      </c>
      <c r="AN5733" t="s">
        <v>649</v>
      </c>
    </row>
    <row r="5734" spans="38:40" x14ac:dyDescent="0.3">
      <c r="AL5734">
        <v>0</v>
      </c>
      <c r="AM5734" t="s">
        <v>649</v>
      </c>
      <c r="AN5734" t="s">
        <v>649</v>
      </c>
    </row>
    <row r="5735" spans="38:40" x14ac:dyDescent="0.3">
      <c r="AL5735">
        <v>0</v>
      </c>
      <c r="AM5735" t="s">
        <v>649</v>
      </c>
      <c r="AN5735" t="s">
        <v>649</v>
      </c>
    </row>
    <row r="5736" spans="38:40" x14ac:dyDescent="0.3">
      <c r="AL5736">
        <v>0</v>
      </c>
      <c r="AM5736" t="s">
        <v>649</v>
      </c>
      <c r="AN5736" t="s">
        <v>649</v>
      </c>
    </row>
    <row r="5737" spans="38:40" x14ac:dyDescent="0.3">
      <c r="AL5737">
        <v>0</v>
      </c>
      <c r="AM5737" t="s">
        <v>649</v>
      </c>
      <c r="AN5737" t="s">
        <v>649</v>
      </c>
    </row>
    <row r="5738" spans="38:40" x14ac:dyDescent="0.3">
      <c r="AL5738">
        <v>0</v>
      </c>
      <c r="AM5738" t="s">
        <v>649</v>
      </c>
      <c r="AN5738" t="s">
        <v>649</v>
      </c>
    </row>
    <row r="5739" spans="38:40" x14ac:dyDescent="0.3">
      <c r="AL5739">
        <v>0</v>
      </c>
      <c r="AM5739" t="s">
        <v>649</v>
      </c>
      <c r="AN5739" t="s">
        <v>649</v>
      </c>
    </row>
    <row r="5740" spans="38:40" x14ac:dyDescent="0.3">
      <c r="AL5740">
        <v>0</v>
      </c>
      <c r="AM5740" t="s">
        <v>649</v>
      </c>
      <c r="AN5740" t="s">
        <v>649</v>
      </c>
    </row>
    <row r="5741" spans="38:40" x14ac:dyDescent="0.3">
      <c r="AL5741">
        <v>0</v>
      </c>
      <c r="AM5741" t="s">
        <v>649</v>
      </c>
      <c r="AN5741" t="s">
        <v>649</v>
      </c>
    </row>
    <row r="5742" spans="38:40" x14ac:dyDescent="0.3">
      <c r="AL5742">
        <v>0</v>
      </c>
      <c r="AM5742" t="s">
        <v>649</v>
      </c>
      <c r="AN5742" t="s">
        <v>649</v>
      </c>
    </row>
    <row r="5743" spans="38:40" x14ac:dyDescent="0.3">
      <c r="AL5743">
        <v>0</v>
      </c>
      <c r="AM5743" t="s">
        <v>649</v>
      </c>
      <c r="AN5743" t="s">
        <v>649</v>
      </c>
    </row>
    <row r="5744" spans="38:40" x14ac:dyDescent="0.3">
      <c r="AL5744">
        <v>0</v>
      </c>
      <c r="AM5744" t="s">
        <v>649</v>
      </c>
      <c r="AN5744" t="s">
        <v>649</v>
      </c>
    </row>
    <row r="5745" spans="38:40" x14ac:dyDescent="0.3">
      <c r="AL5745">
        <v>0</v>
      </c>
      <c r="AM5745" t="s">
        <v>649</v>
      </c>
      <c r="AN5745" t="s">
        <v>649</v>
      </c>
    </row>
    <row r="5746" spans="38:40" x14ac:dyDescent="0.3">
      <c r="AL5746">
        <v>0</v>
      </c>
      <c r="AM5746" t="s">
        <v>649</v>
      </c>
      <c r="AN5746" t="s">
        <v>649</v>
      </c>
    </row>
    <row r="5747" spans="38:40" x14ac:dyDescent="0.3">
      <c r="AL5747">
        <v>0</v>
      </c>
      <c r="AM5747" t="s">
        <v>649</v>
      </c>
      <c r="AN5747" t="s">
        <v>649</v>
      </c>
    </row>
    <row r="5748" spans="38:40" x14ac:dyDescent="0.3">
      <c r="AL5748">
        <v>0</v>
      </c>
      <c r="AM5748" t="s">
        <v>649</v>
      </c>
      <c r="AN5748" t="s">
        <v>649</v>
      </c>
    </row>
    <row r="5749" spans="38:40" x14ac:dyDescent="0.3">
      <c r="AL5749">
        <v>0</v>
      </c>
      <c r="AM5749" t="s">
        <v>649</v>
      </c>
      <c r="AN5749" t="s">
        <v>649</v>
      </c>
    </row>
    <row r="5750" spans="38:40" x14ac:dyDescent="0.3">
      <c r="AL5750">
        <v>0</v>
      </c>
      <c r="AM5750" t="s">
        <v>649</v>
      </c>
      <c r="AN5750" t="s">
        <v>649</v>
      </c>
    </row>
    <row r="5751" spans="38:40" x14ac:dyDescent="0.3">
      <c r="AL5751">
        <v>0</v>
      </c>
      <c r="AM5751" t="s">
        <v>649</v>
      </c>
      <c r="AN5751" t="s">
        <v>649</v>
      </c>
    </row>
    <row r="5752" spans="38:40" x14ac:dyDescent="0.3">
      <c r="AL5752">
        <v>0</v>
      </c>
      <c r="AM5752" t="s">
        <v>649</v>
      </c>
      <c r="AN5752" t="s">
        <v>649</v>
      </c>
    </row>
    <row r="5753" spans="38:40" x14ac:dyDescent="0.3">
      <c r="AL5753">
        <v>0</v>
      </c>
      <c r="AM5753" t="s">
        <v>649</v>
      </c>
      <c r="AN5753" t="s">
        <v>649</v>
      </c>
    </row>
    <row r="5754" spans="38:40" x14ac:dyDescent="0.3">
      <c r="AL5754">
        <v>0</v>
      </c>
      <c r="AM5754" t="s">
        <v>649</v>
      </c>
      <c r="AN5754" t="s">
        <v>649</v>
      </c>
    </row>
    <row r="5755" spans="38:40" x14ac:dyDescent="0.3">
      <c r="AL5755">
        <v>0</v>
      </c>
      <c r="AM5755" t="s">
        <v>649</v>
      </c>
      <c r="AN5755" t="s">
        <v>649</v>
      </c>
    </row>
    <row r="5756" spans="38:40" x14ac:dyDescent="0.3">
      <c r="AL5756">
        <v>0</v>
      </c>
      <c r="AM5756" t="s">
        <v>649</v>
      </c>
      <c r="AN5756" t="s">
        <v>649</v>
      </c>
    </row>
    <row r="5757" spans="38:40" x14ac:dyDescent="0.3">
      <c r="AL5757">
        <v>0</v>
      </c>
      <c r="AM5757" t="s">
        <v>649</v>
      </c>
      <c r="AN5757" t="s">
        <v>649</v>
      </c>
    </row>
    <row r="5758" spans="38:40" x14ac:dyDescent="0.3">
      <c r="AL5758">
        <v>0</v>
      </c>
      <c r="AM5758" t="s">
        <v>649</v>
      </c>
      <c r="AN5758" t="s">
        <v>649</v>
      </c>
    </row>
    <row r="5759" spans="38:40" x14ac:dyDescent="0.3">
      <c r="AL5759">
        <v>0</v>
      </c>
      <c r="AM5759" t="s">
        <v>649</v>
      </c>
      <c r="AN5759" t="s">
        <v>649</v>
      </c>
    </row>
    <row r="5760" spans="38:40" x14ac:dyDescent="0.3">
      <c r="AL5760">
        <v>0</v>
      </c>
      <c r="AM5760" t="s">
        <v>649</v>
      </c>
      <c r="AN5760" t="s">
        <v>649</v>
      </c>
    </row>
    <row r="5761" spans="38:40" x14ac:dyDescent="0.3">
      <c r="AL5761">
        <v>0</v>
      </c>
      <c r="AM5761" t="s">
        <v>649</v>
      </c>
      <c r="AN5761" t="s">
        <v>649</v>
      </c>
    </row>
    <row r="5762" spans="38:40" x14ac:dyDescent="0.3">
      <c r="AL5762">
        <v>0</v>
      </c>
      <c r="AM5762" t="s">
        <v>649</v>
      </c>
      <c r="AN5762" t="s">
        <v>649</v>
      </c>
    </row>
    <row r="5763" spans="38:40" x14ac:dyDescent="0.3">
      <c r="AL5763">
        <v>0</v>
      </c>
      <c r="AM5763" t="s">
        <v>649</v>
      </c>
      <c r="AN5763" t="s">
        <v>649</v>
      </c>
    </row>
    <row r="5764" spans="38:40" x14ac:dyDescent="0.3">
      <c r="AL5764">
        <v>0</v>
      </c>
      <c r="AM5764" t="s">
        <v>649</v>
      </c>
      <c r="AN5764" t="s">
        <v>649</v>
      </c>
    </row>
    <row r="5765" spans="38:40" x14ac:dyDescent="0.3">
      <c r="AL5765">
        <v>0</v>
      </c>
      <c r="AM5765" t="s">
        <v>649</v>
      </c>
      <c r="AN5765" t="s">
        <v>649</v>
      </c>
    </row>
    <row r="5766" spans="38:40" x14ac:dyDescent="0.3">
      <c r="AL5766">
        <v>0</v>
      </c>
      <c r="AM5766" t="s">
        <v>649</v>
      </c>
      <c r="AN5766" t="s">
        <v>649</v>
      </c>
    </row>
    <row r="5767" spans="38:40" x14ac:dyDescent="0.3">
      <c r="AL5767">
        <v>0</v>
      </c>
      <c r="AM5767" t="s">
        <v>649</v>
      </c>
      <c r="AN5767" t="s">
        <v>649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A752-29D7-42C6-93A1-DD2AF1E9CA0B}">
  <dimension ref="A1:D1044"/>
  <sheetViews>
    <sheetView workbookViewId="0">
      <selection activeCell="D12" sqref="D12"/>
    </sheetView>
  </sheetViews>
  <sheetFormatPr defaultRowHeight="14.4" x14ac:dyDescent="0.3"/>
  <sheetData>
    <row r="1" spans="1:4" x14ac:dyDescent="0.3">
      <c r="A1" t="s">
        <v>641</v>
      </c>
      <c r="B1" t="s">
        <v>640</v>
      </c>
      <c r="C1" t="s">
        <v>0</v>
      </c>
      <c r="D1" t="s">
        <v>646</v>
      </c>
    </row>
    <row r="2" spans="1:4" x14ac:dyDescent="0.3">
      <c r="A2" t="s">
        <v>647</v>
      </c>
      <c r="B2" t="s">
        <v>59</v>
      </c>
      <c r="C2" t="s">
        <v>516</v>
      </c>
      <c r="D2">
        <v>4032.5578252377713</v>
      </c>
    </row>
    <row r="3" spans="1:4" x14ac:dyDescent="0.3">
      <c r="A3" t="s">
        <v>647</v>
      </c>
      <c r="B3" t="s">
        <v>59</v>
      </c>
      <c r="C3" t="s">
        <v>8</v>
      </c>
      <c r="D3">
        <v>1655.3013250309655</v>
      </c>
    </row>
    <row r="4" spans="1:4" x14ac:dyDescent="0.3">
      <c r="A4" t="s">
        <v>647</v>
      </c>
      <c r="B4" t="s">
        <v>59</v>
      </c>
      <c r="C4" t="s">
        <v>173</v>
      </c>
      <c r="D4">
        <v>1186.9801291996764</v>
      </c>
    </row>
    <row r="5" spans="1:4" x14ac:dyDescent="0.3">
      <c r="A5" t="s">
        <v>647</v>
      </c>
      <c r="B5" t="s">
        <v>59</v>
      </c>
      <c r="C5" t="s">
        <v>242</v>
      </c>
      <c r="D5">
        <v>999.81953128403188</v>
      </c>
    </row>
    <row r="6" spans="1:4" x14ac:dyDescent="0.3">
      <c r="A6" t="s">
        <v>647</v>
      </c>
      <c r="B6" t="s">
        <v>59</v>
      </c>
      <c r="C6" t="s">
        <v>286</v>
      </c>
      <c r="D6">
        <v>2895.582194551941</v>
      </c>
    </row>
    <row r="7" spans="1:4" x14ac:dyDescent="0.3">
      <c r="A7" t="s">
        <v>647</v>
      </c>
      <c r="B7" t="s">
        <v>59</v>
      </c>
      <c r="C7" t="s">
        <v>339</v>
      </c>
      <c r="D7">
        <v>2005.9421228788469</v>
      </c>
    </row>
    <row r="8" spans="1:4" x14ac:dyDescent="0.3">
      <c r="A8" t="s">
        <v>647</v>
      </c>
      <c r="B8" t="s">
        <v>59</v>
      </c>
      <c r="C8" t="s">
        <v>380</v>
      </c>
      <c r="D8">
        <v>2310.0284434326504</v>
      </c>
    </row>
    <row r="9" spans="1:4" x14ac:dyDescent="0.3">
      <c r="A9" t="s">
        <v>647</v>
      </c>
      <c r="B9" t="s">
        <v>59</v>
      </c>
      <c r="C9" t="s">
        <v>605</v>
      </c>
      <c r="D9">
        <v>399.70143820306259</v>
      </c>
    </row>
    <row r="10" spans="1:4" x14ac:dyDescent="0.3">
      <c r="A10" t="s">
        <v>647</v>
      </c>
      <c r="B10" t="s">
        <v>59</v>
      </c>
      <c r="C10" t="s">
        <v>446</v>
      </c>
      <c r="D10">
        <v>2262.3435469353972</v>
      </c>
    </row>
    <row r="11" spans="1:4" x14ac:dyDescent="0.3">
      <c r="A11" t="s">
        <v>647</v>
      </c>
      <c r="B11" t="s">
        <v>59</v>
      </c>
      <c r="C11" t="s">
        <v>573</v>
      </c>
      <c r="D11">
        <v>982.05672655100079</v>
      </c>
    </row>
    <row r="12" spans="1:4" x14ac:dyDescent="0.3">
      <c r="A12" t="s">
        <v>647</v>
      </c>
      <c r="B12" t="s">
        <v>648</v>
      </c>
      <c r="C12" t="s">
        <v>516</v>
      </c>
      <c r="D12">
        <v>1514.2907341885768</v>
      </c>
    </row>
    <row r="13" spans="1:4" x14ac:dyDescent="0.3">
      <c r="A13" t="s">
        <v>647</v>
      </c>
      <c r="B13" t="s">
        <v>648</v>
      </c>
      <c r="C13" t="s">
        <v>8</v>
      </c>
      <c r="D13">
        <v>709.10140991003823</v>
      </c>
    </row>
    <row r="14" spans="1:4" x14ac:dyDescent="0.3">
      <c r="A14" t="s">
        <v>647</v>
      </c>
      <c r="B14" t="s">
        <v>648</v>
      </c>
      <c r="C14" t="s">
        <v>173</v>
      </c>
      <c r="D14">
        <v>794.26578016474139</v>
      </c>
    </row>
    <row r="15" spans="1:4" x14ac:dyDescent="0.3">
      <c r="A15" t="s">
        <v>647</v>
      </c>
      <c r="B15" t="s">
        <v>648</v>
      </c>
      <c r="C15" t="s">
        <v>242</v>
      </c>
      <c r="D15">
        <v>314.87494695057933</v>
      </c>
    </row>
    <row r="16" spans="1:4" x14ac:dyDescent="0.3">
      <c r="A16" t="s">
        <v>647</v>
      </c>
      <c r="B16" t="s">
        <v>648</v>
      </c>
      <c r="C16" t="s">
        <v>286</v>
      </c>
      <c r="D16">
        <v>370.21587211707049</v>
      </c>
    </row>
    <row r="17" spans="1:4" x14ac:dyDescent="0.3">
      <c r="A17" t="s">
        <v>647</v>
      </c>
      <c r="B17" t="s">
        <v>648</v>
      </c>
      <c r="C17" t="s">
        <v>339</v>
      </c>
      <c r="D17">
        <v>91.740896873466767</v>
      </c>
    </row>
    <row r="18" spans="1:4" x14ac:dyDescent="0.3">
      <c r="A18" t="s">
        <v>647</v>
      </c>
      <c r="B18" t="s">
        <v>648</v>
      </c>
      <c r="C18" t="s">
        <v>380</v>
      </c>
      <c r="D18">
        <v>149.30755882462938</v>
      </c>
    </row>
    <row r="19" spans="1:4" x14ac:dyDescent="0.3">
      <c r="A19" t="s">
        <v>647</v>
      </c>
      <c r="B19" t="s">
        <v>648</v>
      </c>
      <c r="C19" t="s">
        <v>605</v>
      </c>
      <c r="D19">
        <v>237.81967274915343</v>
      </c>
    </row>
    <row r="20" spans="1:4" x14ac:dyDescent="0.3">
      <c r="A20" t="s">
        <v>647</v>
      </c>
      <c r="B20" t="s">
        <v>648</v>
      </c>
      <c r="C20" t="s">
        <v>446</v>
      </c>
      <c r="D20">
        <v>252.07268354714421</v>
      </c>
    </row>
    <row r="21" spans="1:4" x14ac:dyDescent="0.3">
      <c r="A21" t="s">
        <v>647</v>
      </c>
      <c r="B21" t="s">
        <v>648</v>
      </c>
      <c r="C21" t="s">
        <v>573</v>
      </c>
      <c r="D21">
        <v>195.31814966701779</v>
      </c>
    </row>
    <row r="22" spans="1:4" x14ac:dyDescent="0.3">
      <c r="A22" t="s">
        <v>647</v>
      </c>
      <c r="B22" t="s">
        <v>100</v>
      </c>
      <c r="C22" t="s">
        <v>516</v>
      </c>
      <c r="D22">
        <v>126.23937379133116</v>
      </c>
    </row>
    <row r="23" spans="1:4" x14ac:dyDescent="0.3">
      <c r="A23" t="s">
        <v>647</v>
      </c>
      <c r="B23" t="s">
        <v>100</v>
      </c>
      <c r="C23" t="s">
        <v>8</v>
      </c>
      <c r="D23">
        <v>0.99318149667017808</v>
      </c>
    </row>
    <row r="24" spans="1:4" x14ac:dyDescent="0.3">
      <c r="A24" t="s">
        <v>647</v>
      </c>
      <c r="B24" t="s">
        <v>100</v>
      </c>
      <c r="C24" t="s">
        <v>173</v>
      </c>
      <c r="D24">
        <v>70.119686895665581</v>
      </c>
    </row>
    <row r="25" spans="1:4" x14ac:dyDescent="0.3">
      <c r="A25" t="s">
        <v>647</v>
      </c>
      <c r="B25" t="s">
        <v>100</v>
      </c>
      <c r="C25" t="s">
        <v>242</v>
      </c>
      <c r="D25">
        <v>102.38256236125741</v>
      </c>
    </row>
    <row r="26" spans="1:4" x14ac:dyDescent="0.3">
      <c r="A26" t="s">
        <v>647</v>
      </c>
      <c r="B26" t="s">
        <v>100</v>
      </c>
      <c r="C26" t="s">
        <v>286</v>
      </c>
      <c r="D26">
        <v>1.6553024944502968</v>
      </c>
    </row>
    <row r="27" spans="1:4" x14ac:dyDescent="0.3">
      <c r="A27" t="s">
        <v>647</v>
      </c>
      <c r="B27" t="s">
        <v>100</v>
      </c>
      <c r="C27" t="s">
        <v>339</v>
      </c>
      <c r="D27" t="s">
        <v>649</v>
      </c>
    </row>
    <row r="28" spans="1:4" x14ac:dyDescent="0.3">
      <c r="A28" t="s">
        <v>647</v>
      </c>
      <c r="B28" t="s">
        <v>100</v>
      </c>
      <c r="C28" t="s">
        <v>380</v>
      </c>
      <c r="D28">
        <v>4</v>
      </c>
    </row>
    <row r="29" spans="1:4" x14ac:dyDescent="0.3">
      <c r="A29" t="s">
        <v>647</v>
      </c>
      <c r="B29" t="s">
        <v>100</v>
      </c>
      <c r="C29" t="s">
        <v>605</v>
      </c>
      <c r="D29" t="s">
        <v>649</v>
      </c>
    </row>
    <row r="30" spans="1:4" x14ac:dyDescent="0.3">
      <c r="A30" t="s">
        <v>647</v>
      </c>
      <c r="B30" t="s">
        <v>100</v>
      </c>
      <c r="C30" t="s">
        <v>446</v>
      </c>
      <c r="D30">
        <v>40.566661951162615</v>
      </c>
    </row>
    <row r="31" spans="1:4" x14ac:dyDescent="0.3">
      <c r="A31" t="s">
        <v>647</v>
      </c>
      <c r="B31" t="s">
        <v>100</v>
      </c>
      <c r="C31" t="s">
        <v>573</v>
      </c>
      <c r="D31" t="s">
        <v>649</v>
      </c>
    </row>
    <row r="32" spans="1:4" x14ac:dyDescent="0.3">
      <c r="A32" t="s">
        <v>647</v>
      </c>
      <c r="B32" t="s">
        <v>100</v>
      </c>
      <c r="C32" t="s">
        <v>516</v>
      </c>
      <c r="D32">
        <v>3.3174234922304158</v>
      </c>
    </row>
    <row r="33" spans="1:4" x14ac:dyDescent="0.3">
      <c r="A33" t="s">
        <v>647</v>
      </c>
      <c r="B33" t="s">
        <v>100</v>
      </c>
      <c r="C33" t="s">
        <v>8</v>
      </c>
      <c r="D33">
        <v>8.6416654877906538</v>
      </c>
    </row>
    <row r="34" spans="1:4" x14ac:dyDescent="0.3">
      <c r="A34" t="s">
        <v>647</v>
      </c>
      <c r="B34" t="s">
        <v>100</v>
      </c>
      <c r="C34" t="s">
        <v>173</v>
      </c>
      <c r="D34">
        <v>0.99318149667017808</v>
      </c>
    </row>
    <row r="35" spans="1:4" x14ac:dyDescent="0.3">
      <c r="A35" t="s">
        <v>647</v>
      </c>
      <c r="B35" t="s">
        <v>100</v>
      </c>
      <c r="C35" t="s">
        <v>242</v>
      </c>
      <c r="D35">
        <v>2.9795444900105341</v>
      </c>
    </row>
    <row r="36" spans="1:4" x14ac:dyDescent="0.3">
      <c r="A36" t="s">
        <v>647</v>
      </c>
      <c r="B36" t="s">
        <v>100</v>
      </c>
      <c r="C36" t="s">
        <v>286</v>
      </c>
      <c r="D36" t="s">
        <v>649</v>
      </c>
    </row>
    <row r="37" spans="1:4" x14ac:dyDescent="0.3">
      <c r="A37" t="s">
        <v>647</v>
      </c>
      <c r="B37" t="s">
        <v>100</v>
      </c>
      <c r="C37" t="s">
        <v>339</v>
      </c>
      <c r="D37">
        <v>0.66212099778011868</v>
      </c>
    </row>
    <row r="38" spans="1:4" x14ac:dyDescent="0.3">
      <c r="A38" t="s">
        <v>647</v>
      </c>
      <c r="B38" t="s">
        <v>100</v>
      </c>
      <c r="C38" t="s">
        <v>380</v>
      </c>
      <c r="D38">
        <v>3.3106049889005935</v>
      </c>
    </row>
    <row r="39" spans="1:4" x14ac:dyDescent="0.3">
      <c r="A39" t="s">
        <v>647</v>
      </c>
      <c r="B39" t="s">
        <v>100</v>
      </c>
      <c r="C39" t="s">
        <v>605</v>
      </c>
      <c r="D39">
        <v>0</v>
      </c>
    </row>
    <row r="40" spans="1:4" x14ac:dyDescent="0.3">
      <c r="A40" t="s">
        <v>647</v>
      </c>
      <c r="B40" t="s">
        <v>100</v>
      </c>
      <c r="C40" t="s">
        <v>446</v>
      </c>
      <c r="D40" t="s">
        <v>649</v>
      </c>
    </row>
    <row r="41" spans="1:4" x14ac:dyDescent="0.3">
      <c r="A41" t="s">
        <v>647</v>
      </c>
      <c r="B41" t="s">
        <v>100</v>
      </c>
      <c r="C41" t="s">
        <v>573</v>
      </c>
      <c r="D41">
        <v>0.33106049889005934</v>
      </c>
    </row>
    <row r="42" spans="1:4" x14ac:dyDescent="0.3">
      <c r="A42" t="s">
        <v>647</v>
      </c>
      <c r="B42" t="s">
        <v>168</v>
      </c>
      <c r="C42" t="s">
        <v>516</v>
      </c>
      <c r="D42">
        <v>270.80748809206858</v>
      </c>
    </row>
    <row r="43" spans="1:4" x14ac:dyDescent="0.3">
      <c r="A43" t="s">
        <v>647</v>
      </c>
      <c r="B43" t="s">
        <v>168</v>
      </c>
      <c r="C43" t="s">
        <v>8</v>
      </c>
      <c r="D43" t="s">
        <v>649</v>
      </c>
    </row>
    <row r="44" spans="1:4" x14ac:dyDescent="0.3">
      <c r="A44" t="s">
        <v>647</v>
      </c>
      <c r="B44" t="s">
        <v>168</v>
      </c>
      <c r="C44" t="s">
        <v>173</v>
      </c>
      <c r="D44" t="s">
        <v>649</v>
      </c>
    </row>
    <row r="45" spans="1:4" x14ac:dyDescent="0.3">
      <c r="A45" t="s">
        <v>647</v>
      </c>
      <c r="B45" t="s">
        <v>168</v>
      </c>
      <c r="C45" t="s">
        <v>242</v>
      </c>
      <c r="D45" t="s">
        <v>649</v>
      </c>
    </row>
    <row r="46" spans="1:4" x14ac:dyDescent="0.3">
      <c r="A46" t="s">
        <v>647</v>
      </c>
      <c r="B46" t="s">
        <v>168</v>
      </c>
      <c r="C46" t="s">
        <v>286</v>
      </c>
      <c r="D46" t="s">
        <v>649</v>
      </c>
    </row>
    <row r="47" spans="1:4" x14ac:dyDescent="0.3">
      <c r="A47" t="s">
        <v>647</v>
      </c>
      <c r="B47" t="s">
        <v>168</v>
      </c>
      <c r="C47" t="s">
        <v>339</v>
      </c>
      <c r="D47" t="s">
        <v>649</v>
      </c>
    </row>
    <row r="48" spans="1:4" x14ac:dyDescent="0.3">
      <c r="A48" t="s">
        <v>647</v>
      </c>
      <c r="B48" t="s">
        <v>168</v>
      </c>
      <c r="C48" t="s">
        <v>380</v>
      </c>
      <c r="D48" t="s">
        <v>649</v>
      </c>
    </row>
    <row r="49" spans="1:4" x14ac:dyDescent="0.3">
      <c r="A49" t="s">
        <v>647</v>
      </c>
      <c r="B49" t="s">
        <v>168</v>
      </c>
      <c r="C49" t="s">
        <v>605</v>
      </c>
      <c r="D49" t="s">
        <v>649</v>
      </c>
    </row>
    <row r="50" spans="1:4" x14ac:dyDescent="0.3">
      <c r="A50" t="s">
        <v>647</v>
      </c>
      <c r="B50" t="s">
        <v>168</v>
      </c>
      <c r="C50" t="s">
        <v>446</v>
      </c>
      <c r="D50">
        <v>0.33106049889005934</v>
      </c>
    </row>
    <row r="51" spans="1:4" x14ac:dyDescent="0.3">
      <c r="A51" t="s">
        <v>647</v>
      </c>
      <c r="B51" t="s">
        <v>168</v>
      </c>
      <c r="C51" t="s">
        <v>573</v>
      </c>
      <c r="D51" t="s">
        <v>649</v>
      </c>
    </row>
    <row r="52" spans="1:4" x14ac:dyDescent="0.3">
      <c r="A52" t="s">
        <v>647</v>
      </c>
      <c r="B52" t="s">
        <v>650</v>
      </c>
      <c r="C52" t="s">
        <v>516</v>
      </c>
      <c r="D52" t="s">
        <v>649</v>
      </c>
    </row>
    <row r="53" spans="1:4" x14ac:dyDescent="0.3">
      <c r="A53" t="s">
        <v>647</v>
      </c>
      <c r="B53" t="s">
        <v>650</v>
      </c>
      <c r="C53" t="s">
        <v>8</v>
      </c>
      <c r="D53" t="s">
        <v>649</v>
      </c>
    </row>
    <row r="54" spans="1:4" x14ac:dyDescent="0.3">
      <c r="A54" t="s">
        <v>647</v>
      </c>
      <c r="B54" t="s">
        <v>650</v>
      </c>
      <c r="C54" t="s">
        <v>173</v>
      </c>
      <c r="D54" t="s">
        <v>649</v>
      </c>
    </row>
    <row r="55" spans="1:4" x14ac:dyDescent="0.3">
      <c r="A55" t="s">
        <v>647</v>
      </c>
      <c r="B55" t="s">
        <v>650</v>
      </c>
      <c r="C55" t="s">
        <v>242</v>
      </c>
      <c r="D55" t="s">
        <v>649</v>
      </c>
    </row>
    <row r="56" spans="1:4" x14ac:dyDescent="0.3">
      <c r="A56" t="s">
        <v>647</v>
      </c>
      <c r="B56" t="s">
        <v>650</v>
      </c>
      <c r="C56" t="s">
        <v>286</v>
      </c>
      <c r="D56" t="s">
        <v>649</v>
      </c>
    </row>
    <row r="57" spans="1:4" x14ac:dyDescent="0.3">
      <c r="A57" t="s">
        <v>647</v>
      </c>
      <c r="B57" t="s">
        <v>650</v>
      </c>
      <c r="C57" t="s">
        <v>339</v>
      </c>
      <c r="D57" t="s">
        <v>649</v>
      </c>
    </row>
    <row r="58" spans="1:4" x14ac:dyDescent="0.3">
      <c r="A58" t="s">
        <v>647</v>
      </c>
      <c r="B58" t="s">
        <v>650</v>
      </c>
      <c r="C58" t="s">
        <v>380</v>
      </c>
      <c r="D58" t="s">
        <v>649</v>
      </c>
    </row>
    <row r="59" spans="1:4" x14ac:dyDescent="0.3">
      <c r="A59" t="s">
        <v>647</v>
      </c>
      <c r="B59" t="s">
        <v>650</v>
      </c>
      <c r="C59" t="s">
        <v>605</v>
      </c>
      <c r="D59" t="s">
        <v>649</v>
      </c>
    </row>
    <row r="60" spans="1:4" x14ac:dyDescent="0.3">
      <c r="A60" t="s">
        <v>647</v>
      </c>
      <c r="B60" t="s">
        <v>650</v>
      </c>
      <c r="C60" t="s">
        <v>446</v>
      </c>
      <c r="D60" t="s">
        <v>649</v>
      </c>
    </row>
    <row r="61" spans="1:4" x14ac:dyDescent="0.3">
      <c r="A61" t="s">
        <v>647</v>
      </c>
      <c r="B61" t="s">
        <v>650</v>
      </c>
      <c r="C61" t="s">
        <v>573</v>
      </c>
      <c r="D61" t="s">
        <v>649</v>
      </c>
    </row>
    <row r="62" spans="1:4" x14ac:dyDescent="0.3">
      <c r="A62" t="s">
        <v>647</v>
      </c>
      <c r="B62" t="s">
        <v>651</v>
      </c>
      <c r="C62" t="s">
        <v>516</v>
      </c>
      <c r="D62" t="s">
        <v>649</v>
      </c>
    </row>
    <row r="63" spans="1:4" x14ac:dyDescent="0.3">
      <c r="A63" t="s">
        <v>647</v>
      </c>
      <c r="B63" t="s">
        <v>651</v>
      </c>
      <c r="C63" t="s">
        <v>8</v>
      </c>
      <c r="D63" t="s">
        <v>649</v>
      </c>
    </row>
    <row r="64" spans="1:4" x14ac:dyDescent="0.3">
      <c r="A64" t="s">
        <v>647</v>
      </c>
      <c r="B64" t="s">
        <v>651</v>
      </c>
      <c r="C64" t="s">
        <v>173</v>
      </c>
      <c r="D64" t="s">
        <v>649</v>
      </c>
    </row>
    <row r="65" spans="1:4" x14ac:dyDescent="0.3">
      <c r="A65" t="s">
        <v>647</v>
      </c>
      <c r="B65" t="s">
        <v>651</v>
      </c>
      <c r="C65" t="s">
        <v>242</v>
      </c>
      <c r="D65" t="s">
        <v>649</v>
      </c>
    </row>
    <row r="66" spans="1:4" x14ac:dyDescent="0.3">
      <c r="A66" t="s">
        <v>647</v>
      </c>
      <c r="B66" t="s">
        <v>651</v>
      </c>
      <c r="C66" t="s">
        <v>286</v>
      </c>
      <c r="D66" t="s">
        <v>649</v>
      </c>
    </row>
    <row r="67" spans="1:4" x14ac:dyDescent="0.3">
      <c r="A67" t="s">
        <v>647</v>
      </c>
      <c r="B67" t="s">
        <v>651</v>
      </c>
      <c r="C67" t="s">
        <v>339</v>
      </c>
      <c r="D67" t="s">
        <v>649</v>
      </c>
    </row>
    <row r="68" spans="1:4" x14ac:dyDescent="0.3">
      <c r="A68" t="s">
        <v>647</v>
      </c>
      <c r="B68" t="s">
        <v>651</v>
      </c>
      <c r="C68" t="s">
        <v>380</v>
      </c>
      <c r="D68" t="s">
        <v>649</v>
      </c>
    </row>
    <row r="69" spans="1:4" x14ac:dyDescent="0.3">
      <c r="A69" t="s">
        <v>647</v>
      </c>
      <c r="B69" t="s">
        <v>651</v>
      </c>
      <c r="C69" t="s">
        <v>605</v>
      </c>
      <c r="D69" t="s">
        <v>649</v>
      </c>
    </row>
    <row r="70" spans="1:4" x14ac:dyDescent="0.3">
      <c r="A70" t="s">
        <v>647</v>
      </c>
      <c r="B70" t="s">
        <v>651</v>
      </c>
      <c r="C70" t="s">
        <v>446</v>
      </c>
      <c r="D70" t="s">
        <v>649</v>
      </c>
    </row>
    <row r="71" spans="1:4" x14ac:dyDescent="0.3">
      <c r="A71" t="s">
        <v>647</v>
      </c>
      <c r="B71" t="s">
        <v>651</v>
      </c>
      <c r="C71" t="s">
        <v>573</v>
      </c>
      <c r="D71" t="s">
        <v>649</v>
      </c>
    </row>
    <row r="72" spans="1:4" x14ac:dyDescent="0.3">
      <c r="A72" t="s">
        <v>647</v>
      </c>
      <c r="B72" t="s">
        <v>652</v>
      </c>
      <c r="C72" t="s">
        <v>516</v>
      </c>
      <c r="D72" t="s">
        <v>649</v>
      </c>
    </row>
    <row r="73" spans="1:4" x14ac:dyDescent="0.3">
      <c r="A73" t="s">
        <v>647</v>
      </c>
      <c r="B73" t="s">
        <v>652</v>
      </c>
      <c r="C73" t="s">
        <v>8</v>
      </c>
      <c r="D73" t="s">
        <v>649</v>
      </c>
    </row>
    <row r="74" spans="1:4" x14ac:dyDescent="0.3">
      <c r="A74" t="s">
        <v>647</v>
      </c>
      <c r="B74" t="s">
        <v>652</v>
      </c>
      <c r="C74" t="s">
        <v>173</v>
      </c>
      <c r="D74" t="s">
        <v>649</v>
      </c>
    </row>
    <row r="75" spans="1:4" x14ac:dyDescent="0.3">
      <c r="A75" t="s">
        <v>647</v>
      </c>
      <c r="B75" t="s">
        <v>652</v>
      </c>
      <c r="C75" t="s">
        <v>242</v>
      </c>
      <c r="D75" t="s">
        <v>649</v>
      </c>
    </row>
    <row r="76" spans="1:4" x14ac:dyDescent="0.3">
      <c r="A76" t="s">
        <v>647</v>
      </c>
      <c r="B76" t="s">
        <v>652</v>
      </c>
      <c r="C76" t="s">
        <v>286</v>
      </c>
      <c r="D76" t="s">
        <v>649</v>
      </c>
    </row>
    <row r="77" spans="1:4" x14ac:dyDescent="0.3">
      <c r="A77" t="s">
        <v>647</v>
      </c>
      <c r="B77" t="s">
        <v>652</v>
      </c>
      <c r="C77" t="s">
        <v>339</v>
      </c>
      <c r="D77" t="s">
        <v>649</v>
      </c>
    </row>
    <row r="78" spans="1:4" x14ac:dyDescent="0.3">
      <c r="A78" t="s">
        <v>647</v>
      </c>
      <c r="B78" t="s">
        <v>652</v>
      </c>
      <c r="C78" t="s">
        <v>380</v>
      </c>
      <c r="D78" t="s">
        <v>649</v>
      </c>
    </row>
    <row r="79" spans="1:4" x14ac:dyDescent="0.3">
      <c r="A79" t="s">
        <v>647</v>
      </c>
      <c r="B79" t="s">
        <v>652</v>
      </c>
      <c r="C79" t="s">
        <v>605</v>
      </c>
      <c r="D79" t="s">
        <v>649</v>
      </c>
    </row>
    <row r="80" spans="1:4" x14ac:dyDescent="0.3">
      <c r="A80" t="s">
        <v>647</v>
      </c>
      <c r="B80" t="s">
        <v>652</v>
      </c>
      <c r="C80" t="s">
        <v>446</v>
      </c>
      <c r="D80" t="s">
        <v>649</v>
      </c>
    </row>
    <row r="81" spans="1:4" x14ac:dyDescent="0.3">
      <c r="A81" t="s">
        <v>647</v>
      </c>
      <c r="B81" t="s">
        <v>652</v>
      </c>
      <c r="C81" t="s">
        <v>573</v>
      </c>
      <c r="D81" t="s">
        <v>649</v>
      </c>
    </row>
    <row r="82" spans="1:4" x14ac:dyDescent="0.3">
      <c r="A82" t="s">
        <v>647</v>
      </c>
      <c r="B82" t="s">
        <v>643</v>
      </c>
      <c r="C82" t="s">
        <v>516</v>
      </c>
      <c r="D82">
        <v>177.07877587568666</v>
      </c>
    </row>
    <row r="83" spans="1:4" x14ac:dyDescent="0.3">
      <c r="A83" t="s">
        <v>647</v>
      </c>
      <c r="B83" t="s">
        <v>643</v>
      </c>
      <c r="C83" t="s">
        <v>8</v>
      </c>
      <c r="D83">
        <v>73.546206441173155</v>
      </c>
    </row>
    <row r="84" spans="1:4" x14ac:dyDescent="0.3">
      <c r="A84" t="s">
        <v>647</v>
      </c>
      <c r="B84" t="s">
        <v>643</v>
      </c>
      <c r="C84" t="s">
        <v>173</v>
      </c>
      <c r="D84">
        <v>76.843174423414098</v>
      </c>
    </row>
    <row r="85" spans="1:4" x14ac:dyDescent="0.3">
      <c r="A85" t="s">
        <v>647</v>
      </c>
      <c r="B85" t="s">
        <v>643</v>
      </c>
      <c r="C85" t="s">
        <v>242</v>
      </c>
      <c r="D85">
        <v>36.587117461152076</v>
      </c>
    </row>
    <row r="86" spans="1:4" x14ac:dyDescent="0.3">
      <c r="A86" t="s">
        <v>647</v>
      </c>
      <c r="B86" t="s">
        <v>643</v>
      </c>
      <c r="C86" t="s">
        <v>286</v>
      </c>
      <c r="D86">
        <v>73.849992926743923</v>
      </c>
    </row>
    <row r="87" spans="1:4" x14ac:dyDescent="0.3">
      <c r="A87" t="s">
        <v>647</v>
      </c>
      <c r="B87" t="s">
        <v>643</v>
      </c>
      <c r="C87" t="s">
        <v>339</v>
      </c>
      <c r="D87">
        <v>42.931814966701779</v>
      </c>
    </row>
    <row r="88" spans="1:4" x14ac:dyDescent="0.3">
      <c r="A88" t="s">
        <v>647</v>
      </c>
      <c r="B88" t="s">
        <v>643</v>
      </c>
      <c r="C88" t="s">
        <v>380</v>
      </c>
      <c r="D88">
        <v>74.553024944502965</v>
      </c>
    </row>
    <row r="89" spans="1:4" x14ac:dyDescent="0.3">
      <c r="A89" t="s">
        <v>647</v>
      </c>
      <c r="B89" t="s">
        <v>643</v>
      </c>
      <c r="C89" t="s">
        <v>605</v>
      </c>
      <c r="D89">
        <v>26.96590748335089</v>
      </c>
    </row>
    <row r="90" spans="1:4" x14ac:dyDescent="0.3">
      <c r="A90" t="s">
        <v>647</v>
      </c>
      <c r="B90" t="s">
        <v>643</v>
      </c>
      <c r="C90" t="s">
        <v>446</v>
      </c>
      <c r="D90">
        <v>39.952270476691247</v>
      </c>
    </row>
    <row r="91" spans="1:4" x14ac:dyDescent="0.3">
      <c r="A91" t="s">
        <v>647</v>
      </c>
      <c r="B91" t="s">
        <v>643</v>
      </c>
      <c r="C91" t="s">
        <v>573</v>
      </c>
      <c r="D91">
        <v>28.283330975581308</v>
      </c>
    </row>
    <row r="92" spans="1:4" x14ac:dyDescent="0.3">
      <c r="A92" t="s">
        <v>647</v>
      </c>
      <c r="B92" t="s">
        <v>643</v>
      </c>
      <c r="C92" t="s">
        <v>516</v>
      </c>
      <c r="D92" t="s">
        <v>649</v>
      </c>
    </row>
    <row r="93" spans="1:4" x14ac:dyDescent="0.3">
      <c r="A93" t="s">
        <v>647</v>
      </c>
      <c r="B93" t="s">
        <v>643</v>
      </c>
      <c r="C93" t="s">
        <v>8</v>
      </c>
      <c r="D93">
        <v>3</v>
      </c>
    </row>
    <row r="94" spans="1:4" x14ac:dyDescent="0.3">
      <c r="A94" t="s">
        <v>647</v>
      </c>
      <c r="B94" t="s">
        <v>643</v>
      </c>
      <c r="C94" t="s">
        <v>173</v>
      </c>
      <c r="D94" t="s">
        <v>649</v>
      </c>
    </row>
    <row r="95" spans="1:4" x14ac:dyDescent="0.3">
      <c r="A95" t="s">
        <v>647</v>
      </c>
      <c r="B95" t="s">
        <v>643</v>
      </c>
      <c r="C95" t="s">
        <v>242</v>
      </c>
      <c r="D95">
        <v>1</v>
      </c>
    </row>
    <row r="96" spans="1:4" x14ac:dyDescent="0.3">
      <c r="A96" t="s">
        <v>647</v>
      </c>
      <c r="B96" t="s">
        <v>643</v>
      </c>
      <c r="C96" t="s">
        <v>286</v>
      </c>
      <c r="D96">
        <v>3</v>
      </c>
    </row>
    <row r="97" spans="1:4" x14ac:dyDescent="0.3">
      <c r="A97" t="s">
        <v>647</v>
      </c>
      <c r="B97" t="s">
        <v>643</v>
      </c>
      <c r="C97" t="s">
        <v>339</v>
      </c>
      <c r="D97" t="s">
        <v>649</v>
      </c>
    </row>
    <row r="98" spans="1:4" x14ac:dyDescent="0.3">
      <c r="A98" t="s">
        <v>647</v>
      </c>
      <c r="B98" t="s">
        <v>643</v>
      </c>
      <c r="C98" t="s">
        <v>380</v>
      </c>
      <c r="D98">
        <v>3</v>
      </c>
    </row>
    <row r="99" spans="1:4" x14ac:dyDescent="0.3">
      <c r="A99" t="s">
        <v>647</v>
      </c>
      <c r="B99" t="s">
        <v>643</v>
      </c>
      <c r="C99" t="s">
        <v>605</v>
      </c>
      <c r="D99" t="s">
        <v>649</v>
      </c>
    </row>
    <row r="100" spans="1:4" x14ac:dyDescent="0.3">
      <c r="A100" t="s">
        <v>647</v>
      </c>
      <c r="B100" t="s">
        <v>643</v>
      </c>
      <c r="C100" t="s">
        <v>446</v>
      </c>
      <c r="D100" t="s">
        <v>649</v>
      </c>
    </row>
    <row r="101" spans="1:4" x14ac:dyDescent="0.3">
      <c r="A101" t="s">
        <v>647</v>
      </c>
      <c r="B101" t="s">
        <v>643</v>
      </c>
      <c r="C101" t="s">
        <v>573</v>
      </c>
      <c r="D101" t="s">
        <v>649</v>
      </c>
    </row>
    <row r="102" spans="1:4" x14ac:dyDescent="0.3">
      <c r="A102" t="s">
        <v>647</v>
      </c>
      <c r="B102" t="s">
        <v>54</v>
      </c>
      <c r="C102" t="s">
        <v>516</v>
      </c>
      <c r="D102">
        <v>473.55375111929038</v>
      </c>
    </row>
    <row r="103" spans="1:4" x14ac:dyDescent="0.3">
      <c r="A103" t="s">
        <v>647</v>
      </c>
      <c r="B103" t="s">
        <v>54</v>
      </c>
      <c r="C103" t="s">
        <v>8</v>
      </c>
      <c r="D103">
        <v>162.72044136347731</v>
      </c>
    </row>
    <row r="104" spans="1:4" x14ac:dyDescent="0.3">
      <c r="A104" t="s">
        <v>647</v>
      </c>
      <c r="B104" t="s">
        <v>54</v>
      </c>
      <c r="C104" t="s">
        <v>173</v>
      </c>
      <c r="D104">
        <v>149.39619936791706</v>
      </c>
    </row>
    <row r="105" spans="1:4" x14ac:dyDescent="0.3">
      <c r="A105" t="s">
        <v>647</v>
      </c>
      <c r="B105" t="s">
        <v>54</v>
      </c>
      <c r="C105" t="s">
        <v>242</v>
      </c>
      <c r="D105">
        <v>83.870448436733383</v>
      </c>
    </row>
    <row r="106" spans="1:4" x14ac:dyDescent="0.3">
      <c r="A106" t="s">
        <v>647</v>
      </c>
      <c r="B106" t="s">
        <v>54</v>
      </c>
      <c r="C106" t="s">
        <v>286</v>
      </c>
      <c r="D106">
        <v>129.78862639677553</v>
      </c>
    </row>
    <row r="107" spans="1:4" x14ac:dyDescent="0.3">
      <c r="A107" t="s">
        <v>647</v>
      </c>
      <c r="B107" t="s">
        <v>54</v>
      </c>
      <c r="C107" t="s">
        <v>339</v>
      </c>
      <c r="D107">
        <v>73.228782948942737</v>
      </c>
    </row>
    <row r="108" spans="1:4" x14ac:dyDescent="0.3">
      <c r="A108" t="s">
        <v>647</v>
      </c>
      <c r="B108" t="s">
        <v>54</v>
      </c>
      <c r="C108" t="s">
        <v>380</v>
      </c>
      <c r="D108">
        <v>131.40983637457671</v>
      </c>
    </row>
    <row r="109" spans="1:4" x14ac:dyDescent="0.3">
      <c r="A109" t="s">
        <v>647</v>
      </c>
      <c r="B109" t="s">
        <v>54</v>
      </c>
      <c r="C109" t="s">
        <v>605</v>
      </c>
      <c r="D109">
        <v>29.26287546559184</v>
      </c>
    </row>
    <row r="110" spans="1:4" x14ac:dyDescent="0.3">
      <c r="A110" t="s">
        <v>647</v>
      </c>
      <c r="B110" t="s">
        <v>54</v>
      </c>
      <c r="C110" t="s">
        <v>446</v>
      </c>
      <c r="D110">
        <v>59.890903946722851</v>
      </c>
    </row>
    <row r="111" spans="1:4" x14ac:dyDescent="0.3">
      <c r="A111" t="s">
        <v>647</v>
      </c>
      <c r="B111" t="s">
        <v>54</v>
      </c>
      <c r="C111" t="s">
        <v>573</v>
      </c>
      <c r="D111">
        <v>28.593935964481901</v>
      </c>
    </row>
    <row r="112" spans="1:4" x14ac:dyDescent="0.3">
      <c r="A112" t="s">
        <v>647</v>
      </c>
      <c r="B112" t="s">
        <v>170</v>
      </c>
      <c r="C112" t="s">
        <v>516</v>
      </c>
      <c r="D112">
        <v>161.99013533239895</v>
      </c>
    </row>
    <row r="113" spans="1:4" x14ac:dyDescent="0.3">
      <c r="A113" t="s">
        <v>647</v>
      </c>
      <c r="B113" t="s">
        <v>170</v>
      </c>
      <c r="C113" t="s">
        <v>8</v>
      </c>
      <c r="D113">
        <v>43.553024944502965</v>
      </c>
    </row>
    <row r="114" spans="1:4" x14ac:dyDescent="0.3">
      <c r="A114" t="s">
        <v>647</v>
      </c>
      <c r="B114" t="s">
        <v>170</v>
      </c>
      <c r="C114" t="s">
        <v>173</v>
      </c>
      <c r="D114">
        <v>94.843174423414098</v>
      </c>
    </row>
    <row r="115" spans="1:4" x14ac:dyDescent="0.3">
      <c r="A115" t="s">
        <v>647</v>
      </c>
      <c r="B115" t="s">
        <v>170</v>
      </c>
      <c r="C115" t="s">
        <v>242</v>
      </c>
      <c r="D115">
        <v>30.242419955602372</v>
      </c>
    </row>
    <row r="116" spans="1:4" x14ac:dyDescent="0.3">
      <c r="A116" t="s">
        <v>647</v>
      </c>
      <c r="B116" t="s">
        <v>170</v>
      </c>
      <c r="C116" t="s">
        <v>286</v>
      </c>
      <c r="D116">
        <v>57.167416418974334</v>
      </c>
    </row>
    <row r="117" spans="1:4" x14ac:dyDescent="0.3">
      <c r="A117" t="s">
        <v>647</v>
      </c>
      <c r="B117" t="s">
        <v>170</v>
      </c>
      <c r="C117" t="s">
        <v>339</v>
      </c>
      <c r="D117">
        <v>16.600754467811718</v>
      </c>
    </row>
    <row r="118" spans="1:4" x14ac:dyDescent="0.3">
      <c r="A118" t="s">
        <v>647</v>
      </c>
      <c r="B118" t="s">
        <v>170</v>
      </c>
      <c r="C118" t="s">
        <v>380</v>
      </c>
      <c r="D118">
        <v>46.532569434513505</v>
      </c>
    </row>
    <row r="119" spans="1:4" x14ac:dyDescent="0.3">
      <c r="A119" t="s">
        <v>647</v>
      </c>
      <c r="B119" t="s">
        <v>170</v>
      </c>
      <c r="C119" t="s">
        <v>605</v>
      </c>
      <c r="D119">
        <v>13.96590748335089</v>
      </c>
    </row>
    <row r="120" spans="1:4" x14ac:dyDescent="0.3">
      <c r="A120" t="s">
        <v>647</v>
      </c>
      <c r="B120" t="s">
        <v>170</v>
      </c>
      <c r="C120" t="s">
        <v>446</v>
      </c>
      <c r="D120">
        <v>35.890903946722851</v>
      </c>
    </row>
    <row r="121" spans="1:4" x14ac:dyDescent="0.3">
      <c r="A121" t="s">
        <v>647</v>
      </c>
      <c r="B121" t="s">
        <v>170</v>
      </c>
      <c r="C121" t="s">
        <v>573</v>
      </c>
      <c r="D121">
        <v>33.249238458932197</v>
      </c>
    </row>
    <row r="122" spans="1:4" x14ac:dyDescent="0.3">
      <c r="A122" t="s">
        <v>647</v>
      </c>
      <c r="B122" t="s">
        <v>164</v>
      </c>
      <c r="C122" t="s">
        <v>516</v>
      </c>
      <c r="D122">
        <v>983.50370160649777</v>
      </c>
    </row>
    <row r="123" spans="1:4" x14ac:dyDescent="0.3">
      <c r="A123" t="s">
        <v>647</v>
      </c>
      <c r="B123" t="s">
        <v>164</v>
      </c>
      <c r="C123" t="s">
        <v>8</v>
      </c>
      <c r="D123">
        <v>393.56056962262016</v>
      </c>
    </row>
    <row r="124" spans="1:4" x14ac:dyDescent="0.3">
      <c r="A124" t="s">
        <v>647</v>
      </c>
      <c r="B124" t="s">
        <v>164</v>
      </c>
      <c r="C124" t="s">
        <v>173</v>
      </c>
      <c r="D124">
        <v>465.04540953382491</v>
      </c>
    </row>
    <row r="125" spans="1:4" x14ac:dyDescent="0.3">
      <c r="A125" t="s">
        <v>647</v>
      </c>
      <c r="B125" t="s">
        <v>164</v>
      </c>
      <c r="C125" t="s">
        <v>242</v>
      </c>
      <c r="D125">
        <v>202.79921723916397</v>
      </c>
    </row>
    <row r="126" spans="1:4" x14ac:dyDescent="0.3">
      <c r="A126" t="s">
        <v>647</v>
      </c>
      <c r="B126" t="s">
        <v>164</v>
      </c>
      <c r="C126" t="s">
        <v>286</v>
      </c>
      <c r="D126">
        <v>400.04845569809618</v>
      </c>
    </row>
    <row r="127" spans="1:4" x14ac:dyDescent="0.3">
      <c r="A127" t="s">
        <v>647</v>
      </c>
      <c r="B127" t="s">
        <v>164</v>
      </c>
      <c r="C127" t="s">
        <v>339</v>
      </c>
      <c r="D127">
        <v>176.6590748335089</v>
      </c>
    </row>
    <row r="128" spans="1:4" x14ac:dyDescent="0.3">
      <c r="A128" t="s">
        <v>647</v>
      </c>
      <c r="B128" t="s">
        <v>164</v>
      </c>
      <c r="C128" t="s">
        <v>380</v>
      </c>
      <c r="D128">
        <v>434.18177960042135</v>
      </c>
    </row>
    <row r="129" spans="1:4" x14ac:dyDescent="0.3">
      <c r="A129" t="s">
        <v>647</v>
      </c>
      <c r="B129" t="s">
        <v>164</v>
      </c>
      <c r="C129" t="s">
        <v>605</v>
      </c>
      <c r="D129">
        <v>138.38256236125741</v>
      </c>
    </row>
    <row r="130" spans="1:4" x14ac:dyDescent="0.3">
      <c r="A130" t="s">
        <v>647</v>
      </c>
      <c r="B130" t="s">
        <v>164</v>
      </c>
      <c r="C130" t="s">
        <v>446</v>
      </c>
      <c r="D130">
        <v>262.11664073139434</v>
      </c>
    </row>
    <row r="131" spans="1:4" x14ac:dyDescent="0.3">
      <c r="A131" t="s">
        <v>647</v>
      </c>
      <c r="B131" t="s">
        <v>164</v>
      </c>
      <c r="C131" t="s">
        <v>573</v>
      </c>
      <c r="D131">
        <v>123.0924128823463</v>
      </c>
    </row>
    <row r="132" spans="1:4" x14ac:dyDescent="0.3">
      <c r="A132" t="s">
        <v>647</v>
      </c>
      <c r="B132" t="s">
        <v>644</v>
      </c>
      <c r="C132" t="s">
        <v>516</v>
      </c>
      <c r="D132">
        <v>738.58247748218446</v>
      </c>
    </row>
    <row r="133" spans="1:4" x14ac:dyDescent="0.3">
      <c r="A133" t="s">
        <v>647</v>
      </c>
      <c r="B133" t="s">
        <v>644</v>
      </c>
      <c r="C133" t="s">
        <v>8</v>
      </c>
      <c r="D133">
        <v>296.1787334361502</v>
      </c>
    </row>
    <row r="134" spans="1:4" x14ac:dyDescent="0.3">
      <c r="A134" t="s">
        <v>647</v>
      </c>
      <c r="B134" t="s">
        <v>644</v>
      </c>
      <c r="C134" t="s">
        <v>173</v>
      </c>
      <c r="D134">
        <v>316.27114631849645</v>
      </c>
    </row>
    <row r="135" spans="1:4" x14ac:dyDescent="0.3">
      <c r="A135" t="s">
        <v>647</v>
      </c>
      <c r="B135" t="s">
        <v>644</v>
      </c>
      <c r="C135" t="s">
        <v>242</v>
      </c>
      <c r="D135">
        <v>116.5363417735721</v>
      </c>
    </row>
    <row r="136" spans="1:4" x14ac:dyDescent="0.3">
      <c r="A136" t="s">
        <v>647</v>
      </c>
      <c r="B136" t="s">
        <v>644</v>
      </c>
      <c r="C136" t="s">
        <v>286</v>
      </c>
      <c r="D136">
        <v>122.21209977801188</v>
      </c>
    </row>
    <row r="137" spans="1:4" x14ac:dyDescent="0.3">
      <c r="A137" t="s">
        <v>647</v>
      </c>
      <c r="B137" t="s">
        <v>644</v>
      </c>
      <c r="C137" t="s">
        <v>339</v>
      </c>
      <c r="D137">
        <v>37.856811430073741</v>
      </c>
    </row>
    <row r="138" spans="1:4" x14ac:dyDescent="0.3">
      <c r="A138" t="s">
        <v>647</v>
      </c>
      <c r="B138" t="s">
        <v>644</v>
      </c>
      <c r="C138" t="s">
        <v>380</v>
      </c>
      <c r="D138">
        <v>154.33178667367747</v>
      </c>
    </row>
    <row r="139" spans="1:4" x14ac:dyDescent="0.3">
      <c r="A139" t="s">
        <v>647</v>
      </c>
      <c r="B139" t="s">
        <v>644</v>
      </c>
      <c r="C139" t="s">
        <v>605</v>
      </c>
      <c r="D139">
        <v>117.7818078934457</v>
      </c>
    </row>
    <row r="140" spans="1:4" x14ac:dyDescent="0.3">
      <c r="A140" t="s">
        <v>647</v>
      </c>
      <c r="B140" t="s">
        <v>644</v>
      </c>
      <c r="C140" t="s">
        <v>446</v>
      </c>
      <c r="D140">
        <v>157.40983637457671</v>
      </c>
    </row>
    <row r="141" spans="1:4" x14ac:dyDescent="0.3">
      <c r="A141" t="s">
        <v>647</v>
      </c>
      <c r="B141" t="s">
        <v>644</v>
      </c>
      <c r="C141" t="s">
        <v>573</v>
      </c>
      <c r="D141">
        <v>82.53938793784333</v>
      </c>
    </row>
    <row r="142" spans="1:4" x14ac:dyDescent="0.3">
      <c r="A142" t="s">
        <v>647</v>
      </c>
      <c r="B142" t="s">
        <v>643</v>
      </c>
      <c r="C142" t="s">
        <v>516</v>
      </c>
      <c r="D142" t="s">
        <v>649</v>
      </c>
    </row>
    <row r="143" spans="1:4" x14ac:dyDescent="0.3">
      <c r="A143" t="s">
        <v>647</v>
      </c>
      <c r="B143" t="s">
        <v>643</v>
      </c>
      <c r="C143" t="s">
        <v>8</v>
      </c>
      <c r="D143" t="s">
        <v>649</v>
      </c>
    </row>
    <row r="144" spans="1:4" x14ac:dyDescent="0.3">
      <c r="A144" t="s">
        <v>647</v>
      </c>
      <c r="B144" t="s">
        <v>643</v>
      </c>
      <c r="C144" t="s">
        <v>173</v>
      </c>
      <c r="D144" t="s">
        <v>649</v>
      </c>
    </row>
    <row r="145" spans="1:4" x14ac:dyDescent="0.3">
      <c r="A145" t="s">
        <v>647</v>
      </c>
      <c r="B145" t="s">
        <v>643</v>
      </c>
      <c r="C145" t="s">
        <v>242</v>
      </c>
      <c r="D145" t="s">
        <v>649</v>
      </c>
    </row>
    <row r="146" spans="1:4" x14ac:dyDescent="0.3">
      <c r="A146" t="s">
        <v>647</v>
      </c>
      <c r="B146" t="s">
        <v>643</v>
      </c>
      <c r="C146" t="s">
        <v>286</v>
      </c>
      <c r="D146" t="s">
        <v>649</v>
      </c>
    </row>
    <row r="147" spans="1:4" x14ac:dyDescent="0.3">
      <c r="A147" t="s">
        <v>647</v>
      </c>
      <c r="B147" t="s">
        <v>643</v>
      </c>
      <c r="C147" t="s">
        <v>339</v>
      </c>
      <c r="D147" t="s">
        <v>649</v>
      </c>
    </row>
    <row r="148" spans="1:4" x14ac:dyDescent="0.3">
      <c r="A148" t="s">
        <v>647</v>
      </c>
      <c r="B148" t="s">
        <v>643</v>
      </c>
      <c r="C148" t="s">
        <v>380</v>
      </c>
      <c r="D148" t="s">
        <v>649</v>
      </c>
    </row>
    <row r="149" spans="1:4" x14ac:dyDescent="0.3">
      <c r="A149" t="s">
        <v>647</v>
      </c>
      <c r="B149" t="s">
        <v>643</v>
      </c>
      <c r="C149" t="s">
        <v>605</v>
      </c>
      <c r="D149" t="s">
        <v>649</v>
      </c>
    </row>
    <row r="150" spans="1:4" x14ac:dyDescent="0.3">
      <c r="A150" t="s">
        <v>647</v>
      </c>
      <c r="B150" t="s">
        <v>643</v>
      </c>
      <c r="C150" t="s">
        <v>446</v>
      </c>
      <c r="D150" t="s">
        <v>649</v>
      </c>
    </row>
    <row r="151" spans="1:4" x14ac:dyDescent="0.3">
      <c r="A151" t="s">
        <v>647</v>
      </c>
      <c r="B151" t="s">
        <v>643</v>
      </c>
      <c r="C151" t="s">
        <v>573</v>
      </c>
      <c r="D151" t="s">
        <v>649</v>
      </c>
    </row>
    <row r="152" spans="1:4" x14ac:dyDescent="0.3">
      <c r="A152" t="s">
        <v>647</v>
      </c>
      <c r="B152" t="s">
        <v>238</v>
      </c>
      <c r="C152" t="s">
        <v>516</v>
      </c>
      <c r="D152">
        <v>106</v>
      </c>
    </row>
    <row r="153" spans="1:4" x14ac:dyDescent="0.3">
      <c r="A153" t="s">
        <v>647</v>
      </c>
      <c r="B153" t="s">
        <v>238</v>
      </c>
      <c r="C153" t="s">
        <v>8</v>
      </c>
      <c r="D153">
        <v>15</v>
      </c>
    </row>
    <row r="154" spans="1:4" x14ac:dyDescent="0.3">
      <c r="A154" t="s">
        <v>647</v>
      </c>
      <c r="B154" t="s">
        <v>238</v>
      </c>
      <c r="C154" t="s">
        <v>173</v>
      </c>
      <c r="D154">
        <v>210</v>
      </c>
    </row>
    <row r="155" spans="1:4" x14ac:dyDescent="0.3">
      <c r="A155" t="s">
        <v>647</v>
      </c>
      <c r="B155" t="s">
        <v>238</v>
      </c>
      <c r="C155" t="s">
        <v>242</v>
      </c>
      <c r="D155">
        <v>1207.1666666666667</v>
      </c>
    </row>
    <row r="156" spans="1:4" x14ac:dyDescent="0.3">
      <c r="A156" t="s">
        <v>647</v>
      </c>
      <c r="B156" t="s">
        <v>238</v>
      </c>
      <c r="C156" t="s">
        <v>286</v>
      </c>
      <c r="D156">
        <v>153</v>
      </c>
    </row>
    <row r="157" spans="1:4" x14ac:dyDescent="0.3">
      <c r="A157" t="s">
        <v>647</v>
      </c>
      <c r="B157" t="s">
        <v>238</v>
      </c>
      <c r="C157" t="s">
        <v>339</v>
      </c>
      <c r="D157">
        <v>31</v>
      </c>
    </row>
    <row r="158" spans="1:4" x14ac:dyDescent="0.3">
      <c r="A158" t="s">
        <v>647</v>
      </c>
      <c r="B158" t="s">
        <v>238</v>
      </c>
      <c r="C158" t="s">
        <v>380</v>
      </c>
      <c r="D158">
        <v>103</v>
      </c>
    </row>
    <row r="159" spans="1:4" x14ac:dyDescent="0.3">
      <c r="A159" t="s">
        <v>647</v>
      </c>
      <c r="B159" t="s">
        <v>238</v>
      </c>
      <c r="C159" t="s">
        <v>605</v>
      </c>
      <c r="D159">
        <v>5</v>
      </c>
    </row>
    <row r="160" spans="1:4" x14ac:dyDescent="0.3">
      <c r="A160" t="s">
        <v>647</v>
      </c>
      <c r="B160" t="s">
        <v>238</v>
      </c>
      <c r="C160" t="s">
        <v>446</v>
      </c>
      <c r="D160">
        <v>28</v>
      </c>
    </row>
    <row r="161" spans="1:4" x14ac:dyDescent="0.3">
      <c r="A161" t="s">
        <v>647</v>
      </c>
      <c r="B161" t="s">
        <v>238</v>
      </c>
      <c r="C161" t="s">
        <v>573</v>
      </c>
      <c r="D161">
        <v>104</v>
      </c>
    </row>
    <row r="162" spans="1:4" x14ac:dyDescent="0.3">
      <c r="A162" t="s">
        <v>647</v>
      </c>
      <c r="B162" t="s">
        <v>653</v>
      </c>
      <c r="C162" t="s">
        <v>516</v>
      </c>
      <c r="D162">
        <v>134.66666666666666</v>
      </c>
    </row>
    <row r="163" spans="1:4" x14ac:dyDescent="0.3">
      <c r="A163" t="s">
        <v>647</v>
      </c>
      <c r="B163" t="s">
        <v>653</v>
      </c>
      <c r="C163" t="s">
        <v>8</v>
      </c>
      <c r="D163">
        <v>2</v>
      </c>
    </row>
    <row r="164" spans="1:4" x14ac:dyDescent="0.3">
      <c r="A164" t="s">
        <v>647</v>
      </c>
      <c r="B164" t="s">
        <v>653</v>
      </c>
      <c r="C164" t="s">
        <v>173</v>
      </c>
      <c r="D164">
        <v>3.3333333333333335</v>
      </c>
    </row>
    <row r="165" spans="1:4" x14ac:dyDescent="0.3">
      <c r="A165" t="s">
        <v>647</v>
      </c>
      <c r="B165" t="s">
        <v>653</v>
      </c>
      <c r="C165" t="s">
        <v>242</v>
      </c>
      <c r="D165">
        <v>29.833333333333332</v>
      </c>
    </row>
    <row r="166" spans="1:4" x14ac:dyDescent="0.3">
      <c r="A166" t="s">
        <v>647</v>
      </c>
      <c r="B166" t="s">
        <v>653</v>
      </c>
      <c r="C166" t="s">
        <v>286</v>
      </c>
      <c r="D166">
        <v>0.16666666666666666</v>
      </c>
    </row>
    <row r="167" spans="1:4" x14ac:dyDescent="0.3">
      <c r="A167" t="s">
        <v>647</v>
      </c>
      <c r="B167" t="s">
        <v>653</v>
      </c>
      <c r="C167" t="s">
        <v>339</v>
      </c>
      <c r="D167">
        <v>0.83333333333333337</v>
      </c>
    </row>
    <row r="168" spans="1:4" x14ac:dyDescent="0.3">
      <c r="A168" t="s">
        <v>647</v>
      </c>
      <c r="B168" t="s">
        <v>653</v>
      </c>
      <c r="C168" t="s">
        <v>380</v>
      </c>
      <c r="D168">
        <v>43</v>
      </c>
    </row>
    <row r="169" spans="1:4" x14ac:dyDescent="0.3">
      <c r="A169" t="s">
        <v>647</v>
      </c>
      <c r="B169" t="s">
        <v>653</v>
      </c>
      <c r="C169" t="s">
        <v>605</v>
      </c>
      <c r="D169">
        <v>0</v>
      </c>
    </row>
    <row r="170" spans="1:4" x14ac:dyDescent="0.3">
      <c r="A170" t="s">
        <v>647</v>
      </c>
      <c r="B170" t="s">
        <v>653</v>
      </c>
      <c r="C170" t="s">
        <v>446</v>
      </c>
      <c r="D170">
        <v>0.16666666666666666</v>
      </c>
    </row>
    <row r="171" spans="1:4" x14ac:dyDescent="0.3">
      <c r="A171" t="s">
        <v>647</v>
      </c>
      <c r="B171" t="s">
        <v>653</v>
      </c>
      <c r="C171" t="s">
        <v>573</v>
      </c>
      <c r="D171">
        <v>55.166666666666664</v>
      </c>
    </row>
    <row r="172" spans="1:4" x14ac:dyDescent="0.3">
      <c r="A172" t="s">
        <v>647</v>
      </c>
      <c r="B172" t="s">
        <v>654</v>
      </c>
      <c r="C172" t="s">
        <v>516</v>
      </c>
      <c r="D172" t="s">
        <v>649</v>
      </c>
    </row>
    <row r="173" spans="1:4" x14ac:dyDescent="0.3">
      <c r="A173" t="s">
        <v>647</v>
      </c>
      <c r="B173" t="s">
        <v>654</v>
      </c>
      <c r="C173" t="s">
        <v>8</v>
      </c>
      <c r="D173" t="s">
        <v>649</v>
      </c>
    </row>
    <row r="174" spans="1:4" x14ac:dyDescent="0.3">
      <c r="A174" t="s">
        <v>647</v>
      </c>
      <c r="B174" t="s">
        <v>654</v>
      </c>
      <c r="C174" t="s">
        <v>173</v>
      </c>
      <c r="D174" t="s">
        <v>649</v>
      </c>
    </row>
    <row r="175" spans="1:4" x14ac:dyDescent="0.3">
      <c r="A175" t="s">
        <v>647</v>
      </c>
      <c r="B175" t="s">
        <v>654</v>
      </c>
      <c r="C175" t="s">
        <v>242</v>
      </c>
      <c r="D175" t="s">
        <v>649</v>
      </c>
    </row>
    <row r="176" spans="1:4" x14ac:dyDescent="0.3">
      <c r="A176" t="s">
        <v>647</v>
      </c>
      <c r="B176" t="s">
        <v>654</v>
      </c>
      <c r="C176" t="s">
        <v>286</v>
      </c>
      <c r="D176" t="s">
        <v>649</v>
      </c>
    </row>
    <row r="177" spans="1:4" x14ac:dyDescent="0.3">
      <c r="A177" t="s">
        <v>647</v>
      </c>
      <c r="B177" t="s">
        <v>654</v>
      </c>
      <c r="C177" t="s">
        <v>339</v>
      </c>
      <c r="D177" t="s">
        <v>649</v>
      </c>
    </row>
    <row r="178" spans="1:4" x14ac:dyDescent="0.3">
      <c r="A178" t="s">
        <v>647</v>
      </c>
      <c r="B178" t="s">
        <v>654</v>
      </c>
      <c r="C178" t="s">
        <v>380</v>
      </c>
      <c r="D178" t="s">
        <v>649</v>
      </c>
    </row>
    <row r="179" spans="1:4" x14ac:dyDescent="0.3">
      <c r="A179" t="s">
        <v>647</v>
      </c>
      <c r="B179" t="s">
        <v>654</v>
      </c>
      <c r="C179" t="s">
        <v>605</v>
      </c>
      <c r="D179" t="s">
        <v>649</v>
      </c>
    </row>
    <row r="180" spans="1:4" x14ac:dyDescent="0.3">
      <c r="A180" t="s">
        <v>647</v>
      </c>
      <c r="B180" t="s">
        <v>654</v>
      </c>
      <c r="C180" t="s">
        <v>446</v>
      </c>
      <c r="D180" t="s">
        <v>649</v>
      </c>
    </row>
    <row r="181" spans="1:4" x14ac:dyDescent="0.3">
      <c r="A181" t="s">
        <v>647</v>
      </c>
      <c r="B181" t="s">
        <v>654</v>
      </c>
      <c r="C181" t="s">
        <v>573</v>
      </c>
      <c r="D181" t="s">
        <v>649</v>
      </c>
    </row>
    <row r="182" spans="1:4" x14ac:dyDescent="0.3">
      <c r="A182" t="s">
        <v>647</v>
      </c>
      <c r="B182" t="s">
        <v>655</v>
      </c>
      <c r="C182" t="s">
        <v>516</v>
      </c>
      <c r="D182" t="s">
        <v>649</v>
      </c>
    </row>
    <row r="183" spans="1:4" x14ac:dyDescent="0.3">
      <c r="A183" t="s">
        <v>647</v>
      </c>
      <c r="B183" t="s">
        <v>655</v>
      </c>
      <c r="C183" t="s">
        <v>8</v>
      </c>
      <c r="D183" t="s">
        <v>649</v>
      </c>
    </row>
    <row r="184" spans="1:4" x14ac:dyDescent="0.3">
      <c r="A184" t="s">
        <v>647</v>
      </c>
      <c r="B184" t="s">
        <v>655</v>
      </c>
      <c r="C184" t="s">
        <v>173</v>
      </c>
      <c r="D184">
        <v>0.33106049889005934</v>
      </c>
    </row>
    <row r="185" spans="1:4" x14ac:dyDescent="0.3">
      <c r="A185" t="s">
        <v>647</v>
      </c>
      <c r="B185" t="s">
        <v>655</v>
      </c>
      <c r="C185" t="s">
        <v>242</v>
      </c>
      <c r="D185">
        <v>0.33106049889005934</v>
      </c>
    </row>
    <row r="186" spans="1:4" x14ac:dyDescent="0.3">
      <c r="A186" t="s">
        <v>647</v>
      </c>
      <c r="B186" t="s">
        <v>655</v>
      </c>
      <c r="C186" t="s">
        <v>286</v>
      </c>
      <c r="D186">
        <v>6.6553024944502965</v>
      </c>
    </row>
    <row r="187" spans="1:4" x14ac:dyDescent="0.3">
      <c r="A187" t="s">
        <v>647</v>
      </c>
      <c r="B187" t="s">
        <v>655</v>
      </c>
      <c r="C187" t="s">
        <v>339</v>
      </c>
      <c r="D187" t="s">
        <v>649</v>
      </c>
    </row>
    <row r="188" spans="1:4" x14ac:dyDescent="0.3">
      <c r="A188" t="s">
        <v>647</v>
      </c>
      <c r="B188" t="s">
        <v>655</v>
      </c>
      <c r="C188" t="s">
        <v>380</v>
      </c>
      <c r="D188">
        <v>0.33106049889005934</v>
      </c>
    </row>
    <row r="189" spans="1:4" x14ac:dyDescent="0.3">
      <c r="A189" t="s">
        <v>647</v>
      </c>
      <c r="B189" t="s">
        <v>655</v>
      </c>
      <c r="C189" t="s">
        <v>605</v>
      </c>
      <c r="D189" t="s">
        <v>649</v>
      </c>
    </row>
    <row r="190" spans="1:4" x14ac:dyDescent="0.3">
      <c r="A190" t="s">
        <v>647</v>
      </c>
      <c r="B190" t="s">
        <v>655</v>
      </c>
      <c r="C190" t="s">
        <v>446</v>
      </c>
      <c r="D190" t="s">
        <v>649</v>
      </c>
    </row>
    <row r="191" spans="1:4" x14ac:dyDescent="0.3">
      <c r="A191" t="s">
        <v>647</v>
      </c>
      <c r="B191" t="s">
        <v>655</v>
      </c>
      <c r="C191" t="s">
        <v>573</v>
      </c>
      <c r="D191" t="s">
        <v>649</v>
      </c>
    </row>
    <row r="192" spans="1:4" x14ac:dyDescent="0.3">
      <c r="A192" t="s">
        <v>647</v>
      </c>
      <c r="B192" t="s">
        <v>17</v>
      </c>
      <c r="C192" t="s">
        <v>516</v>
      </c>
      <c r="D192">
        <v>129.89772245005267</v>
      </c>
    </row>
    <row r="193" spans="1:4" x14ac:dyDescent="0.3">
      <c r="A193" t="s">
        <v>647</v>
      </c>
      <c r="B193" t="s">
        <v>17</v>
      </c>
      <c r="C193" t="s">
        <v>8</v>
      </c>
      <c r="D193">
        <v>56.276512472251483</v>
      </c>
    </row>
    <row r="194" spans="1:4" x14ac:dyDescent="0.3">
      <c r="A194" t="s">
        <v>647</v>
      </c>
      <c r="B194" t="s">
        <v>17</v>
      </c>
      <c r="C194" t="s">
        <v>173</v>
      </c>
      <c r="D194">
        <v>105.20832743895326</v>
      </c>
    </row>
    <row r="195" spans="1:4" x14ac:dyDescent="0.3">
      <c r="A195" t="s">
        <v>647</v>
      </c>
      <c r="B195" t="s">
        <v>17</v>
      </c>
      <c r="C195" t="s">
        <v>242</v>
      </c>
      <c r="D195">
        <v>58.317423492230418</v>
      </c>
    </row>
    <row r="196" spans="1:4" x14ac:dyDescent="0.3">
      <c r="A196" t="s">
        <v>647</v>
      </c>
      <c r="B196" t="s">
        <v>17</v>
      </c>
      <c r="C196" t="s">
        <v>286</v>
      </c>
      <c r="D196">
        <v>31.303786485570772</v>
      </c>
    </row>
    <row r="197" spans="1:4" x14ac:dyDescent="0.3">
      <c r="A197" t="s">
        <v>647</v>
      </c>
      <c r="B197" t="s">
        <v>17</v>
      </c>
      <c r="C197" t="s">
        <v>339</v>
      </c>
      <c r="D197">
        <v>9.9795444900105341</v>
      </c>
    </row>
    <row r="198" spans="1:4" x14ac:dyDescent="0.3">
      <c r="A198" t="s">
        <v>647</v>
      </c>
      <c r="B198" t="s">
        <v>17</v>
      </c>
      <c r="C198" t="s">
        <v>380</v>
      </c>
      <c r="D198">
        <v>84.877266940063208</v>
      </c>
    </row>
    <row r="199" spans="1:4" x14ac:dyDescent="0.3">
      <c r="A199" t="s">
        <v>647</v>
      </c>
      <c r="B199" t="s">
        <v>17</v>
      </c>
      <c r="C199" t="s">
        <v>605</v>
      </c>
      <c r="D199">
        <v>20.256056962262019</v>
      </c>
    </row>
    <row r="200" spans="1:4" x14ac:dyDescent="0.3">
      <c r="A200" t="s">
        <v>647</v>
      </c>
      <c r="B200" t="s">
        <v>17</v>
      </c>
      <c r="C200" t="s">
        <v>446</v>
      </c>
      <c r="D200">
        <v>59.918177960042136</v>
      </c>
    </row>
    <row r="201" spans="1:4" x14ac:dyDescent="0.3">
      <c r="A201" t="s">
        <v>647</v>
      </c>
      <c r="B201" t="s">
        <v>17</v>
      </c>
      <c r="C201" t="s">
        <v>573</v>
      </c>
      <c r="D201">
        <v>20.303786485570772</v>
      </c>
    </row>
    <row r="202" spans="1:4" x14ac:dyDescent="0.3">
      <c r="A202" t="s">
        <v>647</v>
      </c>
      <c r="B202" t="s">
        <v>656</v>
      </c>
      <c r="C202" t="s">
        <v>516</v>
      </c>
      <c r="D202">
        <v>0</v>
      </c>
    </row>
    <row r="203" spans="1:4" x14ac:dyDescent="0.3">
      <c r="A203" t="s">
        <v>647</v>
      </c>
      <c r="B203" t="s">
        <v>656</v>
      </c>
      <c r="C203" t="s">
        <v>8</v>
      </c>
      <c r="D203">
        <v>3900.4654123554251</v>
      </c>
    </row>
    <row r="204" spans="1:4" x14ac:dyDescent="0.3">
      <c r="A204" t="s">
        <v>647</v>
      </c>
      <c r="B204" t="s">
        <v>656</v>
      </c>
      <c r="C204" t="s">
        <v>173</v>
      </c>
      <c r="D204">
        <v>1572.727844576473</v>
      </c>
    </row>
    <row r="205" spans="1:4" x14ac:dyDescent="0.3">
      <c r="A205" t="s">
        <v>647</v>
      </c>
      <c r="B205" t="s">
        <v>656</v>
      </c>
      <c r="C205" t="s">
        <v>242</v>
      </c>
      <c r="D205">
        <v>1147.0414957296448</v>
      </c>
    </row>
    <row r="206" spans="1:4" x14ac:dyDescent="0.3">
      <c r="A206" t="s">
        <v>647</v>
      </c>
      <c r="B206" t="s">
        <v>656</v>
      </c>
      <c r="C206" t="s">
        <v>286</v>
      </c>
      <c r="D206">
        <v>958.83316829069156</v>
      </c>
    </row>
    <row r="207" spans="1:4" x14ac:dyDescent="0.3">
      <c r="A207" t="s">
        <v>647</v>
      </c>
      <c r="B207" t="s">
        <v>656</v>
      </c>
      <c r="C207" t="s">
        <v>339</v>
      </c>
      <c r="D207">
        <v>2817.3943226229771</v>
      </c>
    </row>
    <row r="208" spans="1:4" x14ac:dyDescent="0.3">
      <c r="A208" t="s">
        <v>647</v>
      </c>
      <c r="B208" t="s">
        <v>656</v>
      </c>
      <c r="C208" t="s">
        <v>380</v>
      </c>
      <c r="D208">
        <v>1985.6587919032656</v>
      </c>
    </row>
    <row r="209" spans="1:4" x14ac:dyDescent="0.3">
      <c r="A209" t="s">
        <v>647</v>
      </c>
      <c r="B209" t="s">
        <v>656</v>
      </c>
      <c r="C209" t="s">
        <v>605</v>
      </c>
      <c r="D209">
        <v>2194.8269344970272</v>
      </c>
    </row>
    <row r="210" spans="1:4" x14ac:dyDescent="0.3">
      <c r="A210" t="s">
        <v>647</v>
      </c>
      <c r="B210" t="s">
        <v>656</v>
      </c>
      <c r="C210" t="s">
        <v>446</v>
      </c>
      <c r="D210">
        <v>389.72189371305205</v>
      </c>
    </row>
    <row r="211" spans="1:4" x14ac:dyDescent="0.3">
      <c r="A211" t="s">
        <v>647</v>
      </c>
      <c r="B211" t="s">
        <v>656</v>
      </c>
      <c r="C211" t="s">
        <v>573</v>
      </c>
      <c r="D211">
        <v>2172.7564294742451</v>
      </c>
    </row>
    <row r="212" spans="1:4" x14ac:dyDescent="0.3">
      <c r="A212" t="s">
        <v>647</v>
      </c>
      <c r="B212" t="s">
        <v>172</v>
      </c>
      <c r="C212" t="s">
        <v>516</v>
      </c>
      <c r="D212">
        <v>965.43551657319961</v>
      </c>
    </row>
    <row r="213" spans="1:4" x14ac:dyDescent="0.3">
      <c r="A213" t="s">
        <v>647</v>
      </c>
      <c r="B213" t="s">
        <v>172</v>
      </c>
      <c r="C213" t="s">
        <v>8</v>
      </c>
      <c r="D213">
        <v>1477.3384637118857</v>
      </c>
    </row>
    <row r="214" spans="1:4" x14ac:dyDescent="0.3">
      <c r="A214" t="s">
        <v>647</v>
      </c>
      <c r="B214" t="s">
        <v>172</v>
      </c>
      <c r="C214" t="s">
        <v>173</v>
      </c>
      <c r="D214">
        <v>642.14232093001715</v>
      </c>
    </row>
    <row r="215" spans="1:4" x14ac:dyDescent="0.3">
      <c r="A215" t="s">
        <v>647</v>
      </c>
      <c r="B215" t="s">
        <v>172</v>
      </c>
      <c r="C215" t="s">
        <v>242</v>
      </c>
      <c r="D215">
        <v>781.63775168361042</v>
      </c>
    </row>
    <row r="216" spans="1:4" x14ac:dyDescent="0.3">
      <c r="A216" t="s">
        <v>647</v>
      </c>
      <c r="B216" t="s">
        <v>172</v>
      </c>
      <c r="C216" t="s">
        <v>286</v>
      </c>
      <c r="D216">
        <v>305.90903946722847</v>
      </c>
    </row>
    <row r="217" spans="1:4" x14ac:dyDescent="0.3">
      <c r="A217" t="s">
        <v>647</v>
      </c>
      <c r="B217" t="s">
        <v>172</v>
      </c>
      <c r="C217" t="s">
        <v>339</v>
      </c>
      <c r="D217">
        <v>368.55375111929038</v>
      </c>
    </row>
    <row r="218" spans="1:4" x14ac:dyDescent="0.3">
      <c r="A218" t="s">
        <v>647</v>
      </c>
      <c r="B218" t="s">
        <v>172</v>
      </c>
      <c r="C218" t="s">
        <v>380</v>
      </c>
      <c r="D218">
        <v>91.078775875686645</v>
      </c>
    </row>
    <row r="219" spans="1:4" x14ac:dyDescent="0.3">
      <c r="A219" t="s">
        <v>647</v>
      </c>
      <c r="B219" t="s">
        <v>172</v>
      </c>
      <c r="C219" t="s">
        <v>605</v>
      </c>
      <c r="D219">
        <v>144.32801433461884</v>
      </c>
    </row>
    <row r="220" spans="1:4" x14ac:dyDescent="0.3">
      <c r="A220" t="s">
        <v>647</v>
      </c>
      <c r="B220" t="s">
        <v>172</v>
      </c>
      <c r="C220" t="s">
        <v>446</v>
      </c>
      <c r="D220">
        <v>230.16437025470313</v>
      </c>
    </row>
    <row r="221" spans="1:4" x14ac:dyDescent="0.3">
      <c r="A221" t="s">
        <v>647</v>
      </c>
      <c r="B221" t="s">
        <v>172</v>
      </c>
      <c r="C221" t="s">
        <v>573</v>
      </c>
      <c r="D221">
        <v>251.07268354714421</v>
      </c>
    </row>
    <row r="222" spans="1:4" x14ac:dyDescent="0.3">
      <c r="A222" t="s">
        <v>647</v>
      </c>
      <c r="B222" t="s">
        <v>139</v>
      </c>
      <c r="C222" t="s">
        <v>516</v>
      </c>
      <c r="D222">
        <v>171.68330268255696</v>
      </c>
    </row>
    <row r="223" spans="1:4" x14ac:dyDescent="0.3">
      <c r="A223" t="s">
        <v>647</v>
      </c>
      <c r="B223" t="s">
        <v>139</v>
      </c>
      <c r="C223" t="s">
        <v>8</v>
      </c>
      <c r="D223" t="s">
        <v>649</v>
      </c>
    </row>
    <row r="224" spans="1:4" x14ac:dyDescent="0.3">
      <c r="A224" t="s">
        <v>647</v>
      </c>
      <c r="B224" t="s">
        <v>139</v>
      </c>
      <c r="C224" t="s">
        <v>173</v>
      </c>
      <c r="D224" t="s">
        <v>649</v>
      </c>
    </row>
    <row r="225" spans="1:4" x14ac:dyDescent="0.3">
      <c r="A225" t="s">
        <v>647</v>
      </c>
      <c r="B225" t="s">
        <v>139</v>
      </c>
      <c r="C225" t="s">
        <v>242</v>
      </c>
      <c r="D225" t="s">
        <v>649</v>
      </c>
    </row>
    <row r="226" spans="1:4" x14ac:dyDescent="0.3">
      <c r="A226" t="s">
        <v>647</v>
      </c>
      <c r="B226" t="s">
        <v>139</v>
      </c>
      <c r="C226" t="s">
        <v>286</v>
      </c>
      <c r="D226" t="s">
        <v>649</v>
      </c>
    </row>
    <row r="227" spans="1:4" x14ac:dyDescent="0.3">
      <c r="A227" t="s">
        <v>647</v>
      </c>
      <c r="B227" t="s">
        <v>139</v>
      </c>
      <c r="C227" t="s">
        <v>339</v>
      </c>
      <c r="D227" t="s">
        <v>649</v>
      </c>
    </row>
    <row r="228" spans="1:4" x14ac:dyDescent="0.3">
      <c r="A228" t="s">
        <v>647</v>
      </c>
      <c r="B228" t="s">
        <v>139</v>
      </c>
      <c r="C228" t="s">
        <v>380</v>
      </c>
      <c r="D228" t="s">
        <v>649</v>
      </c>
    </row>
    <row r="229" spans="1:4" x14ac:dyDescent="0.3">
      <c r="A229" t="s">
        <v>647</v>
      </c>
      <c r="B229" t="s">
        <v>139</v>
      </c>
      <c r="C229" t="s">
        <v>605</v>
      </c>
      <c r="D229" t="s">
        <v>649</v>
      </c>
    </row>
    <row r="230" spans="1:4" x14ac:dyDescent="0.3">
      <c r="A230" t="s">
        <v>647</v>
      </c>
      <c r="B230" t="s">
        <v>139</v>
      </c>
      <c r="C230" t="s">
        <v>446</v>
      </c>
      <c r="D230" t="s">
        <v>649</v>
      </c>
    </row>
    <row r="231" spans="1:4" x14ac:dyDescent="0.3">
      <c r="A231" t="s">
        <v>647</v>
      </c>
      <c r="B231" t="s">
        <v>139</v>
      </c>
      <c r="C231" t="s">
        <v>573</v>
      </c>
      <c r="D231" t="s">
        <v>649</v>
      </c>
    </row>
    <row r="232" spans="1:4" x14ac:dyDescent="0.3">
      <c r="A232" t="s">
        <v>647</v>
      </c>
      <c r="B232" t="s">
        <v>81</v>
      </c>
      <c r="C232" t="s">
        <v>516</v>
      </c>
      <c r="D232" t="s">
        <v>649</v>
      </c>
    </row>
    <row r="233" spans="1:4" x14ac:dyDescent="0.3">
      <c r="A233" t="s">
        <v>647</v>
      </c>
      <c r="B233" t="s">
        <v>81</v>
      </c>
      <c r="C233" t="s">
        <v>8</v>
      </c>
      <c r="D233" t="s">
        <v>649</v>
      </c>
    </row>
    <row r="234" spans="1:4" x14ac:dyDescent="0.3">
      <c r="A234" t="s">
        <v>647</v>
      </c>
      <c r="B234" t="s">
        <v>81</v>
      </c>
      <c r="C234" t="s">
        <v>173</v>
      </c>
      <c r="D234" t="s">
        <v>649</v>
      </c>
    </row>
    <row r="235" spans="1:4" x14ac:dyDescent="0.3">
      <c r="A235" t="s">
        <v>647</v>
      </c>
      <c r="B235" t="s">
        <v>81</v>
      </c>
      <c r="C235" t="s">
        <v>242</v>
      </c>
      <c r="D235" t="s">
        <v>649</v>
      </c>
    </row>
    <row r="236" spans="1:4" x14ac:dyDescent="0.3">
      <c r="A236" t="s">
        <v>647</v>
      </c>
      <c r="B236" t="s">
        <v>81</v>
      </c>
      <c r="C236" t="s">
        <v>286</v>
      </c>
      <c r="D236" t="s">
        <v>649</v>
      </c>
    </row>
    <row r="237" spans="1:4" x14ac:dyDescent="0.3">
      <c r="A237" t="s">
        <v>647</v>
      </c>
      <c r="B237" t="s">
        <v>81</v>
      </c>
      <c r="C237" t="s">
        <v>339</v>
      </c>
      <c r="D237" t="s">
        <v>649</v>
      </c>
    </row>
    <row r="238" spans="1:4" x14ac:dyDescent="0.3">
      <c r="A238" t="s">
        <v>647</v>
      </c>
      <c r="B238" t="s">
        <v>81</v>
      </c>
      <c r="C238" t="s">
        <v>380</v>
      </c>
      <c r="D238" t="s">
        <v>649</v>
      </c>
    </row>
    <row r="239" spans="1:4" x14ac:dyDescent="0.3">
      <c r="A239" t="s">
        <v>647</v>
      </c>
      <c r="B239" t="s">
        <v>81</v>
      </c>
      <c r="C239" t="s">
        <v>605</v>
      </c>
      <c r="D239" t="s">
        <v>649</v>
      </c>
    </row>
    <row r="240" spans="1:4" x14ac:dyDescent="0.3">
      <c r="A240" t="s">
        <v>647</v>
      </c>
      <c r="B240" t="s">
        <v>81</v>
      </c>
      <c r="C240" t="s">
        <v>446</v>
      </c>
      <c r="D240" t="s">
        <v>649</v>
      </c>
    </row>
    <row r="241" spans="1:4" x14ac:dyDescent="0.3">
      <c r="A241" t="s">
        <v>647</v>
      </c>
      <c r="B241" t="s">
        <v>81</v>
      </c>
      <c r="C241" t="s">
        <v>573</v>
      </c>
      <c r="D241" t="s">
        <v>649</v>
      </c>
    </row>
    <row r="242" spans="1:4" x14ac:dyDescent="0.3">
      <c r="A242" t="s">
        <v>647</v>
      </c>
      <c r="B242" t="s">
        <v>9</v>
      </c>
      <c r="C242" t="s">
        <v>516</v>
      </c>
      <c r="D242" t="s">
        <v>649</v>
      </c>
    </row>
    <row r="243" spans="1:4" x14ac:dyDescent="0.3">
      <c r="A243" t="s">
        <v>647</v>
      </c>
      <c r="B243" t="s">
        <v>9</v>
      </c>
      <c r="C243" t="s">
        <v>8</v>
      </c>
      <c r="D243" t="s">
        <v>649</v>
      </c>
    </row>
    <row r="244" spans="1:4" x14ac:dyDescent="0.3">
      <c r="A244" t="s">
        <v>647</v>
      </c>
      <c r="B244" t="s">
        <v>9</v>
      </c>
      <c r="C244" t="s">
        <v>173</v>
      </c>
      <c r="D244" t="s">
        <v>649</v>
      </c>
    </row>
    <row r="245" spans="1:4" x14ac:dyDescent="0.3">
      <c r="A245" t="s">
        <v>647</v>
      </c>
      <c r="B245" t="s">
        <v>9</v>
      </c>
      <c r="C245" t="s">
        <v>242</v>
      </c>
      <c r="D245" t="s">
        <v>649</v>
      </c>
    </row>
    <row r="246" spans="1:4" x14ac:dyDescent="0.3">
      <c r="A246" t="s">
        <v>647</v>
      </c>
      <c r="B246" t="s">
        <v>9</v>
      </c>
      <c r="C246" t="s">
        <v>286</v>
      </c>
      <c r="D246" t="s">
        <v>649</v>
      </c>
    </row>
    <row r="247" spans="1:4" x14ac:dyDescent="0.3">
      <c r="A247" t="s">
        <v>647</v>
      </c>
      <c r="B247" t="s">
        <v>9</v>
      </c>
      <c r="C247" t="s">
        <v>339</v>
      </c>
      <c r="D247" t="s">
        <v>649</v>
      </c>
    </row>
    <row r="248" spans="1:4" x14ac:dyDescent="0.3">
      <c r="A248" t="s">
        <v>647</v>
      </c>
      <c r="B248" t="s">
        <v>9</v>
      </c>
      <c r="C248" t="s">
        <v>380</v>
      </c>
      <c r="D248" t="s">
        <v>649</v>
      </c>
    </row>
    <row r="249" spans="1:4" x14ac:dyDescent="0.3">
      <c r="A249" t="s">
        <v>647</v>
      </c>
      <c r="B249" t="s">
        <v>9</v>
      </c>
      <c r="C249" t="s">
        <v>605</v>
      </c>
      <c r="D249" t="s">
        <v>649</v>
      </c>
    </row>
    <row r="250" spans="1:4" x14ac:dyDescent="0.3">
      <c r="A250" t="s">
        <v>647</v>
      </c>
      <c r="B250" t="s">
        <v>9</v>
      </c>
      <c r="C250" t="s">
        <v>446</v>
      </c>
      <c r="D250" t="s">
        <v>649</v>
      </c>
    </row>
    <row r="251" spans="1:4" x14ac:dyDescent="0.3">
      <c r="A251" t="s">
        <v>647</v>
      </c>
      <c r="B251" t="s">
        <v>9</v>
      </c>
      <c r="C251" t="s">
        <v>573</v>
      </c>
      <c r="D251" t="s">
        <v>649</v>
      </c>
    </row>
    <row r="252" spans="1:4" x14ac:dyDescent="0.3">
      <c r="A252" t="s">
        <v>647</v>
      </c>
      <c r="B252" t="s">
        <v>657</v>
      </c>
      <c r="C252" t="s">
        <v>516</v>
      </c>
      <c r="D252">
        <v>0</v>
      </c>
    </row>
    <row r="253" spans="1:4" x14ac:dyDescent="0.3">
      <c r="A253" t="s">
        <v>647</v>
      </c>
      <c r="B253" t="s">
        <v>657</v>
      </c>
      <c r="C253" t="s">
        <v>8</v>
      </c>
      <c r="D253">
        <v>0</v>
      </c>
    </row>
    <row r="254" spans="1:4" x14ac:dyDescent="0.3">
      <c r="A254" t="s">
        <v>647</v>
      </c>
      <c r="B254" t="s">
        <v>657</v>
      </c>
      <c r="C254" t="s">
        <v>173</v>
      </c>
      <c r="D254">
        <v>0</v>
      </c>
    </row>
    <row r="255" spans="1:4" x14ac:dyDescent="0.3">
      <c r="A255" t="s">
        <v>647</v>
      </c>
      <c r="B255" t="s">
        <v>657</v>
      </c>
      <c r="C255" t="s">
        <v>242</v>
      </c>
      <c r="D255">
        <v>0</v>
      </c>
    </row>
    <row r="256" spans="1:4" x14ac:dyDescent="0.3">
      <c r="A256" t="s">
        <v>647</v>
      </c>
      <c r="B256" t="s">
        <v>657</v>
      </c>
      <c r="C256" t="s">
        <v>286</v>
      </c>
      <c r="D256">
        <v>0</v>
      </c>
    </row>
    <row r="257" spans="1:4" x14ac:dyDescent="0.3">
      <c r="A257" t="s">
        <v>647</v>
      </c>
      <c r="B257" t="s">
        <v>657</v>
      </c>
      <c r="C257" t="s">
        <v>339</v>
      </c>
      <c r="D257">
        <v>0</v>
      </c>
    </row>
    <row r="258" spans="1:4" x14ac:dyDescent="0.3">
      <c r="A258" t="s">
        <v>647</v>
      </c>
      <c r="B258" t="s">
        <v>657</v>
      </c>
      <c r="C258" t="s">
        <v>380</v>
      </c>
      <c r="D258">
        <v>0</v>
      </c>
    </row>
    <row r="259" spans="1:4" x14ac:dyDescent="0.3">
      <c r="A259" t="s">
        <v>647</v>
      </c>
      <c r="B259" t="s">
        <v>657</v>
      </c>
      <c r="C259" t="s">
        <v>605</v>
      </c>
      <c r="D259">
        <v>0</v>
      </c>
    </row>
    <row r="260" spans="1:4" x14ac:dyDescent="0.3">
      <c r="A260" t="s">
        <v>647</v>
      </c>
      <c r="B260" t="s">
        <v>657</v>
      </c>
      <c r="C260" t="s">
        <v>446</v>
      </c>
      <c r="D260">
        <v>0</v>
      </c>
    </row>
    <row r="261" spans="1:4" x14ac:dyDescent="0.3">
      <c r="A261" t="s">
        <v>647</v>
      </c>
      <c r="B261" t="s">
        <v>657</v>
      </c>
      <c r="C261" t="s">
        <v>573</v>
      </c>
      <c r="D261">
        <v>0</v>
      </c>
    </row>
    <row r="263" spans="1:4" x14ac:dyDescent="0.3">
      <c r="A263" t="s">
        <v>658</v>
      </c>
      <c r="B263" t="s">
        <v>59</v>
      </c>
      <c r="C263" t="s">
        <v>516</v>
      </c>
      <c r="D263">
        <v>132.09241288234631</v>
      </c>
    </row>
    <row r="264" spans="1:4" x14ac:dyDescent="0.3">
      <c r="A264" t="s">
        <v>658</v>
      </c>
      <c r="B264" t="s">
        <v>59</v>
      </c>
      <c r="C264" t="s">
        <v>8</v>
      </c>
      <c r="D264">
        <v>82.573480454492426</v>
      </c>
    </row>
    <row r="265" spans="1:4" x14ac:dyDescent="0.3">
      <c r="A265" t="s">
        <v>658</v>
      </c>
      <c r="B265" t="s">
        <v>59</v>
      </c>
      <c r="C265" t="s">
        <v>173</v>
      </c>
      <c r="D265">
        <v>39.938633470031604</v>
      </c>
    </row>
    <row r="266" spans="1:4" x14ac:dyDescent="0.3">
      <c r="A266" t="s">
        <v>658</v>
      </c>
      <c r="B266" t="s">
        <v>59</v>
      </c>
      <c r="C266" t="s">
        <v>242</v>
      </c>
      <c r="D266">
        <v>40.986362993340357</v>
      </c>
    </row>
    <row r="267" spans="1:4" x14ac:dyDescent="0.3">
      <c r="A267" t="s">
        <v>658</v>
      </c>
      <c r="B267" t="s">
        <v>59</v>
      </c>
      <c r="C267" t="s">
        <v>286</v>
      </c>
      <c r="D267">
        <v>78.187871928963801</v>
      </c>
    </row>
    <row r="268" spans="1:4" x14ac:dyDescent="0.3">
      <c r="A268" t="s">
        <v>658</v>
      </c>
      <c r="B268" t="s">
        <v>59</v>
      </c>
      <c r="C268" t="s">
        <v>339</v>
      </c>
      <c r="D268">
        <v>20.283330975581308</v>
      </c>
    </row>
    <row r="269" spans="1:4" x14ac:dyDescent="0.3">
      <c r="A269" t="s">
        <v>658</v>
      </c>
      <c r="B269" t="s">
        <v>59</v>
      </c>
      <c r="C269" t="s">
        <v>380</v>
      </c>
      <c r="D269">
        <v>115.20150893562344</v>
      </c>
    </row>
    <row r="270" spans="1:4" x14ac:dyDescent="0.3">
      <c r="A270" t="s">
        <v>658</v>
      </c>
      <c r="B270" t="s">
        <v>59</v>
      </c>
      <c r="C270" t="s">
        <v>605</v>
      </c>
      <c r="D270">
        <v>9.9795444900105341</v>
      </c>
    </row>
    <row r="271" spans="1:4" x14ac:dyDescent="0.3">
      <c r="A271" t="s">
        <v>658</v>
      </c>
      <c r="B271" t="s">
        <v>59</v>
      </c>
      <c r="C271" t="s">
        <v>446</v>
      </c>
      <c r="D271">
        <v>89.587117461152076</v>
      </c>
    </row>
    <row r="272" spans="1:4" x14ac:dyDescent="0.3">
      <c r="A272" t="s">
        <v>658</v>
      </c>
      <c r="B272" t="s">
        <v>59</v>
      </c>
      <c r="C272" t="s">
        <v>573</v>
      </c>
      <c r="D272">
        <v>16.621209977801186</v>
      </c>
    </row>
    <row r="273" spans="1:4" x14ac:dyDescent="0.3">
      <c r="A273" t="s">
        <v>658</v>
      </c>
      <c r="B273" t="s">
        <v>648</v>
      </c>
      <c r="C273" t="s">
        <v>516</v>
      </c>
      <c r="D273">
        <v>36.952270476691247</v>
      </c>
    </row>
    <row r="274" spans="1:4" x14ac:dyDescent="0.3">
      <c r="A274" t="s">
        <v>658</v>
      </c>
      <c r="B274" t="s">
        <v>648</v>
      </c>
      <c r="C274" t="s">
        <v>8</v>
      </c>
      <c r="D274">
        <v>66.959088980021065</v>
      </c>
    </row>
    <row r="275" spans="1:4" x14ac:dyDescent="0.3">
      <c r="A275" t="s">
        <v>658</v>
      </c>
      <c r="B275" t="s">
        <v>648</v>
      </c>
      <c r="C275" t="s">
        <v>173</v>
      </c>
      <c r="D275">
        <v>12.628028481131009</v>
      </c>
    </row>
    <row r="276" spans="1:4" x14ac:dyDescent="0.3">
      <c r="A276" t="s">
        <v>658</v>
      </c>
      <c r="B276" t="s">
        <v>648</v>
      </c>
      <c r="C276" t="s">
        <v>242</v>
      </c>
      <c r="D276">
        <v>8.9659074833508896</v>
      </c>
    </row>
    <row r="277" spans="1:4" x14ac:dyDescent="0.3">
      <c r="A277" t="s">
        <v>658</v>
      </c>
      <c r="B277" t="s">
        <v>648</v>
      </c>
      <c r="C277" t="s">
        <v>286</v>
      </c>
      <c r="D277">
        <v>1.6621209977801188</v>
      </c>
    </row>
    <row r="278" spans="1:4" x14ac:dyDescent="0.3">
      <c r="A278" t="s">
        <v>658</v>
      </c>
      <c r="B278" t="s">
        <v>648</v>
      </c>
      <c r="C278" t="s">
        <v>339</v>
      </c>
      <c r="D278">
        <v>0.66212099778011868</v>
      </c>
    </row>
    <row r="279" spans="1:4" x14ac:dyDescent="0.3">
      <c r="A279" t="s">
        <v>658</v>
      </c>
      <c r="B279" t="s">
        <v>648</v>
      </c>
      <c r="C279" t="s">
        <v>380</v>
      </c>
      <c r="D279">
        <v>4.9795444900105341</v>
      </c>
    </row>
    <row r="280" spans="1:4" x14ac:dyDescent="0.3">
      <c r="A280" t="s">
        <v>658</v>
      </c>
      <c r="B280" t="s">
        <v>648</v>
      </c>
      <c r="C280" t="s">
        <v>605</v>
      </c>
      <c r="D280">
        <v>7.6553024944502965</v>
      </c>
    </row>
    <row r="281" spans="1:4" x14ac:dyDescent="0.3">
      <c r="A281" t="s">
        <v>658</v>
      </c>
      <c r="B281" t="s">
        <v>648</v>
      </c>
      <c r="C281" t="s">
        <v>446</v>
      </c>
      <c r="D281">
        <v>1</v>
      </c>
    </row>
    <row r="282" spans="1:4" x14ac:dyDescent="0.3">
      <c r="A282" t="s">
        <v>658</v>
      </c>
      <c r="B282" t="s">
        <v>648</v>
      </c>
      <c r="C282" t="s">
        <v>573</v>
      </c>
      <c r="D282">
        <v>23.634846984460832</v>
      </c>
    </row>
    <row r="283" spans="1:4" x14ac:dyDescent="0.3">
      <c r="A283" t="s">
        <v>658</v>
      </c>
      <c r="B283" t="s">
        <v>100</v>
      </c>
      <c r="C283" t="s">
        <v>516</v>
      </c>
      <c r="D283">
        <v>2.9863629933403564</v>
      </c>
    </row>
    <row r="284" spans="1:4" x14ac:dyDescent="0.3">
      <c r="A284" t="s">
        <v>658</v>
      </c>
      <c r="B284" t="s">
        <v>100</v>
      </c>
      <c r="C284" t="s">
        <v>8</v>
      </c>
      <c r="D284">
        <v>1</v>
      </c>
    </row>
    <row r="285" spans="1:4" x14ac:dyDescent="0.3">
      <c r="A285" t="s">
        <v>658</v>
      </c>
      <c r="B285" t="s">
        <v>100</v>
      </c>
      <c r="C285" t="s">
        <v>173</v>
      </c>
      <c r="D285">
        <v>8.3242419955602376</v>
      </c>
    </row>
    <row r="286" spans="1:4" x14ac:dyDescent="0.3">
      <c r="A286" t="s">
        <v>658</v>
      </c>
      <c r="B286" t="s">
        <v>100</v>
      </c>
      <c r="C286" t="s">
        <v>242</v>
      </c>
      <c r="D286">
        <v>1</v>
      </c>
    </row>
    <row r="287" spans="1:4" x14ac:dyDescent="0.3">
      <c r="A287" t="s">
        <v>658</v>
      </c>
      <c r="B287" t="s">
        <v>100</v>
      </c>
      <c r="C287" t="s">
        <v>286</v>
      </c>
      <c r="D287">
        <v>0</v>
      </c>
    </row>
    <row r="288" spans="1:4" x14ac:dyDescent="0.3">
      <c r="A288" t="s">
        <v>658</v>
      </c>
      <c r="B288" t="s">
        <v>100</v>
      </c>
      <c r="C288" t="s">
        <v>339</v>
      </c>
      <c r="D288">
        <v>0</v>
      </c>
    </row>
    <row r="289" spans="1:4" x14ac:dyDescent="0.3">
      <c r="A289" t="s">
        <v>658</v>
      </c>
      <c r="B289" t="s">
        <v>100</v>
      </c>
      <c r="C289" t="s">
        <v>380</v>
      </c>
      <c r="D289">
        <v>0</v>
      </c>
    </row>
    <row r="290" spans="1:4" x14ac:dyDescent="0.3">
      <c r="A290" t="s">
        <v>658</v>
      </c>
      <c r="B290" t="s">
        <v>100</v>
      </c>
      <c r="C290" t="s">
        <v>605</v>
      </c>
      <c r="D290">
        <v>0</v>
      </c>
    </row>
    <row r="291" spans="1:4" x14ac:dyDescent="0.3">
      <c r="A291" t="s">
        <v>658</v>
      </c>
      <c r="B291" t="s">
        <v>100</v>
      </c>
      <c r="C291" t="s">
        <v>446</v>
      </c>
      <c r="D291">
        <v>5.2969679822409494</v>
      </c>
    </row>
    <row r="292" spans="1:4" x14ac:dyDescent="0.3">
      <c r="A292" t="s">
        <v>658</v>
      </c>
      <c r="B292" t="s">
        <v>100</v>
      </c>
      <c r="C292" t="s">
        <v>573</v>
      </c>
      <c r="D292">
        <v>0</v>
      </c>
    </row>
    <row r="293" spans="1:4" x14ac:dyDescent="0.3">
      <c r="A293" t="s">
        <v>658</v>
      </c>
      <c r="B293" t="s">
        <v>100</v>
      </c>
      <c r="C293" t="s">
        <v>516</v>
      </c>
      <c r="D293">
        <v>0.66212099778011868</v>
      </c>
    </row>
    <row r="294" spans="1:4" x14ac:dyDescent="0.3">
      <c r="A294" t="s">
        <v>658</v>
      </c>
      <c r="B294" t="s">
        <v>100</v>
      </c>
      <c r="C294" t="s">
        <v>8</v>
      </c>
      <c r="D294">
        <v>0</v>
      </c>
    </row>
    <row r="295" spans="1:4" x14ac:dyDescent="0.3">
      <c r="A295" t="s">
        <v>658</v>
      </c>
      <c r="B295" t="s">
        <v>100</v>
      </c>
      <c r="C295" t="s">
        <v>173</v>
      </c>
      <c r="D295">
        <v>0</v>
      </c>
    </row>
    <row r="296" spans="1:4" x14ac:dyDescent="0.3">
      <c r="A296" t="s">
        <v>658</v>
      </c>
      <c r="B296" t="s">
        <v>100</v>
      </c>
      <c r="C296" t="s">
        <v>242</v>
      </c>
      <c r="D296">
        <v>0</v>
      </c>
    </row>
    <row r="297" spans="1:4" x14ac:dyDescent="0.3">
      <c r="A297" t="s">
        <v>658</v>
      </c>
      <c r="B297" t="s">
        <v>100</v>
      </c>
      <c r="C297" t="s">
        <v>286</v>
      </c>
      <c r="D297">
        <v>0</v>
      </c>
    </row>
    <row r="298" spans="1:4" x14ac:dyDescent="0.3">
      <c r="A298" t="s">
        <v>658</v>
      </c>
      <c r="B298" t="s">
        <v>100</v>
      </c>
      <c r="C298" t="s">
        <v>339</v>
      </c>
      <c r="D298">
        <v>0</v>
      </c>
    </row>
    <row r="299" spans="1:4" x14ac:dyDescent="0.3">
      <c r="A299" t="s">
        <v>658</v>
      </c>
      <c r="B299" t="s">
        <v>100</v>
      </c>
      <c r="C299" t="s">
        <v>380</v>
      </c>
      <c r="D299">
        <v>0</v>
      </c>
    </row>
    <row r="300" spans="1:4" x14ac:dyDescent="0.3">
      <c r="A300" t="s">
        <v>658</v>
      </c>
      <c r="B300" t="s">
        <v>100</v>
      </c>
      <c r="C300" t="s">
        <v>605</v>
      </c>
      <c r="D300">
        <v>0.66212099778011868</v>
      </c>
    </row>
    <row r="301" spans="1:4" x14ac:dyDescent="0.3">
      <c r="A301" t="s">
        <v>658</v>
      </c>
      <c r="B301" t="s">
        <v>100</v>
      </c>
      <c r="C301" t="s">
        <v>446</v>
      </c>
      <c r="D301">
        <v>0</v>
      </c>
    </row>
    <row r="302" spans="1:4" x14ac:dyDescent="0.3">
      <c r="A302" t="s">
        <v>658</v>
      </c>
      <c r="B302" t="s">
        <v>100</v>
      </c>
      <c r="C302" t="s">
        <v>573</v>
      </c>
      <c r="D302">
        <v>0</v>
      </c>
    </row>
    <row r="303" spans="1:4" x14ac:dyDescent="0.3">
      <c r="A303" t="s">
        <v>658</v>
      </c>
      <c r="B303" t="s">
        <v>168</v>
      </c>
      <c r="C303" t="s">
        <v>516</v>
      </c>
      <c r="D303">
        <v>0.33106049889005934</v>
      </c>
    </row>
    <row r="304" spans="1:4" x14ac:dyDescent="0.3">
      <c r="A304" t="s">
        <v>658</v>
      </c>
      <c r="B304" t="s">
        <v>168</v>
      </c>
      <c r="C304" t="s">
        <v>8</v>
      </c>
      <c r="D304">
        <v>0</v>
      </c>
    </row>
    <row r="305" spans="1:4" x14ac:dyDescent="0.3">
      <c r="A305" t="s">
        <v>658</v>
      </c>
      <c r="B305" t="s">
        <v>168</v>
      </c>
      <c r="C305" t="s">
        <v>173</v>
      </c>
      <c r="D305">
        <v>0</v>
      </c>
    </row>
    <row r="306" spans="1:4" x14ac:dyDescent="0.3">
      <c r="A306" t="s">
        <v>658</v>
      </c>
      <c r="B306" t="s">
        <v>168</v>
      </c>
      <c r="C306" t="s">
        <v>242</v>
      </c>
      <c r="D306">
        <v>0</v>
      </c>
    </row>
    <row r="307" spans="1:4" x14ac:dyDescent="0.3">
      <c r="A307" t="s">
        <v>658</v>
      </c>
      <c r="B307" t="s">
        <v>168</v>
      </c>
      <c r="C307" t="s">
        <v>286</v>
      </c>
      <c r="D307">
        <v>0</v>
      </c>
    </row>
    <row r="308" spans="1:4" x14ac:dyDescent="0.3">
      <c r="A308" t="s">
        <v>658</v>
      </c>
      <c r="B308" t="s">
        <v>168</v>
      </c>
      <c r="C308" t="s">
        <v>339</v>
      </c>
      <c r="D308">
        <v>0</v>
      </c>
    </row>
    <row r="309" spans="1:4" x14ac:dyDescent="0.3">
      <c r="A309" t="s">
        <v>658</v>
      </c>
      <c r="B309" t="s">
        <v>168</v>
      </c>
      <c r="C309" t="s">
        <v>380</v>
      </c>
      <c r="D309">
        <v>0</v>
      </c>
    </row>
    <row r="310" spans="1:4" x14ac:dyDescent="0.3">
      <c r="A310" t="s">
        <v>658</v>
      </c>
      <c r="B310" t="s">
        <v>168</v>
      </c>
      <c r="C310" t="s">
        <v>605</v>
      </c>
      <c r="D310">
        <v>0</v>
      </c>
    </row>
    <row r="311" spans="1:4" x14ac:dyDescent="0.3">
      <c r="A311" t="s">
        <v>658</v>
      </c>
      <c r="B311" t="s">
        <v>168</v>
      </c>
      <c r="C311" t="s">
        <v>446</v>
      </c>
      <c r="D311">
        <v>0</v>
      </c>
    </row>
    <row r="312" spans="1:4" x14ac:dyDescent="0.3">
      <c r="A312" t="s">
        <v>658</v>
      </c>
      <c r="B312" t="s">
        <v>168</v>
      </c>
      <c r="C312" t="s">
        <v>573</v>
      </c>
      <c r="D312">
        <v>0</v>
      </c>
    </row>
    <row r="313" spans="1:4" x14ac:dyDescent="0.3">
      <c r="A313" t="s">
        <v>658</v>
      </c>
      <c r="B313" t="s">
        <v>650</v>
      </c>
      <c r="C313" t="s">
        <v>516</v>
      </c>
      <c r="D313">
        <v>0</v>
      </c>
    </row>
    <row r="314" spans="1:4" x14ac:dyDescent="0.3">
      <c r="A314" t="s">
        <v>658</v>
      </c>
      <c r="B314" t="s">
        <v>650</v>
      </c>
      <c r="C314" t="s">
        <v>8</v>
      </c>
      <c r="D314">
        <v>0</v>
      </c>
    </row>
    <row r="315" spans="1:4" x14ac:dyDescent="0.3">
      <c r="A315" t="s">
        <v>658</v>
      </c>
      <c r="B315" t="s">
        <v>650</v>
      </c>
      <c r="C315" t="s">
        <v>173</v>
      </c>
      <c r="D315">
        <v>0</v>
      </c>
    </row>
    <row r="316" spans="1:4" x14ac:dyDescent="0.3">
      <c r="A316" t="s">
        <v>658</v>
      </c>
      <c r="B316" t="s">
        <v>650</v>
      </c>
      <c r="C316" t="s">
        <v>242</v>
      </c>
      <c r="D316">
        <v>0</v>
      </c>
    </row>
    <row r="317" spans="1:4" x14ac:dyDescent="0.3">
      <c r="A317" t="s">
        <v>658</v>
      </c>
      <c r="B317" t="s">
        <v>650</v>
      </c>
      <c r="C317" t="s">
        <v>286</v>
      </c>
      <c r="D317">
        <v>0</v>
      </c>
    </row>
    <row r="318" spans="1:4" x14ac:dyDescent="0.3">
      <c r="A318" t="s">
        <v>658</v>
      </c>
      <c r="B318" t="s">
        <v>650</v>
      </c>
      <c r="C318" t="s">
        <v>339</v>
      </c>
      <c r="D318">
        <v>0</v>
      </c>
    </row>
    <row r="319" spans="1:4" x14ac:dyDescent="0.3">
      <c r="A319" t="s">
        <v>658</v>
      </c>
      <c r="B319" t="s">
        <v>650</v>
      </c>
      <c r="C319" t="s">
        <v>380</v>
      </c>
      <c r="D319">
        <v>0</v>
      </c>
    </row>
    <row r="320" spans="1:4" x14ac:dyDescent="0.3">
      <c r="A320" t="s">
        <v>658</v>
      </c>
      <c r="B320" t="s">
        <v>650</v>
      </c>
      <c r="C320" t="s">
        <v>605</v>
      </c>
      <c r="D320">
        <v>0</v>
      </c>
    </row>
    <row r="321" spans="1:4" x14ac:dyDescent="0.3">
      <c r="A321" t="s">
        <v>658</v>
      </c>
      <c r="B321" t="s">
        <v>650</v>
      </c>
      <c r="C321" t="s">
        <v>446</v>
      </c>
      <c r="D321">
        <v>0</v>
      </c>
    </row>
    <row r="322" spans="1:4" x14ac:dyDescent="0.3">
      <c r="A322" t="s">
        <v>658</v>
      </c>
      <c r="B322" t="s">
        <v>650</v>
      </c>
      <c r="C322" t="s">
        <v>573</v>
      </c>
      <c r="D322">
        <v>0</v>
      </c>
    </row>
    <row r="323" spans="1:4" x14ac:dyDescent="0.3">
      <c r="A323" t="s">
        <v>658</v>
      </c>
      <c r="B323" t="s">
        <v>651</v>
      </c>
      <c r="C323" t="s">
        <v>516</v>
      </c>
      <c r="D323">
        <v>0</v>
      </c>
    </row>
    <row r="324" spans="1:4" x14ac:dyDescent="0.3">
      <c r="A324" t="s">
        <v>658</v>
      </c>
      <c r="B324" t="s">
        <v>651</v>
      </c>
      <c r="C324" t="s">
        <v>8</v>
      </c>
      <c r="D324">
        <v>0</v>
      </c>
    </row>
    <row r="325" spans="1:4" x14ac:dyDescent="0.3">
      <c r="A325" t="s">
        <v>658</v>
      </c>
      <c r="B325" t="s">
        <v>651</v>
      </c>
      <c r="C325" t="s">
        <v>173</v>
      </c>
      <c r="D325">
        <v>0</v>
      </c>
    </row>
    <row r="326" spans="1:4" x14ac:dyDescent="0.3">
      <c r="A326" t="s">
        <v>658</v>
      </c>
      <c r="B326" t="s">
        <v>651</v>
      </c>
      <c r="C326" t="s">
        <v>242</v>
      </c>
      <c r="D326">
        <v>0</v>
      </c>
    </row>
    <row r="327" spans="1:4" x14ac:dyDescent="0.3">
      <c r="A327" t="s">
        <v>658</v>
      </c>
      <c r="B327" t="s">
        <v>651</v>
      </c>
      <c r="C327" t="s">
        <v>286</v>
      </c>
      <c r="D327">
        <v>0</v>
      </c>
    </row>
    <row r="328" spans="1:4" x14ac:dyDescent="0.3">
      <c r="A328" t="s">
        <v>658</v>
      </c>
      <c r="B328" t="s">
        <v>651</v>
      </c>
      <c r="C328" t="s">
        <v>339</v>
      </c>
      <c r="D328">
        <v>0</v>
      </c>
    </row>
    <row r="329" spans="1:4" x14ac:dyDescent="0.3">
      <c r="A329" t="s">
        <v>658</v>
      </c>
      <c r="B329" t="s">
        <v>651</v>
      </c>
      <c r="C329" t="s">
        <v>380</v>
      </c>
      <c r="D329">
        <v>0</v>
      </c>
    </row>
    <row r="330" spans="1:4" x14ac:dyDescent="0.3">
      <c r="A330" t="s">
        <v>658</v>
      </c>
      <c r="B330" t="s">
        <v>651</v>
      </c>
      <c r="C330" t="s">
        <v>605</v>
      </c>
      <c r="D330">
        <v>0</v>
      </c>
    </row>
    <row r="331" spans="1:4" x14ac:dyDescent="0.3">
      <c r="A331" t="s">
        <v>658</v>
      </c>
      <c r="B331" t="s">
        <v>651</v>
      </c>
      <c r="C331" t="s">
        <v>446</v>
      </c>
      <c r="D331">
        <v>0</v>
      </c>
    </row>
    <row r="332" spans="1:4" x14ac:dyDescent="0.3">
      <c r="A332" t="s">
        <v>658</v>
      </c>
      <c r="B332" t="s">
        <v>651</v>
      </c>
      <c r="C332" t="s">
        <v>573</v>
      </c>
      <c r="D332">
        <v>0</v>
      </c>
    </row>
    <row r="333" spans="1:4" x14ac:dyDescent="0.3">
      <c r="A333" t="s">
        <v>658</v>
      </c>
      <c r="B333" t="s">
        <v>652</v>
      </c>
      <c r="C333" t="s">
        <v>516</v>
      </c>
      <c r="D333">
        <v>0</v>
      </c>
    </row>
    <row r="334" spans="1:4" x14ac:dyDescent="0.3">
      <c r="A334" t="s">
        <v>658</v>
      </c>
      <c r="B334" t="s">
        <v>652</v>
      </c>
      <c r="C334" t="s">
        <v>8</v>
      </c>
      <c r="D334">
        <v>0</v>
      </c>
    </row>
    <row r="335" spans="1:4" x14ac:dyDescent="0.3">
      <c r="A335" t="s">
        <v>658</v>
      </c>
      <c r="B335" t="s">
        <v>652</v>
      </c>
      <c r="C335" t="s">
        <v>173</v>
      </c>
      <c r="D335">
        <v>0</v>
      </c>
    </row>
    <row r="336" spans="1:4" x14ac:dyDescent="0.3">
      <c r="A336" t="s">
        <v>658</v>
      </c>
      <c r="B336" t="s">
        <v>652</v>
      </c>
      <c r="C336" t="s">
        <v>242</v>
      </c>
      <c r="D336">
        <v>0</v>
      </c>
    </row>
    <row r="337" spans="1:4" x14ac:dyDescent="0.3">
      <c r="A337" t="s">
        <v>658</v>
      </c>
      <c r="B337" t="s">
        <v>652</v>
      </c>
      <c r="C337" t="s">
        <v>286</v>
      </c>
      <c r="D337">
        <v>0</v>
      </c>
    </row>
    <row r="338" spans="1:4" x14ac:dyDescent="0.3">
      <c r="A338" t="s">
        <v>658</v>
      </c>
      <c r="B338" t="s">
        <v>652</v>
      </c>
      <c r="C338" t="s">
        <v>339</v>
      </c>
      <c r="D338">
        <v>0</v>
      </c>
    </row>
    <row r="339" spans="1:4" x14ac:dyDescent="0.3">
      <c r="A339" t="s">
        <v>658</v>
      </c>
      <c r="B339" t="s">
        <v>652</v>
      </c>
      <c r="C339" t="s">
        <v>380</v>
      </c>
      <c r="D339">
        <v>0</v>
      </c>
    </row>
    <row r="340" spans="1:4" x14ac:dyDescent="0.3">
      <c r="A340" t="s">
        <v>658</v>
      </c>
      <c r="B340" t="s">
        <v>652</v>
      </c>
      <c r="C340" t="s">
        <v>605</v>
      </c>
      <c r="D340">
        <v>0</v>
      </c>
    </row>
    <row r="341" spans="1:4" x14ac:dyDescent="0.3">
      <c r="A341" t="s">
        <v>658</v>
      </c>
      <c r="B341" t="s">
        <v>652</v>
      </c>
      <c r="C341" t="s">
        <v>446</v>
      </c>
      <c r="D341">
        <v>0</v>
      </c>
    </row>
    <row r="342" spans="1:4" x14ac:dyDescent="0.3">
      <c r="A342" t="s">
        <v>658</v>
      </c>
      <c r="B342" t="s">
        <v>652</v>
      </c>
      <c r="C342" t="s">
        <v>573</v>
      </c>
      <c r="D342">
        <v>0</v>
      </c>
    </row>
    <row r="343" spans="1:4" x14ac:dyDescent="0.3">
      <c r="A343" t="s">
        <v>658</v>
      </c>
      <c r="B343" t="s">
        <v>643</v>
      </c>
      <c r="C343" t="s">
        <v>516</v>
      </c>
      <c r="D343">
        <v>18.290149478911125</v>
      </c>
    </row>
    <row r="344" spans="1:4" x14ac:dyDescent="0.3">
      <c r="A344" t="s">
        <v>658</v>
      </c>
      <c r="B344" t="s">
        <v>643</v>
      </c>
      <c r="C344" t="s">
        <v>8</v>
      </c>
      <c r="D344">
        <v>2.3242419955602376</v>
      </c>
    </row>
    <row r="345" spans="1:4" x14ac:dyDescent="0.3">
      <c r="A345" t="s">
        <v>658</v>
      </c>
      <c r="B345" t="s">
        <v>643</v>
      </c>
      <c r="C345" t="s">
        <v>173</v>
      </c>
      <c r="D345">
        <v>6.3106049889005931</v>
      </c>
    </row>
    <row r="346" spans="1:4" x14ac:dyDescent="0.3">
      <c r="A346" t="s">
        <v>658</v>
      </c>
      <c r="B346" t="s">
        <v>643</v>
      </c>
      <c r="C346" t="s">
        <v>242</v>
      </c>
      <c r="D346">
        <v>7</v>
      </c>
    </row>
    <row r="347" spans="1:4" x14ac:dyDescent="0.3">
      <c r="A347" t="s">
        <v>658</v>
      </c>
      <c r="B347" t="s">
        <v>643</v>
      </c>
      <c r="C347" t="s">
        <v>286</v>
      </c>
      <c r="D347">
        <v>7.3242419955602376</v>
      </c>
    </row>
    <row r="348" spans="1:4" x14ac:dyDescent="0.3">
      <c r="A348" t="s">
        <v>658</v>
      </c>
      <c r="B348" t="s">
        <v>643</v>
      </c>
      <c r="C348" t="s">
        <v>339</v>
      </c>
      <c r="D348">
        <v>1.3310604988900594</v>
      </c>
    </row>
    <row r="349" spans="1:4" x14ac:dyDescent="0.3">
      <c r="A349" t="s">
        <v>658</v>
      </c>
      <c r="B349" t="s">
        <v>643</v>
      </c>
      <c r="C349" t="s">
        <v>380</v>
      </c>
      <c r="D349">
        <v>10.986362993340355</v>
      </c>
    </row>
    <row r="350" spans="1:4" x14ac:dyDescent="0.3">
      <c r="A350" t="s">
        <v>658</v>
      </c>
      <c r="B350" t="s">
        <v>643</v>
      </c>
      <c r="C350" t="s">
        <v>605</v>
      </c>
      <c r="D350">
        <v>1.3310604988900594</v>
      </c>
    </row>
    <row r="351" spans="1:4" x14ac:dyDescent="0.3">
      <c r="A351" t="s">
        <v>658</v>
      </c>
      <c r="B351" t="s">
        <v>643</v>
      </c>
      <c r="C351" t="s">
        <v>446</v>
      </c>
      <c r="D351">
        <v>0</v>
      </c>
    </row>
    <row r="352" spans="1:4" x14ac:dyDescent="0.3">
      <c r="A352" t="s">
        <v>658</v>
      </c>
      <c r="B352" t="s">
        <v>643</v>
      </c>
      <c r="C352" t="s">
        <v>573</v>
      </c>
      <c r="D352">
        <v>1.3242419955602374</v>
      </c>
    </row>
    <row r="353" spans="1:4" x14ac:dyDescent="0.3">
      <c r="A353" t="s">
        <v>658</v>
      </c>
      <c r="B353" t="s">
        <v>643</v>
      </c>
      <c r="C353" t="s">
        <v>516</v>
      </c>
      <c r="D353">
        <v>0</v>
      </c>
    </row>
    <row r="354" spans="1:4" x14ac:dyDescent="0.3">
      <c r="A354" t="s">
        <v>658</v>
      </c>
      <c r="B354" t="s">
        <v>643</v>
      </c>
      <c r="C354" t="s">
        <v>8</v>
      </c>
      <c r="D354">
        <v>0</v>
      </c>
    </row>
    <row r="355" spans="1:4" x14ac:dyDescent="0.3">
      <c r="A355" t="s">
        <v>658</v>
      </c>
      <c r="B355" t="s">
        <v>643</v>
      </c>
      <c r="C355" t="s">
        <v>173</v>
      </c>
      <c r="D355">
        <v>0</v>
      </c>
    </row>
    <row r="356" spans="1:4" x14ac:dyDescent="0.3">
      <c r="A356" t="s">
        <v>658</v>
      </c>
      <c r="B356" t="s">
        <v>643</v>
      </c>
      <c r="C356" t="s">
        <v>242</v>
      </c>
      <c r="D356">
        <v>0</v>
      </c>
    </row>
    <row r="357" spans="1:4" x14ac:dyDescent="0.3">
      <c r="A357" t="s">
        <v>658</v>
      </c>
      <c r="B357" t="s">
        <v>643</v>
      </c>
      <c r="C357" t="s">
        <v>286</v>
      </c>
      <c r="D357">
        <v>0</v>
      </c>
    </row>
    <row r="358" spans="1:4" x14ac:dyDescent="0.3">
      <c r="A358" t="s">
        <v>658</v>
      </c>
      <c r="B358" t="s">
        <v>643</v>
      </c>
      <c r="C358" t="s">
        <v>339</v>
      </c>
      <c r="D358">
        <v>0</v>
      </c>
    </row>
    <row r="359" spans="1:4" x14ac:dyDescent="0.3">
      <c r="A359" t="s">
        <v>658</v>
      </c>
      <c r="B359" t="s">
        <v>643</v>
      </c>
      <c r="C359" t="s">
        <v>380</v>
      </c>
      <c r="D359">
        <v>2</v>
      </c>
    </row>
    <row r="360" spans="1:4" x14ac:dyDescent="0.3">
      <c r="A360" t="s">
        <v>658</v>
      </c>
      <c r="B360" t="s">
        <v>643</v>
      </c>
      <c r="C360" t="s">
        <v>605</v>
      </c>
      <c r="D360">
        <v>0</v>
      </c>
    </row>
    <row r="361" spans="1:4" x14ac:dyDescent="0.3">
      <c r="A361" t="s">
        <v>658</v>
      </c>
      <c r="B361" t="s">
        <v>643</v>
      </c>
      <c r="C361" t="s">
        <v>446</v>
      </c>
      <c r="D361">
        <v>0</v>
      </c>
    </row>
    <row r="362" spans="1:4" x14ac:dyDescent="0.3">
      <c r="A362" t="s">
        <v>658</v>
      </c>
      <c r="B362" t="s">
        <v>643</v>
      </c>
      <c r="C362" t="s">
        <v>573</v>
      </c>
      <c r="D362">
        <v>0</v>
      </c>
    </row>
    <row r="363" spans="1:4" x14ac:dyDescent="0.3">
      <c r="A363" t="s">
        <v>658</v>
      </c>
      <c r="B363" t="s">
        <v>54</v>
      </c>
      <c r="C363" t="s">
        <v>516</v>
      </c>
      <c r="D363">
        <v>39.938633470031604</v>
      </c>
    </row>
    <row r="364" spans="1:4" x14ac:dyDescent="0.3">
      <c r="A364" t="s">
        <v>658</v>
      </c>
      <c r="B364" t="s">
        <v>54</v>
      </c>
      <c r="C364" t="s">
        <v>8</v>
      </c>
      <c r="D364">
        <v>8.9931814966701786</v>
      </c>
    </row>
    <row r="365" spans="1:4" x14ac:dyDescent="0.3">
      <c r="A365" t="s">
        <v>658</v>
      </c>
      <c r="B365" t="s">
        <v>54</v>
      </c>
      <c r="C365" t="s">
        <v>173</v>
      </c>
      <c r="D365">
        <v>8.3174234922304162</v>
      </c>
    </row>
    <row r="366" spans="1:4" x14ac:dyDescent="0.3">
      <c r="A366" t="s">
        <v>658</v>
      </c>
      <c r="B366" t="s">
        <v>54</v>
      </c>
      <c r="C366" t="s">
        <v>242</v>
      </c>
      <c r="D366">
        <v>7.6621209977801188</v>
      </c>
    </row>
    <row r="367" spans="1:4" x14ac:dyDescent="0.3">
      <c r="A367" t="s">
        <v>658</v>
      </c>
      <c r="B367" t="s">
        <v>54</v>
      </c>
      <c r="C367" t="s">
        <v>286</v>
      </c>
      <c r="D367">
        <v>8.6621209977801179</v>
      </c>
    </row>
    <row r="368" spans="1:4" x14ac:dyDescent="0.3">
      <c r="A368" t="s">
        <v>658</v>
      </c>
      <c r="B368" t="s">
        <v>54</v>
      </c>
      <c r="C368" t="s">
        <v>339</v>
      </c>
      <c r="D368">
        <v>5.6553024944502965</v>
      </c>
    </row>
    <row r="369" spans="1:4" x14ac:dyDescent="0.3">
      <c r="A369" t="s">
        <v>658</v>
      </c>
      <c r="B369" t="s">
        <v>54</v>
      </c>
      <c r="C369" t="s">
        <v>380</v>
      </c>
      <c r="D369">
        <v>14.993181496670179</v>
      </c>
    </row>
    <row r="370" spans="1:4" x14ac:dyDescent="0.3">
      <c r="A370" t="s">
        <v>658</v>
      </c>
      <c r="B370" t="s">
        <v>54</v>
      </c>
      <c r="C370" t="s">
        <v>605</v>
      </c>
      <c r="D370">
        <v>2</v>
      </c>
    </row>
    <row r="371" spans="1:4" x14ac:dyDescent="0.3">
      <c r="A371" t="s">
        <v>658</v>
      </c>
      <c r="B371" t="s">
        <v>54</v>
      </c>
      <c r="C371" t="s">
        <v>446</v>
      </c>
      <c r="D371">
        <v>6.6621209977801188</v>
      </c>
    </row>
    <row r="372" spans="1:4" x14ac:dyDescent="0.3">
      <c r="A372" t="s">
        <v>658</v>
      </c>
      <c r="B372" t="s">
        <v>54</v>
      </c>
      <c r="C372" t="s">
        <v>573</v>
      </c>
      <c r="D372">
        <v>0.33106049889005934</v>
      </c>
    </row>
    <row r="373" spans="1:4" x14ac:dyDescent="0.3">
      <c r="A373" t="s">
        <v>658</v>
      </c>
      <c r="B373" t="s">
        <v>170</v>
      </c>
      <c r="C373" t="s">
        <v>516</v>
      </c>
      <c r="D373">
        <v>26.290149478911125</v>
      </c>
    </row>
    <row r="374" spans="1:4" x14ac:dyDescent="0.3">
      <c r="A374" t="s">
        <v>658</v>
      </c>
      <c r="B374" t="s">
        <v>170</v>
      </c>
      <c r="C374" t="s">
        <v>8</v>
      </c>
      <c r="D374">
        <v>4.6621209977801188</v>
      </c>
    </row>
    <row r="375" spans="1:4" x14ac:dyDescent="0.3">
      <c r="A375" t="s">
        <v>658</v>
      </c>
      <c r="B375" t="s">
        <v>170</v>
      </c>
      <c r="C375" t="s">
        <v>173</v>
      </c>
      <c r="D375">
        <v>10.628028481131009</v>
      </c>
    </row>
    <row r="376" spans="1:4" x14ac:dyDescent="0.3">
      <c r="A376" t="s">
        <v>658</v>
      </c>
      <c r="B376" t="s">
        <v>170</v>
      </c>
      <c r="C376" t="s">
        <v>242</v>
      </c>
      <c r="D376">
        <v>3.3242419955602376</v>
      </c>
    </row>
    <row r="377" spans="1:4" x14ac:dyDescent="0.3">
      <c r="A377" t="s">
        <v>658</v>
      </c>
      <c r="B377" t="s">
        <v>170</v>
      </c>
      <c r="C377" t="s">
        <v>286</v>
      </c>
      <c r="D377">
        <v>9.9863629933403555</v>
      </c>
    </row>
    <row r="378" spans="1:4" x14ac:dyDescent="0.3">
      <c r="A378" t="s">
        <v>658</v>
      </c>
      <c r="B378" t="s">
        <v>170</v>
      </c>
      <c r="C378" t="s">
        <v>339</v>
      </c>
      <c r="D378">
        <v>0.99318149667017808</v>
      </c>
    </row>
    <row r="379" spans="1:4" x14ac:dyDescent="0.3">
      <c r="A379" t="s">
        <v>658</v>
      </c>
      <c r="B379" t="s">
        <v>170</v>
      </c>
      <c r="C379" t="s">
        <v>380</v>
      </c>
      <c r="D379">
        <v>9.9659074833508896</v>
      </c>
    </row>
    <row r="380" spans="1:4" x14ac:dyDescent="0.3">
      <c r="A380" t="s">
        <v>658</v>
      </c>
      <c r="B380" t="s">
        <v>170</v>
      </c>
      <c r="C380" t="s">
        <v>605</v>
      </c>
      <c r="D380">
        <v>1</v>
      </c>
    </row>
    <row r="381" spans="1:4" x14ac:dyDescent="0.3">
      <c r="A381" t="s">
        <v>658</v>
      </c>
      <c r="B381" t="s">
        <v>170</v>
      </c>
      <c r="C381" t="s">
        <v>446</v>
      </c>
      <c r="D381">
        <v>8.2901494789111272</v>
      </c>
    </row>
    <row r="382" spans="1:4" x14ac:dyDescent="0.3">
      <c r="A382" t="s">
        <v>658</v>
      </c>
      <c r="B382" t="s">
        <v>170</v>
      </c>
      <c r="C382" t="s">
        <v>573</v>
      </c>
      <c r="D382">
        <v>0.33106049889005934</v>
      </c>
    </row>
    <row r="383" spans="1:4" x14ac:dyDescent="0.3">
      <c r="A383" t="s">
        <v>658</v>
      </c>
      <c r="B383" t="s">
        <v>164</v>
      </c>
      <c r="C383" t="s">
        <v>516</v>
      </c>
      <c r="D383">
        <v>105.92499646337195</v>
      </c>
    </row>
    <row r="384" spans="1:4" x14ac:dyDescent="0.3">
      <c r="A384" t="s">
        <v>658</v>
      </c>
      <c r="B384" t="s">
        <v>164</v>
      </c>
      <c r="C384" t="s">
        <v>8</v>
      </c>
      <c r="D384">
        <v>26.242419955602372</v>
      </c>
    </row>
    <row r="385" spans="1:4" x14ac:dyDescent="0.3">
      <c r="A385" t="s">
        <v>658</v>
      </c>
      <c r="B385" t="s">
        <v>164</v>
      </c>
      <c r="C385" t="s">
        <v>173</v>
      </c>
      <c r="D385">
        <v>50.573480454492433</v>
      </c>
    </row>
    <row r="386" spans="1:4" x14ac:dyDescent="0.3">
      <c r="A386" t="s">
        <v>658</v>
      </c>
      <c r="B386" t="s">
        <v>164</v>
      </c>
      <c r="C386" t="s">
        <v>242</v>
      </c>
      <c r="D386">
        <v>29.317423492230414</v>
      </c>
    </row>
    <row r="387" spans="1:4" x14ac:dyDescent="0.3">
      <c r="A387" t="s">
        <v>658</v>
      </c>
      <c r="B387" t="s">
        <v>164</v>
      </c>
      <c r="C387" t="s">
        <v>286</v>
      </c>
      <c r="D387">
        <v>33.607572971141543</v>
      </c>
    </row>
    <row r="388" spans="1:4" x14ac:dyDescent="0.3">
      <c r="A388" t="s">
        <v>658</v>
      </c>
      <c r="B388" t="s">
        <v>164</v>
      </c>
      <c r="C388" t="s">
        <v>339</v>
      </c>
      <c r="D388">
        <v>20.621209977801186</v>
      </c>
    </row>
    <row r="389" spans="1:4" x14ac:dyDescent="0.3">
      <c r="A389" t="s">
        <v>658</v>
      </c>
      <c r="B389" t="s">
        <v>164</v>
      </c>
      <c r="C389" t="s">
        <v>380</v>
      </c>
      <c r="D389">
        <v>58.174234922304151</v>
      </c>
    </row>
    <row r="390" spans="1:4" x14ac:dyDescent="0.3">
      <c r="A390" t="s">
        <v>658</v>
      </c>
      <c r="B390" t="s">
        <v>164</v>
      </c>
      <c r="C390" t="s">
        <v>605</v>
      </c>
      <c r="D390">
        <v>8.6621209977801179</v>
      </c>
    </row>
    <row r="391" spans="1:4" x14ac:dyDescent="0.3">
      <c r="A391" t="s">
        <v>658</v>
      </c>
      <c r="B391" t="s">
        <v>164</v>
      </c>
      <c r="C391" t="s">
        <v>446</v>
      </c>
      <c r="D391">
        <v>32.283330975581308</v>
      </c>
    </row>
    <row r="392" spans="1:4" x14ac:dyDescent="0.3">
      <c r="A392" t="s">
        <v>658</v>
      </c>
      <c r="B392" t="s">
        <v>164</v>
      </c>
      <c r="C392" t="s">
        <v>573</v>
      </c>
      <c r="D392">
        <v>6.3174234922304162</v>
      </c>
    </row>
    <row r="393" spans="1:4" x14ac:dyDescent="0.3">
      <c r="A393" t="s">
        <v>658</v>
      </c>
      <c r="B393" t="s">
        <v>644</v>
      </c>
      <c r="C393" t="s">
        <v>516</v>
      </c>
      <c r="D393">
        <v>16.331060498890061</v>
      </c>
    </row>
    <row r="394" spans="1:4" x14ac:dyDescent="0.3">
      <c r="A394" t="s">
        <v>658</v>
      </c>
      <c r="B394" t="s">
        <v>644</v>
      </c>
      <c r="C394" t="s">
        <v>8</v>
      </c>
      <c r="D394">
        <v>13</v>
      </c>
    </row>
    <row r="395" spans="1:4" x14ac:dyDescent="0.3">
      <c r="A395" t="s">
        <v>658</v>
      </c>
      <c r="B395" t="s">
        <v>644</v>
      </c>
      <c r="C395" t="s">
        <v>173</v>
      </c>
      <c r="D395">
        <v>1</v>
      </c>
    </row>
    <row r="396" spans="1:4" x14ac:dyDescent="0.3">
      <c r="A396" t="s">
        <v>658</v>
      </c>
      <c r="B396" t="s">
        <v>644</v>
      </c>
      <c r="C396" t="s">
        <v>242</v>
      </c>
      <c r="D396">
        <v>10</v>
      </c>
    </row>
    <row r="397" spans="1:4" x14ac:dyDescent="0.3">
      <c r="A397" t="s">
        <v>658</v>
      </c>
      <c r="B397" t="s">
        <v>644</v>
      </c>
      <c r="C397" t="s">
        <v>286</v>
      </c>
      <c r="D397">
        <v>11</v>
      </c>
    </row>
    <row r="398" spans="1:4" x14ac:dyDescent="0.3">
      <c r="A398" t="s">
        <v>658</v>
      </c>
      <c r="B398" t="s">
        <v>644</v>
      </c>
      <c r="C398" t="s">
        <v>339</v>
      </c>
      <c r="D398">
        <v>21.331060498890061</v>
      </c>
    </row>
    <row r="399" spans="1:4" x14ac:dyDescent="0.3">
      <c r="A399" t="s">
        <v>658</v>
      </c>
      <c r="B399" t="s">
        <v>644</v>
      </c>
      <c r="C399" t="s">
        <v>380</v>
      </c>
      <c r="D399">
        <v>7.9727259866807128</v>
      </c>
    </row>
    <row r="400" spans="1:4" x14ac:dyDescent="0.3">
      <c r="A400" t="s">
        <v>658</v>
      </c>
      <c r="B400" t="s">
        <v>644</v>
      </c>
      <c r="C400" t="s">
        <v>605</v>
      </c>
      <c r="D400">
        <v>0.33106049889005934</v>
      </c>
    </row>
    <row r="401" spans="1:4" x14ac:dyDescent="0.3">
      <c r="A401" t="s">
        <v>658</v>
      </c>
      <c r="B401" t="s">
        <v>644</v>
      </c>
      <c r="C401" t="s">
        <v>446</v>
      </c>
      <c r="D401">
        <v>4.9795444900105341</v>
      </c>
    </row>
    <row r="402" spans="1:4" x14ac:dyDescent="0.3">
      <c r="A402" t="s">
        <v>658</v>
      </c>
      <c r="B402" t="s">
        <v>644</v>
      </c>
      <c r="C402" t="s">
        <v>573</v>
      </c>
      <c r="D402">
        <v>15.331060498890059</v>
      </c>
    </row>
    <row r="403" spans="1:4" x14ac:dyDescent="0.3">
      <c r="A403" t="s">
        <v>658</v>
      </c>
      <c r="B403" t="s">
        <v>643</v>
      </c>
      <c r="C403" t="s">
        <v>516</v>
      </c>
      <c r="D403">
        <v>0</v>
      </c>
    </row>
    <row r="404" spans="1:4" x14ac:dyDescent="0.3">
      <c r="A404" t="s">
        <v>658</v>
      </c>
      <c r="B404" t="s">
        <v>643</v>
      </c>
      <c r="C404" t="s">
        <v>8</v>
      </c>
      <c r="D404">
        <v>0</v>
      </c>
    </row>
    <row r="405" spans="1:4" x14ac:dyDescent="0.3">
      <c r="A405" t="s">
        <v>658</v>
      </c>
      <c r="B405" t="s">
        <v>643</v>
      </c>
      <c r="C405" t="s">
        <v>173</v>
      </c>
      <c r="D405">
        <v>0</v>
      </c>
    </row>
    <row r="406" spans="1:4" x14ac:dyDescent="0.3">
      <c r="A406" t="s">
        <v>658</v>
      </c>
      <c r="B406" t="s">
        <v>643</v>
      </c>
      <c r="C406" t="s">
        <v>242</v>
      </c>
      <c r="D406">
        <v>0</v>
      </c>
    </row>
    <row r="407" spans="1:4" x14ac:dyDescent="0.3">
      <c r="A407" t="s">
        <v>658</v>
      </c>
      <c r="B407" t="s">
        <v>643</v>
      </c>
      <c r="C407" t="s">
        <v>286</v>
      </c>
      <c r="D407">
        <v>0</v>
      </c>
    </row>
    <row r="408" spans="1:4" x14ac:dyDescent="0.3">
      <c r="A408" t="s">
        <v>658</v>
      </c>
      <c r="B408" t="s">
        <v>643</v>
      </c>
      <c r="C408" t="s">
        <v>339</v>
      </c>
      <c r="D408">
        <v>0</v>
      </c>
    </row>
    <row r="409" spans="1:4" x14ac:dyDescent="0.3">
      <c r="A409" t="s">
        <v>658</v>
      </c>
      <c r="B409" t="s">
        <v>643</v>
      </c>
      <c r="C409" t="s">
        <v>380</v>
      </c>
      <c r="D409">
        <v>0</v>
      </c>
    </row>
    <row r="410" spans="1:4" x14ac:dyDescent="0.3">
      <c r="A410" t="s">
        <v>658</v>
      </c>
      <c r="B410" t="s">
        <v>643</v>
      </c>
      <c r="C410" t="s">
        <v>605</v>
      </c>
      <c r="D410">
        <v>0</v>
      </c>
    </row>
    <row r="411" spans="1:4" x14ac:dyDescent="0.3">
      <c r="A411" t="s">
        <v>658</v>
      </c>
      <c r="B411" t="s">
        <v>643</v>
      </c>
      <c r="C411" t="s">
        <v>446</v>
      </c>
      <c r="D411">
        <v>0</v>
      </c>
    </row>
    <row r="412" spans="1:4" x14ac:dyDescent="0.3">
      <c r="A412" t="s">
        <v>658</v>
      </c>
      <c r="B412" t="s">
        <v>643</v>
      </c>
      <c r="C412" t="s">
        <v>573</v>
      </c>
      <c r="D412">
        <v>0</v>
      </c>
    </row>
    <row r="413" spans="1:4" x14ac:dyDescent="0.3">
      <c r="A413" t="s">
        <v>658</v>
      </c>
      <c r="B413" t="s">
        <v>238</v>
      </c>
      <c r="C413" t="s">
        <v>516</v>
      </c>
      <c r="D413">
        <v>4</v>
      </c>
    </row>
    <row r="414" spans="1:4" x14ac:dyDescent="0.3">
      <c r="A414" t="s">
        <v>658</v>
      </c>
      <c r="B414" t="s">
        <v>238</v>
      </c>
      <c r="C414" t="s">
        <v>8</v>
      </c>
      <c r="D414">
        <v>1</v>
      </c>
    </row>
    <row r="415" spans="1:4" x14ac:dyDescent="0.3">
      <c r="A415" t="s">
        <v>658</v>
      </c>
      <c r="B415" t="s">
        <v>238</v>
      </c>
      <c r="C415" t="s">
        <v>173</v>
      </c>
      <c r="D415">
        <v>0</v>
      </c>
    </row>
    <row r="416" spans="1:4" x14ac:dyDescent="0.3">
      <c r="A416" t="s">
        <v>658</v>
      </c>
      <c r="B416" t="s">
        <v>238</v>
      </c>
      <c r="C416" t="s">
        <v>242</v>
      </c>
      <c r="D416">
        <v>2.1666666666666665</v>
      </c>
    </row>
    <row r="417" spans="1:4" x14ac:dyDescent="0.3">
      <c r="A417" t="s">
        <v>658</v>
      </c>
      <c r="B417" t="s">
        <v>238</v>
      </c>
      <c r="C417" t="s">
        <v>286</v>
      </c>
      <c r="D417">
        <v>2</v>
      </c>
    </row>
    <row r="418" spans="1:4" x14ac:dyDescent="0.3">
      <c r="A418" t="s">
        <v>658</v>
      </c>
      <c r="B418" t="s">
        <v>238</v>
      </c>
      <c r="C418" t="s">
        <v>339</v>
      </c>
      <c r="D418">
        <v>0</v>
      </c>
    </row>
    <row r="419" spans="1:4" x14ac:dyDescent="0.3">
      <c r="A419" t="s">
        <v>658</v>
      </c>
      <c r="B419" t="s">
        <v>238</v>
      </c>
      <c r="C419" t="s">
        <v>380</v>
      </c>
      <c r="D419">
        <v>25</v>
      </c>
    </row>
    <row r="420" spans="1:4" x14ac:dyDescent="0.3">
      <c r="A420" t="s">
        <v>658</v>
      </c>
      <c r="B420" t="s">
        <v>238</v>
      </c>
      <c r="C420" t="s">
        <v>605</v>
      </c>
      <c r="D420">
        <v>0</v>
      </c>
    </row>
    <row r="421" spans="1:4" x14ac:dyDescent="0.3">
      <c r="A421" t="s">
        <v>658</v>
      </c>
      <c r="B421" t="s">
        <v>238</v>
      </c>
      <c r="C421" t="s">
        <v>446</v>
      </c>
      <c r="D421">
        <v>1</v>
      </c>
    </row>
    <row r="422" spans="1:4" x14ac:dyDescent="0.3">
      <c r="A422" t="s">
        <v>658</v>
      </c>
      <c r="B422" t="s">
        <v>238</v>
      </c>
      <c r="C422" t="s">
        <v>573</v>
      </c>
      <c r="D422">
        <v>1</v>
      </c>
    </row>
    <row r="423" spans="1:4" x14ac:dyDescent="0.3">
      <c r="A423" t="s">
        <v>658</v>
      </c>
      <c r="B423" t="s">
        <v>653</v>
      </c>
      <c r="C423" t="s">
        <v>516</v>
      </c>
      <c r="D423">
        <v>134.66666666666666</v>
      </c>
    </row>
    <row r="424" spans="1:4" x14ac:dyDescent="0.3">
      <c r="A424" t="s">
        <v>658</v>
      </c>
      <c r="B424" t="s">
        <v>653</v>
      </c>
      <c r="C424" t="s">
        <v>8</v>
      </c>
      <c r="D424">
        <v>2</v>
      </c>
    </row>
    <row r="425" spans="1:4" x14ac:dyDescent="0.3">
      <c r="A425" t="s">
        <v>658</v>
      </c>
      <c r="B425" t="s">
        <v>653</v>
      </c>
      <c r="C425" t="s">
        <v>173</v>
      </c>
      <c r="D425">
        <v>3.3333333333333335</v>
      </c>
    </row>
    <row r="426" spans="1:4" x14ac:dyDescent="0.3">
      <c r="A426" t="s">
        <v>658</v>
      </c>
      <c r="B426" t="s">
        <v>653</v>
      </c>
      <c r="C426" t="s">
        <v>242</v>
      </c>
      <c r="D426">
        <v>29.833333333333332</v>
      </c>
    </row>
    <row r="427" spans="1:4" x14ac:dyDescent="0.3">
      <c r="A427" t="s">
        <v>658</v>
      </c>
      <c r="B427" t="s">
        <v>653</v>
      </c>
      <c r="C427" t="s">
        <v>286</v>
      </c>
      <c r="D427">
        <v>0.16666666666666666</v>
      </c>
    </row>
    <row r="428" spans="1:4" x14ac:dyDescent="0.3">
      <c r="A428" t="s">
        <v>658</v>
      </c>
      <c r="B428" t="s">
        <v>653</v>
      </c>
      <c r="C428" t="s">
        <v>339</v>
      </c>
      <c r="D428">
        <v>0.83333333333333337</v>
      </c>
    </row>
    <row r="429" spans="1:4" x14ac:dyDescent="0.3">
      <c r="A429" t="s">
        <v>658</v>
      </c>
      <c r="B429" t="s">
        <v>653</v>
      </c>
      <c r="C429" t="s">
        <v>380</v>
      </c>
      <c r="D429">
        <v>43</v>
      </c>
    </row>
    <row r="430" spans="1:4" x14ac:dyDescent="0.3">
      <c r="A430" t="s">
        <v>658</v>
      </c>
      <c r="B430" t="s">
        <v>653</v>
      </c>
      <c r="C430" t="s">
        <v>605</v>
      </c>
      <c r="D430">
        <v>0</v>
      </c>
    </row>
    <row r="431" spans="1:4" x14ac:dyDescent="0.3">
      <c r="A431" t="s">
        <v>658</v>
      </c>
      <c r="B431" t="s">
        <v>653</v>
      </c>
      <c r="C431" t="s">
        <v>446</v>
      </c>
      <c r="D431">
        <v>0.16666666666666666</v>
      </c>
    </row>
    <row r="432" spans="1:4" x14ac:dyDescent="0.3">
      <c r="A432" t="s">
        <v>658</v>
      </c>
      <c r="B432" t="s">
        <v>653</v>
      </c>
      <c r="C432" t="s">
        <v>573</v>
      </c>
      <c r="D432">
        <v>55.166666666666664</v>
      </c>
    </row>
    <row r="433" spans="1:4" x14ac:dyDescent="0.3">
      <c r="A433" t="s">
        <v>658</v>
      </c>
      <c r="B433" t="s">
        <v>654</v>
      </c>
      <c r="C433" t="s">
        <v>516</v>
      </c>
      <c r="D433">
        <v>0</v>
      </c>
    </row>
    <row r="434" spans="1:4" x14ac:dyDescent="0.3">
      <c r="A434" t="s">
        <v>658</v>
      </c>
      <c r="B434" t="s">
        <v>654</v>
      </c>
      <c r="C434" t="s">
        <v>8</v>
      </c>
      <c r="D434">
        <v>0</v>
      </c>
    </row>
    <row r="435" spans="1:4" x14ac:dyDescent="0.3">
      <c r="A435" t="s">
        <v>658</v>
      </c>
      <c r="B435" t="s">
        <v>654</v>
      </c>
      <c r="C435" t="s">
        <v>173</v>
      </c>
      <c r="D435">
        <v>0</v>
      </c>
    </row>
    <row r="436" spans="1:4" x14ac:dyDescent="0.3">
      <c r="A436" t="s">
        <v>658</v>
      </c>
      <c r="B436" t="s">
        <v>654</v>
      </c>
      <c r="C436" t="s">
        <v>242</v>
      </c>
      <c r="D436">
        <v>0</v>
      </c>
    </row>
    <row r="437" spans="1:4" x14ac:dyDescent="0.3">
      <c r="A437" t="s">
        <v>658</v>
      </c>
      <c r="B437" t="s">
        <v>654</v>
      </c>
      <c r="C437" t="s">
        <v>286</v>
      </c>
      <c r="D437">
        <v>0</v>
      </c>
    </row>
    <row r="438" spans="1:4" x14ac:dyDescent="0.3">
      <c r="A438" t="s">
        <v>658</v>
      </c>
      <c r="B438" t="s">
        <v>654</v>
      </c>
      <c r="C438" t="s">
        <v>339</v>
      </c>
      <c r="D438">
        <v>0</v>
      </c>
    </row>
    <row r="439" spans="1:4" x14ac:dyDescent="0.3">
      <c r="A439" t="s">
        <v>658</v>
      </c>
      <c r="B439" t="s">
        <v>654</v>
      </c>
      <c r="C439" t="s">
        <v>380</v>
      </c>
      <c r="D439">
        <v>0</v>
      </c>
    </row>
    <row r="440" spans="1:4" x14ac:dyDescent="0.3">
      <c r="A440" t="s">
        <v>658</v>
      </c>
      <c r="B440" t="s">
        <v>654</v>
      </c>
      <c r="C440" t="s">
        <v>605</v>
      </c>
      <c r="D440">
        <v>0</v>
      </c>
    </row>
    <row r="441" spans="1:4" x14ac:dyDescent="0.3">
      <c r="A441" t="s">
        <v>658</v>
      </c>
      <c r="B441" t="s">
        <v>654</v>
      </c>
      <c r="C441" t="s">
        <v>446</v>
      </c>
      <c r="D441">
        <v>0</v>
      </c>
    </row>
    <row r="442" spans="1:4" x14ac:dyDescent="0.3">
      <c r="A442" t="s">
        <v>658</v>
      </c>
      <c r="B442" t="s">
        <v>654</v>
      </c>
      <c r="C442" t="s">
        <v>573</v>
      </c>
      <c r="D442">
        <v>0</v>
      </c>
    </row>
    <row r="443" spans="1:4" x14ac:dyDescent="0.3">
      <c r="A443" t="s">
        <v>658</v>
      </c>
      <c r="B443" t="s">
        <v>655</v>
      </c>
      <c r="C443" t="s">
        <v>516</v>
      </c>
      <c r="D443">
        <v>1</v>
      </c>
    </row>
    <row r="444" spans="1:4" x14ac:dyDescent="0.3">
      <c r="A444" t="s">
        <v>658</v>
      </c>
      <c r="B444" t="s">
        <v>655</v>
      </c>
      <c r="C444" t="s">
        <v>8</v>
      </c>
      <c r="D444">
        <v>0</v>
      </c>
    </row>
    <row r="445" spans="1:4" x14ac:dyDescent="0.3">
      <c r="A445" t="s">
        <v>658</v>
      </c>
      <c r="B445" t="s">
        <v>655</v>
      </c>
      <c r="C445" t="s">
        <v>173</v>
      </c>
      <c r="D445">
        <v>0</v>
      </c>
    </row>
    <row r="446" spans="1:4" x14ac:dyDescent="0.3">
      <c r="A446" t="s">
        <v>658</v>
      </c>
      <c r="B446" t="s">
        <v>655</v>
      </c>
      <c r="C446" t="s">
        <v>242</v>
      </c>
      <c r="D446">
        <v>0</v>
      </c>
    </row>
    <row r="447" spans="1:4" x14ac:dyDescent="0.3">
      <c r="A447" t="s">
        <v>658</v>
      </c>
      <c r="B447" t="s">
        <v>655</v>
      </c>
      <c r="C447" t="s">
        <v>286</v>
      </c>
      <c r="D447">
        <v>0</v>
      </c>
    </row>
    <row r="448" spans="1:4" x14ac:dyDescent="0.3">
      <c r="A448" t="s">
        <v>658</v>
      </c>
      <c r="B448" t="s">
        <v>655</v>
      </c>
      <c r="C448" t="s">
        <v>339</v>
      </c>
      <c r="D448">
        <v>0</v>
      </c>
    </row>
    <row r="449" spans="1:4" x14ac:dyDescent="0.3">
      <c r="A449" t="s">
        <v>658</v>
      </c>
      <c r="B449" t="s">
        <v>655</v>
      </c>
      <c r="C449" t="s">
        <v>380</v>
      </c>
      <c r="D449">
        <v>0</v>
      </c>
    </row>
    <row r="450" spans="1:4" x14ac:dyDescent="0.3">
      <c r="A450" t="s">
        <v>658</v>
      </c>
      <c r="B450" t="s">
        <v>655</v>
      </c>
      <c r="C450" t="s">
        <v>605</v>
      </c>
      <c r="D450">
        <v>0</v>
      </c>
    </row>
    <row r="451" spans="1:4" x14ac:dyDescent="0.3">
      <c r="A451" t="s">
        <v>658</v>
      </c>
      <c r="B451" t="s">
        <v>655</v>
      </c>
      <c r="C451" t="s">
        <v>446</v>
      </c>
      <c r="D451">
        <v>0</v>
      </c>
    </row>
    <row r="452" spans="1:4" x14ac:dyDescent="0.3">
      <c r="A452" t="s">
        <v>658</v>
      </c>
      <c r="B452" t="s">
        <v>655</v>
      </c>
      <c r="C452" t="s">
        <v>573</v>
      </c>
      <c r="D452">
        <v>0</v>
      </c>
    </row>
    <row r="453" spans="1:4" x14ac:dyDescent="0.3">
      <c r="A453" t="s">
        <v>658</v>
      </c>
      <c r="B453" t="s">
        <v>17</v>
      </c>
      <c r="C453" t="s">
        <v>516</v>
      </c>
      <c r="D453">
        <v>3</v>
      </c>
    </row>
    <row r="454" spans="1:4" x14ac:dyDescent="0.3">
      <c r="A454" t="s">
        <v>658</v>
      </c>
      <c r="B454" t="s">
        <v>17</v>
      </c>
      <c r="C454" t="s">
        <v>8</v>
      </c>
      <c r="D454">
        <v>1.1666666666666667</v>
      </c>
    </row>
    <row r="455" spans="1:4" x14ac:dyDescent="0.3">
      <c r="A455" t="s">
        <v>658</v>
      </c>
      <c r="B455" t="s">
        <v>17</v>
      </c>
      <c r="C455" t="s">
        <v>173</v>
      </c>
      <c r="D455">
        <v>1</v>
      </c>
    </row>
    <row r="456" spans="1:4" x14ac:dyDescent="0.3">
      <c r="A456" t="s">
        <v>658</v>
      </c>
      <c r="B456" t="s">
        <v>17</v>
      </c>
      <c r="C456" t="s">
        <v>242</v>
      </c>
      <c r="D456">
        <v>1</v>
      </c>
    </row>
    <row r="457" spans="1:4" x14ac:dyDescent="0.3">
      <c r="A457" t="s">
        <v>658</v>
      </c>
      <c r="B457" t="s">
        <v>17</v>
      </c>
      <c r="C457" t="s">
        <v>286</v>
      </c>
      <c r="D457">
        <v>0.83333333333333337</v>
      </c>
    </row>
    <row r="458" spans="1:4" x14ac:dyDescent="0.3">
      <c r="A458" t="s">
        <v>658</v>
      </c>
      <c r="B458" t="s">
        <v>17</v>
      </c>
      <c r="C458" t="s">
        <v>339</v>
      </c>
      <c r="D458">
        <v>0</v>
      </c>
    </row>
    <row r="459" spans="1:4" x14ac:dyDescent="0.3">
      <c r="A459" t="s">
        <v>658</v>
      </c>
      <c r="B459" t="s">
        <v>17</v>
      </c>
      <c r="C459" t="s">
        <v>380</v>
      </c>
      <c r="D459">
        <v>0.33333333333333331</v>
      </c>
    </row>
    <row r="460" spans="1:4" x14ac:dyDescent="0.3">
      <c r="A460" t="s">
        <v>658</v>
      </c>
      <c r="B460" t="s">
        <v>17</v>
      </c>
      <c r="C460" t="s">
        <v>605</v>
      </c>
      <c r="D460">
        <v>1</v>
      </c>
    </row>
    <row r="461" spans="1:4" x14ac:dyDescent="0.3">
      <c r="A461" t="s">
        <v>658</v>
      </c>
      <c r="B461" t="s">
        <v>17</v>
      </c>
      <c r="C461" t="s">
        <v>446</v>
      </c>
      <c r="D461">
        <v>0.16666666666666666</v>
      </c>
    </row>
    <row r="462" spans="1:4" x14ac:dyDescent="0.3">
      <c r="A462" t="s">
        <v>658</v>
      </c>
      <c r="B462" t="s">
        <v>17</v>
      </c>
      <c r="C462" t="s">
        <v>573</v>
      </c>
      <c r="D462">
        <v>0</v>
      </c>
    </row>
    <row r="463" spans="1:4" x14ac:dyDescent="0.3">
      <c r="A463" t="s">
        <v>658</v>
      </c>
      <c r="B463" t="s">
        <v>656</v>
      </c>
      <c r="C463" t="s">
        <v>516</v>
      </c>
      <c r="D463">
        <v>0</v>
      </c>
    </row>
    <row r="464" spans="1:4" x14ac:dyDescent="0.3">
      <c r="A464" t="s">
        <v>658</v>
      </c>
      <c r="B464" t="s">
        <v>656</v>
      </c>
      <c r="C464" t="s">
        <v>8</v>
      </c>
      <c r="D464">
        <v>3900.4654123554251</v>
      </c>
    </row>
    <row r="465" spans="1:4" x14ac:dyDescent="0.3">
      <c r="A465" t="s">
        <v>658</v>
      </c>
      <c r="B465" t="s">
        <v>656</v>
      </c>
      <c r="C465" t="s">
        <v>173</v>
      </c>
      <c r="D465">
        <v>1572.727844576473</v>
      </c>
    </row>
    <row r="466" spans="1:4" x14ac:dyDescent="0.3">
      <c r="A466" t="s">
        <v>658</v>
      </c>
      <c r="B466" t="s">
        <v>656</v>
      </c>
      <c r="C466" t="s">
        <v>242</v>
      </c>
      <c r="D466">
        <v>1147.0414957296448</v>
      </c>
    </row>
    <row r="467" spans="1:4" x14ac:dyDescent="0.3">
      <c r="A467" t="s">
        <v>658</v>
      </c>
      <c r="B467" t="s">
        <v>656</v>
      </c>
      <c r="C467" t="s">
        <v>286</v>
      </c>
      <c r="D467">
        <v>958.83316829069156</v>
      </c>
    </row>
    <row r="468" spans="1:4" x14ac:dyDescent="0.3">
      <c r="A468" t="s">
        <v>658</v>
      </c>
      <c r="B468" t="s">
        <v>656</v>
      </c>
      <c r="C468" t="s">
        <v>339</v>
      </c>
      <c r="D468">
        <v>2817.3943226229771</v>
      </c>
    </row>
    <row r="469" spans="1:4" x14ac:dyDescent="0.3">
      <c r="A469" t="s">
        <v>658</v>
      </c>
      <c r="B469" t="s">
        <v>656</v>
      </c>
      <c r="C469" t="s">
        <v>380</v>
      </c>
      <c r="D469">
        <v>1985.6587919032656</v>
      </c>
    </row>
    <row r="470" spans="1:4" x14ac:dyDescent="0.3">
      <c r="A470" t="s">
        <v>658</v>
      </c>
      <c r="B470" t="s">
        <v>656</v>
      </c>
      <c r="C470" t="s">
        <v>605</v>
      </c>
      <c r="D470">
        <v>2194.8269344970272</v>
      </c>
    </row>
    <row r="471" spans="1:4" x14ac:dyDescent="0.3">
      <c r="A471" t="s">
        <v>658</v>
      </c>
      <c r="B471" t="s">
        <v>656</v>
      </c>
      <c r="C471" t="s">
        <v>446</v>
      </c>
      <c r="D471">
        <v>389.72189371305205</v>
      </c>
    </row>
    <row r="472" spans="1:4" x14ac:dyDescent="0.3">
      <c r="A472" t="s">
        <v>658</v>
      </c>
      <c r="B472" t="s">
        <v>656</v>
      </c>
      <c r="C472" t="s">
        <v>573</v>
      </c>
      <c r="D472">
        <v>2172.7564294742451</v>
      </c>
    </row>
    <row r="473" spans="1:4" x14ac:dyDescent="0.3">
      <c r="A473" t="s">
        <v>658</v>
      </c>
      <c r="B473" t="s">
        <v>172</v>
      </c>
      <c r="C473" t="s">
        <v>516</v>
      </c>
      <c r="D473">
        <v>965.43551657319961</v>
      </c>
    </row>
    <row r="474" spans="1:4" x14ac:dyDescent="0.3">
      <c r="A474" t="s">
        <v>658</v>
      </c>
      <c r="B474" t="s">
        <v>172</v>
      </c>
      <c r="C474" t="s">
        <v>8</v>
      </c>
      <c r="D474">
        <v>1477.3384637118857</v>
      </c>
    </row>
    <row r="475" spans="1:4" x14ac:dyDescent="0.3">
      <c r="A475" t="s">
        <v>658</v>
      </c>
      <c r="B475" t="s">
        <v>172</v>
      </c>
      <c r="C475" t="s">
        <v>173</v>
      </c>
      <c r="D475">
        <v>642.14232093001715</v>
      </c>
    </row>
    <row r="476" spans="1:4" x14ac:dyDescent="0.3">
      <c r="A476" t="s">
        <v>658</v>
      </c>
      <c r="B476" t="s">
        <v>172</v>
      </c>
      <c r="C476" t="s">
        <v>242</v>
      </c>
      <c r="D476">
        <v>781.63775168361042</v>
      </c>
    </row>
    <row r="477" spans="1:4" x14ac:dyDescent="0.3">
      <c r="A477" t="s">
        <v>658</v>
      </c>
      <c r="B477" t="s">
        <v>172</v>
      </c>
      <c r="C477" t="s">
        <v>286</v>
      </c>
      <c r="D477">
        <v>305.90903946722847</v>
      </c>
    </row>
    <row r="478" spans="1:4" x14ac:dyDescent="0.3">
      <c r="A478" t="s">
        <v>658</v>
      </c>
      <c r="B478" t="s">
        <v>172</v>
      </c>
      <c r="C478" t="s">
        <v>339</v>
      </c>
      <c r="D478">
        <v>368.55375111929038</v>
      </c>
    </row>
    <row r="479" spans="1:4" x14ac:dyDescent="0.3">
      <c r="A479" t="s">
        <v>658</v>
      </c>
      <c r="B479" t="s">
        <v>172</v>
      </c>
      <c r="C479" t="s">
        <v>380</v>
      </c>
      <c r="D479">
        <v>91.078775875686645</v>
      </c>
    </row>
    <row r="480" spans="1:4" x14ac:dyDescent="0.3">
      <c r="A480" t="s">
        <v>658</v>
      </c>
      <c r="B480" t="s">
        <v>172</v>
      </c>
      <c r="C480" t="s">
        <v>605</v>
      </c>
      <c r="D480">
        <v>144.32801433461884</v>
      </c>
    </row>
    <row r="481" spans="1:4" x14ac:dyDescent="0.3">
      <c r="A481" t="s">
        <v>658</v>
      </c>
      <c r="B481" t="s">
        <v>172</v>
      </c>
      <c r="C481" t="s">
        <v>446</v>
      </c>
      <c r="D481">
        <v>230.16437025470313</v>
      </c>
    </row>
    <row r="482" spans="1:4" x14ac:dyDescent="0.3">
      <c r="A482" t="s">
        <v>658</v>
      </c>
      <c r="B482" t="s">
        <v>172</v>
      </c>
      <c r="C482" t="s">
        <v>573</v>
      </c>
      <c r="D482">
        <v>251.07268354714421</v>
      </c>
    </row>
    <row r="483" spans="1:4" x14ac:dyDescent="0.3">
      <c r="A483" t="s">
        <v>658</v>
      </c>
      <c r="B483" t="s">
        <v>139</v>
      </c>
      <c r="C483" t="s">
        <v>516</v>
      </c>
      <c r="D483">
        <v>171.68330268255696</v>
      </c>
    </row>
    <row r="484" spans="1:4" x14ac:dyDescent="0.3">
      <c r="A484" t="s">
        <v>658</v>
      </c>
      <c r="B484" t="s">
        <v>139</v>
      </c>
      <c r="C484" t="s">
        <v>8</v>
      </c>
      <c r="D484">
        <v>123.25301079799081</v>
      </c>
    </row>
    <row r="485" spans="1:4" x14ac:dyDescent="0.3">
      <c r="A485" t="s">
        <v>658</v>
      </c>
      <c r="B485" t="s">
        <v>139</v>
      </c>
      <c r="C485" t="s">
        <v>173</v>
      </c>
      <c r="D485">
        <v>-6.8185033298219233E-3</v>
      </c>
    </row>
    <row r="486" spans="1:4" x14ac:dyDescent="0.3">
      <c r="A486" t="s">
        <v>658</v>
      </c>
      <c r="B486" t="s">
        <v>139</v>
      </c>
      <c r="C486" t="s">
        <v>242</v>
      </c>
      <c r="D486">
        <v>61.795444900105345</v>
      </c>
    </row>
    <row r="487" spans="1:4" x14ac:dyDescent="0.3">
      <c r="A487" t="s">
        <v>658</v>
      </c>
      <c r="B487" t="s">
        <v>139</v>
      </c>
      <c r="C487" t="s">
        <v>286</v>
      </c>
      <c r="D487">
        <v>101.38256236125741</v>
      </c>
    </row>
    <row r="488" spans="1:4" x14ac:dyDescent="0.3">
      <c r="A488" t="s">
        <v>658</v>
      </c>
      <c r="B488" t="s">
        <v>139</v>
      </c>
      <c r="C488" t="s">
        <v>339</v>
      </c>
      <c r="D488">
        <v>1.6553024944502968</v>
      </c>
    </row>
    <row r="489" spans="1:4" x14ac:dyDescent="0.3">
      <c r="A489" t="s">
        <v>658</v>
      </c>
      <c r="B489" t="s">
        <v>139</v>
      </c>
      <c r="C489" t="s">
        <v>380</v>
      </c>
      <c r="D489" t="s">
        <v>649</v>
      </c>
    </row>
    <row r="490" spans="1:4" x14ac:dyDescent="0.3">
      <c r="A490" t="s">
        <v>658</v>
      </c>
      <c r="B490" t="s">
        <v>139</v>
      </c>
      <c r="C490" t="s">
        <v>605</v>
      </c>
      <c r="D490">
        <v>4</v>
      </c>
    </row>
    <row r="491" spans="1:4" x14ac:dyDescent="0.3">
      <c r="A491" t="s">
        <v>658</v>
      </c>
      <c r="B491" t="s">
        <v>139</v>
      </c>
      <c r="C491" t="s">
        <v>446</v>
      </c>
      <c r="D491" t="s">
        <v>649</v>
      </c>
    </row>
    <row r="492" spans="1:4" x14ac:dyDescent="0.3">
      <c r="A492" t="s">
        <v>658</v>
      </c>
      <c r="B492" t="s">
        <v>139</v>
      </c>
      <c r="C492" t="s">
        <v>573</v>
      </c>
      <c r="D492">
        <v>35.269693968921665</v>
      </c>
    </row>
    <row r="493" spans="1:4" x14ac:dyDescent="0.3">
      <c r="A493" t="s">
        <v>658</v>
      </c>
      <c r="B493" t="s">
        <v>81</v>
      </c>
      <c r="C493" t="s">
        <v>516</v>
      </c>
      <c r="D493" t="s">
        <v>649</v>
      </c>
    </row>
    <row r="494" spans="1:4" x14ac:dyDescent="0.3">
      <c r="A494" t="s">
        <v>658</v>
      </c>
      <c r="B494" t="s">
        <v>81</v>
      </c>
      <c r="C494" t="s">
        <v>8</v>
      </c>
      <c r="D494">
        <v>2.655302494450297</v>
      </c>
    </row>
    <row r="495" spans="1:4" x14ac:dyDescent="0.3">
      <c r="A495" t="s">
        <v>658</v>
      </c>
      <c r="B495" t="s">
        <v>81</v>
      </c>
      <c r="C495" t="s">
        <v>173</v>
      </c>
      <c r="D495">
        <v>8.6416654877906538</v>
      </c>
    </row>
    <row r="496" spans="1:4" x14ac:dyDescent="0.3">
      <c r="A496" t="s">
        <v>658</v>
      </c>
      <c r="B496" t="s">
        <v>81</v>
      </c>
      <c r="C496" t="s">
        <v>242</v>
      </c>
      <c r="D496">
        <v>0.99318149667017808</v>
      </c>
    </row>
    <row r="497" spans="1:4" x14ac:dyDescent="0.3">
      <c r="A497" t="s">
        <v>658</v>
      </c>
      <c r="B497" t="s">
        <v>81</v>
      </c>
      <c r="C497" t="s">
        <v>286</v>
      </c>
      <c r="D497">
        <v>2.9795444900105341</v>
      </c>
    </row>
    <row r="498" spans="1:4" x14ac:dyDescent="0.3">
      <c r="A498" t="s">
        <v>658</v>
      </c>
      <c r="B498" t="s">
        <v>81</v>
      </c>
      <c r="C498" t="s">
        <v>339</v>
      </c>
      <c r="D498" t="s">
        <v>649</v>
      </c>
    </row>
    <row r="499" spans="1:4" x14ac:dyDescent="0.3">
      <c r="A499" t="s">
        <v>658</v>
      </c>
      <c r="B499" t="s">
        <v>81</v>
      </c>
      <c r="C499" t="s">
        <v>380</v>
      </c>
      <c r="D499">
        <v>0.66212099778011868</v>
      </c>
    </row>
    <row r="500" spans="1:4" x14ac:dyDescent="0.3">
      <c r="A500" t="s">
        <v>658</v>
      </c>
      <c r="B500" t="s">
        <v>81</v>
      </c>
      <c r="C500" t="s">
        <v>605</v>
      </c>
      <c r="D500">
        <v>3.3106049889005935</v>
      </c>
    </row>
    <row r="501" spans="1:4" x14ac:dyDescent="0.3">
      <c r="A501" t="s">
        <v>658</v>
      </c>
      <c r="B501" t="s">
        <v>81</v>
      </c>
      <c r="C501" t="s">
        <v>446</v>
      </c>
      <c r="D501">
        <v>-0.66212099778011868</v>
      </c>
    </row>
    <row r="502" spans="1:4" x14ac:dyDescent="0.3">
      <c r="A502" t="s">
        <v>658</v>
      </c>
      <c r="B502" t="s">
        <v>81</v>
      </c>
      <c r="C502" t="s">
        <v>573</v>
      </c>
      <c r="D502" t="s">
        <v>649</v>
      </c>
    </row>
    <row r="503" spans="1:4" x14ac:dyDescent="0.3">
      <c r="A503" t="s">
        <v>658</v>
      </c>
      <c r="B503" t="s">
        <v>9</v>
      </c>
      <c r="C503" t="s">
        <v>516</v>
      </c>
      <c r="D503">
        <v>0.33106049889005934</v>
      </c>
    </row>
    <row r="504" spans="1:4" x14ac:dyDescent="0.3">
      <c r="A504" t="s">
        <v>658</v>
      </c>
      <c r="B504" t="s">
        <v>9</v>
      </c>
      <c r="C504" t="s">
        <v>8</v>
      </c>
      <c r="D504">
        <v>270.47642759317853</v>
      </c>
    </row>
    <row r="505" spans="1:4" x14ac:dyDescent="0.3">
      <c r="A505" t="s">
        <v>658</v>
      </c>
      <c r="B505" t="s">
        <v>9</v>
      </c>
      <c r="C505" t="s">
        <v>173</v>
      </c>
      <c r="D505" t="s">
        <v>649</v>
      </c>
    </row>
    <row r="506" spans="1:4" x14ac:dyDescent="0.3">
      <c r="A506" t="s">
        <v>658</v>
      </c>
      <c r="B506" t="s">
        <v>9</v>
      </c>
      <c r="C506" t="s">
        <v>242</v>
      </c>
      <c r="D506" t="s">
        <v>649</v>
      </c>
    </row>
    <row r="507" spans="1:4" x14ac:dyDescent="0.3">
      <c r="A507" t="s">
        <v>658</v>
      </c>
      <c r="B507" t="s">
        <v>9</v>
      </c>
      <c r="C507" t="s">
        <v>286</v>
      </c>
      <c r="D507" t="s">
        <v>649</v>
      </c>
    </row>
    <row r="508" spans="1:4" x14ac:dyDescent="0.3">
      <c r="A508" t="s">
        <v>658</v>
      </c>
      <c r="B508" t="s">
        <v>9</v>
      </c>
      <c r="C508" t="s">
        <v>339</v>
      </c>
      <c r="D508" t="s">
        <v>649</v>
      </c>
    </row>
    <row r="509" spans="1:4" x14ac:dyDescent="0.3">
      <c r="A509" t="s">
        <v>658</v>
      </c>
      <c r="B509" t="s">
        <v>9</v>
      </c>
      <c r="C509" t="s">
        <v>380</v>
      </c>
      <c r="D509" t="s">
        <v>649</v>
      </c>
    </row>
    <row r="510" spans="1:4" x14ac:dyDescent="0.3">
      <c r="A510" t="s">
        <v>658</v>
      </c>
      <c r="B510" t="s">
        <v>9</v>
      </c>
      <c r="C510" t="s">
        <v>605</v>
      </c>
      <c r="D510" t="s">
        <v>649</v>
      </c>
    </row>
    <row r="511" spans="1:4" x14ac:dyDescent="0.3">
      <c r="A511" t="s">
        <v>658</v>
      </c>
      <c r="B511" t="s">
        <v>9</v>
      </c>
      <c r="C511" t="s">
        <v>446</v>
      </c>
      <c r="D511" t="s">
        <v>649</v>
      </c>
    </row>
    <row r="512" spans="1:4" x14ac:dyDescent="0.3">
      <c r="A512" t="s">
        <v>658</v>
      </c>
      <c r="B512" t="s">
        <v>9</v>
      </c>
      <c r="C512" t="s">
        <v>573</v>
      </c>
      <c r="D512">
        <v>0.33106049889005934</v>
      </c>
    </row>
    <row r="513" spans="1:4" x14ac:dyDescent="0.3">
      <c r="A513" t="s">
        <v>658</v>
      </c>
      <c r="B513" t="s">
        <v>657</v>
      </c>
      <c r="C513" t="s">
        <v>516</v>
      </c>
      <c r="D513" t="s">
        <v>649</v>
      </c>
    </row>
    <row r="514" spans="1:4" x14ac:dyDescent="0.3">
      <c r="A514" t="s">
        <v>658</v>
      </c>
      <c r="B514" t="s">
        <v>657</v>
      </c>
      <c r="C514" t="s">
        <v>8</v>
      </c>
      <c r="D514" t="s">
        <v>649</v>
      </c>
    </row>
    <row r="515" spans="1:4" x14ac:dyDescent="0.3">
      <c r="A515" t="s">
        <v>658</v>
      </c>
      <c r="B515" t="s">
        <v>657</v>
      </c>
      <c r="C515" t="s">
        <v>173</v>
      </c>
      <c r="D515" t="s">
        <v>649</v>
      </c>
    </row>
    <row r="516" spans="1:4" x14ac:dyDescent="0.3">
      <c r="A516" t="s">
        <v>658</v>
      </c>
      <c r="B516" t="s">
        <v>657</v>
      </c>
      <c r="C516" t="s">
        <v>242</v>
      </c>
      <c r="D516" t="s">
        <v>649</v>
      </c>
    </row>
    <row r="517" spans="1:4" x14ac:dyDescent="0.3">
      <c r="A517" t="s">
        <v>658</v>
      </c>
      <c r="B517" t="s">
        <v>657</v>
      </c>
      <c r="C517" t="s">
        <v>286</v>
      </c>
      <c r="D517" t="s">
        <v>649</v>
      </c>
    </row>
    <row r="518" spans="1:4" x14ac:dyDescent="0.3">
      <c r="A518" t="s">
        <v>658</v>
      </c>
      <c r="B518" t="s">
        <v>657</v>
      </c>
      <c r="C518" t="s">
        <v>339</v>
      </c>
      <c r="D518" t="s">
        <v>649</v>
      </c>
    </row>
    <row r="519" spans="1:4" x14ac:dyDescent="0.3">
      <c r="A519" t="s">
        <v>658</v>
      </c>
      <c r="B519" t="s">
        <v>657</v>
      </c>
      <c r="C519" t="s">
        <v>380</v>
      </c>
      <c r="D519" t="s">
        <v>649</v>
      </c>
    </row>
    <row r="520" spans="1:4" x14ac:dyDescent="0.3">
      <c r="A520" t="s">
        <v>658</v>
      </c>
      <c r="B520" t="s">
        <v>657</v>
      </c>
      <c r="C520" t="s">
        <v>605</v>
      </c>
      <c r="D520" t="s">
        <v>649</v>
      </c>
    </row>
    <row r="521" spans="1:4" x14ac:dyDescent="0.3">
      <c r="A521" t="s">
        <v>658</v>
      </c>
      <c r="B521" t="s">
        <v>657</v>
      </c>
      <c r="C521" t="s">
        <v>446</v>
      </c>
      <c r="D521" t="s">
        <v>649</v>
      </c>
    </row>
    <row r="522" spans="1:4" x14ac:dyDescent="0.3">
      <c r="A522" t="s">
        <v>658</v>
      </c>
      <c r="B522" t="s">
        <v>657</v>
      </c>
      <c r="C522" t="s">
        <v>573</v>
      </c>
      <c r="D522" t="s">
        <v>649</v>
      </c>
    </row>
    <row r="523" spans="1:4" x14ac:dyDescent="0.3">
      <c r="B523" t="s">
        <v>659</v>
      </c>
      <c r="C523" t="s">
        <v>659</v>
      </c>
    </row>
    <row r="524" spans="1:4" x14ac:dyDescent="0.3">
      <c r="A524" t="s">
        <v>660</v>
      </c>
      <c r="B524" t="s">
        <v>59</v>
      </c>
      <c r="C524" t="s">
        <v>516</v>
      </c>
      <c r="D524">
        <v>3900.4654123554251</v>
      </c>
    </row>
    <row r="525" spans="1:4" x14ac:dyDescent="0.3">
      <c r="A525" t="s">
        <v>660</v>
      </c>
      <c r="B525" t="s">
        <v>59</v>
      </c>
      <c r="C525" t="s">
        <v>8</v>
      </c>
      <c r="D525">
        <v>1572.727844576473</v>
      </c>
    </row>
    <row r="526" spans="1:4" x14ac:dyDescent="0.3">
      <c r="A526" t="s">
        <v>660</v>
      </c>
      <c r="B526" t="s">
        <v>59</v>
      </c>
      <c r="C526" t="s">
        <v>173</v>
      </c>
      <c r="D526">
        <v>1147.0414957296448</v>
      </c>
    </row>
    <row r="527" spans="1:4" x14ac:dyDescent="0.3">
      <c r="A527" t="s">
        <v>660</v>
      </c>
      <c r="B527" t="s">
        <v>59</v>
      </c>
      <c r="C527" t="s">
        <v>242</v>
      </c>
      <c r="D527">
        <v>958.83316829069156</v>
      </c>
    </row>
    <row r="528" spans="1:4" x14ac:dyDescent="0.3">
      <c r="A528" t="s">
        <v>660</v>
      </c>
      <c r="B528" t="s">
        <v>59</v>
      </c>
      <c r="C528" t="s">
        <v>286</v>
      </c>
      <c r="D528">
        <v>2817.3943226229771</v>
      </c>
    </row>
    <row r="529" spans="1:4" x14ac:dyDescent="0.3">
      <c r="A529" t="s">
        <v>660</v>
      </c>
      <c r="B529" t="s">
        <v>59</v>
      </c>
      <c r="C529" t="s">
        <v>339</v>
      </c>
      <c r="D529">
        <v>1985.6587919032656</v>
      </c>
    </row>
    <row r="530" spans="1:4" x14ac:dyDescent="0.3">
      <c r="A530" t="s">
        <v>660</v>
      </c>
      <c r="B530" t="s">
        <v>59</v>
      </c>
      <c r="C530" t="s">
        <v>380</v>
      </c>
      <c r="D530">
        <v>2194.8269344970272</v>
      </c>
    </row>
    <row r="531" spans="1:4" x14ac:dyDescent="0.3">
      <c r="A531" t="s">
        <v>660</v>
      </c>
      <c r="B531" t="s">
        <v>59</v>
      </c>
      <c r="C531" t="s">
        <v>605</v>
      </c>
      <c r="D531">
        <v>389.72189371305205</v>
      </c>
    </row>
    <row r="532" spans="1:4" x14ac:dyDescent="0.3">
      <c r="A532" t="s">
        <v>660</v>
      </c>
      <c r="B532" t="s">
        <v>59</v>
      </c>
      <c r="C532" t="s">
        <v>446</v>
      </c>
      <c r="D532">
        <v>2172.7564294742451</v>
      </c>
    </row>
    <row r="533" spans="1:4" x14ac:dyDescent="0.3">
      <c r="A533" t="s">
        <v>660</v>
      </c>
      <c r="B533" t="s">
        <v>59</v>
      </c>
      <c r="C533" t="s">
        <v>573</v>
      </c>
      <c r="D533">
        <v>965.43551657319961</v>
      </c>
    </row>
    <row r="534" spans="1:4" x14ac:dyDescent="0.3">
      <c r="A534" t="s">
        <v>660</v>
      </c>
      <c r="B534" t="s">
        <v>648</v>
      </c>
      <c r="C534" t="s">
        <v>516</v>
      </c>
      <c r="D534">
        <v>1477.3384637118857</v>
      </c>
    </row>
    <row r="535" spans="1:4" x14ac:dyDescent="0.3">
      <c r="A535" t="s">
        <v>660</v>
      </c>
      <c r="B535" t="s">
        <v>648</v>
      </c>
      <c r="C535" t="s">
        <v>8</v>
      </c>
      <c r="D535">
        <v>642.14232093001715</v>
      </c>
    </row>
    <row r="536" spans="1:4" x14ac:dyDescent="0.3">
      <c r="A536" t="s">
        <v>660</v>
      </c>
      <c r="B536" t="s">
        <v>648</v>
      </c>
      <c r="C536" t="s">
        <v>173</v>
      </c>
      <c r="D536">
        <v>781.63775168361042</v>
      </c>
    </row>
    <row r="537" spans="1:4" x14ac:dyDescent="0.3">
      <c r="A537" t="s">
        <v>660</v>
      </c>
      <c r="B537" t="s">
        <v>648</v>
      </c>
      <c r="C537" t="s">
        <v>242</v>
      </c>
      <c r="D537">
        <v>305.90903946722847</v>
      </c>
    </row>
    <row r="538" spans="1:4" x14ac:dyDescent="0.3">
      <c r="A538" t="s">
        <v>660</v>
      </c>
      <c r="B538" t="s">
        <v>648</v>
      </c>
      <c r="C538" t="s">
        <v>286</v>
      </c>
      <c r="D538">
        <v>368.55375111929038</v>
      </c>
    </row>
    <row r="539" spans="1:4" x14ac:dyDescent="0.3">
      <c r="A539" t="s">
        <v>660</v>
      </c>
      <c r="B539" t="s">
        <v>648</v>
      </c>
      <c r="C539" t="s">
        <v>339</v>
      </c>
      <c r="D539">
        <v>91.078775875686645</v>
      </c>
    </row>
    <row r="540" spans="1:4" x14ac:dyDescent="0.3">
      <c r="A540" t="s">
        <v>660</v>
      </c>
      <c r="B540" t="s">
        <v>648</v>
      </c>
      <c r="C540" t="s">
        <v>380</v>
      </c>
      <c r="D540">
        <v>144.32801433461884</v>
      </c>
    </row>
    <row r="541" spans="1:4" x14ac:dyDescent="0.3">
      <c r="A541" t="s">
        <v>660</v>
      </c>
      <c r="B541" t="s">
        <v>648</v>
      </c>
      <c r="C541" t="s">
        <v>605</v>
      </c>
      <c r="D541">
        <v>230.16437025470313</v>
      </c>
    </row>
    <row r="542" spans="1:4" x14ac:dyDescent="0.3">
      <c r="A542" t="s">
        <v>660</v>
      </c>
      <c r="B542" t="s">
        <v>648</v>
      </c>
      <c r="C542" t="s">
        <v>446</v>
      </c>
      <c r="D542">
        <v>251.07268354714421</v>
      </c>
    </row>
    <row r="543" spans="1:4" x14ac:dyDescent="0.3">
      <c r="A543" t="s">
        <v>660</v>
      </c>
      <c r="B543" t="s">
        <v>648</v>
      </c>
      <c r="C543" t="s">
        <v>573</v>
      </c>
      <c r="D543">
        <v>171.68330268255696</v>
      </c>
    </row>
    <row r="544" spans="1:4" x14ac:dyDescent="0.3">
      <c r="A544" t="s">
        <v>660</v>
      </c>
      <c r="B544" t="s">
        <v>100</v>
      </c>
      <c r="C544" t="s">
        <v>516</v>
      </c>
      <c r="D544">
        <v>123.25301079799081</v>
      </c>
    </row>
    <row r="545" spans="1:4" x14ac:dyDescent="0.3">
      <c r="A545" t="s">
        <v>660</v>
      </c>
      <c r="B545" t="s">
        <v>100</v>
      </c>
      <c r="C545" t="s">
        <v>8</v>
      </c>
      <c r="D545">
        <v>-6.8185033298219233E-3</v>
      </c>
    </row>
    <row r="546" spans="1:4" x14ac:dyDescent="0.3">
      <c r="A546" t="s">
        <v>660</v>
      </c>
      <c r="B546" t="s">
        <v>100</v>
      </c>
      <c r="C546" t="s">
        <v>173</v>
      </c>
      <c r="D546">
        <v>61.795444900105345</v>
      </c>
    </row>
    <row r="547" spans="1:4" x14ac:dyDescent="0.3">
      <c r="A547" t="s">
        <v>660</v>
      </c>
      <c r="B547" t="s">
        <v>100</v>
      </c>
      <c r="C547" t="s">
        <v>242</v>
      </c>
      <c r="D547">
        <v>101.38256236125741</v>
      </c>
    </row>
    <row r="548" spans="1:4" x14ac:dyDescent="0.3">
      <c r="A548" t="s">
        <v>660</v>
      </c>
      <c r="B548" t="s">
        <v>100</v>
      </c>
      <c r="C548" t="s">
        <v>286</v>
      </c>
      <c r="D548">
        <v>1.6553024944502968</v>
      </c>
    </row>
    <row r="549" spans="1:4" x14ac:dyDescent="0.3">
      <c r="A549" t="s">
        <v>660</v>
      </c>
      <c r="B549" t="s">
        <v>100</v>
      </c>
      <c r="C549" t="s">
        <v>339</v>
      </c>
      <c r="D549">
        <v>0</v>
      </c>
    </row>
    <row r="550" spans="1:4" x14ac:dyDescent="0.3">
      <c r="A550" t="s">
        <v>660</v>
      </c>
      <c r="B550" t="s">
        <v>100</v>
      </c>
      <c r="C550" t="s">
        <v>380</v>
      </c>
      <c r="D550">
        <v>4</v>
      </c>
    </row>
    <row r="551" spans="1:4" x14ac:dyDescent="0.3">
      <c r="A551" t="s">
        <v>660</v>
      </c>
      <c r="B551" t="s">
        <v>100</v>
      </c>
      <c r="C551" t="s">
        <v>605</v>
      </c>
      <c r="D551">
        <v>0</v>
      </c>
    </row>
    <row r="552" spans="1:4" x14ac:dyDescent="0.3">
      <c r="A552" t="s">
        <v>660</v>
      </c>
      <c r="B552" t="s">
        <v>100</v>
      </c>
      <c r="C552" t="s">
        <v>446</v>
      </c>
      <c r="D552">
        <v>35.269693968921665</v>
      </c>
    </row>
    <row r="553" spans="1:4" x14ac:dyDescent="0.3">
      <c r="A553" t="s">
        <v>660</v>
      </c>
      <c r="B553" t="s">
        <v>100</v>
      </c>
      <c r="C553" t="s">
        <v>573</v>
      </c>
      <c r="D553">
        <v>0</v>
      </c>
    </row>
    <row r="554" spans="1:4" x14ac:dyDescent="0.3">
      <c r="A554" t="s">
        <v>660</v>
      </c>
      <c r="B554" t="s">
        <v>100</v>
      </c>
      <c r="C554" t="s">
        <v>516</v>
      </c>
      <c r="D554">
        <v>2.655302494450297</v>
      </c>
    </row>
    <row r="555" spans="1:4" x14ac:dyDescent="0.3">
      <c r="A555" t="s">
        <v>660</v>
      </c>
      <c r="B555" t="s">
        <v>100</v>
      </c>
      <c r="C555" t="s">
        <v>8</v>
      </c>
      <c r="D555">
        <v>8.6416654877906538</v>
      </c>
    </row>
    <row r="556" spans="1:4" x14ac:dyDescent="0.3">
      <c r="A556" t="s">
        <v>660</v>
      </c>
      <c r="B556" t="s">
        <v>100</v>
      </c>
      <c r="C556" t="s">
        <v>173</v>
      </c>
      <c r="D556">
        <v>0.99318149667017808</v>
      </c>
    </row>
    <row r="557" spans="1:4" x14ac:dyDescent="0.3">
      <c r="A557" t="s">
        <v>660</v>
      </c>
      <c r="B557" t="s">
        <v>100</v>
      </c>
      <c r="C557" t="s">
        <v>242</v>
      </c>
      <c r="D557">
        <v>2.9795444900105341</v>
      </c>
    </row>
    <row r="558" spans="1:4" x14ac:dyDescent="0.3">
      <c r="A558" t="s">
        <v>660</v>
      </c>
      <c r="B558" t="s">
        <v>100</v>
      </c>
      <c r="C558" t="s">
        <v>286</v>
      </c>
      <c r="D558">
        <v>0</v>
      </c>
    </row>
    <row r="559" spans="1:4" x14ac:dyDescent="0.3">
      <c r="A559" t="s">
        <v>660</v>
      </c>
      <c r="B559" t="s">
        <v>100</v>
      </c>
      <c r="C559" t="s">
        <v>339</v>
      </c>
      <c r="D559">
        <v>0.66212099778011868</v>
      </c>
    </row>
    <row r="560" spans="1:4" x14ac:dyDescent="0.3">
      <c r="A560" t="s">
        <v>660</v>
      </c>
      <c r="B560" t="s">
        <v>100</v>
      </c>
      <c r="C560" t="s">
        <v>380</v>
      </c>
      <c r="D560">
        <v>3.3106049889005935</v>
      </c>
    </row>
    <row r="561" spans="1:4" x14ac:dyDescent="0.3">
      <c r="A561" t="s">
        <v>660</v>
      </c>
      <c r="B561" t="s">
        <v>100</v>
      </c>
      <c r="C561" t="s">
        <v>605</v>
      </c>
      <c r="D561">
        <v>-0.66212099778011868</v>
      </c>
    </row>
    <row r="562" spans="1:4" x14ac:dyDescent="0.3">
      <c r="A562" t="s">
        <v>660</v>
      </c>
      <c r="B562" t="s">
        <v>100</v>
      </c>
      <c r="C562" t="s">
        <v>446</v>
      </c>
      <c r="D562">
        <v>0</v>
      </c>
    </row>
    <row r="563" spans="1:4" x14ac:dyDescent="0.3">
      <c r="A563" t="s">
        <v>660</v>
      </c>
      <c r="B563" t="s">
        <v>100</v>
      </c>
      <c r="C563" t="s">
        <v>573</v>
      </c>
      <c r="D563">
        <v>0.33106049889005934</v>
      </c>
    </row>
    <row r="564" spans="1:4" x14ac:dyDescent="0.3">
      <c r="A564" t="s">
        <v>660</v>
      </c>
      <c r="B564" t="s">
        <v>168</v>
      </c>
      <c r="C564" t="s">
        <v>516</v>
      </c>
      <c r="D564">
        <v>270.47642759317853</v>
      </c>
    </row>
    <row r="565" spans="1:4" x14ac:dyDescent="0.3">
      <c r="A565" t="s">
        <v>660</v>
      </c>
      <c r="B565" t="s">
        <v>168</v>
      </c>
      <c r="C565" t="s">
        <v>8</v>
      </c>
      <c r="D565">
        <v>0</v>
      </c>
    </row>
    <row r="566" spans="1:4" x14ac:dyDescent="0.3">
      <c r="A566" t="s">
        <v>660</v>
      </c>
      <c r="B566" t="s">
        <v>168</v>
      </c>
      <c r="C566" t="s">
        <v>173</v>
      </c>
      <c r="D566">
        <v>0</v>
      </c>
    </row>
    <row r="567" spans="1:4" x14ac:dyDescent="0.3">
      <c r="A567" t="s">
        <v>660</v>
      </c>
      <c r="B567" t="s">
        <v>168</v>
      </c>
      <c r="C567" t="s">
        <v>242</v>
      </c>
      <c r="D567">
        <v>0</v>
      </c>
    </row>
    <row r="568" spans="1:4" x14ac:dyDescent="0.3">
      <c r="A568" t="s">
        <v>660</v>
      </c>
      <c r="B568" t="s">
        <v>168</v>
      </c>
      <c r="C568" t="s">
        <v>286</v>
      </c>
      <c r="D568">
        <v>0</v>
      </c>
    </row>
    <row r="569" spans="1:4" x14ac:dyDescent="0.3">
      <c r="A569" t="s">
        <v>660</v>
      </c>
      <c r="B569" t="s">
        <v>168</v>
      </c>
      <c r="C569" t="s">
        <v>339</v>
      </c>
      <c r="D569">
        <v>0</v>
      </c>
    </row>
    <row r="570" spans="1:4" x14ac:dyDescent="0.3">
      <c r="A570" t="s">
        <v>660</v>
      </c>
      <c r="B570" t="s">
        <v>168</v>
      </c>
      <c r="C570" t="s">
        <v>380</v>
      </c>
      <c r="D570">
        <v>0</v>
      </c>
    </row>
    <row r="571" spans="1:4" x14ac:dyDescent="0.3">
      <c r="A571" t="s">
        <v>660</v>
      </c>
      <c r="B571" t="s">
        <v>168</v>
      </c>
      <c r="C571" t="s">
        <v>605</v>
      </c>
      <c r="D571">
        <v>0</v>
      </c>
    </row>
    <row r="572" spans="1:4" x14ac:dyDescent="0.3">
      <c r="A572" t="s">
        <v>660</v>
      </c>
      <c r="B572" t="s">
        <v>168</v>
      </c>
      <c r="C572" t="s">
        <v>446</v>
      </c>
      <c r="D572">
        <v>0.33106049889005934</v>
      </c>
    </row>
    <row r="573" spans="1:4" x14ac:dyDescent="0.3">
      <c r="A573" t="s">
        <v>660</v>
      </c>
      <c r="B573" t="s">
        <v>168</v>
      </c>
      <c r="C573" t="s">
        <v>573</v>
      </c>
      <c r="D573">
        <v>0</v>
      </c>
    </row>
    <row r="574" spans="1:4" x14ac:dyDescent="0.3">
      <c r="A574" t="s">
        <v>660</v>
      </c>
      <c r="B574" t="s">
        <v>650</v>
      </c>
      <c r="C574" t="s">
        <v>516</v>
      </c>
      <c r="D574">
        <v>0</v>
      </c>
    </row>
    <row r="575" spans="1:4" x14ac:dyDescent="0.3">
      <c r="A575" t="s">
        <v>660</v>
      </c>
      <c r="B575" t="s">
        <v>650</v>
      </c>
      <c r="C575" t="s">
        <v>8</v>
      </c>
      <c r="D575">
        <v>0</v>
      </c>
    </row>
    <row r="576" spans="1:4" x14ac:dyDescent="0.3">
      <c r="A576" t="s">
        <v>660</v>
      </c>
      <c r="B576" t="s">
        <v>650</v>
      </c>
      <c r="C576" t="s">
        <v>173</v>
      </c>
      <c r="D576">
        <v>0</v>
      </c>
    </row>
    <row r="577" spans="1:4" x14ac:dyDescent="0.3">
      <c r="A577" t="s">
        <v>660</v>
      </c>
      <c r="B577" t="s">
        <v>650</v>
      </c>
      <c r="C577" t="s">
        <v>242</v>
      </c>
      <c r="D577">
        <v>0</v>
      </c>
    </row>
    <row r="578" spans="1:4" x14ac:dyDescent="0.3">
      <c r="A578" t="s">
        <v>660</v>
      </c>
      <c r="B578" t="s">
        <v>650</v>
      </c>
      <c r="C578" t="s">
        <v>286</v>
      </c>
      <c r="D578">
        <v>0</v>
      </c>
    </row>
    <row r="579" spans="1:4" x14ac:dyDescent="0.3">
      <c r="A579" t="s">
        <v>660</v>
      </c>
      <c r="B579" t="s">
        <v>650</v>
      </c>
      <c r="C579" t="s">
        <v>339</v>
      </c>
      <c r="D579">
        <v>0</v>
      </c>
    </row>
    <row r="580" spans="1:4" x14ac:dyDescent="0.3">
      <c r="A580" t="s">
        <v>660</v>
      </c>
      <c r="B580" t="s">
        <v>650</v>
      </c>
      <c r="C580" t="s">
        <v>380</v>
      </c>
      <c r="D580">
        <v>0</v>
      </c>
    </row>
    <row r="581" spans="1:4" x14ac:dyDescent="0.3">
      <c r="A581" t="s">
        <v>660</v>
      </c>
      <c r="B581" t="s">
        <v>650</v>
      </c>
      <c r="C581" t="s">
        <v>605</v>
      </c>
      <c r="D581">
        <v>0</v>
      </c>
    </row>
    <row r="582" spans="1:4" x14ac:dyDescent="0.3">
      <c r="A582" t="s">
        <v>660</v>
      </c>
      <c r="B582" t="s">
        <v>650</v>
      </c>
      <c r="C582" t="s">
        <v>446</v>
      </c>
      <c r="D582">
        <v>0</v>
      </c>
    </row>
    <row r="583" spans="1:4" x14ac:dyDescent="0.3">
      <c r="A583" t="s">
        <v>660</v>
      </c>
      <c r="B583" t="s">
        <v>650</v>
      </c>
      <c r="C583" t="s">
        <v>573</v>
      </c>
      <c r="D583">
        <v>0</v>
      </c>
    </row>
    <row r="584" spans="1:4" x14ac:dyDescent="0.3">
      <c r="A584" t="s">
        <v>660</v>
      </c>
      <c r="B584" t="s">
        <v>651</v>
      </c>
      <c r="C584" t="s">
        <v>516</v>
      </c>
      <c r="D584">
        <v>0</v>
      </c>
    </row>
    <row r="585" spans="1:4" x14ac:dyDescent="0.3">
      <c r="A585" t="s">
        <v>660</v>
      </c>
      <c r="B585" t="s">
        <v>651</v>
      </c>
      <c r="C585" t="s">
        <v>8</v>
      </c>
      <c r="D585">
        <v>0</v>
      </c>
    </row>
    <row r="586" spans="1:4" x14ac:dyDescent="0.3">
      <c r="A586" t="s">
        <v>660</v>
      </c>
      <c r="B586" t="s">
        <v>651</v>
      </c>
      <c r="C586" t="s">
        <v>173</v>
      </c>
      <c r="D586">
        <v>0</v>
      </c>
    </row>
    <row r="587" spans="1:4" x14ac:dyDescent="0.3">
      <c r="A587" t="s">
        <v>660</v>
      </c>
      <c r="B587" t="s">
        <v>651</v>
      </c>
      <c r="C587" t="s">
        <v>242</v>
      </c>
      <c r="D587">
        <v>0</v>
      </c>
    </row>
    <row r="588" spans="1:4" x14ac:dyDescent="0.3">
      <c r="A588" t="s">
        <v>660</v>
      </c>
      <c r="B588" t="s">
        <v>651</v>
      </c>
      <c r="C588" t="s">
        <v>286</v>
      </c>
      <c r="D588">
        <v>0</v>
      </c>
    </row>
    <row r="589" spans="1:4" x14ac:dyDescent="0.3">
      <c r="A589" t="s">
        <v>660</v>
      </c>
      <c r="B589" t="s">
        <v>651</v>
      </c>
      <c r="C589" t="s">
        <v>339</v>
      </c>
      <c r="D589">
        <v>0</v>
      </c>
    </row>
    <row r="590" spans="1:4" x14ac:dyDescent="0.3">
      <c r="A590" t="s">
        <v>660</v>
      </c>
      <c r="B590" t="s">
        <v>651</v>
      </c>
      <c r="C590" t="s">
        <v>380</v>
      </c>
      <c r="D590">
        <v>0</v>
      </c>
    </row>
    <row r="591" spans="1:4" x14ac:dyDescent="0.3">
      <c r="A591" t="s">
        <v>660</v>
      </c>
      <c r="B591" t="s">
        <v>651</v>
      </c>
      <c r="C591" t="s">
        <v>605</v>
      </c>
      <c r="D591">
        <v>0</v>
      </c>
    </row>
    <row r="592" spans="1:4" x14ac:dyDescent="0.3">
      <c r="A592" t="s">
        <v>660</v>
      </c>
      <c r="B592" t="s">
        <v>651</v>
      </c>
      <c r="C592" t="s">
        <v>446</v>
      </c>
      <c r="D592">
        <v>0</v>
      </c>
    </row>
    <row r="593" spans="1:4" x14ac:dyDescent="0.3">
      <c r="A593" t="s">
        <v>660</v>
      </c>
      <c r="B593" t="s">
        <v>651</v>
      </c>
      <c r="C593" t="s">
        <v>573</v>
      </c>
      <c r="D593">
        <v>0</v>
      </c>
    </row>
    <row r="594" spans="1:4" x14ac:dyDescent="0.3">
      <c r="A594" t="s">
        <v>660</v>
      </c>
      <c r="B594" t="s">
        <v>652</v>
      </c>
      <c r="C594" t="s">
        <v>516</v>
      </c>
      <c r="D594">
        <v>0</v>
      </c>
    </row>
    <row r="595" spans="1:4" x14ac:dyDescent="0.3">
      <c r="A595" t="s">
        <v>660</v>
      </c>
      <c r="B595" t="s">
        <v>652</v>
      </c>
      <c r="C595" t="s">
        <v>8</v>
      </c>
      <c r="D595">
        <v>0</v>
      </c>
    </row>
    <row r="596" spans="1:4" x14ac:dyDescent="0.3">
      <c r="A596" t="s">
        <v>660</v>
      </c>
      <c r="B596" t="s">
        <v>652</v>
      </c>
      <c r="C596" t="s">
        <v>173</v>
      </c>
      <c r="D596">
        <v>0</v>
      </c>
    </row>
    <row r="597" spans="1:4" x14ac:dyDescent="0.3">
      <c r="A597" t="s">
        <v>660</v>
      </c>
      <c r="B597" t="s">
        <v>652</v>
      </c>
      <c r="C597" t="s">
        <v>242</v>
      </c>
      <c r="D597">
        <v>0</v>
      </c>
    </row>
    <row r="598" spans="1:4" x14ac:dyDescent="0.3">
      <c r="A598" t="s">
        <v>660</v>
      </c>
      <c r="B598" t="s">
        <v>652</v>
      </c>
      <c r="C598" t="s">
        <v>286</v>
      </c>
      <c r="D598">
        <v>0</v>
      </c>
    </row>
    <row r="599" spans="1:4" x14ac:dyDescent="0.3">
      <c r="A599" t="s">
        <v>660</v>
      </c>
      <c r="B599" t="s">
        <v>652</v>
      </c>
      <c r="C599" t="s">
        <v>339</v>
      </c>
      <c r="D599">
        <v>0</v>
      </c>
    </row>
    <row r="600" spans="1:4" x14ac:dyDescent="0.3">
      <c r="A600" t="s">
        <v>660</v>
      </c>
      <c r="B600" t="s">
        <v>652</v>
      </c>
      <c r="C600" t="s">
        <v>380</v>
      </c>
      <c r="D600">
        <v>0</v>
      </c>
    </row>
    <row r="601" spans="1:4" x14ac:dyDescent="0.3">
      <c r="A601" t="s">
        <v>660</v>
      </c>
      <c r="B601" t="s">
        <v>652</v>
      </c>
      <c r="C601" t="s">
        <v>605</v>
      </c>
      <c r="D601">
        <v>0</v>
      </c>
    </row>
    <row r="602" spans="1:4" x14ac:dyDescent="0.3">
      <c r="A602" t="s">
        <v>660</v>
      </c>
      <c r="B602" t="s">
        <v>652</v>
      </c>
      <c r="C602" t="s">
        <v>446</v>
      </c>
      <c r="D602">
        <v>0</v>
      </c>
    </row>
    <row r="603" spans="1:4" x14ac:dyDescent="0.3">
      <c r="A603" t="s">
        <v>660</v>
      </c>
      <c r="B603" t="s">
        <v>652</v>
      </c>
      <c r="C603" t="s">
        <v>573</v>
      </c>
      <c r="D603">
        <v>0</v>
      </c>
    </row>
    <row r="604" spans="1:4" x14ac:dyDescent="0.3">
      <c r="A604" t="s">
        <v>660</v>
      </c>
      <c r="B604" t="s">
        <v>643</v>
      </c>
      <c r="C604" t="s">
        <v>516</v>
      </c>
      <c r="D604">
        <v>158.78862639677553</v>
      </c>
    </row>
    <row r="605" spans="1:4" x14ac:dyDescent="0.3">
      <c r="A605" t="s">
        <v>660</v>
      </c>
      <c r="B605" t="s">
        <v>643</v>
      </c>
      <c r="C605" t="s">
        <v>8</v>
      </c>
      <c r="D605">
        <v>71.221964445612912</v>
      </c>
    </row>
    <row r="606" spans="1:4" x14ac:dyDescent="0.3">
      <c r="A606" t="s">
        <v>660</v>
      </c>
      <c r="B606" t="s">
        <v>643</v>
      </c>
      <c r="C606" t="s">
        <v>173</v>
      </c>
      <c r="D606">
        <v>70.532569434513505</v>
      </c>
    </row>
    <row r="607" spans="1:4" x14ac:dyDescent="0.3">
      <c r="A607" t="s">
        <v>660</v>
      </c>
      <c r="B607" t="s">
        <v>643</v>
      </c>
      <c r="C607" t="s">
        <v>242</v>
      </c>
      <c r="D607">
        <v>29.587117461152076</v>
      </c>
    </row>
    <row r="608" spans="1:4" x14ac:dyDescent="0.3">
      <c r="A608" t="s">
        <v>660</v>
      </c>
      <c r="B608" t="s">
        <v>643</v>
      </c>
      <c r="C608" t="s">
        <v>286</v>
      </c>
      <c r="D608">
        <v>66.52575093118368</v>
      </c>
    </row>
    <row r="609" spans="1:4" x14ac:dyDescent="0.3">
      <c r="A609" t="s">
        <v>660</v>
      </c>
      <c r="B609" t="s">
        <v>643</v>
      </c>
      <c r="C609" t="s">
        <v>339</v>
      </c>
      <c r="D609">
        <v>41.600754467811718</v>
      </c>
    </row>
    <row r="610" spans="1:4" x14ac:dyDescent="0.3">
      <c r="A610" t="s">
        <v>660</v>
      </c>
      <c r="B610" t="s">
        <v>643</v>
      </c>
      <c r="C610" t="s">
        <v>380</v>
      </c>
      <c r="D610">
        <v>63.566661951162608</v>
      </c>
    </row>
    <row r="611" spans="1:4" x14ac:dyDescent="0.3">
      <c r="A611" t="s">
        <v>660</v>
      </c>
      <c r="B611" t="s">
        <v>643</v>
      </c>
      <c r="C611" t="s">
        <v>605</v>
      </c>
      <c r="D611">
        <v>25.634846984460829</v>
      </c>
    </row>
    <row r="612" spans="1:4" x14ac:dyDescent="0.3">
      <c r="A612" t="s">
        <v>660</v>
      </c>
      <c r="B612" t="s">
        <v>643</v>
      </c>
      <c r="C612" t="s">
        <v>446</v>
      </c>
      <c r="D612">
        <v>39.952270476691247</v>
      </c>
    </row>
    <row r="613" spans="1:4" x14ac:dyDescent="0.3">
      <c r="A613" t="s">
        <v>660</v>
      </c>
      <c r="B613" t="s">
        <v>643</v>
      </c>
      <c r="C613" t="s">
        <v>573</v>
      </c>
      <c r="D613">
        <v>26.959088980021072</v>
      </c>
    </row>
    <row r="614" spans="1:4" x14ac:dyDescent="0.3">
      <c r="A614" t="s">
        <v>660</v>
      </c>
      <c r="B614" t="s">
        <v>643</v>
      </c>
      <c r="C614" t="s">
        <v>516</v>
      </c>
      <c r="D614">
        <v>0</v>
      </c>
    </row>
    <row r="615" spans="1:4" x14ac:dyDescent="0.3">
      <c r="A615" t="s">
        <v>660</v>
      </c>
      <c r="B615" t="s">
        <v>643</v>
      </c>
      <c r="C615" t="s">
        <v>8</v>
      </c>
      <c r="D615">
        <v>3</v>
      </c>
    </row>
    <row r="616" spans="1:4" x14ac:dyDescent="0.3">
      <c r="A616" t="s">
        <v>660</v>
      </c>
      <c r="B616" t="s">
        <v>643</v>
      </c>
      <c r="C616" t="s">
        <v>173</v>
      </c>
      <c r="D616">
        <v>0</v>
      </c>
    </row>
    <row r="617" spans="1:4" x14ac:dyDescent="0.3">
      <c r="A617" t="s">
        <v>660</v>
      </c>
      <c r="B617" t="s">
        <v>643</v>
      </c>
      <c r="C617" t="s">
        <v>242</v>
      </c>
      <c r="D617">
        <v>1</v>
      </c>
    </row>
    <row r="618" spans="1:4" x14ac:dyDescent="0.3">
      <c r="A618" t="s">
        <v>660</v>
      </c>
      <c r="B618" t="s">
        <v>643</v>
      </c>
      <c r="C618" t="s">
        <v>286</v>
      </c>
      <c r="D618">
        <v>3</v>
      </c>
    </row>
    <row r="619" spans="1:4" x14ac:dyDescent="0.3">
      <c r="A619" t="s">
        <v>660</v>
      </c>
      <c r="B619" t="s">
        <v>643</v>
      </c>
      <c r="C619" t="s">
        <v>339</v>
      </c>
      <c r="D619">
        <v>0</v>
      </c>
    </row>
    <row r="620" spans="1:4" x14ac:dyDescent="0.3">
      <c r="A620" t="s">
        <v>660</v>
      </c>
      <c r="B620" t="s">
        <v>643</v>
      </c>
      <c r="C620" t="s">
        <v>380</v>
      </c>
      <c r="D620">
        <v>1</v>
      </c>
    </row>
    <row r="621" spans="1:4" x14ac:dyDescent="0.3">
      <c r="A621" t="s">
        <v>660</v>
      </c>
      <c r="B621" t="s">
        <v>643</v>
      </c>
      <c r="C621" t="s">
        <v>605</v>
      </c>
      <c r="D621">
        <v>0</v>
      </c>
    </row>
    <row r="622" spans="1:4" x14ac:dyDescent="0.3">
      <c r="A622" t="s">
        <v>660</v>
      </c>
      <c r="B622" t="s">
        <v>643</v>
      </c>
      <c r="C622" t="s">
        <v>446</v>
      </c>
      <c r="D622">
        <v>0</v>
      </c>
    </row>
    <row r="623" spans="1:4" x14ac:dyDescent="0.3">
      <c r="A623" t="s">
        <v>660</v>
      </c>
      <c r="B623" t="s">
        <v>643</v>
      </c>
      <c r="C623" t="s">
        <v>573</v>
      </c>
      <c r="D623">
        <v>0</v>
      </c>
    </row>
    <row r="624" spans="1:4" x14ac:dyDescent="0.3">
      <c r="A624" t="s">
        <v>660</v>
      </c>
      <c r="B624" t="s">
        <v>54</v>
      </c>
      <c r="C624" t="s">
        <v>516</v>
      </c>
      <c r="D624">
        <v>433.61511764925876</v>
      </c>
    </row>
    <row r="625" spans="1:4" x14ac:dyDescent="0.3">
      <c r="A625" t="s">
        <v>660</v>
      </c>
      <c r="B625" t="s">
        <v>54</v>
      </c>
      <c r="C625" t="s">
        <v>8</v>
      </c>
      <c r="D625">
        <v>153.72725986680712</v>
      </c>
    </row>
    <row r="626" spans="1:4" x14ac:dyDescent="0.3">
      <c r="A626" t="s">
        <v>660</v>
      </c>
      <c r="B626" t="s">
        <v>54</v>
      </c>
      <c r="C626" t="s">
        <v>173</v>
      </c>
      <c r="D626">
        <v>141.07877587568666</v>
      </c>
    </row>
    <row r="627" spans="1:4" x14ac:dyDescent="0.3">
      <c r="A627" t="s">
        <v>660</v>
      </c>
      <c r="B627" t="s">
        <v>54</v>
      </c>
      <c r="C627" t="s">
        <v>242</v>
      </c>
      <c r="D627">
        <v>76.208327438953262</v>
      </c>
    </row>
    <row r="628" spans="1:4" x14ac:dyDescent="0.3">
      <c r="A628" t="s">
        <v>660</v>
      </c>
      <c r="B628" t="s">
        <v>54</v>
      </c>
      <c r="C628" t="s">
        <v>286</v>
      </c>
      <c r="D628">
        <v>121.12650539899541</v>
      </c>
    </row>
    <row r="629" spans="1:4" x14ac:dyDescent="0.3">
      <c r="A629" t="s">
        <v>660</v>
      </c>
      <c r="B629" t="s">
        <v>54</v>
      </c>
      <c r="C629" t="s">
        <v>339</v>
      </c>
      <c r="D629">
        <v>67.57348045449244</v>
      </c>
    </row>
    <row r="630" spans="1:4" x14ac:dyDescent="0.3">
      <c r="A630" t="s">
        <v>660</v>
      </c>
      <c r="B630" t="s">
        <v>54</v>
      </c>
      <c r="C630" t="s">
        <v>380</v>
      </c>
      <c r="D630">
        <v>116.41665487790654</v>
      </c>
    </row>
    <row r="631" spans="1:4" x14ac:dyDescent="0.3">
      <c r="A631" t="s">
        <v>660</v>
      </c>
      <c r="B631" t="s">
        <v>54</v>
      </c>
      <c r="C631" t="s">
        <v>605</v>
      </c>
      <c r="D631">
        <v>27.26287546559184</v>
      </c>
    </row>
    <row r="632" spans="1:4" x14ac:dyDescent="0.3">
      <c r="A632" t="s">
        <v>660</v>
      </c>
      <c r="B632" t="s">
        <v>54</v>
      </c>
      <c r="C632" t="s">
        <v>446</v>
      </c>
      <c r="D632">
        <v>53.22878294894273</v>
      </c>
    </row>
    <row r="633" spans="1:4" x14ac:dyDescent="0.3">
      <c r="A633" t="s">
        <v>660</v>
      </c>
      <c r="B633" t="s">
        <v>54</v>
      </c>
      <c r="C633" t="s">
        <v>573</v>
      </c>
      <c r="D633">
        <v>28.26287546559184</v>
      </c>
    </row>
    <row r="634" spans="1:4" x14ac:dyDescent="0.3">
      <c r="A634" t="s">
        <v>660</v>
      </c>
      <c r="B634" t="s">
        <v>170</v>
      </c>
      <c r="C634" t="s">
        <v>516</v>
      </c>
      <c r="D634">
        <v>135.69998585348782</v>
      </c>
    </row>
    <row r="635" spans="1:4" x14ac:dyDescent="0.3">
      <c r="A635" t="s">
        <v>660</v>
      </c>
      <c r="B635" t="s">
        <v>170</v>
      </c>
      <c r="C635" t="s">
        <v>8</v>
      </c>
      <c r="D635">
        <v>38.890903946722844</v>
      </c>
    </row>
    <row r="636" spans="1:4" x14ac:dyDescent="0.3">
      <c r="A636" t="s">
        <v>660</v>
      </c>
      <c r="B636" t="s">
        <v>170</v>
      </c>
      <c r="C636" t="s">
        <v>173</v>
      </c>
      <c r="D636">
        <v>84.215145942283087</v>
      </c>
    </row>
    <row r="637" spans="1:4" x14ac:dyDescent="0.3">
      <c r="A637" t="s">
        <v>660</v>
      </c>
      <c r="B637" t="s">
        <v>170</v>
      </c>
      <c r="C637" t="s">
        <v>242</v>
      </c>
      <c r="D637">
        <v>26.918177960042136</v>
      </c>
    </row>
    <row r="638" spans="1:4" x14ac:dyDescent="0.3">
      <c r="A638" t="s">
        <v>660</v>
      </c>
      <c r="B638" t="s">
        <v>170</v>
      </c>
      <c r="C638" t="s">
        <v>286</v>
      </c>
      <c r="D638">
        <v>47.181053425633976</v>
      </c>
    </row>
    <row r="639" spans="1:4" x14ac:dyDescent="0.3">
      <c r="A639" t="s">
        <v>660</v>
      </c>
      <c r="B639" t="s">
        <v>170</v>
      </c>
      <c r="C639" t="s">
        <v>339</v>
      </c>
      <c r="D639">
        <v>15.60757297114154</v>
      </c>
    </row>
    <row r="640" spans="1:4" x14ac:dyDescent="0.3">
      <c r="A640" t="s">
        <v>660</v>
      </c>
      <c r="B640" t="s">
        <v>170</v>
      </c>
      <c r="C640" t="s">
        <v>380</v>
      </c>
      <c r="D640">
        <v>36.566661951162615</v>
      </c>
    </row>
    <row r="641" spans="1:4" x14ac:dyDescent="0.3">
      <c r="A641" t="s">
        <v>660</v>
      </c>
      <c r="B641" t="s">
        <v>170</v>
      </c>
      <c r="C641" t="s">
        <v>605</v>
      </c>
      <c r="D641">
        <v>12.96590748335089</v>
      </c>
    </row>
    <row r="642" spans="1:4" x14ac:dyDescent="0.3">
      <c r="A642" t="s">
        <v>660</v>
      </c>
      <c r="B642" t="s">
        <v>170</v>
      </c>
      <c r="C642" t="s">
        <v>446</v>
      </c>
      <c r="D642">
        <v>27.600754467811726</v>
      </c>
    </row>
    <row r="643" spans="1:4" x14ac:dyDescent="0.3">
      <c r="A643" t="s">
        <v>660</v>
      </c>
      <c r="B643" t="s">
        <v>170</v>
      </c>
      <c r="C643" t="s">
        <v>573</v>
      </c>
      <c r="D643">
        <v>32.918177960042136</v>
      </c>
    </row>
    <row r="644" spans="1:4" x14ac:dyDescent="0.3">
      <c r="A644" t="s">
        <v>660</v>
      </c>
      <c r="B644" t="s">
        <v>164</v>
      </c>
      <c r="C644" t="s">
        <v>516</v>
      </c>
      <c r="D644">
        <v>877.57870514312583</v>
      </c>
    </row>
    <row r="645" spans="1:4" x14ac:dyDescent="0.3">
      <c r="A645" t="s">
        <v>660</v>
      </c>
      <c r="B645" t="s">
        <v>164</v>
      </c>
      <c r="C645" t="s">
        <v>8</v>
      </c>
      <c r="D645">
        <v>367.31814966701779</v>
      </c>
    </row>
    <row r="646" spans="1:4" x14ac:dyDescent="0.3">
      <c r="A646" t="s">
        <v>660</v>
      </c>
      <c r="B646" t="s">
        <v>164</v>
      </c>
      <c r="C646" t="s">
        <v>173</v>
      </c>
      <c r="D646">
        <v>414.47192907933248</v>
      </c>
    </row>
    <row r="647" spans="1:4" x14ac:dyDescent="0.3">
      <c r="A647" t="s">
        <v>660</v>
      </c>
      <c r="B647" t="s">
        <v>164</v>
      </c>
      <c r="C647" t="s">
        <v>242</v>
      </c>
      <c r="D647">
        <v>173.48179374693356</v>
      </c>
    </row>
    <row r="648" spans="1:4" x14ac:dyDescent="0.3">
      <c r="A648" t="s">
        <v>660</v>
      </c>
      <c r="B648" t="s">
        <v>164</v>
      </c>
      <c r="C648" t="s">
        <v>286</v>
      </c>
      <c r="D648">
        <v>366.44088272695461</v>
      </c>
    </row>
    <row r="649" spans="1:4" x14ac:dyDescent="0.3">
      <c r="A649" t="s">
        <v>660</v>
      </c>
      <c r="B649" t="s">
        <v>164</v>
      </c>
      <c r="C649" t="s">
        <v>339</v>
      </c>
      <c r="D649">
        <v>156.03786485570771</v>
      </c>
    </row>
    <row r="650" spans="1:4" x14ac:dyDescent="0.3">
      <c r="A650" t="s">
        <v>660</v>
      </c>
      <c r="B650" t="s">
        <v>164</v>
      </c>
      <c r="C650" t="s">
        <v>380</v>
      </c>
      <c r="D650">
        <v>376.0075446781172</v>
      </c>
    </row>
    <row r="651" spans="1:4" x14ac:dyDescent="0.3">
      <c r="A651" t="s">
        <v>660</v>
      </c>
      <c r="B651" t="s">
        <v>164</v>
      </c>
      <c r="C651" t="s">
        <v>605</v>
      </c>
      <c r="D651">
        <v>129.72044136347731</v>
      </c>
    </row>
    <row r="652" spans="1:4" x14ac:dyDescent="0.3">
      <c r="A652" t="s">
        <v>660</v>
      </c>
      <c r="B652" t="s">
        <v>164</v>
      </c>
      <c r="C652" t="s">
        <v>446</v>
      </c>
      <c r="D652">
        <v>229.83330975581305</v>
      </c>
    </row>
    <row r="653" spans="1:4" x14ac:dyDescent="0.3">
      <c r="A653" t="s">
        <v>660</v>
      </c>
      <c r="B653" t="s">
        <v>164</v>
      </c>
      <c r="C653" t="s">
        <v>573</v>
      </c>
      <c r="D653">
        <v>116.77498939011588</v>
      </c>
    </row>
    <row r="654" spans="1:4" x14ac:dyDescent="0.3">
      <c r="A654" t="s">
        <v>660</v>
      </c>
      <c r="B654" t="s">
        <v>644</v>
      </c>
      <c r="C654" t="s">
        <v>516</v>
      </c>
      <c r="D654">
        <v>722.25141698329435</v>
      </c>
    </row>
    <row r="655" spans="1:4" x14ac:dyDescent="0.3">
      <c r="A655" t="s">
        <v>660</v>
      </c>
      <c r="B655" t="s">
        <v>644</v>
      </c>
      <c r="C655" t="s">
        <v>8</v>
      </c>
      <c r="D655">
        <v>283.1787334361502</v>
      </c>
    </row>
    <row r="656" spans="1:4" x14ac:dyDescent="0.3">
      <c r="A656" t="s">
        <v>660</v>
      </c>
      <c r="B656" t="s">
        <v>644</v>
      </c>
      <c r="C656" t="s">
        <v>173</v>
      </c>
      <c r="D656">
        <v>315.27114631849645</v>
      </c>
    </row>
    <row r="657" spans="1:4" x14ac:dyDescent="0.3">
      <c r="A657" t="s">
        <v>660</v>
      </c>
      <c r="B657" t="s">
        <v>644</v>
      </c>
      <c r="C657" t="s">
        <v>242</v>
      </c>
      <c r="D657">
        <v>106.5363417735721</v>
      </c>
    </row>
    <row r="658" spans="1:4" x14ac:dyDescent="0.3">
      <c r="A658" t="s">
        <v>660</v>
      </c>
      <c r="B658" t="s">
        <v>644</v>
      </c>
      <c r="C658" t="s">
        <v>286</v>
      </c>
      <c r="D658">
        <v>111.21209977801188</v>
      </c>
    </row>
    <row r="659" spans="1:4" x14ac:dyDescent="0.3">
      <c r="A659" t="s">
        <v>660</v>
      </c>
      <c r="B659" t="s">
        <v>644</v>
      </c>
      <c r="C659" t="s">
        <v>339</v>
      </c>
      <c r="D659">
        <v>16.52575093118368</v>
      </c>
    </row>
    <row r="660" spans="1:4" x14ac:dyDescent="0.3">
      <c r="A660" t="s">
        <v>660</v>
      </c>
      <c r="B660" t="s">
        <v>644</v>
      </c>
      <c r="C660" t="s">
        <v>380</v>
      </c>
      <c r="D660">
        <v>146.35906068699677</v>
      </c>
    </row>
    <row r="661" spans="1:4" x14ac:dyDescent="0.3">
      <c r="A661" t="s">
        <v>660</v>
      </c>
      <c r="B661" t="s">
        <v>644</v>
      </c>
      <c r="C661" t="s">
        <v>605</v>
      </c>
      <c r="D661">
        <v>117.45074739455565</v>
      </c>
    </row>
    <row r="662" spans="1:4" x14ac:dyDescent="0.3">
      <c r="A662" t="s">
        <v>660</v>
      </c>
      <c r="B662" t="s">
        <v>644</v>
      </c>
      <c r="C662" t="s">
        <v>446</v>
      </c>
      <c r="D662">
        <v>152.43029188456617</v>
      </c>
    </row>
    <row r="663" spans="1:4" x14ac:dyDescent="0.3">
      <c r="A663" t="s">
        <v>660</v>
      </c>
      <c r="B663" t="s">
        <v>644</v>
      </c>
      <c r="C663" t="s">
        <v>573</v>
      </c>
      <c r="D663">
        <v>67.208327438953276</v>
      </c>
    </row>
    <row r="664" spans="1:4" x14ac:dyDescent="0.3">
      <c r="A664" t="s">
        <v>660</v>
      </c>
      <c r="B664" t="s">
        <v>643</v>
      </c>
      <c r="C664" t="s">
        <v>516</v>
      </c>
      <c r="D664">
        <v>0</v>
      </c>
    </row>
    <row r="665" spans="1:4" x14ac:dyDescent="0.3">
      <c r="A665" t="s">
        <v>660</v>
      </c>
      <c r="B665" t="s">
        <v>643</v>
      </c>
      <c r="C665" t="s">
        <v>8</v>
      </c>
      <c r="D665">
        <v>0</v>
      </c>
    </row>
    <row r="666" spans="1:4" x14ac:dyDescent="0.3">
      <c r="A666" t="s">
        <v>660</v>
      </c>
      <c r="B666" t="s">
        <v>643</v>
      </c>
      <c r="C666" t="s">
        <v>173</v>
      </c>
      <c r="D666">
        <v>0</v>
      </c>
    </row>
    <row r="667" spans="1:4" x14ac:dyDescent="0.3">
      <c r="A667" t="s">
        <v>660</v>
      </c>
      <c r="B667" t="s">
        <v>643</v>
      </c>
      <c r="C667" t="s">
        <v>242</v>
      </c>
      <c r="D667">
        <v>0</v>
      </c>
    </row>
    <row r="668" spans="1:4" x14ac:dyDescent="0.3">
      <c r="A668" t="s">
        <v>660</v>
      </c>
      <c r="B668" t="s">
        <v>643</v>
      </c>
      <c r="C668" t="s">
        <v>286</v>
      </c>
      <c r="D668">
        <v>0</v>
      </c>
    </row>
    <row r="669" spans="1:4" x14ac:dyDescent="0.3">
      <c r="A669" t="s">
        <v>660</v>
      </c>
      <c r="B669" t="s">
        <v>643</v>
      </c>
      <c r="C669" t="s">
        <v>339</v>
      </c>
      <c r="D669">
        <v>0</v>
      </c>
    </row>
    <row r="670" spans="1:4" x14ac:dyDescent="0.3">
      <c r="A670" t="s">
        <v>660</v>
      </c>
      <c r="B670" t="s">
        <v>643</v>
      </c>
      <c r="C670" t="s">
        <v>380</v>
      </c>
      <c r="D670">
        <v>0</v>
      </c>
    </row>
    <row r="671" spans="1:4" x14ac:dyDescent="0.3">
      <c r="A671" t="s">
        <v>660</v>
      </c>
      <c r="B671" t="s">
        <v>643</v>
      </c>
      <c r="C671" t="s">
        <v>605</v>
      </c>
      <c r="D671">
        <v>0</v>
      </c>
    </row>
    <row r="672" spans="1:4" x14ac:dyDescent="0.3">
      <c r="A672" t="s">
        <v>660</v>
      </c>
      <c r="B672" t="s">
        <v>643</v>
      </c>
      <c r="C672" t="s">
        <v>446</v>
      </c>
      <c r="D672">
        <v>0</v>
      </c>
    </row>
    <row r="673" spans="1:4" x14ac:dyDescent="0.3">
      <c r="A673" t="s">
        <v>660</v>
      </c>
      <c r="B673" t="s">
        <v>643</v>
      </c>
      <c r="C673" t="s">
        <v>573</v>
      </c>
      <c r="D673">
        <v>0</v>
      </c>
    </row>
    <row r="674" spans="1:4" x14ac:dyDescent="0.3">
      <c r="A674" t="s">
        <v>660</v>
      </c>
      <c r="B674" t="s">
        <v>238</v>
      </c>
      <c r="C674" t="s">
        <v>516</v>
      </c>
      <c r="D674">
        <v>102.06891120808561</v>
      </c>
    </row>
    <row r="675" spans="1:4" x14ac:dyDescent="0.3">
      <c r="A675" t="s">
        <v>660</v>
      </c>
      <c r="B675" t="s">
        <v>238</v>
      </c>
      <c r="C675" t="s">
        <v>8</v>
      </c>
      <c r="D675">
        <v>13.621209977801186</v>
      </c>
    </row>
    <row r="676" spans="1:4" x14ac:dyDescent="0.3">
      <c r="A676" t="s">
        <v>660</v>
      </c>
      <c r="B676" t="s">
        <v>238</v>
      </c>
      <c r="C676" t="s">
        <v>173</v>
      </c>
      <c r="D676">
        <v>209.63484698446084</v>
      </c>
    </row>
    <row r="677" spans="1:4" x14ac:dyDescent="0.3">
      <c r="A677" t="s">
        <v>660</v>
      </c>
      <c r="B677" t="s">
        <v>238</v>
      </c>
      <c r="C677" t="s">
        <v>242</v>
      </c>
      <c r="D677">
        <v>1204.7856038100244</v>
      </c>
    </row>
    <row r="678" spans="1:4" x14ac:dyDescent="0.3">
      <c r="A678" t="s">
        <v>660</v>
      </c>
      <c r="B678" t="s">
        <v>238</v>
      </c>
      <c r="C678" t="s">
        <v>286</v>
      </c>
      <c r="D678">
        <v>150.9727259866807</v>
      </c>
    </row>
    <row r="679" spans="1:4" x14ac:dyDescent="0.3">
      <c r="A679" t="s">
        <v>660</v>
      </c>
      <c r="B679" t="s">
        <v>238</v>
      </c>
      <c r="C679" t="s">
        <v>339</v>
      </c>
      <c r="D679">
        <v>31.317423492230414</v>
      </c>
    </row>
    <row r="680" spans="1:4" x14ac:dyDescent="0.3">
      <c r="A680" t="s">
        <v>660</v>
      </c>
      <c r="B680" t="s">
        <v>238</v>
      </c>
      <c r="C680" t="s">
        <v>380</v>
      </c>
      <c r="D680">
        <v>77.593935964481901</v>
      </c>
    </row>
    <row r="681" spans="1:4" x14ac:dyDescent="0.3">
      <c r="A681" t="s">
        <v>660</v>
      </c>
      <c r="B681" t="s">
        <v>238</v>
      </c>
      <c r="C681" t="s">
        <v>605</v>
      </c>
      <c r="D681">
        <v>4.9659074833508905</v>
      </c>
    </row>
    <row r="682" spans="1:4" x14ac:dyDescent="0.3">
      <c r="A682" t="s">
        <v>660</v>
      </c>
      <c r="B682" t="s">
        <v>238</v>
      </c>
      <c r="C682" t="s">
        <v>446</v>
      </c>
      <c r="D682">
        <v>26.890903946722851</v>
      </c>
    </row>
    <row r="683" spans="1:4" x14ac:dyDescent="0.3">
      <c r="A683" t="s">
        <v>660</v>
      </c>
      <c r="B683" t="s">
        <v>238</v>
      </c>
      <c r="C683" t="s">
        <v>573</v>
      </c>
      <c r="D683">
        <v>103.26969396892166</v>
      </c>
    </row>
    <row r="684" spans="1:4" x14ac:dyDescent="0.3">
      <c r="A684" t="s">
        <v>660</v>
      </c>
      <c r="B684" t="s">
        <v>661</v>
      </c>
      <c r="C684" t="s">
        <v>516</v>
      </c>
      <c r="D684">
        <v>3366.135898516191</v>
      </c>
    </row>
    <row r="685" spans="1:4" x14ac:dyDescent="0.3">
      <c r="A685" t="s">
        <v>660</v>
      </c>
      <c r="B685" t="s">
        <v>661</v>
      </c>
      <c r="C685" t="s">
        <v>8</v>
      </c>
      <c r="D685">
        <v>841.8385344444464</v>
      </c>
    </row>
    <row r="686" spans="1:4" x14ac:dyDescent="0.3">
      <c r="A686" t="s">
        <v>660</v>
      </c>
      <c r="B686" t="s">
        <v>661</v>
      </c>
      <c r="C686" t="s">
        <v>173</v>
      </c>
      <c r="D686">
        <v>979.42033290688403</v>
      </c>
    </row>
    <row r="687" spans="1:4" x14ac:dyDescent="0.3">
      <c r="A687" t="s">
        <v>660</v>
      </c>
      <c r="B687" t="s">
        <v>661</v>
      </c>
      <c r="C687" t="s">
        <v>242</v>
      </c>
      <c r="D687">
        <v>488.55749988082874</v>
      </c>
    </row>
    <row r="688" spans="1:4" x14ac:dyDescent="0.3">
      <c r="A688" t="s">
        <v>660</v>
      </c>
      <c r="B688" t="s">
        <v>661</v>
      </c>
      <c r="C688" t="s">
        <v>286</v>
      </c>
      <c r="D688">
        <v>499.91733389765335</v>
      </c>
    </row>
    <row r="689" spans="1:4" x14ac:dyDescent="0.3">
      <c r="A689" t="s">
        <v>660</v>
      </c>
      <c r="B689" t="s">
        <v>661</v>
      </c>
      <c r="C689" t="s">
        <v>339</v>
      </c>
      <c r="D689">
        <v>303.89088036920259</v>
      </c>
    </row>
    <row r="690" spans="1:4" x14ac:dyDescent="0.3">
      <c r="A690" t="s">
        <v>660</v>
      </c>
      <c r="B690" t="s">
        <v>661</v>
      </c>
      <c r="C690" t="s">
        <v>380</v>
      </c>
      <c r="D690">
        <v>382.37647003271502</v>
      </c>
    </row>
    <row r="691" spans="1:4" x14ac:dyDescent="0.3">
      <c r="A691" t="s">
        <v>660</v>
      </c>
      <c r="B691" t="s">
        <v>661</v>
      </c>
      <c r="C691" t="s">
        <v>605</v>
      </c>
      <c r="D691">
        <v>357.31205733847537</v>
      </c>
    </row>
    <row r="692" spans="1:4" x14ac:dyDescent="0.3">
      <c r="A692" t="s">
        <v>660</v>
      </c>
      <c r="B692" t="s">
        <v>661</v>
      </c>
      <c r="C692" t="s">
        <v>446</v>
      </c>
      <c r="D692">
        <v>422.43931248977844</v>
      </c>
    </row>
    <row r="693" spans="1:4" x14ac:dyDescent="0.3">
      <c r="A693" t="s">
        <v>660</v>
      </c>
      <c r="B693" t="s">
        <v>661</v>
      </c>
      <c r="C693" t="s">
        <v>573</v>
      </c>
      <c r="D693">
        <v>134.03179610468558</v>
      </c>
    </row>
    <row r="694" spans="1:4" x14ac:dyDescent="0.3">
      <c r="A694" t="s">
        <v>660</v>
      </c>
      <c r="B694" t="s">
        <v>654</v>
      </c>
      <c r="C694" t="s">
        <v>516</v>
      </c>
      <c r="D694">
        <v>0</v>
      </c>
    </row>
    <row r="695" spans="1:4" x14ac:dyDescent="0.3">
      <c r="A695" t="s">
        <v>660</v>
      </c>
      <c r="B695" t="s">
        <v>654</v>
      </c>
      <c r="C695" t="s">
        <v>8</v>
      </c>
      <c r="D695">
        <v>0</v>
      </c>
    </row>
    <row r="696" spans="1:4" x14ac:dyDescent="0.3">
      <c r="A696" t="s">
        <v>660</v>
      </c>
      <c r="B696" t="s">
        <v>654</v>
      </c>
      <c r="C696" t="s">
        <v>173</v>
      </c>
      <c r="D696">
        <v>0</v>
      </c>
    </row>
    <row r="697" spans="1:4" x14ac:dyDescent="0.3">
      <c r="A697" t="s">
        <v>660</v>
      </c>
      <c r="B697" t="s">
        <v>654</v>
      </c>
      <c r="C697" t="s">
        <v>242</v>
      </c>
      <c r="D697">
        <v>0</v>
      </c>
    </row>
    <row r="698" spans="1:4" x14ac:dyDescent="0.3">
      <c r="A698" t="s">
        <v>660</v>
      </c>
      <c r="B698" t="s">
        <v>654</v>
      </c>
      <c r="C698" t="s">
        <v>286</v>
      </c>
      <c r="D698">
        <v>0</v>
      </c>
    </row>
    <row r="699" spans="1:4" x14ac:dyDescent="0.3">
      <c r="A699" t="s">
        <v>660</v>
      </c>
      <c r="B699" t="s">
        <v>654</v>
      </c>
      <c r="C699" t="s">
        <v>339</v>
      </c>
      <c r="D699">
        <v>0</v>
      </c>
    </row>
    <row r="700" spans="1:4" x14ac:dyDescent="0.3">
      <c r="A700" t="s">
        <v>660</v>
      </c>
      <c r="B700" t="s">
        <v>654</v>
      </c>
      <c r="C700" t="s">
        <v>380</v>
      </c>
      <c r="D700">
        <v>0</v>
      </c>
    </row>
    <row r="701" spans="1:4" x14ac:dyDescent="0.3">
      <c r="A701" t="s">
        <v>660</v>
      </c>
      <c r="B701" t="s">
        <v>654</v>
      </c>
      <c r="C701" t="s">
        <v>605</v>
      </c>
      <c r="D701">
        <v>0</v>
      </c>
    </row>
    <row r="702" spans="1:4" x14ac:dyDescent="0.3">
      <c r="A702" t="s">
        <v>660</v>
      </c>
      <c r="B702" t="s">
        <v>654</v>
      </c>
      <c r="C702" t="s">
        <v>446</v>
      </c>
      <c r="D702">
        <v>0</v>
      </c>
    </row>
    <row r="703" spans="1:4" x14ac:dyDescent="0.3">
      <c r="A703" t="s">
        <v>660</v>
      </c>
      <c r="B703" t="s">
        <v>654</v>
      </c>
      <c r="C703" t="s">
        <v>573</v>
      </c>
      <c r="D703">
        <v>0</v>
      </c>
    </row>
    <row r="704" spans="1:4" x14ac:dyDescent="0.3">
      <c r="A704" t="s">
        <v>660</v>
      </c>
      <c r="B704" t="s">
        <v>655</v>
      </c>
      <c r="C704" t="s">
        <v>516</v>
      </c>
      <c r="D704">
        <v>0</v>
      </c>
    </row>
    <row r="705" spans="1:4" x14ac:dyDescent="0.3">
      <c r="A705" t="s">
        <v>660</v>
      </c>
      <c r="B705" t="s">
        <v>655</v>
      </c>
      <c r="C705" t="s">
        <v>8</v>
      </c>
      <c r="D705">
        <v>0</v>
      </c>
    </row>
    <row r="706" spans="1:4" x14ac:dyDescent="0.3">
      <c r="A706" t="s">
        <v>660</v>
      </c>
      <c r="B706" t="s">
        <v>655</v>
      </c>
      <c r="C706" t="s">
        <v>173</v>
      </c>
      <c r="D706">
        <v>0.33106049889005934</v>
      </c>
    </row>
    <row r="707" spans="1:4" x14ac:dyDescent="0.3">
      <c r="A707" t="s">
        <v>660</v>
      </c>
      <c r="B707" t="s">
        <v>655</v>
      </c>
      <c r="C707" t="s">
        <v>242</v>
      </c>
      <c r="D707">
        <v>0.33106049889005934</v>
      </c>
    </row>
    <row r="708" spans="1:4" x14ac:dyDescent="0.3">
      <c r="A708" t="s">
        <v>660</v>
      </c>
      <c r="B708" t="s">
        <v>655</v>
      </c>
      <c r="C708" t="s">
        <v>286</v>
      </c>
      <c r="D708">
        <v>6.6553024944502965</v>
      </c>
    </row>
    <row r="709" spans="1:4" x14ac:dyDescent="0.3">
      <c r="A709" t="s">
        <v>660</v>
      </c>
      <c r="B709" t="s">
        <v>655</v>
      </c>
      <c r="C709" t="s">
        <v>339</v>
      </c>
      <c r="D709">
        <v>0</v>
      </c>
    </row>
    <row r="710" spans="1:4" x14ac:dyDescent="0.3">
      <c r="A710" t="s">
        <v>660</v>
      </c>
      <c r="B710" t="s">
        <v>655</v>
      </c>
      <c r="C710" t="s">
        <v>380</v>
      </c>
      <c r="D710">
        <v>0.33106049889005934</v>
      </c>
    </row>
    <row r="711" spans="1:4" x14ac:dyDescent="0.3">
      <c r="A711" t="s">
        <v>660</v>
      </c>
      <c r="B711" t="s">
        <v>655</v>
      </c>
      <c r="C711" t="s">
        <v>605</v>
      </c>
      <c r="D711">
        <v>0</v>
      </c>
    </row>
    <row r="712" spans="1:4" x14ac:dyDescent="0.3">
      <c r="A712" t="s">
        <v>660</v>
      </c>
      <c r="B712" t="s">
        <v>655</v>
      </c>
      <c r="C712" t="s">
        <v>446</v>
      </c>
      <c r="D712">
        <v>0</v>
      </c>
    </row>
    <row r="713" spans="1:4" x14ac:dyDescent="0.3">
      <c r="A713" t="s">
        <v>660</v>
      </c>
      <c r="B713" t="s">
        <v>655</v>
      </c>
      <c r="C713" t="s">
        <v>573</v>
      </c>
      <c r="D713">
        <v>0</v>
      </c>
    </row>
    <row r="714" spans="1:4" x14ac:dyDescent="0.3">
      <c r="A714" t="s">
        <v>660</v>
      </c>
      <c r="B714" t="s">
        <v>17</v>
      </c>
      <c r="C714" t="s">
        <v>516</v>
      </c>
      <c r="D714">
        <v>126.89772245005267</v>
      </c>
    </row>
    <row r="715" spans="1:4" x14ac:dyDescent="0.3">
      <c r="A715" t="s">
        <v>660</v>
      </c>
      <c r="B715" t="s">
        <v>17</v>
      </c>
      <c r="C715" t="s">
        <v>8</v>
      </c>
      <c r="D715">
        <v>55.109845805584818</v>
      </c>
    </row>
    <row r="716" spans="1:4" x14ac:dyDescent="0.3">
      <c r="A716" t="s">
        <v>660</v>
      </c>
      <c r="B716" t="s">
        <v>17</v>
      </c>
      <c r="C716" t="s">
        <v>173</v>
      </c>
      <c r="D716">
        <v>104.20832743895326</v>
      </c>
    </row>
    <row r="717" spans="1:4" x14ac:dyDescent="0.3">
      <c r="A717" t="s">
        <v>660</v>
      </c>
      <c r="B717" t="s">
        <v>17</v>
      </c>
      <c r="C717" t="s">
        <v>242</v>
      </c>
      <c r="D717">
        <v>57.317423492230418</v>
      </c>
    </row>
    <row r="718" spans="1:4" x14ac:dyDescent="0.3">
      <c r="A718" t="s">
        <v>660</v>
      </c>
      <c r="B718" t="s">
        <v>17</v>
      </c>
      <c r="C718" t="s">
        <v>286</v>
      </c>
      <c r="D718">
        <v>30.47045315223744</v>
      </c>
    </row>
    <row r="719" spans="1:4" x14ac:dyDescent="0.3">
      <c r="A719" t="s">
        <v>660</v>
      </c>
      <c r="B719" t="s">
        <v>17</v>
      </c>
      <c r="C719" t="s">
        <v>339</v>
      </c>
      <c r="D719">
        <v>9.9795444900105341</v>
      </c>
    </row>
    <row r="720" spans="1:4" x14ac:dyDescent="0.3">
      <c r="A720" t="s">
        <v>660</v>
      </c>
      <c r="B720" t="s">
        <v>17</v>
      </c>
      <c r="C720" t="s">
        <v>380</v>
      </c>
      <c r="D720">
        <v>84.54393360672988</v>
      </c>
    </row>
    <row r="721" spans="1:4" x14ac:dyDescent="0.3">
      <c r="A721" t="s">
        <v>660</v>
      </c>
      <c r="B721" t="s">
        <v>17</v>
      </c>
      <c r="C721" t="s">
        <v>605</v>
      </c>
      <c r="D721">
        <v>19.256056962262019</v>
      </c>
    </row>
    <row r="722" spans="1:4" x14ac:dyDescent="0.3">
      <c r="A722" t="s">
        <v>660</v>
      </c>
      <c r="B722" t="s">
        <v>17</v>
      </c>
      <c r="C722" t="s">
        <v>446</v>
      </c>
      <c r="D722">
        <v>59.751511293375472</v>
      </c>
    </row>
    <row r="723" spans="1:4" x14ac:dyDescent="0.3">
      <c r="A723" t="s">
        <v>660</v>
      </c>
      <c r="B723" t="s">
        <v>17</v>
      </c>
      <c r="C723" t="s">
        <v>573</v>
      </c>
      <c r="D723">
        <v>20.303786485570772</v>
      </c>
    </row>
    <row r="724" spans="1:4" x14ac:dyDescent="0.3">
      <c r="A724" t="s">
        <v>660</v>
      </c>
      <c r="B724" t="s">
        <v>662</v>
      </c>
      <c r="C724" t="s">
        <v>516</v>
      </c>
      <c r="D724">
        <v>0</v>
      </c>
    </row>
    <row r="725" spans="1:4" x14ac:dyDescent="0.3">
      <c r="A725" t="s">
        <v>660</v>
      </c>
      <c r="B725" t="s">
        <v>662</v>
      </c>
      <c r="C725" t="s">
        <v>8</v>
      </c>
      <c r="D725">
        <v>-3900.4654123554251</v>
      </c>
    </row>
    <row r="726" spans="1:4" x14ac:dyDescent="0.3">
      <c r="A726" t="s">
        <v>660</v>
      </c>
      <c r="B726" t="s">
        <v>662</v>
      </c>
      <c r="C726" t="s">
        <v>173</v>
      </c>
      <c r="D726">
        <v>-1572.727844576473</v>
      </c>
    </row>
    <row r="727" spans="1:4" x14ac:dyDescent="0.3">
      <c r="A727" t="s">
        <v>660</v>
      </c>
      <c r="B727" t="s">
        <v>662</v>
      </c>
      <c r="C727" t="s">
        <v>242</v>
      </c>
      <c r="D727">
        <v>-1147.0414957296448</v>
      </c>
    </row>
    <row r="728" spans="1:4" x14ac:dyDescent="0.3">
      <c r="A728" t="s">
        <v>660</v>
      </c>
      <c r="B728" t="s">
        <v>662</v>
      </c>
      <c r="C728" t="s">
        <v>286</v>
      </c>
      <c r="D728">
        <v>-958.83316829069156</v>
      </c>
    </row>
    <row r="729" spans="1:4" x14ac:dyDescent="0.3">
      <c r="A729" t="s">
        <v>660</v>
      </c>
      <c r="B729" t="s">
        <v>662</v>
      </c>
      <c r="C729" t="s">
        <v>339</v>
      </c>
      <c r="D729">
        <v>-2817.3943226229771</v>
      </c>
    </row>
    <row r="730" spans="1:4" x14ac:dyDescent="0.3">
      <c r="A730" t="s">
        <v>660</v>
      </c>
      <c r="B730" t="s">
        <v>662</v>
      </c>
      <c r="C730" t="s">
        <v>380</v>
      </c>
      <c r="D730">
        <v>-1985.6587919032656</v>
      </c>
    </row>
    <row r="731" spans="1:4" x14ac:dyDescent="0.3">
      <c r="A731" t="s">
        <v>660</v>
      </c>
      <c r="B731" t="s">
        <v>662</v>
      </c>
      <c r="C731" t="s">
        <v>605</v>
      </c>
      <c r="D731">
        <v>-2194.8269344970272</v>
      </c>
    </row>
    <row r="732" spans="1:4" x14ac:dyDescent="0.3">
      <c r="A732" t="s">
        <v>660</v>
      </c>
      <c r="B732" t="s">
        <v>662</v>
      </c>
      <c r="C732" t="s">
        <v>446</v>
      </c>
      <c r="D732">
        <v>-389.72189371305205</v>
      </c>
    </row>
    <row r="733" spans="1:4" x14ac:dyDescent="0.3">
      <c r="A733" t="s">
        <v>660</v>
      </c>
      <c r="B733" t="s">
        <v>662</v>
      </c>
      <c r="C733" t="s">
        <v>573</v>
      </c>
      <c r="D733">
        <v>-2172.7564294742451</v>
      </c>
    </row>
    <row r="734" spans="1:4" x14ac:dyDescent="0.3">
      <c r="A734" t="s">
        <v>660</v>
      </c>
      <c r="B734" t="s">
        <v>663</v>
      </c>
      <c r="C734" t="s">
        <v>516</v>
      </c>
      <c r="D734">
        <v>-958.43551657319961</v>
      </c>
    </row>
    <row r="735" spans="1:4" x14ac:dyDescent="0.3">
      <c r="A735" t="s">
        <v>660</v>
      </c>
      <c r="B735" t="s">
        <v>663</v>
      </c>
      <c r="C735" t="s">
        <v>8</v>
      </c>
      <c r="D735">
        <v>-1465.0074032129955</v>
      </c>
    </row>
    <row r="736" spans="1:4" x14ac:dyDescent="0.3">
      <c r="A736" t="s">
        <v>660</v>
      </c>
      <c r="B736" t="s">
        <v>663</v>
      </c>
      <c r="C736" t="s">
        <v>173</v>
      </c>
      <c r="D736">
        <v>-632.14232093001715</v>
      </c>
    </row>
    <row r="737" spans="1:4" x14ac:dyDescent="0.3">
      <c r="A737" t="s">
        <v>660</v>
      </c>
      <c r="B737" t="s">
        <v>663</v>
      </c>
      <c r="C737" t="s">
        <v>242</v>
      </c>
      <c r="D737">
        <v>-779.63775168361042</v>
      </c>
    </row>
    <row r="738" spans="1:4" x14ac:dyDescent="0.3">
      <c r="A738" t="s">
        <v>660</v>
      </c>
      <c r="B738" t="s">
        <v>663</v>
      </c>
      <c r="C738" t="s">
        <v>286</v>
      </c>
      <c r="D738">
        <v>-303.90903946722847</v>
      </c>
    </row>
    <row r="739" spans="1:4" x14ac:dyDescent="0.3">
      <c r="A739" t="s">
        <v>660</v>
      </c>
      <c r="B739" t="s">
        <v>663</v>
      </c>
      <c r="C739" t="s">
        <v>339</v>
      </c>
      <c r="D739">
        <v>-364.22269062040033</v>
      </c>
    </row>
    <row r="740" spans="1:4" x14ac:dyDescent="0.3">
      <c r="A740" t="s">
        <v>660</v>
      </c>
      <c r="B740" t="s">
        <v>663</v>
      </c>
      <c r="C740" t="s">
        <v>380</v>
      </c>
      <c r="D740">
        <v>-91.078775875686645</v>
      </c>
    </row>
    <row r="741" spans="1:4" x14ac:dyDescent="0.3">
      <c r="A741" t="s">
        <v>660</v>
      </c>
      <c r="B741" t="s">
        <v>663</v>
      </c>
      <c r="C741" t="s">
        <v>605</v>
      </c>
      <c r="D741">
        <v>-144.32801433461884</v>
      </c>
    </row>
    <row r="742" spans="1:4" x14ac:dyDescent="0.3">
      <c r="A742" t="s">
        <v>660</v>
      </c>
      <c r="B742" t="s">
        <v>663</v>
      </c>
      <c r="C742" t="s">
        <v>446</v>
      </c>
      <c r="D742">
        <v>-230.16437025470313</v>
      </c>
    </row>
    <row r="743" spans="1:4" x14ac:dyDescent="0.3">
      <c r="A743" t="s">
        <v>660</v>
      </c>
      <c r="B743" t="s">
        <v>663</v>
      </c>
      <c r="C743" t="s">
        <v>573</v>
      </c>
      <c r="D743">
        <v>-250.07268354714421</v>
      </c>
    </row>
    <row r="744" spans="1:4" x14ac:dyDescent="0.3">
      <c r="A744" t="s">
        <v>660</v>
      </c>
      <c r="B744" t="s">
        <v>139</v>
      </c>
      <c r="C744" t="s">
        <v>516</v>
      </c>
      <c r="D744">
        <v>-171.68330268255696</v>
      </c>
    </row>
    <row r="745" spans="1:4" x14ac:dyDescent="0.3">
      <c r="A745" t="s">
        <v>660</v>
      </c>
      <c r="B745" t="s">
        <v>139</v>
      </c>
      <c r="C745" t="s">
        <v>8</v>
      </c>
      <c r="D745">
        <v>-123.25301079799081</v>
      </c>
    </row>
    <row r="746" spans="1:4" x14ac:dyDescent="0.3">
      <c r="A746" t="s">
        <v>660</v>
      </c>
      <c r="B746" t="s">
        <v>139</v>
      </c>
      <c r="C746" t="s">
        <v>173</v>
      </c>
      <c r="D746">
        <v>6.8185033298219233E-3</v>
      </c>
    </row>
    <row r="747" spans="1:4" x14ac:dyDescent="0.3">
      <c r="A747" t="s">
        <v>660</v>
      </c>
      <c r="B747" t="s">
        <v>139</v>
      </c>
      <c r="C747" t="s">
        <v>242</v>
      </c>
      <c r="D747">
        <v>-61.795444900105345</v>
      </c>
    </row>
    <row r="748" spans="1:4" x14ac:dyDescent="0.3">
      <c r="A748" t="s">
        <v>660</v>
      </c>
      <c r="B748" t="s">
        <v>139</v>
      </c>
      <c r="C748" t="s">
        <v>286</v>
      </c>
      <c r="D748">
        <v>-101.38256236125741</v>
      </c>
    </row>
    <row r="749" spans="1:4" x14ac:dyDescent="0.3">
      <c r="A749" t="s">
        <v>660</v>
      </c>
      <c r="B749" t="s">
        <v>139</v>
      </c>
      <c r="C749" t="s">
        <v>339</v>
      </c>
      <c r="D749">
        <v>-1.6553024944502968</v>
      </c>
    </row>
    <row r="750" spans="1:4" x14ac:dyDescent="0.3">
      <c r="A750" t="s">
        <v>660</v>
      </c>
      <c r="B750" t="s">
        <v>139</v>
      </c>
      <c r="C750" t="s">
        <v>380</v>
      </c>
      <c r="D750">
        <v>0</v>
      </c>
    </row>
    <row r="751" spans="1:4" x14ac:dyDescent="0.3">
      <c r="A751" t="s">
        <v>660</v>
      </c>
      <c r="B751" t="s">
        <v>139</v>
      </c>
      <c r="C751" t="s">
        <v>605</v>
      </c>
      <c r="D751">
        <v>-4</v>
      </c>
    </row>
    <row r="752" spans="1:4" x14ac:dyDescent="0.3">
      <c r="A752" t="s">
        <v>660</v>
      </c>
      <c r="B752" t="s">
        <v>139</v>
      </c>
      <c r="C752" t="s">
        <v>446</v>
      </c>
      <c r="D752">
        <v>0</v>
      </c>
    </row>
    <row r="753" spans="1:4" x14ac:dyDescent="0.3">
      <c r="A753" t="s">
        <v>660</v>
      </c>
      <c r="B753" t="s">
        <v>139</v>
      </c>
      <c r="C753" t="s">
        <v>573</v>
      </c>
      <c r="D753">
        <v>-35.269693968921665</v>
      </c>
    </row>
    <row r="754" spans="1:4" x14ac:dyDescent="0.3">
      <c r="A754" t="s">
        <v>660</v>
      </c>
      <c r="B754" t="s">
        <v>81</v>
      </c>
      <c r="C754" t="s">
        <v>516</v>
      </c>
      <c r="D754">
        <v>0</v>
      </c>
    </row>
    <row r="755" spans="1:4" x14ac:dyDescent="0.3">
      <c r="A755" t="s">
        <v>660</v>
      </c>
      <c r="B755" t="s">
        <v>81</v>
      </c>
      <c r="C755" t="s">
        <v>8</v>
      </c>
      <c r="D755">
        <v>-2.655302494450297</v>
      </c>
    </row>
    <row r="756" spans="1:4" x14ac:dyDescent="0.3">
      <c r="A756" t="s">
        <v>660</v>
      </c>
      <c r="B756" t="s">
        <v>81</v>
      </c>
      <c r="C756" t="s">
        <v>173</v>
      </c>
      <c r="D756">
        <v>-8.6416654877906538</v>
      </c>
    </row>
    <row r="757" spans="1:4" x14ac:dyDescent="0.3">
      <c r="A757" t="s">
        <v>660</v>
      </c>
      <c r="B757" t="s">
        <v>81</v>
      </c>
      <c r="C757" t="s">
        <v>242</v>
      </c>
      <c r="D757">
        <v>-0.99318149667017808</v>
      </c>
    </row>
    <row r="758" spans="1:4" x14ac:dyDescent="0.3">
      <c r="A758" t="s">
        <v>660</v>
      </c>
      <c r="B758" t="s">
        <v>81</v>
      </c>
      <c r="C758" t="s">
        <v>286</v>
      </c>
      <c r="D758">
        <v>-2.9795444900105341</v>
      </c>
    </row>
    <row r="759" spans="1:4" x14ac:dyDescent="0.3">
      <c r="A759" t="s">
        <v>660</v>
      </c>
      <c r="B759" t="s">
        <v>81</v>
      </c>
      <c r="C759" t="s">
        <v>339</v>
      </c>
      <c r="D759">
        <v>0</v>
      </c>
    </row>
    <row r="760" spans="1:4" x14ac:dyDescent="0.3">
      <c r="A760" t="s">
        <v>660</v>
      </c>
      <c r="B760" t="s">
        <v>81</v>
      </c>
      <c r="C760" t="s">
        <v>380</v>
      </c>
      <c r="D760">
        <v>-0.66212099778011868</v>
      </c>
    </row>
    <row r="761" spans="1:4" x14ac:dyDescent="0.3">
      <c r="A761" t="s">
        <v>660</v>
      </c>
      <c r="B761" t="s">
        <v>81</v>
      </c>
      <c r="C761" t="s">
        <v>605</v>
      </c>
      <c r="D761">
        <v>-3.3106049889005935</v>
      </c>
    </row>
    <row r="762" spans="1:4" x14ac:dyDescent="0.3">
      <c r="A762" t="s">
        <v>660</v>
      </c>
      <c r="B762" t="s">
        <v>81</v>
      </c>
      <c r="C762" t="s">
        <v>446</v>
      </c>
      <c r="D762">
        <v>0.66212099778011868</v>
      </c>
    </row>
    <row r="763" spans="1:4" x14ac:dyDescent="0.3">
      <c r="A763" t="s">
        <v>660</v>
      </c>
      <c r="B763" t="s">
        <v>81</v>
      </c>
      <c r="C763" t="s">
        <v>573</v>
      </c>
      <c r="D763">
        <v>0</v>
      </c>
    </row>
    <row r="764" spans="1:4" x14ac:dyDescent="0.3">
      <c r="A764" t="s">
        <v>660</v>
      </c>
      <c r="B764" t="s">
        <v>9</v>
      </c>
      <c r="C764" t="s">
        <v>516</v>
      </c>
      <c r="D764">
        <v>-0.33106049889005934</v>
      </c>
    </row>
    <row r="765" spans="1:4" x14ac:dyDescent="0.3">
      <c r="A765" t="s">
        <v>660</v>
      </c>
      <c r="B765" t="s">
        <v>9</v>
      </c>
      <c r="C765" t="s">
        <v>8</v>
      </c>
      <c r="D765">
        <v>-270.47642759317853</v>
      </c>
    </row>
    <row r="766" spans="1:4" x14ac:dyDescent="0.3">
      <c r="A766" t="s">
        <v>660</v>
      </c>
      <c r="B766" t="s">
        <v>9</v>
      </c>
      <c r="C766" t="s">
        <v>173</v>
      </c>
      <c r="D766">
        <v>0</v>
      </c>
    </row>
    <row r="767" spans="1:4" x14ac:dyDescent="0.3">
      <c r="A767" t="s">
        <v>660</v>
      </c>
      <c r="B767" t="s">
        <v>9</v>
      </c>
      <c r="C767" t="s">
        <v>242</v>
      </c>
      <c r="D767">
        <v>0</v>
      </c>
    </row>
    <row r="768" spans="1:4" x14ac:dyDescent="0.3">
      <c r="A768" t="s">
        <v>660</v>
      </c>
      <c r="B768" t="s">
        <v>9</v>
      </c>
      <c r="C768" t="s">
        <v>286</v>
      </c>
      <c r="D768">
        <v>0</v>
      </c>
    </row>
    <row r="769" spans="1:4" x14ac:dyDescent="0.3">
      <c r="A769" t="s">
        <v>660</v>
      </c>
      <c r="B769" t="s">
        <v>9</v>
      </c>
      <c r="C769" t="s">
        <v>339</v>
      </c>
      <c r="D769">
        <v>0</v>
      </c>
    </row>
    <row r="770" spans="1:4" x14ac:dyDescent="0.3">
      <c r="A770" t="s">
        <v>660</v>
      </c>
      <c r="B770" t="s">
        <v>9</v>
      </c>
      <c r="C770" t="s">
        <v>380</v>
      </c>
      <c r="D770">
        <v>0</v>
      </c>
    </row>
    <row r="771" spans="1:4" x14ac:dyDescent="0.3">
      <c r="A771" t="s">
        <v>660</v>
      </c>
      <c r="B771" t="s">
        <v>9</v>
      </c>
      <c r="C771" t="s">
        <v>605</v>
      </c>
      <c r="D771">
        <v>0</v>
      </c>
    </row>
    <row r="772" spans="1:4" x14ac:dyDescent="0.3">
      <c r="A772" t="s">
        <v>660</v>
      </c>
      <c r="B772" t="s">
        <v>9</v>
      </c>
      <c r="C772" t="s">
        <v>446</v>
      </c>
      <c r="D772">
        <v>0</v>
      </c>
    </row>
    <row r="773" spans="1:4" x14ac:dyDescent="0.3">
      <c r="A773" t="s">
        <v>660</v>
      </c>
      <c r="B773" t="s">
        <v>9</v>
      </c>
      <c r="C773" t="s">
        <v>573</v>
      </c>
      <c r="D773">
        <v>-0.33106049889005934</v>
      </c>
    </row>
    <row r="774" spans="1:4" x14ac:dyDescent="0.3">
      <c r="A774" t="s">
        <v>660</v>
      </c>
      <c r="B774" t="s">
        <v>657</v>
      </c>
      <c r="C774" t="s">
        <v>516</v>
      </c>
      <c r="D774">
        <v>0</v>
      </c>
    </row>
    <row r="775" spans="1:4" x14ac:dyDescent="0.3">
      <c r="A775" t="s">
        <v>660</v>
      </c>
      <c r="B775" t="s">
        <v>657</v>
      </c>
      <c r="C775" t="s">
        <v>8</v>
      </c>
      <c r="D775">
        <v>0</v>
      </c>
    </row>
    <row r="776" spans="1:4" x14ac:dyDescent="0.3">
      <c r="A776" t="s">
        <v>660</v>
      </c>
      <c r="B776" t="s">
        <v>657</v>
      </c>
      <c r="C776" t="s">
        <v>173</v>
      </c>
      <c r="D776">
        <v>0</v>
      </c>
    </row>
    <row r="777" spans="1:4" x14ac:dyDescent="0.3">
      <c r="A777" t="s">
        <v>660</v>
      </c>
      <c r="B777" t="s">
        <v>657</v>
      </c>
      <c r="C777" t="s">
        <v>242</v>
      </c>
      <c r="D777">
        <v>0</v>
      </c>
    </row>
    <row r="778" spans="1:4" x14ac:dyDescent="0.3">
      <c r="A778" t="s">
        <v>660</v>
      </c>
      <c r="B778" t="s">
        <v>657</v>
      </c>
      <c r="C778" t="s">
        <v>286</v>
      </c>
      <c r="D778">
        <v>0</v>
      </c>
    </row>
    <row r="779" spans="1:4" x14ac:dyDescent="0.3">
      <c r="A779" t="s">
        <v>660</v>
      </c>
      <c r="B779" t="s">
        <v>657</v>
      </c>
      <c r="C779" t="s">
        <v>339</v>
      </c>
      <c r="D779">
        <v>0</v>
      </c>
    </row>
    <row r="780" spans="1:4" x14ac:dyDescent="0.3">
      <c r="A780" t="s">
        <v>660</v>
      </c>
      <c r="B780" t="s">
        <v>657</v>
      </c>
      <c r="C780" t="s">
        <v>380</v>
      </c>
      <c r="D780">
        <v>0</v>
      </c>
    </row>
    <row r="781" spans="1:4" x14ac:dyDescent="0.3">
      <c r="A781" t="s">
        <v>660</v>
      </c>
      <c r="B781" t="s">
        <v>657</v>
      </c>
      <c r="C781" t="s">
        <v>605</v>
      </c>
      <c r="D781">
        <v>0</v>
      </c>
    </row>
    <row r="782" spans="1:4" x14ac:dyDescent="0.3">
      <c r="A782" t="s">
        <v>660</v>
      </c>
      <c r="B782" t="s">
        <v>657</v>
      </c>
      <c r="C782" t="s">
        <v>446</v>
      </c>
      <c r="D782">
        <v>0</v>
      </c>
    </row>
    <row r="783" spans="1:4" x14ac:dyDescent="0.3">
      <c r="A783" t="s">
        <v>660</v>
      </c>
      <c r="B783" t="s">
        <v>657</v>
      </c>
      <c r="C783" t="s">
        <v>573</v>
      </c>
      <c r="D783">
        <v>0</v>
      </c>
    </row>
    <row r="784" spans="1:4" x14ac:dyDescent="0.3">
      <c r="B784" t="s">
        <v>659</v>
      </c>
      <c r="C784" t="s">
        <v>659</v>
      </c>
    </row>
    <row r="785" spans="1:4" x14ac:dyDescent="0.3">
      <c r="A785" t="s">
        <v>664</v>
      </c>
      <c r="B785" t="s">
        <v>59</v>
      </c>
      <c r="C785" t="s">
        <v>516</v>
      </c>
      <c r="D785">
        <v>3900.4654123554251</v>
      </c>
    </row>
    <row r="786" spans="1:4" x14ac:dyDescent="0.3">
      <c r="A786" t="s">
        <v>664</v>
      </c>
      <c r="B786" t="s">
        <v>59</v>
      </c>
      <c r="C786" t="s">
        <v>8</v>
      </c>
      <c r="D786">
        <v>1572.727844576473</v>
      </c>
    </row>
    <row r="787" spans="1:4" x14ac:dyDescent="0.3">
      <c r="A787" t="s">
        <v>664</v>
      </c>
      <c r="B787" t="s">
        <v>59</v>
      </c>
      <c r="C787" t="s">
        <v>173</v>
      </c>
      <c r="D787">
        <v>1147.0414957296448</v>
      </c>
    </row>
    <row r="788" spans="1:4" x14ac:dyDescent="0.3">
      <c r="A788" t="s">
        <v>664</v>
      </c>
      <c r="B788" t="s">
        <v>59</v>
      </c>
      <c r="C788" t="s">
        <v>242</v>
      </c>
      <c r="D788">
        <v>958.83316829069156</v>
      </c>
    </row>
    <row r="789" spans="1:4" x14ac:dyDescent="0.3">
      <c r="A789" t="s">
        <v>664</v>
      </c>
      <c r="B789" t="s">
        <v>59</v>
      </c>
      <c r="C789" t="s">
        <v>286</v>
      </c>
      <c r="D789">
        <v>2817.3943226229771</v>
      </c>
    </row>
    <row r="790" spans="1:4" x14ac:dyDescent="0.3">
      <c r="A790" t="s">
        <v>664</v>
      </c>
      <c r="B790" t="s">
        <v>59</v>
      </c>
      <c r="C790" t="s">
        <v>339</v>
      </c>
      <c r="D790">
        <v>1985.6587919032656</v>
      </c>
    </row>
    <row r="791" spans="1:4" x14ac:dyDescent="0.3">
      <c r="A791" t="s">
        <v>664</v>
      </c>
      <c r="B791" t="s">
        <v>59</v>
      </c>
      <c r="C791" t="s">
        <v>380</v>
      </c>
      <c r="D791">
        <v>2194.8269344970272</v>
      </c>
    </row>
    <row r="792" spans="1:4" x14ac:dyDescent="0.3">
      <c r="A792" t="s">
        <v>664</v>
      </c>
      <c r="B792" t="s">
        <v>59</v>
      </c>
      <c r="C792" t="s">
        <v>605</v>
      </c>
      <c r="D792">
        <v>389.72189371305205</v>
      </c>
    </row>
    <row r="793" spans="1:4" x14ac:dyDescent="0.3">
      <c r="A793" t="s">
        <v>664</v>
      </c>
      <c r="B793" t="s">
        <v>59</v>
      </c>
      <c r="C793" t="s">
        <v>446</v>
      </c>
      <c r="D793">
        <v>2172.7564294742451</v>
      </c>
    </row>
    <row r="794" spans="1:4" x14ac:dyDescent="0.3">
      <c r="A794" t="s">
        <v>664</v>
      </c>
      <c r="B794" t="s">
        <v>59</v>
      </c>
      <c r="C794" t="s">
        <v>573</v>
      </c>
      <c r="D794">
        <v>965.43551657319961</v>
      </c>
    </row>
    <row r="795" spans="1:4" x14ac:dyDescent="0.3">
      <c r="A795" t="s">
        <v>664</v>
      </c>
      <c r="B795" t="s">
        <v>648</v>
      </c>
      <c r="C795" t="s">
        <v>516</v>
      </c>
      <c r="D795">
        <v>1477.3384637118857</v>
      </c>
    </row>
    <row r="796" spans="1:4" x14ac:dyDescent="0.3">
      <c r="A796" t="s">
        <v>664</v>
      </c>
      <c r="B796" t="s">
        <v>648</v>
      </c>
      <c r="C796" t="s">
        <v>8</v>
      </c>
      <c r="D796">
        <v>642.14232093001715</v>
      </c>
    </row>
    <row r="797" spans="1:4" x14ac:dyDescent="0.3">
      <c r="A797" t="s">
        <v>664</v>
      </c>
      <c r="B797" t="s">
        <v>648</v>
      </c>
      <c r="C797" t="s">
        <v>173</v>
      </c>
      <c r="D797">
        <v>781.63775168361042</v>
      </c>
    </row>
    <row r="798" spans="1:4" x14ac:dyDescent="0.3">
      <c r="A798" t="s">
        <v>664</v>
      </c>
      <c r="B798" t="s">
        <v>648</v>
      </c>
      <c r="C798" t="s">
        <v>242</v>
      </c>
      <c r="D798">
        <v>305.90903946722847</v>
      </c>
    </row>
    <row r="799" spans="1:4" x14ac:dyDescent="0.3">
      <c r="A799" t="s">
        <v>664</v>
      </c>
      <c r="B799" t="s">
        <v>648</v>
      </c>
      <c r="C799" t="s">
        <v>286</v>
      </c>
      <c r="D799">
        <v>368.55375111929038</v>
      </c>
    </row>
    <row r="800" spans="1:4" x14ac:dyDescent="0.3">
      <c r="A800" t="s">
        <v>664</v>
      </c>
      <c r="B800" t="s">
        <v>648</v>
      </c>
      <c r="C800" t="s">
        <v>339</v>
      </c>
      <c r="D800">
        <v>91.078775875686645</v>
      </c>
    </row>
    <row r="801" spans="1:4" x14ac:dyDescent="0.3">
      <c r="A801" t="s">
        <v>664</v>
      </c>
      <c r="B801" t="s">
        <v>648</v>
      </c>
      <c r="C801" t="s">
        <v>380</v>
      </c>
      <c r="D801">
        <v>144.32801433461884</v>
      </c>
    </row>
    <row r="802" spans="1:4" x14ac:dyDescent="0.3">
      <c r="A802" t="s">
        <v>664</v>
      </c>
      <c r="B802" t="s">
        <v>648</v>
      </c>
      <c r="C802" t="s">
        <v>605</v>
      </c>
      <c r="D802">
        <v>230.16437025470313</v>
      </c>
    </row>
    <row r="803" spans="1:4" x14ac:dyDescent="0.3">
      <c r="A803" t="s">
        <v>664</v>
      </c>
      <c r="B803" t="s">
        <v>648</v>
      </c>
      <c r="C803" t="s">
        <v>446</v>
      </c>
      <c r="D803">
        <v>251.07268354714421</v>
      </c>
    </row>
    <row r="804" spans="1:4" x14ac:dyDescent="0.3">
      <c r="A804" t="s">
        <v>664</v>
      </c>
      <c r="B804" t="s">
        <v>648</v>
      </c>
      <c r="C804" t="s">
        <v>573</v>
      </c>
      <c r="D804">
        <v>171.68330268255696</v>
      </c>
    </row>
    <row r="805" spans="1:4" x14ac:dyDescent="0.3">
      <c r="A805" t="s">
        <v>664</v>
      </c>
      <c r="B805" t="s">
        <v>100</v>
      </c>
      <c r="C805" t="s">
        <v>516</v>
      </c>
      <c r="D805">
        <v>123.25301079799081</v>
      </c>
    </row>
    <row r="806" spans="1:4" x14ac:dyDescent="0.3">
      <c r="A806" t="s">
        <v>664</v>
      </c>
      <c r="B806" t="s">
        <v>100</v>
      </c>
      <c r="C806" t="s">
        <v>8</v>
      </c>
      <c r="D806">
        <v>-6.8185033298219233E-3</v>
      </c>
    </row>
    <row r="807" spans="1:4" x14ac:dyDescent="0.3">
      <c r="A807" t="s">
        <v>664</v>
      </c>
      <c r="B807" t="s">
        <v>100</v>
      </c>
      <c r="C807" t="s">
        <v>173</v>
      </c>
      <c r="D807">
        <v>61.795444900105345</v>
      </c>
    </row>
    <row r="808" spans="1:4" x14ac:dyDescent="0.3">
      <c r="A808" t="s">
        <v>664</v>
      </c>
      <c r="B808" t="s">
        <v>100</v>
      </c>
      <c r="C808" t="s">
        <v>242</v>
      </c>
      <c r="D808">
        <v>101.38256236125741</v>
      </c>
    </row>
    <row r="809" spans="1:4" x14ac:dyDescent="0.3">
      <c r="A809" t="s">
        <v>664</v>
      </c>
      <c r="B809" t="s">
        <v>100</v>
      </c>
      <c r="C809" t="s">
        <v>286</v>
      </c>
      <c r="D809">
        <v>1.6553024944502968</v>
      </c>
    </row>
    <row r="810" spans="1:4" x14ac:dyDescent="0.3">
      <c r="A810" t="s">
        <v>664</v>
      </c>
      <c r="B810" t="s">
        <v>100</v>
      </c>
      <c r="C810" t="s">
        <v>339</v>
      </c>
      <c r="D810" t="s">
        <v>649</v>
      </c>
    </row>
    <row r="811" spans="1:4" x14ac:dyDescent="0.3">
      <c r="A811" t="s">
        <v>664</v>
      </c>
      <c r="B811" t="s">
        <v>100</v>
      </c>
      <c r="C811" t="s">
        <v>380</v>
      </c>
      <c r="D811">
        <v>4</v>
      </c>
    </row>
    <row r="812" spans="1:4" x14ac:dyDescent="0.3">
      <c r="A812" t="s">
        <v>664</v>
      </c>
      <c r="B812" t="s">
        <v>100</v>
      </c>
      <c r="C812" t="s">
        <v>605</v>
      </c>
      <c r="D812" t="s">
        <v>649</v>
      </c>
    </row>
    <row r="813" spans="1:4" x14ac:dyDescent="0.3">
      <c r="A813" t="s">
        <v>664</v>
      </c>
      <c r="B813" t="s">
        <v>100</v>
      </c>
      <c r="C813" t="s">
        <v>446</v>
      </c>
      <c r="D813">
        <v>35.269693968921665</v>
      </c>
    </row>
    <row r="814" spans="1:4" x14ac:dyDescent="0.3">
      <c r="A814" t="s">
        <v>664</v>
      </c>
      <c r="B814" t="s">
        <v>100</v>
      </c>
      <c r="C814" t="s">
        <v>573</v>
      </c>
      <c r="D814" t="s">
        <v>649</v>
      </c>
    </row>
    <row r="815" spans="1:4" x14ac:dyDescent="0.3">
      <c r="A815" t="s">
        <v>664</v>
      </c>
      <c r="B815" t="s">
        <v>100</v>
      </c>
      <c r="C815" t="s">
        <v>516</v>
      </c>
      <c r="D815">
        <v>2.655302494450297</v>
      </c>
    </row>
    <row r="816" spans="1:4" x14ac:dyDescent="0.3">
      <c r="A816" t="s">
        <v>664</v>
      </c>
      <c r="B816" t="s">
        <v>100</v>
      </c>
      <c r="C816" t="s">
        <v>8</v>
      </c>
      <c r="D816">
        <v>8.6416654877906538</v>
      </c>
    </row>
    <row r="817" spans="1:4" x14ac:dyDescent="0.3">
      <c r="A817" t="s">
        <v>664</v>
      </c>
      <c r="B817" t="s">
        <v>100</v>
      </c>
      <c r="C817" t="s">
        <v>173</v>
      </c>
      <c r="D817">
        <v>0.99318149667017808</v>
      </c>
    </row>
    <row r="818" spans="1:4" x14ac:dyDescent="0.3">
      <c r="A818" t="s">
        <v>664</v>
      </c>
      <c r="B818" t="s">
        <v>100</v>
      </c>
      <c r="C818" t="s">
        <v>242</v>
      </c>
      <c r="D818">
        <v>2.9795444900105341</v>
      </c>
    </row>
    <row r="819" spans="1:4" x14ac:dyDescent="0.3">
      <c r="A819" t="s">
        <v>664</v>
      </c>
      <c r="B819" t="s">
        <v>100</v>
      </c>
      <c r="C819" t="s">
        <v>286</v>
      </c>
      <c r="D819" t="s">
        <v>649</v>
      </c>
    </row>
    <row r="820" spans="1:4" x14ac:dyDescent="0.3">
      <c r="A820" t="s">
        <v>664</v>
      </c>
      <c r="B820" t="s">
        <v>100</v>
      </c>
      <c r="C820" t="s">
        <v>339</v>
      </c>
      <c r="D820">
        <v>0.66212099778011868</v>
      </c>
    </row>
    <row r="821" spans="1:4" x14ac:dyDescent="0.3">
      <c r="A821" t="s">
        <v>664</v>
      </c>
      <c r="B821" t="s">
        <v>100</v>
      </c>
      <c r="C821" t="s">
        <v>380</v>
      </c>
      <c r="D821">
        <v>3.3106049889005935</v>
      </c>
    </row>
    <row r="822" spans="1:4" x14ac:dyDescent="0.3">
      <c r="A822" t="s">
        <v>664</v>
      </c>
      <c r="B822" t="s">
        <v>100</v>
      </c>
      <c r="C822" t="s">
        <v>605</v>
      </c>
      <c r="D822">
        <v>-0.66212099778011868</v>
      </c>
    </row>
    <row r="823" spans="1:4" x14ac:dyDescent="0.3">
      <c r="A823" t="s">
        <v>664</v>
      </c>
      <c r="B823" t="s">
        <v>100</v>
      </c>
      <c r="C823" t="s">
        <v>446</v>
      </c>
      <c r="D823" t="s">
        <v>649</v>
      </c>
    </row>
    <row r="824" spans="1:4" x14ac:dyDescent="0.3">
      <c r="A824" t="s">
        <v>664</v>
      </c>
      <c r="B824" t="s">
        <v>100</v>
      </c>
      <c r="C824" t="s">
        <v>573</v>
      </c>
      <c r="D824">
        <v>0.33106049889005934</v>
      </c>
    </row>
    <row r="825" spans="1:4" x14ac:dyDescent="0.3">
      <c r="A825" t="s">
        <v>664</v>
      </c>
      <c r="B825" t="s">
        <v>168</v>
      </c>
      <c r="C825" t="s">
        <v>516</v>
      </c>
      <c r="D825">
        <v>270.47642759317853</v>
      </c>
    </row>
    <row r="826" spans="1:4" x14ac:dyDescent="0.3">
      <c r="A826" t="s">
        <v>664</v>
      </c>
      <c r="B826" t="s">
        <v>168</v>
      </c>
      <c r="C826" t="s">
        <v>8</v>
      </c>
      <c r="D826" t="s">
        <v>649</v>
      </c>
    </row>
    <row r="827" spans="1:4" x14ac:dyDescent="0.3">
      <c r="A827" t="s">
        <v>664</v>
      </c>
      <c r="B827" t="s">
        <v>168</v>
      </c>
      <c r="C827" t="s">
        <v>173</v>
      </c>
      <c r="D827" t="s">
        <v>649</v>
      </c>
    </row>
    <row r="828" spans="1:4" x14ac:dyDescent="0.3">
      <c r="A828" t="s">
        <v>664</v>
      </c>
      <c r="B828" t="s">
        <v>168</v>
      </c>
      <c r="C828" t="s">
        <v>242</v>
      </c>
      <c r="D828" t="s">
        <v>649</v>
      </c>
    </row>
    <row r="829" spans="1:4" x14ac:dyDescent="0.3">
      <c r="A829" t="s">
        <v>664</v>
      </c>
      <c r="B829" t="s">
        <v>168</v>
      </c>
      <c r="C829" t="s">
        <v>286</v>
      </c>
      <c r="D829" t="s">
        <v>649</v>
      </c>
    </row>
    <row r="830" spans="1:4" x14ac:dyDescent="0.3">
      <c r="A830" t="s">
        <v>664</v>
      </c>
      <c r="B830" t="s">
        <v>168</v>
      </c>
      <c r="C830" t="s">
        <v>339</v>
      </c>
      <c r="D830" t="s">
        <v>649</v>
      </c>
    </row>
    <row r="831" spans="1:4" x14ac:dyDescent="0.3">
      <c r="A831" t="s">
        <v>664</v>
      </c>
      <c r="B831" t="s">
        <v>168</v>
      </c>
      <c r="C831" t="s">
        <v>380</v>
      </c>
      <c r="D831" t="s">
        <v>649</v>
      </c>
    </row>
    <row r="832" spans="1:4" x14ac:dyDescent="0.3">
      <c r="A832" t="s">
        <v>664</v>
      </c>
      <c r="B832" t="s">
        <v>168</v>
      </c>
      <c r="C832" t="s">
        <v>605</v>
      </c>
      <c r="D832" t="s">
        <v>649</v>
      </c>
    </row>
    <row r="833" spans="1:4" x14ac:dyDescent="0.3">
      <c r="A833" t="s">
        <v>664</v>
      </c>
      <c r="B833" t="s">
        <v>168</v>
      </c>
      <c r="C833" t="s">
        <v>446</v>
      </c>
      <c r="D833">
        <v>0.33106049889005934</v>
      </c>
    </row>
    <row r="834" spans="1:4" x14ac:dyDescent="0.3">
      <c r="A834" t="s">
        <v>664</v>
      </c>
      <c r="B834" t="s">
        <v>168</v>
      </c>
      <c r="C834" t="s">
        <v>573</v>
      </c>
      <c r="D834" t="s">
        <v>649</v>
      </c>
    </row>
    <row r="835" spans="1:4" x14ac:dyDescent="0.3">
      <c r="A835" t="s">
        <v>664</v>
      </c>
      <c r="B835" t="s">
        <v>650</v>
      </c>
      <c r="C835" t="s">
        <v>516</v>
      </c>
      <c r="D835" t="s">
        <v>649</v>
      </c>
    </row>
    <row r="836" spans="1:4" x14ac:dyDescent="0.3">
      <c r="A836" t="s">
        <v>664</v>
      </c>
      <c r="B836" t="s">
        <v>650</v>
      </c>
      <c r="C836" t="s">
        <v>8</v>
      </c>
      <c r="D836" t="s">
        <v>649</v>
      </c>
    </row>
    <row r="837" spans="1:4" x14ac:dyDescent="0.3">
      <c r="A837" t="s">
        <v>664</v>
      </c>
      <c r="B837" t="s">
        <v>650</v>
      </c>
      <c r="C837" t="s">
        <v>173</v>
      </c>
      <c r="D837" t="s">
        <v>649</v>
      </c>
    </row>
    <row r="838" spans="1:4" x14ac:dyDescent="0.3">
      <c r="A838" t="s">
        <v>664</v>
      </c>
      <c r="B838" t="s">
        <v>650</v>
      </c>
      <c r="C838" t="s">
        <v>242</v>
      </c>
      <c r="D838" t="s">
        <v>649</v>
      </c>
    </row>
    <row r="839" spans="1:4" x14ac:dyDescent="0.3">
      <c r="A839" t="s">
        <v>664</v>
      </c>
      <c r="B839" t="s">
        <v>650</v>
      </c>
      <c r="C839" t="s">
        <v>286</v>
      </c>
      <c r="D839" t="s">
        <v>649</v>
      </c>
    </row>
    <row r="840" spans="1:4" x14ac:dyDescent="0.3">
      <c r="A840" t="s">
        <v>664</v>
      </c>
      <c r="B840" t="s">
        <v>650</v>
      </c>
      <c r="C840" t="s">
        <v>339</v>
      </c>
      <c r="D840" t="s">
        <v>649</v>
      </c>
    </row>
    <row r="841" spans="1:4" x14ac:dyDescent="0.3">
      <c r="A841" t="s">
        <v>664</v>
      </c>
      <c r="B841" t="s">
        <v>650</v>
      </c>
      <c r="C841" t="s">
        <v>380</v>
      </c>
      <c r="D841" t="s">
        <v>649</v>
      </c>
    </row>
    <row r="842" spans="1:4" x14ac:dyDescent="0.3">
      <c r="A842" t="s">
        <v>664</v>
      </c>
      <c r="B842" t="s">
        <v>650</v>
      </c>
      <c r="C842" t="s">
        <v>605</v>
      </c>
      <c r="D842" t="s">
        <v>649</v>
      </c>
    </row>
    <row r="843" spans="1:4" x14ac:dyDescent="0.3">
      <c r="A843" t="s">
        <v>664</v>
      </c>
      <c r="B843" t="s">
        <v>650</v>
      </c>
      <c r="C843" t="s">
        <v>446</v>
      </c>
      <c r="D843" t="s">
        <v>649</v>
      </c>
    </row>
    <row r="844" spans="1:4" x14ac:dyDescent="0.3">
      <c r="A844" t="s">
        <v>664</v>
      </c>
      <c r="B844" t="s">
        <v>650</v>
      </c>
      <c r="C844" t="s">
        <v>573</v>
      </c>
      <c r="D844" t="s">
        <v>649</v>
      </c>
    </row>
    <row r="845" spans="1:4" x14ac:dyDescent="0.3">
      <c r="A845" t="s">
        <v>664</v>
      </c>
      <c r="B845" t="s">
        <v>651</v>
      </c>
      <c r="C845" t="s">
        <v>516</v>
      </c>
      <c r="D845" t="s">
        <v>649</v>
      </c>
    </row>
    <row r="846" spans="1:4" x14ac:dyDescent="0.3">
      <c r="A846" t="s">
        <v>664</v>
      </c>
      <c r="B846" t="s">
        <v>651</v>
      </c>
      <c r="C846" t="s">
        <v>8</v>
      </c>
      <c r="D846" t="s">
        <v>649</v>
      </c>
    </row>
    <row r="847" spans="1:4" x14ac:dyDescent="0.3">
      <c r="A847" t="s">
        <v>664</v>
      </c>
      <c r="B847" t="s">
        <v>651</v>
      </c>
      <c r="C847" t="s">
        <v>173</v>
      </c>
      <c r="D847" t="s">
        <v>649</v>
      </c>
    </row>
    <row r="848" spans="1:4" x14ac:dyDescent="0.3">
      <c r="A848" t="s">
        <v>664</v>
      </c>
      <c r="B848" t="s">
        <v>651</v>
      </c>
      <c r="C848" t="s">
        <v>242</v>
      </c>
      <c r="D848" t="s">
        <v>649</v>
      </c>
    </row>
    <row r="849" spans="1:4" x14ac:dyDescent="0.3">
      <c r="A849" t="s">
        <v>664</v>
      </c>
      <c r="B849" t="s">
        <v>651</v>
      </c>
      <c r="C849" t="s">
        <v>286</v>
      </c>
      <c r="D849" t="s">
        <v>649</v>
      </c>
    </row>
    <row r="850" spans="1:4" x14ac:dyDescent="0.3">
      <c r="A850" t="s">
        <v>664</v>
      </c>
      <c r="B850" t="s">
        <v>651</v>
      </c>
      <c r="C850" t="s">
        <v>339</v>
      </c>
      <c r="D850" t="s">
        <v>649</v>
      </c>
    </row>
    <row r="851" spans="1:4" x14ac:dyDescent="0.3">
      <c r="A851" t="s">
        <v>664</v>
      </c>
      <c r="B851" t="s">
        <v>651</v>
      </c>
      <c r="C851" t="s">
        <v>380</v>
      </c>
      <c r="D851" t="s">
        <v>649</v>
      </c>
    </row>
    <row r="852" spans="1:4" x14ac:dyDescent="0.3">
      <c r="A852" t="s">
        <v>664</v>
      </c>
      <c r="B852" t="s">
        <v>651</v>
      </c>
      <c r="C852" t="s">
        <v>605</v>
      </c>
      <c r="D852" t="s">
        <v>649</v>
      </c>
    </row>
    <row r="853" spans="1:4" x14ac:dyDescent="0.3">
      <c r="A853" t="s">
        <v>664</v>
      </c>
      <c r="B853" t="s">
        <v>651</v>
      </c>
      <c r="C853" t="s">
        <v>446</v>
      </c>
      <c r="D853" t="s">
        <v>649</v>
      </c>
    </row>
    <row r="854" spans="1:4" x14ac:dyDescent="0.3">
      <c r="A854" t="s">
        <v>664</v>
      </c>
      <c r="B854" t="s">
        <v>651</v>
      </c>
      <c r="C854" t="s">
        <v>573</v>
      </c>
      <c r="D854" t="s">
        <v>649</v>
      </c>
    </row>
    <row r="855" spans="1:4" x14ac:dyDescent="0.3">
      <c r="A855" t="s">
        <v>664</v>
      </c>
      <c r="B855" t="s">
        <v>652</v>
      </c>
      <c r="C855" t="s">
        <v>516</v>
      </c>
      <c r="D855" t="s">
        <v>649</v>
      </c>
    </row>
    <row r="856" spans="1:4" x14ac:dyDescent="0.3">
      <c r="A856" t="s">
        <v>664</v>
      </c>
      <c r="B856" t="s">
        <v>652</v>
      </c>
      <c r="C856" t="s">
        <v>8</v>
      </c>
      <c r="D856" t="s">
        <v>649</v>
      </c>
    </row>
    <row r="857" spans="1:4" x14ac:dyDescent="0.3">
      <c r="A857" t="s">
        <v>664</v>
      </c>
      <c r="B857" t="s">
        <v>652</v>
      </c>
      <c r="C857" t="s">
        <v>173</v>
      </c>
      <c r="D857" t="s">
        <v>649</v>
      </c>
    </row>
    <row r="858" spans="1:4" x14ac:dyDescent="0.3">
      <c r="A858" t="s">
        <v>664</v>
      </c>
      <c r="B858" t="s">
        <v>652</v>
      </c>
      <c r="C858" t="s">
        <v>242</v>
      </c>
      <c r="D858" t="s">
        <v>649</v>
      </c>
    </row>
    <row r="859" spans="1:4" x14ac:dyDescent="0.3">
      <c r="A859" t="s">
        <v>664</v>
      </c>
      <c r="B859" t="s">
        <v>652</v>
      </c>
      <c r="C859" t="s">
        <v>286</v>
      </c>
      <c r="D859" t="s">
        <v>649</v>
      </c>
    </row>
    <row r="860" spans="1:4" x14ac:dyDescent="0.3">
      <c r="A860" t="s">
        <v>664</v>
      </c>
      <c r="B860" t="s">
        <v>652</v>
      </c>
      <c r="C860" t="s">
        <v>339</v>
      </c>
      <c r="D860" t="s">
        <v>649</v>
      </c>
    </row>
    <row r="861" spans="1:4" x14ac:dyDescent="0.3">
      <c r="A861" t="s">
        <v>664</v>
      </c>
      <c r="B861" t="s">
        <v>652</v>
      </c>
      <c r="C861" t="s">
        <v>380</v>
      </c>
      <c r="D861" t="s">
        <v>649</v>
      </c>
    </row>
    <row r="862" spans="1:4" x14ac:dyDescent="0.3">
      <c r="A862" t="s">
        <v>664</v>
      </c>
      <c r="B862" t="s">
        <v>652</v>
      </c>
      <c r="C862" t="s">
        <v>605</v>
      </c>
      <c r="D862" t="s">
        <v>649</v>
      </c>
    </row>
    <row r="863" spans="1:4" x14ac:dyDescent="0.3">
      <c r="A863" t="s">
        <v>664</v>
      </c>
      <c r="B863" t="s">
        <v>652</v>
      </c>
      <c r="C863" t="s">
        <v>446</v>
      </c>
      <c r="D863" t="s">
        <v>649</v>
      </c>
    </row>
    <row r="864" spans="1:4" x14ac:dyDescent="0.3">
      <c r="A864" t="s">
        <v>664</v>
      </c>
      <c r="B864" t="s">
        <v>652</v>
      </c>
      <c r="C864" t="s">
        <v>573</v>
      </c>
      <c r="D864" t="s">
        <v>649</v>
      </c>
    </row>
    <row r="865" spans="1:4" x14ac:dyDescent="0.3">
      <c r="A865" t="s">
        <v>664</v>
      </c>
      <c r="B865" t="s">
        <v>643</v>
      </c>
      <c r="C865" t="s">
        <v>516</v>
      </c>
      <c r="D865">
        <v>158.78862639677553</v>
      </c>
    </row>
    <row r="866" spans="1:4" x14ac:dyDescent="0.3">
      <c r="A866" t="s">
        <v>664</v>
      </c>
      <c r="B866" t="s">
        <v>643</v>
      </c>
      <c r="C866" t="s">
        <v>8</v>
      </c>
      <c r="D866">
        <v>71.221964445612912</v>
      </c>
    </row>
    <row r="867" spans="1:4" x14ac:dyDescent="0.3">
      <c r="A867" t="s">
        <v>664</v>
      </c>
      <c r="B867" t="s">
        <v>643</v>
      </c>
      <c r="C867" t="s">
        <v>173</v>
      </c>
      <c r="D867">
        <v>70.532569434513505</v>
      </c>
    </row>
    <row r="868" spans="1:4" x14ac:dyDescent="0.3">
      <c r="A868" t="s">
        <v>664</v>
      </c>
      <c r="B868" t="s">
        <v>643</v>
      </c>
      <c r="C868" t="s">
        <v>242</v>
      </c>
      <c r="D868">
        <v>29.587117461152076</v>
      </c>
    </row>
    <row r="869" spans="1:4" x14ac:dyDescent="0.3">
      <c r="A869" t="s">
        <v>664</v>
      </c>
      <c r="B869" t="s">
        <v>643</v>
      </c>
      <c r="C869" t="s">
        <v>286</v>
      </c>
      <c r="D869">
        <v>66.52575093118368</v>
      </c>
    </row>
    <row r="870" spans="1:4" x14ac:dyDescent="0.3">
      <c r="A870" t="s">
        <v>664</v>
      </c>
      <c r="B870" t="s">
        <v>643</v>
      </c>
      <c r="C870" t="s">
        <v>339</v>
      </c>
      <c r="D870">
        <v>41.600754467811718</v>
      </c>
    </row>
    <row r="871" spans="1:4" x14ac:dyDescent="0.3">
      <c r="A871" t="s">
        <v>664</v>
      </c>
      <c r="B871" t="s">
        <v>643</v>
      </c>
      <c r="C871" t="s">
        <v>380</v>
      </c>
      <c r="D871">
        <v>63.566661951162608</v>
      </c>
    </row>
    <row r="872" spans="1:4" x14ac:dyDescent="0.3">
      <c r="A872" t="s">
        <v>664</v>
      </c>
      <c r="B872" t="s">
        <v>643</v>
      </c>
      <c r="C872" t="s">
        <v>605</v>
      </c>
      <c r="D872">
        <v>25.634846984460829</v>
      </c>
    </row>
    <row r="873" spans="1:4" x14ac:dyDescent="0.3">
      <c r="A873" t="s">
        <v>664</v>
      </c>
      <c r="B873" t="s">
        <v>643</v>
      </c>
      <c r="C873" t="s">
        <v>446</v>
      </c>
      <c r="D873">
        <v>39.952270476691247</v>
      </c>
    </row>
    <row r="874" spans="1:4" x14ac:dyDescent="0.3">
      <c r="A874" t="s">
        <v>664</v>
      </c>
      <c r="B874" t="s">
        <v>643</v>
      </c>
      <c r="C874" t="s">
        <v>573</v>
      </c>
      <c r="D874">
        <v>26.959088980021072</v>
      </c>
    </row>
    <row r="875" spans="1:4" x14ac:dyDescent="0.3">
      <c r="A875" t="s">
        <v>664</v>
      </c>
      <c r="B875" t="s">
        <v>643</v>
      </c>
      <c r="C875" t="s">
        <v>516</v>
      </c>
      <c r="D875" t="s">
        <v>649</v>
      </c>
    </row>
    <row r="876" spans="1:4" x14ac:dyDescent="0.3">
      <c r="A876" t="s">
        <v>664</v>
      </c>
      <c r="B876" t="s">
        <v>643</v>
      </c>
      <c r="C876" t="s">
        <v>8</v>
      </c>
      <c r="D876">
        <v>3</v>
      </c>
    </row>
    <row r="877" spans="1:4" x14ac:dyDescent="0.3">
      <c r="A877" t="s">
        <v>664</v>
      </c>
      <c r="B877" t="s">
        <v>643</v>
      </c>
      <c r="C877" t="s">
        <v>173</v>
      </c>
      <c r="D877" t="s">
        <v>649</v>
      </c>
    </row>
    <row r="878" spans="1:4" x14ac:dyDescent="0.3">
      <c r="A878" t="s">
        <v>664</v>
      </c>
      <c r="B878" t="s">
        <v>643</v>
      </c>
      <c r="C878" t="s">
        <v>242</v>
      </c>
      <c r="D878">
        <v>1</v>
      </c>
    </row>
    <row r="879" spans="1:4" x14ac:dyDescent="0.3">
      <c r="A879" t="s">
        <v>664</v>
      </c>
      <c r="B879" t="s">
        <v>643</v>
      </c>
      <c r="C879" t="s">
        <v>286</v>
      </c>
      <c r="D879">
        <v>3</v>
      </c>
    </row>
    <row r="880" spans="1:4" x14ac:dyDescent="0.3">
      <c r="A880" t="s">
        <v>664</v>
      </c>
      <c r="B880" t="s">
        <v>643</v>
      </c>
      <c r="C880" t="s">
        <v>339</v>
      </c>
      <c r="D880" t="s">
        <v>649</v>
      </c>
    </row>
    <row r="881" spans="1:4" x14ac:dyDescent="0.3">
      <c r="A881" t="s">
        <v>664</v>
      </c>
      <c r="B881" t="s">
        <v>643</v>
      </c>
      <c r="C881" t="s">
        <v>380</v>
      </c>
      <c r="D881">
        <v>1</v>
      </c>
    </row>
    <row r="882" spans="1:4" x14ac:dyDescent="0.3">
      <c r="A882" t="s">
        <v>664</v>
      </c>
      <c r="B882" t="s">
        <v>643</v>
      </c>
      <c r="C882" t="s">
        <v>605</v>
      </c>
      <c r="D882" t="s">
        <v>649</v>
      </c>
    </row>
    <row r="883" spans="1:4" x14ac:dyDescent="0.3">
      <c r="A883" t="s">
        <v>664</v>
      </c>
      <c r="B883" t="s">
        <v>643</v>
      </c>
      <c r="C883" t="s">
        <v>446</v>
      </c>
      <c r="D883" t="s">
        <v>649</v>
      </c>
    </row>
    <row r="884" spans="1:4" x14ac:dyDescent="0.3">
      <c r="A884" t="s">
        <v>664</v>
      </c>
      <c r="B884" t="s">
        <v>643</v>
      </c>
      <c r="C884" t="s">
        <v>573</v>
      </c>
      <c r="D884" t="s">
        <v>649</v>
      </c>
    </row>
    <row r="885" spans="1:4" x14ac:dyDescent="0.3">
      <c r="A885" t="s">
        <v>664</v>
      </c>
      <c r="B885" t="s">
        <v>54</v>
      </c>
      <c r="C885" t="s">
        <v>516</v>
      </c>
      <c r="D885">
        <v>433.61511764925876</v>
      </c>
    </row>
    <row r="886" spans="1:4" x14ac:dyDescent="0.3">
      <c r="A886" t="s">
        <v>664</v>
      </c>
      <c r="B886" t="s">
        <v>54</v>
      </c>
      <c r="C886" t="s">
        <v>8</v>
      </c>
      <c r="D886">
        <v>153.72725986680712</v>
      </c>
    </row>
    <row r="887" spans="1:4" x14ac:dyDescent="0.3">
      <c r="A887" t="s">
        <v>664</v>
      </c>
      <c r="B887" t="s">
        <v>54</v>
      </c>
      <c r="C887" t="s">
        <v>173</v>
      </c>
      <c r="D887">
        <v>141.07877587568666</v>
      </c>
    </row>
    <row r="888" spans="1:4" x14ac:dyDescent="0.3">
      <c r="A888" t="s">
        <v>664</v>
      </c>
      <c r="B888" t="s">
        <v>54</v>
      </c>
      <c r="C888" t="s">
        <v>242</v>
      </c>
      <c r="D888">
        <v>76.208327438953262</v>
      </c>
    </row>
    <row r="889" spans="1:4" x14ac:dyDescent="0.3">
      <c r="A889" t="s">
        <v>664</v>
      </c>
      <c r="B889" t="s">
        <v>54</v>
      </c>
      <c r="C889" t="s">
        <v>286</v>
      </c>
      <c r="D889">
        <v>121.12650539899541</v>
      </c>
    </row>
    <row r="890" spans="1:4" x14ac:dyDescent="0.3">
      <c r="A890" t="s">
        <v>664</v>
      </c>
      <c r="B890" t="s">
        <v>54</v>
      </c>
      <c r="C890" t="s">
        <v>339</v>
      </c>
      <c r="D890">
        <v>67.57348045449244</v>
      </c>
    </row>
    <row r="891" spans="1:4" x14ac:dyDescent="0.3">
      <c r="A891" t="s">
        <v>664</v>
      </c>
      <c r="B891" t="s">
        <v>54</v>
      </c>
      <c r="C891" t="s">
        <v>380</v>
      </c>
      <c r="D891">
        <v>116.41665487790654</v>
      </c>
    </row>
    <row r="892" spans="1:4" x14ac:dyDescent="0.3">
      <c r="A892" t="s">
        <v>664</v>
      </c>
      <c r="B892" t="s">
        <v>54</v>
      </c>
      <c r="C892" t="s">
        <v>605</v>
      </c>
      <c r="D892">
        <v>27.26287546559184</v>
      </c>
    </row>
    <row r="893" spans="1:4" x14ac:dyDescent="0.3">
      <c r="A893" t="s">
        <v>664</v>
      </c>
      <c r="B893" t="s">
        <v>54</v>
      </c>
      <c r="C893" t="s">
        <v>446</v>
      </c>
      <c r="D893">
        <v>53.22878294894273</v>
      </c>
    </row>
    <row r="894" spans="1:4" x14ac:dyDescent="0.3">
      <c r="A894" t="s">
        <v>664</v>
      </c>
      <c r="B894" t="s">
        <v>54</v>
      </c>
      <c r="C894" t="s">
        <v>573</v>
      </c>
      <c r="D894">
        <v>28.26287546559184</v>
      </c>
    </row>
    <row r="895" spans="1:4" x14ac:dyDescent="0.3">
      <c r="A895" t="s">
        <v>664</v>
      </c>
      <c r="B895" t="s">
        <v>170</v>
      </c>
      <c r="C895" t="s">
        <v>516</v>
      </c>
      <c r="D895">
        <v>135.69998585348782</v>
      </c>
    </row>
    <row r="896" spans="1:4" x14ac:dyDescent="0.3">
      <c r="A896" t="s">
        <v>664</v>
      </c>
      <c r="B896" t="s">
        <v>170</v>
      </c>
      <c r="C896" t="s">
        <v>8</v>
      </c>
      <c r="D896">
        <v>38.890903946722844</v>
      </c>
    </row>
    <row r="897" spans="1:4" x14ac:dyDescent="0.3">
      <c r="A897" t="s">
        <v>664</v>
      </c>
      <c r="B897" t="s">
        <v>170</v>
      </c>
      <c r="C897" t="s">
        <v>173</v>
      </c>
      <c r="D897">
        <v>84.215145942283087</v>
      </c>
    </row>
    <row r="898" spans="1:4" x14ac:dyDescent="0.3">
      <c r="A898" t="s">
        <v>664</v>
      </c>
      <c r="B898" t="s">
        <v>170</v>
      </c>
      <c r="C898" t="s">
        <v>242</v>
      </c>
      <c r="D898">
        <v>26.918177960042136</v>
      </c>
    </row>
    <row r="899" spans="1:4" x14ac:dyDescent="0.3">
      <c r="A899" t="s">
        <v>664</v>
      </c>
      <c r="B899" t="s">
        <v>170</v>
      </c>
      <c r="C899" t="s">
        <v>286</v>
      </c>
      <c r="D899">
        <v>47.181053425633976</v>
      </c>
    </row>
    <row r="900" spans="1:4" x14ac:dyDescent="0.3">
      <c r="A900" t="s">
        <v>664</v>
      </c>
      <c r="B900" t="s">
        <v>170</v>
      </c>
      <c r="C900" t="s">
        <v>339</v>
      </c>
      <c r="D900">
        <v>15.60757297114154</v>
      </c>
    </row>
    <row r="901" spans="1:4" x14ac:dyDescent="0.3">
      <c r="A901" t="s">
        <v>664</v>
      </c>
      <c r="B901" t="s">
        <v>170</v>
      </c>
      <c r="C901" t="s">
        <v>380</v>
      </c>
      <c r="D901">
        <v>36.566661951162615</v>
      </c>
    </row>
    <row r="902" spans="1:4" x14ac:dyDescent="0.3">
      <c r="A902" t="s">
        <v>664</v>
      </c>
      <c r="B902" t="s">
        <v>170</v>
      </c>
      <c r="C902" t="s">
        <v>605</v>
      </c>
      <c r="D902">
        <v>12.96590748335089</v>
      </c>
    </row>
    <row r="903" spans="1:4" x14ac:dyDescent="0.3">
      <c r="A903" t="s">
        <v>664</v>
      </c>
      <c r="B903" t="s">
        <v>170</v>
      </c>
      <c r="C903" t="s">
        <v>446</v>
      </c>
      <c r="D903">
        <v>27.600754467811726</v>
      </c>
    </row>
    <row r="904" spans="1:4" x14ac:dyDescent="0.3">
      <c r="A904" t="s">
        <v>664</v>
      </c>
      <c r="B904" t="s">
        <v>170</v>
      </c>
      <c r="C904" t="s">
        <v>573</v>
      </c>
      <c r="D904">
        <v>32.918177960042136</v>
      </c>
    </row>
    <row r="905" spans="1:4" x14ac:dyDescent="0.3">
      <c r="A905" t="s">
        <v>664</v>
      </c>
      <c r="B905" t="s">
        <v>164</v>
      </c>
      <c r="C905" t="s">
        <v>516</v>
      </c>
      <c r="D905">
        <v>877.57870514312583</v>
      </c>
    </row>
    <row r="906" spans="1:4" x14ac:dyDescent="0.3">
      <c r="A906" t="s">
        <v>664</v>
      </c>
      <c r="B906" t="s">
        <v>164</v>
      </c>
      <c r="C906" t="s">
        <v>8</v>
      </c>
      <c r="D906">
        <v>367.31814966701779</v>
      </c>
    </row>
    <row r="907" spans="1:4" x14ac:dyDescent="0.3">
      <c r="A907" t="s">
        <v>664</v>
      </c>
      <c r="B907" t="s">
        <v>164</v>
      </c>
      <c r="C907" t="s">
        <v>173</v>
      </c>
      <c r="D907">
        <v>414.47192907933248</v>
      </c>
    </row>
    <row r="908" spans="1:4" x14ac:dyDescent="0.3">
      <c r="A908" t="s">
        <v>664</v>
      </c>
      <c r="B908" t="s">
        <v>164</v>
      </c>
      <c r="C908" t="s">
        <v>242</v>
      </c>
      <c r="D908">
        <v>173.48179374693356</v>
      </c>
    </row>
    <row r="909" spans="1:4" x14ac:dyDescent="0.3">
      <c r="A909" t="s">
        <v>664</v>
      </c>
      <c r="B909" t="s">
        <v>164</v>
      </c>
      <c r="C909" t="s">
        <v>286</v>
      </c>
      <c r="D909">
        <v>366.44088272695461</v>
      </c>
    </row>
    <row r="910" spans="1:4" x14ac:dyDescent="0.3">
      <c r="A910" t="s">
        <v>664</v>
      </c>
      <c r="B910" t="s">
        <v>164</v>
      </c>
      <c r="C910" t="s">
        <v>339</v>
      </c>
      <c r="D910">
        <v>156.03786485570771</v>
      </c>
    </row>
    <row r="911" spans="1:4" x14ac:dyDescent="0.3">
      <c r="A911" t="s">
        <v>664</v>
      </c>
      <c r="B911" t="s">
        <v>164</v>
      </c>
      <c r="C911" t="s">
        <v>380</v>
      </c>
      <c r="D911">
        <v>376.0075446781172</v>
      </c>
    </row>
    <row r="912" spans="1:4" x14ac:dyDescent="0.3">
      <c r="A912" t="s">
        <v>664</v>
      </c>
      <c r="B912" t="s">
        <v>164</v>
      </c>
      <c r="C912" t="s">
        <v>605</v>
      </c>
      <c r="D912">
        <v>129.72044136347731</v>
      </c>
    </row>
    <row r="913" spans="1:4" x14ac:dyDescent="0.3">
      <c r="A913" t="s">
        <v>664</v>
      </c>
      <c r="B913" t="s">
        <v>164</v>
      </c>
      <c r="C913" t="s">
        <v>446</v>
      </c>
      <c r="D913">
        <v>229.83330975581305</v>
      </c>
    </row>
    <row r="914" spans="1:4" x14ac:dyDescent="0.3">
      <c r="A914" t="s">
        <v>664</v>
      </c>
      <c r="B914" t="s">
        <v>164</v>
      </c>
      <c r="C914" t="s">
        <v>573</v>
      </c>
      <c r="D914">
        <v>116.77498939011588</v>
      </c>
    </row>
    <row r="915" spans="1:4" x14ac:dyDescent="0.3">
      <c r="A915" t="s">
        <v>664</v>
      </c>
      <c r="B915" t="s">
        <v>644</v>
      </c>
      <c r="C915" t="s">
        <v>516</v>
      </c>
      <c r="D915">
        <v>722.25141698329435</v>
      </c>
    </row>
    <row r="916" spans="1:4" x14ac:dyDescent="0.3">
      <c r="A916" t="s">
        <v>664</v>
      </c>
      <c r="B916" t="s">
        <v>644</v>
      </c>
      <c r="C916" t="s">
        <v>8</v>
      </c>
      <c r="D916">
        <v>283.1787334361502</v>
      </c>
    </row>
    <row r="917" spans="1:4" x14ac:dyDescent="0.3">
      <c r="A917" t="s">
        <v>664</v>
      </c>
      <c r="B917" t="s">
        <v>644</v>
      </c>
      <c r="C917" t="s">
        <v>173</v>
      </c>
      <c r="D917">
        <v>315.27114631849645</v>
      </c>
    </row>
    <row r="918" spans="1:4" x14ac:dyDescent="0.3">
      <c r="A918" t="s">
        <v>664</v>
      </c>
      <c r="B918" t="s">
        <v>644</v>
      </c>
      <c r="C918" t="s">
        <v>242</v>
      </c>
      <c r="D918">
        <v>106.5363417735721</v>
      </c>
    </row>
    <row r="919" spans="1:4" x14ac:dyDescent="0.3">
      <c r="A919" t="s">
        <v>664</v>
      </c>
      <c r="B919" t="s">
        <v>644</v>
      </c>
      <c r="C919" t="s">
        <v>286</v>
      </c>
      <c r="D919">
        <v>111.21209977801188</v>
      </c>
    </row>
    <row r="920" spans="1:4" x14ac:dyDescent="0.3">
      <c r="A920" t="s">
        <v>664</v>
      </c>
      <c r="B920" t="s">
        <v>644</v>
      </c>
      <c r="C920" t="s">
        <v>339</v>
      </c>
      <c r="D920">
        <v>16.52575093118368</v>
      </c>
    </row>
    <row r="921" spans="1:4" x14ac:dyDescent="0.3">
      <c r="A921" t="s">
        <v>664</v>
      </c>
      <c r="B921" t="s">
        <v>644</v>
      </c>
      <c r="C921" t="s">
        <v>380</v>
      </c>
      <c r="D921">
        <v>146.35906068699677</v>
      </c>
    </row>
    <row r="922" spans="1:4" x14ac:dyDescent="0.3">
      <c r="A922" t="s">
        <v>664</v>
      </c>
      <c r="B922" t="s">
        <v>644</v>
      </c>
      <c r="C922" t="s">
        <v>605</v>
      </c>
      <c r="D922">
        <v>117.45074739455565</v>
      </c>
    </row>
    <row r="923" spans="1:4" x14ac:dyDescent="0.3">
      <c r="A923" t="s">
        <v>664</v>
      </c>
      <c r="B923" t="s">
        <v>644</v>
      </c>
      <c r="C923" t="s">
        <v>446</v>
      </c>
      <c r="D923">
        <v>152.43029188456617</v>
      </c>
    </row>
    <row r="924" spans="1:4" x14ac:dyDescent="0.3">
      <c r="A924" t="s">
        <v>664</v>
      </c>
      <c r="B924" t="s">
        <v>644</v>
      </c>
      <c r="C924" t="s">
        <v>573</v>
      </c>
      <c r="D924">
        <v>67.208327438953276</v>
      </c>
    </row>
    <row r="925" spans="1:4" x14ac:dyDescent="0.3">
      <c r="A925" t="s">
        <v>664</v>
      </c>
      <c r="B925" t="s">
        <v>643</v>
      </c>
      <c r="C925" t="s">
        <v>516</v>
      </c>
      <c r="D925" t="s">
        <v>649</v>
      </c>
    </row>
    <row r="926" spans="1:4" x14ac:dyDescent="0.3">
      <c r="A926" t="s">
        <v>664</v>
      </c>
      <c r="B926" t="s">
        <v>643</v>
      </c>
      <c r="C926" t="s">
        <v>8</v>
      </c>
      <c r="D926" t="s">
        <v>649</v>
      </c>
    </row>
    <row r="927" spans="1:4" x14ac:dyDescent="0.3">
      <c r="A927" t="s">
        <v>664</v>
      </c>
      <c r="B927" t="s">
        <v>643</v>
      </c>
      <c r="C927" t="s">
        <v>173</v>
      </c>
      <c r="D927" t="s">
        <v>649</v>
      </c>
    </row>
    <row r="928" spans="1:4" x14ac:dyDescent="0.3">
      <c r="A928" t="s">
        <v>664</v>
      </c>
      <c r="B928" t="s">
        <v>643</v>
      </c>
      <c r="C928" t="s">
        <v>242</v>
      </c>
      <c r="D928" t="s">
        <v>649</v>
      </c>
    </row>
    <row r="929" spans="1:4" x14ac:dyDescent="0.3">
      <c r="A929" t="s">
        <v>664</v>
      </c>
      <c r="B929" t="s">
        <v>643</v>
      </c>
      <c r="C929" t="s">
        <v>286</v>
      </c>
      <c r="D929" t="s">
        <v>649</v>
      </c>
    </row>
    <row r="930" spans="1:4" x14ac:dyDescent="0.3">
      <c r="A930" t="s">
        <v>664</v>
      </c>
      <c r="B930" t="s">
        <v>643</v>
      </c>
      <c r="C930" t="s">
        <v>339</v>
      </c>
      <c r="D930" t="s">
        <v>649</v>
      </c>
    </row>
    <row r="931" spans="1:4" x14ac:dyDescent="0.3">
      <c r="A931" t="s">
        <v>664</v>
      </c>
      <c r="B931" t="s">
        <v>643</v>
      </c>
      <c r="C931" t="s">
        <v>380</v>
      </c>
      <c r="D931" t="s">
        <v>649</v>
      </c>
    </row>
    <row r="932" spans="1:4" x14ac:dyDescent="0.3">
      <c r="A932" t="s">
        <v>664</v>
      </c>
      <c r="B932" t="s">
        <v>643</v>
      </c>
      <c r="C932" t="s">
        <v>605</v>
      </c>
      <c r="D932" t="s">
        <v>649</v>
      </c>
    </row>
    <row r="933" spans="1:4" x14ac:dyDescent="0.3">
      <c r="A933" t="s">
        <v>664</v>
      </c>
      <c r="B933" t="s">
        <v>643</v>
      </c>
      <c r="C933" t="s">
        <v>446</v>
      </c>
      <c r="D933" t="s">
        <v>649</v>
      </c>
    </row>
    <row r="934" spans="1:4" x14ac:dyDescent="0.3">
      <c r="A934" t="s">
        <v>664</v>
      </c>
      <c r="B934" t="s">
        <v>643</v>
      </c>
      <c r="C934" t="s">
        <v>573</v>
      </c>
      <c r="D934" t="s">
        <v>649</v>
      </c>
    </row>
    <row r="935" spans="1:4" x14ac:dyDescent="0.3">
      <c r="A935" t="s">
        <v>664</v>
      </c>
      <c r="B935" t="s">
        <v>238</v>
      </c>
      <c r="C935" t="s">
        <v>516</v>
      </c>
      <c r="D935">
        <v>102</v>
      </c>
    </row>
    <row r="936" spans="1:4" x14ac:dyDescent="0.3">
      <c r="A936" t="s">
        <v>664</v>
      </c>
      <c r="B936" t="s">
        <v>238</v>
      </c>
      <c r="C936" t="s">
        <v>8</v>
      </c>
      <c r="D936">
        <v>14</v>
      </c>
    </row>
    <row r="937" spans="1:4" x14ac:dyDescent="0.3">
      <c r="A937" t="s">
        <v>664</v>
      </c>
      <c r="B937" t="s">
        <v>238</v>
      </c>
      <c r="C937" t="s">
        <v>173</v>
      </c>
      <c r="D937">
        <v>210</v>
      </c>
    </row>
    <row r="938" spans="1:4" x14ac:dyDescent="0.3">
      <c r="A938" t="s">
        <v>664</v>
      </c>
      <c r="B938" t="s">
        <v>238</v>
      </c>
      <c r="C938" t="s">
        <v>242</v>
      </c>
      <c r="D938">
        <v>1205</v>
      </c>
    </row>
    <row r="939" spans="1:4" x14ac:dyDescent="0.3">
      <c r="A939" t="s">
        <v>664</v>
      </c>
      <c r="B939" t="s">
        <v>238</v>
      </c>
      <c r="C939" t="s">
        <v>286</v>
      </c>
      <c r="D939">
        <v>151</v>
      </c>
    </row>
    <row r="940" spans="1:4" x14ac:dyDescent="0.3">
      <c r="A940" t="s">
        <v>664</v>
      </c>
      <c r="B940" t="s">
        <v>238</v>
      </c>
      <c r="C940" t="s">
        <v>339</v>
      </c>
      <c r="D940">
        <v>31</v>
      </c>
    </row>
    <row r="941" spans="1:4" x14ac:dyDescent="0.3">
      <c r="A941" t="s">
        <v>664</v>
      </c>
      <c r="B941" t="s">
        <v>238</v>
      </c>
      <c r="C941" t="s">
        <v>380</v>
      </c>
      <c r="D941">
        <v>78</v>
      </c>
    </row>
    <row r="942" spans="1:4" x14ac:dyDescent="0.3">
      <c r="A942" t="s">
        <v>664</v>
      </c>
      <c r="B942" t="s">
        <v>238</v>
      </c>
      <c r="C942" t="s">
        <v>605</v>
      </c>
      <c r="D942">
        <v>5</v>
      </c>
    </row>
    <row r="943" spans="1:4" x14ac:dyDescent="0.3">
      <c r="A943" t="s">
        <v>664</v>
      </c>
      <c r="B943" t="s">
        <v>238</v>
      </c>
      <c r="C943" t="s">
        <v>446</v>
      </c>
      <c r="D943">
        <v>27</v>
      </c>
    </row>
    <row r="944" spans="1:4" x14ac:dyDescent="0.3">
      <c r="A944" t="s">
        <v>664</v>
      </c>
      <c r="B944" t="s">
        <v>238</v>
      </c>
      <c r="C944" t="s">
        <v>573</v>
      </c>
      <c r="D944">
        <v>103</v>
      </c>
    </row>
    <row r="945" spans="1:4" x14ac:dyDescent="0.3">
      <c r="A945" t="s">
        <v>664</v>
      </c>
      <c r="B945" t="s">
        <v>653</v>
      </c>
      <c r="C945" t="s">
        <v>516</v>
      </c>
      <c r="D945">
        <v>0</v>
      </c>
    </row>
    <row r="946" spans="1:4" x14ac:dyDescent="0.3">
      <c r="A946" t="s">
        <v>664</v>
      </c>
      <c r="B946" t="s">
        <v>653</v>
      </c>
      <c r="C946" t="s">
        <v>8</v>
      </c>
      <c r="D946">
        <v>0</v>
      </c>
    </row>
    <row r="947" spans="1:4" x14ac:dyDescent="0.3">
      <c r="A947" t="s">
        <v>664</v>
      </c>
      <c r="B947" t="s">
        <v>653</v>
      </c>
      <c r="C947" t="s">
        <v>173</v>
      </c>
      <c r="D947">
        <v>0</v>
      </c>
    </row>
    <row r="948" spans="1:4" x14ac:dyDescent="0.3">
      <c r="A948" t="s">
        <v>664</v>
      </c>
      <c r="B948" t="s">
        <v>653</v>
      </c>
      <c r="C948" t="s">
        <v>242</v>
      </c>
      <c r="D948">
        <v>0</v>
      </c>
    </row>
    <row r="949" spans="1:4" x14ac:dyDescent="0.3">
      <c r="A949" t="s">
        <v>664</v>
      </c>
      <c r="B949" t="s">
        <v>653</v>
      </c>
      <c r="C949" t="s">
        <v>286</v>
      </c>
      <c r="D949">
        <v>0</v>
      </c>
    </row>
    <row r="950" spans="1:4" x14ac:dyDescent="0.3">
      <c r="A950" t="s">
        <v>664</v>
      </c>
      <c r="B950" t="s">
        <v>653</v>
      </c>
      <c r="C950" t="s">
        <v>339</v>
      </c>
      <c r="D950">
        <v>0</v>
      </c>
    </row>
    <row r="951" spans="1:4" x14ac:dyDescent="0.3">
      <c r="A951" t="s">
        <v>664</v>
      </c>
      <c r="B951" t="s">
        <v>653</v>
      </c>
      <c r="C951" t="s">
        <v>380</v>
      </c>
      <c r="D951">
        <v>0</v>
      </c>
    </row>
    <row r="952" spans="1:4" x14ac:dyDescent="0.3">
      <c r="A952" t="s">
        <v>664</v>
      </c>
      <c r="B952" t="s">
        <v>653</v>
      </c>
      <c r="C952" t="s">
        <v>605</v>
      </c>
      <c r="D952">
        <v>0</v>
      </c>
    </row>
    <row r="953" spans="1:4" x14ac:dyDescent="0.3">
      <c r="A953" t="s">
        <v>664</v>
      </c>
      <c r="B953" t="s">
        <v>653</v>
      </c>
      <c r="C953" t="s">
        <v>446</v>
      </c>
      <c r="D953">
        <v>0</v>
      </c>
    </row>
    <row r="954" spans="1:4" x14ac:dyDescent="0.3">
      <c r="A954" t="s">
        <v>664</v>
      </c>
      <c r="B954" t="s">
        <v>653</v>
      </c>
      <c r="C954" t="s">
        <v>573</v>
      </c>
      <c r="D954">
        <v>0</v>
      </c>
    </row>
    <row r="955" spans="1:4" x14ac:dyDescent="0.3">
      <c r="A955" t="s">
        <v>664</v>
      </c>
      <c r="B955" t="s">
        <v>654</v>
      </c>
      <c r="C955" t="s">
        <v>516</v>
      </c>
      <c r="D955" t="s">
        <v>649</v>
      </c>
    </row>
    <row r="956" spans="1:4" x14ac:dyDescent="0.3">
      <c r="A956" t="s">
        <v>664</v>
      </c>
      <c r="B956" t="s">
        <v>654</v>
      </c>
      <c r="C956" t="s">
        <v>8</v>
      </c>
      <c r="D956" t="s">
        <v>649</v>
      </c>
    </row>
    <row r="957" spans="1:4" x14ac:dyDescent="0.3">
      <c r="A957" t="s">
        <v>664</v>
      </c>
      <c r="B957" t="s">
        <v>654</v>
      </c>
      <c r="C957" t="s">
        <v>173</v>
      </c>
      <c r="D957" t="s">
        <v>649</v>
      </c>
    </row>
    <row r="958" spans="1:4" x14ac:dyDescent="0.3">
      <c r="A958" t="s">
        <v>664</v>
      </c>
      <c r="B958" t="s">
        <v>654</v>
      </c>
      <c r="C958" t="s">
        <v>242</v>
      </c>
      <c r="D958" t="s">
        <v>649</v>
      </c>
    </row>
    <row r="959" spans="1:4" x14ac:dyDescent="0.3">
      <c r="A959" t="s">
        <v>664</v>
      </c>
      <c r="B959" t="s">
        <v>654</v>
      </c>
      <c r="C959" t="s">
        <v>286</v>
      </c>
      <c r="D959" t="s">
        <v>649</v>
      </c>
    </row>
    <row r="960" spans="1:4" x14ac:dyDescent="0.3">
      <c r="A960" t="s">
        <v>664</v>
      </c>
      <c r="B960" t="s">
        <v>654</v>
      </c>
      <c r="C960" t="s">
        <v>339</v>
      </c>
      <c r="D960" t="s">
        <v>649</v>
      </c>
    </row>
    <row r="961" spans="1:4" x14ac:dyDescent="0.3">
      <c r="A961" t="s">
        <v>664</v>
      </c>
      <c r="B961" t="s">
        <v>654</v>
      </c>
      <c r="C961" t="s">
        <v>380</v>
      </c>
      <c r="D961" t="s">
        <v>649</v>
      </c>
    </row>
    <row r="962" spans="1:4" x14ac:dyDescent="0.3">
      <c r="A962" t="s">
        <v>664</v>
      </c>
      <c r="B962" t="s">
        <v>654</v>
      </c>
      <c r="C962" t="s">
        <v>605</v>
      </c>
      <c r="D962" t="s">
        <v>649</v>
      </c>
    </row>
    <row r="963" spans="1:4" x14ac:dyDescent="0.3">
      <c r="A963" t="s">
        <v>664</v>
      </c>
      <c r="B963" t="s">
        <v>654</v>
      </c>
      <c r="C963" t="s">
        <v>446</v>
      </c>
      <c r="D963" t="s">
        <v>649</v>
      </c>
    </row>
    <row r="964" spans="1:4" x14ac:dyDescent="0.3">
      <c r="A964" t="s">
        <v>664</v>
      </c>
      <c r="B964" t="s">
        <v>654</v>
      </c>
      <c r="C964" t="s">
        <v>573</v>
      </c>
      <c r="D964" t="s">
        <v>649</v>
      </c>
    </row>
    <row r="965" spans="1:4" x14ac:dyDescent="0.3">
      <c r="A965" t="s">
        <v>664</v>
      </c>
      <c r="B965" t="s">
        <v>655</v>
      </c>
      <c r="C965" t="s">
        <v>516</v>
      </c>
      <c r="D965" t="s">
        <v>649</v>
      </c>
    </row>
    <row r="966" spans="1:4" x14ac:dyDescent="0.3">
      <c r="A966" t="s">
        <v>664</v>
      </c>
      <c r="B966" t="s">
        <v>655</v>
      </c>
      <c r="C966" t="s">
        <v>8</v>
      </c>
      <c r="D966" t="s">
        <v>649</v>
      </c>
    </row>
    <row r="967" spans="1:4" x14ac:dyDescent="0.3">
      <c r="A967" t="s">
        <v>664</v>
      </c>
      <c r="B967" t="s">
        <v>655</v>
      </c>
      <c r="C967" t="s">
        <v>173</v>
      </c>
      <c r="D967">
        <v>0.33106049889005934</v>
      </c>
    </row>
    <row r="968" spans="1:4" x14ac:dyDescent="0.3">
      <c r="A968" t="s">
        <v>664</v>
      </c>
      <c r="B968" t="s">
        <v>655</v>
      </c>
      <c r="C968" t="s">
        <v>242</v>
      </c>
      <c r="D968">
        <v>0.33106049889005934</v>
      </c>
    </row>
    <row r="969" spans="1:4" x14ac:dyDescent="0.3">
      <c r="A969" t="s">
        <v>664</v>
      </c>
      <c r="B969" t="s">
        <v>655</v>
      </c>
      <c r="C969" t="s">
        <v>286</v>
      </c>
      <c r="D969">
        <v>6.6553024944502965</v>
      </c>
    </row>
    <row r="970" spans="1:4" x14ac:dyDescent="0.3">
      <c r="A970" t="s">
        <v>664</v>
      </c>
      <c r="B970" t="s">
        <v>655</v>
      </c>
      <c r="C970" t="s">
        <v>339</v>
      </c>
      <c r="D970" t="s">
        <v>649</v>
      </c>
    </row>
    <row r="971" spans="1:4" x14ac:dyDescent="0.3">
      <c r="A971" t="s">
        <v>664</v>
      </c>
      <c r="B971" t="s">
        <v>655</v>
      </c>
      <c r="C971" t="s">
        <v>380</v>
      </c>
      <c r="D971">
        <v>0.33106049889005934</v>
      </c>
    </row>
    <row r="972" spans="1:4" x14ac:dyDescent="0.3">
      <c r="A972" t="s">
        <v>664</v>
      </c>
      <c r="B972" t="s">
        <v>655</v>
      </c>
      <c r="C972" t="s">
        <v>605</v>
      </c>
      <c r="D972" t="s">
        <v>649</v>
      </c>
    </row>
    <row r="973" spans="1:4" x14ac:dyDescent="0.3">
      <c r="A973" t="s">
        <v>664</v>
      </c>
      <c r="B973" t="s">
        <v>655</v>
      </c>
      <c r="C973" t="s">
        <v>446</v>
      </c>
      <c r="D973" t="s">
        <v>649</v>
      </c>
    </row>
    <row r="974" spans="1:4" x14ac:dyDescent="0.3">
      <c r="A974" t="s">
        <v>664</v>
      </c>
      <c r="B974" t="s">
        <v>655</v>
      </c>
      <c r="C974" t="s">
        <v>573</v>
      </c>
      <c r="D974" t="s">
        <v>649</v>
      </c>
    </row>
    <row r="975" spans="1:4" x14ac:dyDescent="0.3">
      <c r="A975" t="s">
        <v>664</v>
      </c>
      <c r="B975" t="s">
        <v>17</v>
      </c>
      <c r="C975" t="s">
        <v>516</v>
      </c>
      <c r="D975">
        <v>126.89772245005267</v>
      </c>
    </row>
    <row r="976" spans="1:4" x14ac:dyDescent="0.3">
      <c r="A976" t="s">
        <v>664</v>
      </c>
      <c r="B976" t="s">
        <v>17</v>
      </c>
      <c r="C976" t="s">
        <v>8</v>
      </c>
      <c r="D976">
        <v>55.109845805584818</v>
      </c>
    </row>
    <row r="977" spans="1:4" x14ac:dyDescent="0.3">
      <c r="A977" t="s">
        <v>664</v>
      </c>
      <c r="B977" t="s">
        <v>17</v>
      </c>
      <c r="C977" t="s">
        <v>173</v>
      </c>
      <c r="D977">
        <v>104.20832743895326</v>
      </c>
    </row>
    <row r="978" spans="1:4" x14ac:dyDescent="0.3">
      <c r="A978" t="s">
        <v>664</v>
      </c>
      <c r="B978" t="s">
        <v>17</v>
      </c>
      <c r="C978" t="s">
        <v>242</v>
      </c>
      <c r="D978">
        <v>57.317423492230418</v>
      </c>
    </row>
    <row r="979" spans="1:4" x14ac:dyDescent="0.3">
      <c r="A979" t="s">
        <v>664</v>
      </c>
      <c r="B979" t="s">
        <v>17</v>
      </c>
      <c r="C979" t="s">
        <v>286</v>
      </c>
      <c r="D979">
        <v>30.47045315223744</v>
      </c>
    </row>
    <row r="980" spans="1:4" x14ac:dyDescent="0.3">
      <c r="A980" t="s">
        <v>664</v>
      </c>
      <c r="B980" t="s">
        <v>17</v>
      </c>
      <c r="C980" t="s">
        <v>339</v>
      </c>
      <c r="D980">
        <v>9.9795444900105341</v>
      </c>
    </row>
    <row r="981" spans="1:4" x14ac:dyDescent="0.3">
      <c r="A981" t="s">
        <v>664</v>
      </c>
      <c r="B981" t="s">
        <v>17</v>
      </c>
      <c r="C981" t="s">
        <v>380</v>
      </c>
      <c r="D981">
        <v>84.54393360672988</v>
      </c>
    </row>
    <row r="982" spans="1:4" x14ac:dyDescent="0.3">
      <c r="A982" t="s">
        <v>664</v>
      </c>
      <c r="B982" t="s">
        <v>17</v>
      </c>
      <c r="C982" t="s">
        <v>605</v>
      </c>
      <c r="D982">
        <v>19.256056962262019</v>
      </c>
    </row>
    <row r="983" spans="1:4" x14ac:dyDescent="0.3">
      <c r="A983" t="s">
        <v>664</v>
      </c>
      <c r="B983" t="s">
        <v>17</v>
      </c>
      <c r="C983" t="s">
        <v>446</v>
      </c>
      <c r="D983">
        <v>59.751511293375472</v>
      </c>
    </row>
    <row r="984" spans="1:4" x14ac:dyDescent="0.3">
      <c r="A984" t="s">
        <v>664</v>
      </c>
      <c r="B984" t="s">
        <v>17</v>
      </c>
      <c r="C984" t="s">
        <v>573</v>
      </c>
      <c r="D984">
        <v>20.303786485570772</v>
      </c>
    </row>
    <row r="985" spans="1:4" x14ac:dyDescent="0.3">
      <c r="A985" t="s">
        <v>664</v>
      </c>
      <c r="B985" t="s">
        <v>172</v>
      </c>
      <c r="C985" t="s">
        <v>516</v>
      </c>
      <c r="D985">
        <v>0</v>
      </c>
    </row>
    <row r="986" spans="1:4" x14ac:dyDescent="0.3">
      <c r="A986" t="s">
        <v>664</v>
      </c>
      <c r="B986" t="s">
        <v>172</v>
      </c>
      <c r="C986" t="s">
        <v>8</v>
      </c>
      <c r="D986">
        <v>0</v>
      </c>
    </row>
    <row r="987" spans="1:4" x14ac:dyDescent="0.3">
      <c r="A987" t="s">
        <v>664</v>
      </c>
      <c r="B987" t="s">
        <v>172</v>
      </c>
      <c r="C987" t="s">
        <v>173</v>
      </c>
      <c r="D987">
        <v>0</v>
      </c>
    </row>
    <row r="988" spans="1:4" x14ac:dyDescent="0.3">
      <c r="A988" t="s">
        <v>664</v>
      </c>
      <c r="B988" t="s">
        <v>172</v>
      </c>
      <c r="C988" t="s">
        <v>242</v>
      </c>
      <c r="D988">
        <v>0</v>
      </c>
    </row>
    <row r="989" spans="1:4" x14ac:dyDescent="0.3">
      <c r="A989" t="s">
        <v>664</v>
      </c>
      <c r="B989" t="s">
        <v>172</v>
      </c>
      <c r="C989" t="s">
        <v>286</v>
      </c>
      <c r="D989">
        <v>0</v>
      </c>
    </row>
    <row r="990" spans="1:4" x14ac:dyDescent="0.3">
      <c r="A990" t="s">
        <v>664</v>
      </c>
      <c r="B990" t="s">
        <v>172</v>
      </c>
      <c r="C990" t="s">
        <v>339</v>
      </c>
      <c r="D990">
        <v>0</v>
      </c>
    </row>
    <row r="991" spans="1:4" x14ac:dyDescent="0.3">
      <c r="A991" t="s">
        <v>664</v>
      </c>
      <c r="B991" t="s">
        <v>172</v>
      </c>
      <c r="C991" t="s">
        <v>380</v>
      </c>
      <c r="D991">
        <v>0</v>
      </c>
    </row>
    <row r="992" spans="1:4" x14ac:dyDescent="0.3">
      <c r="A992" t="s">
        <v>664</v>
      </c>
      <c r="B992" t="s">
        <v>172</v>
      </c>
      <c r="C992" t="s">
        <v>605</v>
      </c>
      <c r="D992">
        <v>0</v>
      </c>
    </row>
    <row r="993" spans="1:4" x14ac:dyDescent="0.3">
      <c r="A993" t="s">
        <v>664</v>
      </c>
      <c r="B993" t="s">
        <v>172</v>
      </c>
      <c r="C993" t="s">
        <v>446</v>
      </c>
      <c r="D993">
        <v>0</v>
      </c>
    </row>
    <row r="994" spans="1:4" x14ac:dyDescent="0.3">
      <c r="A994" t="s">
        <v>664</v>
      </c>
      <c r="B994" t="s">
        <v>172</v>
      </c>
      <c r="C994" t="s">
        <v>573</v>
      </c>
      <c r="D994">
        <v>0</v>
      </c>
    </row>
    <row r="995" spans="1:4" x14ac:dyDescent="0.3">
      <c r="A995" t="s">
        <v>664</v>
      </c>
      <c r="B995" t="s">
        <v>656</v>
      </c>
      <c r="C995" t="s">
        <v>516</v>
      </c>
      <c r="D995">
        <v>0</v>
      </c>
    </row>
    <row r="996" spans="1:4" x14ac:dyDescent="0.3">
      <c r="A996" t="s">
        <v>664</v>
      </c>
      <c r="B996" t="s">
        <v>656</v>
      </c>
      <c r="C996" t="s">
        <v>8</v>
      </c>
      <c r="D996">
        <v>0</v>
      </c>
    </row>
    <row r="997" spans="1:4" x14ac:dyDescent="0.3">
      <c r="A997" t="s">
        <v>664</v>
      </c>
      <c r="B997" t="s">
        <v>656</v>
      </c>
      <c r="C997" t="s">
        <v>173</v>
      </c>
      <c r="D997">
        <v>0</v>
      </c>
    </row>
    <row r="998" spans="1:4" x14ac:dyDescent="0.3">
      <c r="A998" t="s">
        <v>664</v>
      </c>
      <c r="B998" t="s">
        <v>656</v>
      </c>
      <c r="C998" t="s">
        <v>242</v>
      </c>
      <c r="D998">
        <v>0</v>
      </c>
    </row>
    <row r="999" spans="1:4" x14ac:dyDescent="0.3">
      <c r="A999" t="s">
        <v>664</v>
      </c>
      <c r="B999" t="s">
        <v>656</v>
      </c>
      <c r="C999" t="s">
        <v>286</v>
      </c>
      <c r="D999">
        <v>0</v>
      </c>
    </row>
    <row r="1000" spans="1:4" x14ac:dyDescent="0.3">
      <c r="A1000" t="s">
        <v>664</v>
      </c>
      <c r="B1000" t="s">
        <v>656</v>
      </c>
      <c r="C1000" t="s">
        <v>339</v>
      </c>
      <c r="D1000">
        <v>0</v>
      </c>
    </row>
    <row r="1001" spans="1:4" x14ac:dyDescent="0.3">
      <c r="A1001" t="s">
        <v>664</v>
      </c>
      <c r="B1001" t="s">
        <v>656</v>
      </c>
      <c r="C1001" t="s">
        <v>380</v>
      </c>
      <c r="D1001">
        <v>0</v>
      </c>
    </row>
    <row r="1002" spans="1:4" x14ac:dyDescent="0.3">
      <c r="A1002" t="s">
        <v>664</v>
      </c>
      <c r="B1002" t="s">
        <v>656</v>
      </c>
      <c r="C1002" t="s">
        <v>605</v>
      </c>
      <c r="D1002">
        <v>0</v>
      </c>
    </row>
    <row r="1003" spans="1:4" x14ac:dyDescent="0.3">
      <c r="A1003" t="s">
        <v>664</v>
      </c>
      <c r="B1003" t="s">
        <v>656</v>
      </c>
      <c r="C1003" t="s">
        <v>446</v>
      </c>
      <c r="D1003">
        <v>0</v>
      </c>
    </row>
    <row r="1004" spans="1:4" x14ac:dyDescent="0.3">
      <c r="A1004" t="s">
        <v>664</v>
      </c>
      <c r="B1004" t="s">
        <v>656</v>
      </c>
      <c r="C1004" t="s">
        <v>573</v>
      </c>
      <c r="D1004">
        <v>0</v>
      </c>
    </row>
    <row r="1005" spans="1:4" x14ac:dyDescent="0.3">
      <c r="A1005" t="s">
        <v>664</v>
      </c>
      <c r="B1005" t="s">
        <v>139</v>
      </c>
      <c r="C1005" t="s">
        <v>516</v>
      </c>
      <c r="D1005">
        <v>0</v>
      </c>
    </row>
    <row r="1006" spans="1:4" x14ac:dyDescent="0.3">
      <c r="A1006" t="s">
        <v>664</v>
      </c>
      <c r="B1006" t="s">
        <v>139</v>
      </c>
      <c r="C1006" t="s">
        <v>8</v>
      </c>
      <c r="D1006" t="s">
        <v>649</v>
      </c>
    </row>
    <row r="1007" spans="1:4" x14ac:dyDescent="0.3">
      <c r="A1007" t="s">
        <v>664</v>
      </c>
      <c r="B1007" t="s">
        <v>139</v>
      </c>
      <c r="C1007" t="s">
        <v>173</v>
      </c>
      <c r="D1007" t="s">
        <v>649</v>
      </c>
    </row>
    <row r="1008" spans="1:4" x14ac:dyDescent="0.3">
      <c r="A1008" t="s">
        <v>664</v>
      </c>
      <c r="B1008" t="s">
        <v>139</v>
      </c>
      <c r="C1008" t="s">
        <v>242</v>
      </c>
      <c r="D1008" t="s">
        <v>649</v>
      </c>
    </row>
    <row r="1009" spans="1:4" x14ac:dyDescent="0.3">
      <c r="A1009" t="s">
        <v>664</v>
      </c>
      <c r="B1009" t="s">
        <v>139</v>
      </c>
      <c r="C1009" t="s">
        <v>286</v>
      </c>
      <c r="D1009" t="s">
        <v>649</v>
      </c>
    </row>
    <row r="1010" spans="1:4" x14ac:dyDescent="0.3">
      <c r="A1010" t="s">
        <v>664</v>
      </c>
      <c r="B1010" t="s">
        <v>139</v>
      </c>
      <c r="C1010" t="s">
        <v>339</v>
      </c>
      <c r="D1010" t="s">
        <v>649</v>
      </c>
    </row>
    <row r="1011" spans="1:4" x14ac:dyDescent="0.3">
      <c r="A1011" t="s">
        <v>664</v>
      </c>
      <c r="B1011" t="s">
        <v>139</v>
      </c>
      <c r="C1011" t="s">
        <v>380</v>
      </c>
      <c r="D1011" t="s">
        <v>649</v>
      </c>
    </row>
    <row r="1012" spans="1:4" x14ac:dyDescent="0.3">
      <c r="A1012" t="s">
        <v>664</v>
      </c>
      <c r="B1012" t="s">
        <v>139</v>
      </c>
      <c r="C1012" t="s">
        <v>605</v>
      </c>
      <c r="D1012" t="s">
        <v>649</v>
      </c>
    </row>
    <row r="1013" spans="1:4" x14ac:dyDescent="0.3">
      <c r="A1013" t="s">
        <v>664</v>
      </c>
      <c r="B1013" t="s">
        <v>139</v>
      </c>
      <c r="C1013" t="s">
        <v>446</v>
      </c>
      <c r="D1013" t="s">
        <v>649</v>
      </c>
    </row>
    <row r="1014" spans="1:4" x14ac:dyDescent="0.3">
      <c r="A1014" t="s">
        <v>664</v>
      </c>
      <c r="B1014" t="s">
        <v>139</v>
      </c>
      <c r="C1014" t="s">
        <v>573</v>
      </c>
      <c r="D1014" t="s">
        <v>649</v>
      </c>
    </row>
    <row r="1015" spans="1:4" x14ac:dyDescent="0.3">
      <c r="A1015" t="s">
        <v>664</v>
      </c>
      <c r="B1015" t="s">
        <v>81</v>
      </c>
      <c r="C1015" t="s">
        <v>516</v>
      </c>
      <c r="D1015" t="s">
        <v>649</v>
      </c>
    </row>
    <row r="1016" spans="1:4" x14ac:dyDescent="0.3">
      <c r="A1016" t="s">
        <v>664</v>
      </c>
      <c r="B1016" t="s">
        <v>81</v>
      </c>
      <c r="C1016" t="s">
        <v>8</v>
      </c>
      <c r="D1016" t="s">
        <v>649</v>
      </c>
    </row>
    <row r="1017" spans="1:4" x14ac:dyDescent="0.3">
      <c r="A1017" t="s">
        <v>664</v>
      </c>
      <c r="B1017" t="s">
        <v>81</v>
      </c>
      <c r="C1017" t="s">
        <v>173</v>
      </c>
      <c r="D1017" t="s">
        <v>649</v>
      </c>
    </row>
    <row r="1018" spans="1:4" x14ac:dyDescent="0.3">
      <c r="A1018" t="s">
        <v>664</v>
      </c>
      <c r="B1018" t="s">
        <v>81</v>
      </c>
      <c r="C1018" t="s">
        <v>242</v>
      </c>
      <c r="D1018" t="s">
        <v>649</v>
      </c>
    </row>
    <row r="1019" spans="1:4" x14ac:dyDescent="0.3">
      <c r="A1019" t="s">
        <v>664</v>
      </c>
      <c r="B1019" t="s">
        <v>81</v>
      </c>
      <c r="C1019" t="s">
        <v>286</v>
      </c>
      <c r="D1019" t="s">
        <v>649</v>
      </c>
    </row>
    <row r="1020" spans="1:4" x14ac:dyDescent="0.3">
      <c r="A1020" t="s">
        <v>664</v>
      </c>
      <c r="B1020" t="s">
        <v>81</v>
      </c>
      <c r="C1020" t="s">
        <v>339</v>
      </c>
      <c r="D1020" t="s">
        <v>649</v>
      </c>
    </row>
    <row r="1021" spans="1:4" x14ac:dyDescent="0.3">
      <c r="A1021" t="s">
        <v>664</v>
      </c>
      <c r="B1021" t="s">
        <v>81</v>
      </c>
      <c r="C1021" t="s">
        <v>380</v>
      </c>
      <c r="D1021" t="s">
        <v>649</v>
      </c>
    </row>
    <row r="1022" spans="1:4" x14ac:dyDescent="0.3">
      <c r="A1022" t="s">
        <v>664</v>
      </c>
      <c r="B1022" t="s">
        <v>81</v>
      </c>
      <c r="C1022" t="s">
        <v>605</v>
      </c>
      <c r="D1022" t="s">
        <v>649</v>
      </c>
    </row>
    <row r="1023" spans="1:4" x14ac:dyDescent="0.3">
      <c r="A1023" t="s">
        <v>664</v>
      </c>
      <c r="B1023" t="s">
        <v>81</v>
      </c>
      <c r="C1023" t="s">
        <v>446</v>
      </c>
      <c r="D1023" t="s">
        <v>649</v>
      </c>
    </row>
    <row r="1024" spans="1:4" x14ac:dyDescent="0.3">
      <c r="A1024" t="s">
        <v>664</v>
      </c>
      <c r="B1024" t="s">
        <v>81</v>
      </c>
      <c r="C1024" t="s">
        <v>573</v>
      </c>
      <c r="D1024" t="s">
        <v>649</v>
      </c>
    </row>
    <row r="1025" spans="1:4" x14ac:dyDescent="0.3">
      <c r="A1025" t="s">
        <v>664</v>
      </c>
      <c r="B1025" t="s">
        <v>9</v>
      </c>
      <c r="C1025" t="s">
        <v>516</v>
      </c>
      <c r="D1025" t="s">
        <v>649</v>
      </c>
    </row>
    <row r="1026" spans="1:4" x14ac:dyDescent="0.3">
      <c r="A1026" t="s">
        <v>664</v>
      </c>
      <c r="B1026" t="s">
        <v>9</v>
      </c>
      <c r="C1026" t="s">
        <v>8</v>
      </c>
      <c r="D1026" t="s">
        <v>649</v>
      </c>
    </row>
    <row r="1027" spans="1:4" x14ac:dyDescent="0.3">
      <c r="A1027" t="s">
        <v>664</v>
      </c>
      <c r="B1027" t="s">
        <v>9</v>
      </c>
      <c r="C1027" t="s">
        <v>173</v>
      </c>
      <c r="D1027" t="s">
        <v>649</v>
      </c>
    </row>
    <row r="1028" spans="1:4" x14ac:dyDescent="0.3">
      <c r="A1028" t="s">
        <v>664</v>
      </c>
      <c r="B1028" t="s">
        <v>9</v>
      </c>
      <c r="C1028" t="s">
        <v>242</v>
      </c>
      <c r="D1028" t="s">
        <v>649</v>
      </c>
    </row>
    <row r="1029" spans="1:4" x14ac:dyDescent="0.3">
      <c r="A1029" t="s">
        <v>664</v>
      </c>
      <c r="B1029" t="s">
        <v>9</v>
      </c>
      <c r="C1029" t="s">
        <v>286</v>
      </c>
      <c r="D1029" t="s">
        <v>649</v>
      </c>
    </row>
    <row r="1030" spans="1:4" x14ac:dyDescent="0.3">
      <c r="A1030" t="s">
        <v>664</v>
      </c>
      <c r="B1030" t="s">
        <v>9</v>
      </c>
      <c r="C1030" t="s">
        <v>339</v>
      </c>
      <c r="D1030" t="s">
        <v>649</v>
      </c>
    </row>
    <row r="1031" spans="1:4" x14ac:dyDescent="0.3">
      <c r="A1031" t="s">
        <v>664</v>
      </c>
      <c r="B1031" t="s">
        <v>9</v>
      </c>
      <c r="C1031" t="s">
        <v>380</v>
      </c>
      <c r="D1031" t="s">
        <v>649</v>
      </c>
    </row>
    <row r="1032" spans="1:4" x14ac:dyDescent="0.3">
      <c r="A1032" t="s">
        <v>664</v>
      </c>
      <c r="B1032" t="s">
        <v>9</v>
      </c>
      <c r="C1032" t="s">
        <v>605</v>
      </c>
      <c r="D1032" t="s">
        <v>649</v>
      </c>
    </row>
    <row r="1033" spans="1:4" x14ac:dyDescent="0.3">
      <c r="A1033" t="s">
        <v>664</v>
      </c>
      <c r="B1033" t="s">
        <v>9</v>
      </c>
      <c r="C1033" t="s">
        <v>446</v>
      </c>
      <c r="D1033" t="s">
        <v>649</v>
      </c>
    </row>
    <row r="1034" spans="1:4" x14ac:dyDescent="0.3">
      <c r="A1034" t="s">
        <v>664</v>
      </c>
      <c r="B1034" t="s">
        <v>9</v>
      </c>
      <c r="C1034" t="s">
        <v>573</v>
      </c>
      <c r="D1034" t="s">
        <v>649</v>
      </c>
    </row>
    <row r="1035" spans="1:4" x14ac:dyDescent="0.3">
      <c r="A1035" t="s">
        <v>664</v>
      </c>
      <c r="B1035" t="s">
        <v>657</v>
      </c>
      <c r="C1035" t="s">
        <v>516</v>
      </c>
      <c r="D1035">
        <v>0</v>
      </c>
    </row>
    <row r="1036" spans="1:4" x14ac:dyDescent="0.3">
      <c r="A1036" t="s">
        <v>664</v>
      </c>
      <c r="B1036" t="s">
        <v>657</v>
      </c>
      <c r="C1036" t="s">
        <v>8</v>
      </c>
      <c r="D1036">
        <v>0</v>
      </c>
    </row>
    <row r="1037" spans="1:4" x14ac:dyDescent="0.3">
      <c r="A1037" t="s">
        <v>664</v>
      </c>
      <c r="B1037" t="s">
        <v>657</v>
      </c>
      <c r="C1037" t="s">
        <v>173</v>
      </c>
      <c r="D1037">
        <v>0</v>
      </c>
    </row>
    <row r="1038" spans="1:4" x14ac:dyDescent="0.3">
      <c r="A1038" t="s">
        <v>664</v>
      </c>
      <c r="B1038" t="s">
        <v>657</v>
      </c>
      <c r="C1038" t="s">
        <v>242</v>
      </c>
      <c r="D1038">
        <v>0</v>
      </c>
    </row>
    <row r="1039" spans="1:4" x14ac:dyDescent="0.3">
      <c r="A1039" t="s">
        <v>664</v>
      </c>
      <c r="B1039" t="s">
        <v>657</v>
      </c>
      <c r="C1039" t="s">
        <v>286</v>
      </c>
      <c r="D1039">
        <v>0</v>
      </c>
    </row>
    <row r="1040" spans="1:4" x14ac:dyDescent="0.3">
      <c r="A1040" t="s">
        <v>664</v>
      </c>
      <c r="B1040" t="s">
        <v>657</v>
      </c>
      <c r="C1040" t="s">
        <v>339</v>
      </c>
      <c r="D1040">
        <v>0</v>
      </c>
    </row>
    <row r="1041" spans="1:4" x14ac:dyDescent="0.3">
      <c r="A1041" t="s">
        <v>664</v>
      </c>
      <c r="B1041" t="s">
        <v>657</v>
      </c>
      <c r="C1041" t="s">
        <v>380</v>
      </c>
      <c r="D1041">
        <v>0</v>
      </c>
    </row>
    <row r="1042" spans="1:4" x14ac:dyDescent="0.3">
      <c r="A1042" t="s">
        <v>664</v>
      </c>
      <c r="B1042" t="s">
        <v>657</v>
      </c>
      <c r="C1042" t="s">
        <v>605</v>
      </c>
      <c r="D1042">
        <v>0</v>
      </c>
    </row>
    <row r="1043" spans="1:4" x14ac:dyDescent="0.3">
      <c r="A1043" t="s">
        <v>664</v>
      </c>
      <c r="B1043" t="s">
        <v>657</v>
      </c>
      <c r="C1043" t="s">
        <v>446</v>
      </c>
      <c r="D1043">
        <v>0</v>
      </c>
    </row>
    <row r="1044" spans="1:4" x14ac:dyDescent="0.3">
      <c r="A1044" t="s">
        <v>664</v>
      </c>
      <c r="B1044" t="s">
        <v>657</v>
      </c>
      <c r="C1044" t="s">
        <v>573</v>
      </c>
      <c r="D1044">
        <v>0</v>
      </c>
    </row>
  </sheetData>
  <autoFilter ref="A1:D261" xr:uid="{1A48A752-29D7-42C6-93A1-DD2AF1E9CA0B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9600-A7E9-4883-A34E-AEDA79FA96E3}">
  <dimension ref="A1"/>
  <sheetViews>
    <sheetView workbookViewId="0"/>
  </sheetViews>
  <sheetFormatPr defaultRowHeight="14.4" x14ac:dyDescent="0.3"/>
  <sheetData>
    <row r="1" spans="1:1" x14ac:dyDescent="0.3">
      <c r="A1" t="s">
        <v>645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FCE07318A1814584838CBAD5908D62" ma:contentTypeVersion="12" ma:contentTypeDescription="Crie um novo documento." ma:contentTypeScope="" ma:versionID="a1bab300ec39fe626d5df437ad79fe57">
  <xsd:schema xmlns:xsd="http://www.w3.org/2001/XMLSchema" xmlns:xs="http://www.w3.org/2001/XMLSchema" xmlns:p="http://schemas.microsoft.com/office/2006/metadata/properties" xmlns:ns2="3e882393-2744-4d86-b319-76a87c80bc5a" xmlns:ns3="b51d5aa8-d092-4cd7-80a5-49acaba1ca64" targetNamespace="http://schemas.microsoft.com/office/2006/metadata/properties" ma:root="true" ma:fieldsID="485dd4fda7d9371f833ace765ec112d1" ns2:_="" ns3:_="">
    <xsd:import namespace="3e882393-2744-4d86-b319-76a87c80bc5a"/>
    <xsd:import namespace="b51d5aa8-d092-4cd7-80a5-49acaba1c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82393-2744-4d86-b319-76a87c80b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d5aa8-d092-4cd7-80a5-49acaba1c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323ae28-f984-42f9-8623-043e3117a243}" ma:internalName="TaxCatchAll" ma:showField="CatchAllData" ma:web="b51d5aa8-d092-4cd7-80a5-49acaba1c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882393-2744-4d86-b319-76a87c80bc5a">
      <Terms xmlns="http://schemas.microsoft.com/office/infopath/2007/PartnerControls"/>
    </lcf76f155ced4ddcb4097134ff3c332f>
    <TaxCatchAll xmlns="b51d5aa8-d092-4cd7-80a5-49acaba1ca64" xsi:nil="true"/>
  </documentManagement>
</p:properties>
</file>

<file path=customXml/itemProps1.xml><?xml version="1.0" encoding="utf-8"?>
<ds:datastoreItem xmlns:ds="http://schemas.openxmlformats.org/officeDocument/2006/customXml" ds:itemID="{7991EF2A-B412-47BE-A9C5-057843ACC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882393-2744-4d86-b319-76a87c80bc5a"/>
    <ds:schemaRef ds:uri="b51d5aa8-d092-4cd7-80a5-49acaba1ca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1F18DC-6487-4DE5-9884-E24F3B882F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551279-482C-4A69-8C1D-E165A8DC974C}">
  <ds:schemaRefs>
    <ds:schemaRef ds:uri="http://schemas.microsoft.com/office/2006/metadata/properties"/>
    <ds:schemaRef ds:uri="http://schemas.microsoft.com/office/infopath/2007/PartnerControls"/>
    <ds:schemaRef ds:uri="3e882393-2744-4d86-b319-76a87c80bc5a"/>
    <ds:schemaRef ds:uri="b51d5aa8-d092-4cd7-80a5-49acaba1ca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TEND_CANAIS</vt:lpstr>
      <vt:lpstr>LIGACOE_FIXA</vt:lpstr>
      <vt:lpstr>PEDIDOS_FIXA</vt:lpstr>
      <vt:lpstr>PEDIDOS_MÓVEL</vt:lpstr>
      <vt:lpstr>BASE_FIXA_TEND</vt:lpstr>
      <vt:lpstr>BASE_MOVEL_TEND</vt:lpstr>
      <vt:lpstr>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JUNIO DE ALMEIDA</dc:creator>
  <cp:lastModifiedBy>THIAGO JUNIO DE ALMEIDA</cp:lastModifiedBy>
  <dcterms:created xsi:type="dcterms:W3CDTF">2026-02-11T12:58:18Z</dcterms:created>
  <dcterms:modified xsi:type="dcterms:W3CDTF">2026-02-24T16:30:59Z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0x010100B1FCE07318A1814584838CBAD5908D62</vt:lpwstr>
  </property>
</Properties>
</file>