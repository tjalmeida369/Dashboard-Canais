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orpclarobr.sharepoint.com/sites/USER-CanaisEstratgicos/Documentos Compartilhados/Canais Estratégicos/Relatórios/Arquivos - Dashboard Canais Estratégicos/"/>
    </mc:Choice>
  </mc:AlternateContent>
  <xr:revisionPtr revIDLastSave="145" documentId="8_{3665CEB0-82D1-4647-870C-1287578B3EBA}" xr6:coauthVersionLast="47" xr6:coauthVersionMax="47" xr10:uidLastSave="{DC25B9F6-3C7B-4C9D-91F0-FA90C5A5D4C0}"/>
  <bookViews>
    <workbookView xWindow="-108" yWindow="-108" windowWidth="23256" windowHeight="12456" xr2:uid="{90C37AA8-6052-4A6E-B04A-32D0A9550591}"/>
  </bookViews>
  <sheets>
    <sheet name="TEND_CANAIS" sheetId="2" r:id="rId1"/>
    <sheet name="LIGACOE_FIXA" sheetId="8" r:id="rId2"/>
    <sheet name="PEDIDOS_FIXA" sheetId="7" r:id="rId3"/>
    <sheet name="PEDIDOS_MÓVEL" sheetId="6" r:id="rId4"/>
    <sheet name="BASE_FIXA_TEND" sheetId="1" r:id="rId5"/>
    <sheet name="BASE_MOVEL_TEND" sheetId="5" r:id="rId6"/>
    <sheet name="obs" sheetId="4" r:id="rId7"/>
  </sheets>
  <definedNames>
    <definedName name="_xlnm._FilterDatabase" localSheetId="4" hidden="1">BASE_FIXA_TEND!$A$1:$AN$2322</definedName>
    <definedName name="_xlnm._FilterDatabase" localSheetId="5" hidden="1">BASE_MOVEL_TEND!$A$1:$D$261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93" i="2" l="1"/>
  <c r="M294" i="2"/>
  <c r="M295" i="2"/>
  <c r="M296" i="2"/>
  <c r="M297" i="2"/>
  <c r="M298" i="2"/>
  <c r="M299" i="2"/>
  <c r="M300" i="2"/>
  <c r="M301" i="2"/>
  <c r="M292" i="2"/>
  <c r="M283" i="2"/>
  <c r="M284" i="2"/>
  <c r="M285" i="2"/>
  <c r="M286" i="2"/>
  <c r="M287" i="2"/>
  <c r="M288" i="2"/>
  <c r="M289" i="2"/>
  <c r="M290" i="2"/>
  <c r="M291" i="2"/>
  <c r="M282" i="2"/>
  <c r="J301" i="2"/>
  <c r="L301" i="2" s="1"/>
  <c r="D301" i="2"/>
  <c r="C301" i="2"/>
  <c r="J300" i="2"/>
  <c r="L300" i="2" s="1"/>
  <c r="D300" i="2"/>
  <c r="C300" i="2"/>
  <c r="J299" i="2"/>
  <c r="L299" i="2" s="1"/>
  <c r="D299" i="2"/>
  <c r="C299" i="2"/>
  <c r="J298" i="2"/>
  <c r="L298" i="2" s="1"/>
  <c r="D298" i="2"/>
  <c r="C298" i="2"/>
  <c r="J297" i="2"/>
  <c r="L297" i="2" s="1"/>
  <c r="D297" i="2"/>
  <c r="C297" i="2"/>
  <c r="J296" i="2"/>
  <c r="L296" i="2" s="1"/>
  <c r="D296" i="2"/>
  <c r="C296" i="2"/>
  <c r="J295" i="2"/>
  <c r="L295" i="2" s="1"/>
  <c r="D295" i="2"/>
  <c r="C295" i="2"/>
  <c r="J294" i="2"/>
  <c r="L294" i="2" s="1"/>
  <c r="D294" i="2"/>
  <c r="C294" i="2"/>
  <c r="J293" i="2"/>
  <c r="L293" i="2" s="1"/>
  <c r="D293" i="2"/>
  <c r="C293" i="2"/>
  <c r="J292" i="2"/>
  <c r="L292" i="2" s="1"/>
  <c r="D292" i="2"/>
  <c r="C292" i="2"/>
  <c r="L291" i="2"/>
  <c r="K291" i="2"/>
  <c r="J291" i="2"/>
  <c r="D291" i="2"/>
  <c r="C291" i="2"/>
  <c r="J290" i="2"/>
  <c r="L290" i="2" s="1"/>
  <c r="D290" i="2"/>
  <c r="C290" i="2"/>
  <c r="L289" i="2"/>
  <c r="K289" i="2"/>
  <c r="J289" i="2"/>
  <c r="D289" i="2"/>
  <c r="C289" i="2"/>
  <c r="J288" i="2"/>
  <c r="L288" i="2" s="1"/>
  <c r="D288" i="2"/>
  <c r="C288" i="2"/>
  <c r="L287" i="2"/>
  <c r="K287" i="2"/>
  <c r="J287" i="2"/>
  <c r="D287" i="2"/>
  <c r="C287" i="2"/>
  <c r="J286" i="2"/>
  <c r="L286" i="2" s="1"/>
  <c r="D286" i="2"/>
  <c r="C286" i="2"/>
  <c r="L285" i="2"/>
  <c r="K285" i="2"/>
  <c r="J285" i="2"/>
  <c r="D285" i="2"/>
  <c r="C285" i="2"/>
  <c r="J284" i="2"/>
  <c r="L284" i="2" s="1"/>
  <c r="D284" i="2"/>
  <c r="C284" i="2"/>
  <c r="L283" i="2"/>
  <c r="K283" i="2"/>
  <c r="J283" i="2"/>
  <c r="D283" i="2"/>
  <c r="C283" i="2"/>
  <c r="J282" i="2"/>
  <c r="L282" i="2" s="1"/>
  <c r="D282" i="2"/>
  <c r="C282" i="2"/>
  <c r="D3" i="6"/>
  <c r="C3" i="6"/>
  <c r="K292" i="2" l="1"/>
  <c r="K294" i="2"/>
  <c r="K296" i="2"/>
  <c r="K298" i="2"/>
  <c r="K300" i="2"/>
  <c r="K293" i="2"/>
  <c r="K295" i="2"/>
  <c r="K297" i="2"/>
  <c r="K299" i="2"/>
  <c r="K301" i="2"/>
  <c r="K290" i="2"/>
  <c r="K282" i="2"/>
  <c r="K284" i="2"/>
  <c r="K286" i="2"/>
  <c r="K288" i="2"/>
  <c r="M141" i="2"/>
  <c r="M140" i="2"/>
  <c r="M139" i="2"/>
  <c r="M138" i="2"/>
  <c r="M137" i="2"/>
  <c r="M136" i="2"/>
  <c r="M135" i="2"/>
  <c r="M134" i="2"/>
  <c r="M133" i="2"/>
  <c r="M132" i="2"/>
  <c r="M131" i="2"/>
  <c r="M130" i="2"/>
  <c r="M129" i="2"/>
  <c r="M128" i="2"/>
  <c r="M127" i="2"/>
  <c r="M126" i="2"/>
  <c r="M125" i="2"/>
  <c r="M124" i="2"/>
  <c r="M123" i="2"/>
  <c r="M122" i="2"/>
  <c r="M121" i="2"/>
  <c r="M120" i="2"/>
  <c r="M119" i="2"/>
  <c r="M118" i="2"/>
  <c r="M117" i="2"/>
  <c r="M116" i="2"/>
  <c r="M115" i="2"/>
  <c r="M114" i="2"/>
  <c r="M113" i="2"/>
  <c r="M112" i="2"/>
  <c r="M111" i="2"/>
  <c r="M110" i="2"/>
  <c r="M109" i="2"/>
  <c r="M108" i="2"/>
  <c r="M107" i="2"/>
  <c r="M106" i="2"/>
  <c r="M105" i="2"/>
  <c r="M104" i="2"/>
  <c r="M103" i="2"/>
  <c r="M102" i="2"/>
  <c r="M101" i="2"/>
  <c r="M100" i="2"/>
  <c r="M99" i="2"/>
  <c r="M98" i="2"/>
  <c r="M97" i="2"/>
  <c r="M96" i="2"/>
  <c r="M95" i="2"/>
  <c r="M94" i="2"/>
  <c r="M93" i="2"/>
  <c r="M92" i="2"/>
  <c r="M91" i="2"/>
  <c r="M90" i="2"/>
  <c r="M89" i="2"/>
  <c r="M88" i="2"/>
  <c r="M87" i="2"/>
  <c r="M86" i="2"/>
  <c r="M85" i="2"/>
  <c r="M84" i="2"/>
  <c r="M83" i="2"/>
  <c r="M82" i="2"/>
  <c r="M81" i="2"/>
  <c r="M80" i="2"/>
  <c r="M79" i="2"/>
  <c r="M78" i="2"/>
  <c r="M77" i="2"/>
  <c r="M76" i="2"/>
  <c r="M75" i="2"/>
  <c r="M74" i="2"/>
  <c r="M73" i="2"/>
  <c r="M72" i="2"/>
  <c r="M71" i="2"/>
  <c r="M70" i="2"/>
  <c r="M69" i="2"/>
  <c r="M68" i="2"/>
  <c r="M67" i="2"/>
  <c r="M66" i="2"/>
  <c r="M65" i="2"/>
  <c r="M64" i="2"/>
  <c r="M63" i="2"/>
  <c r="M62" i="2"/>
  <c r="M61" i="2"/>
  <c r="M60" i="2"/>
  <c r="M59" i="2"/>
  <c r="M58" i="2"/>
  <c r="M57" i="2"/>
  <c r="M56" i="2"/>
  <c r="M55" i="2"/>
  <c r="M54" i="2"/>
  <c r="M53" i="2"/>
  <c r="M52" i="2"/>
  <c r="M51" i="2"/>
  <c r="M50" i="2"/>
  <c r="M49" i="2"/>
  <c r="M48" i="2"/>
  <c r="M47" i="2"/>
  <c r="M46" i="2"/>
  <c r="M45" i="2"/>
  <c r="M44" i="2"/>
  <c r="M43" i="2"/>
  <c r="M42" i="2"/>
  <c r="M41" i="2"/>
  <c r="M40" i="2"/>
  <c r="M39" i="2"/>
  <c r="M38" i="2"/>
  <c r="M37" i="2"/>
  <c r="M36" i="2"/>
  <c r="M35" i="2"/>
  <c r="M34" i="2"/>
  <c r="M33" i="2"/>
  <c r="M32" i="2"/>
  <c r="M31" i="2"/>
  <c r="M30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M4" i="2"/>
  <c r="M3" i="2"/>
  <c r="M2" i="2"/>
  <c r="J21" i="2" l="1"/>
  <c r="L21" i="2" s="1"/>
  <c r="D21" i="2"/>
  <c r="C21" i="2"/>
  <c r="J20" i="2"/>
  <c r="L20" i="2" s="1"/>
  <c r="D20" i="2"/>
  <c r="C20" i="2"/>
  <c r="J19" i="2"/>
  <c r="L19" i="2" s="1"/>
  <c r="D19" i="2"/>
  <c r="C19" i="2"/>
  <c r="J18" i="2"/>
  <c r="L18" i="2" s="1"/>
  <c r="D18" i="2"/>
  <c r="C18" i="2"/>
  <c r="J17" i="2"/>
  <c r="L17" i="2" s="1"/>
  <c r="D17" i="2"/>
  <c r="C17" i="2"/>
  <c r="J16" i="2"/>
  <c r="L16" i="2" s="1"/>
  <c r="D16" i="2"/>
  <c r="C16" i="2"/>
  <c r="J15" i="2"/>
  <c r="L15" i="2" s="1"/>
  <c r="D15" i="2"/>
  <c r="C15" i="2"/>
  <c r="J14" i="2"/>
  <c r="L14" i="2" s="1"/>
  <c r="D14" i="2"/>
  <c r="C14" i="2"/>
  <c r="J13" i="2"/>
  <c r="L13" i="2" s="1"/>
  <c r="D13" i="2"/>
  <c r="C13" i="2"/>
  <c r="J12" i="2"/>
  <c r="L12" i="2" s="1"/>
  <c r="D12" i="2"/>
  <c r="C12" i="2"/>
  <c r="J11" i="2"/>
  <c r="L11" i="2" s="1"/>
  <c r="D11" i="2"/>
  <c r="C11" i="2"/>
  <c r="J10" i="2"/>
  <c r="L10" i="2" s="1"/>
  <c r="D10" i="2"/>
  <c r="C10" i="2"/>
  <c r="J9" i="2"/>
  <c r="L9" i="2" s="1"/>
  <c r="D9" i="2"/>
  <c r="C9" i="2"/>
  <c r="J8" i="2"/>
  <c r="L8" i="2" s="1"/>
  <c r="D8" i="2"/>
  <c r="C8" i="2"/>
  <c r="J7" i="2"/>
  <c r="L7" i="2" s="1"/>
  <c r="D7" i="2"/>
  <c r="C7" i="2"/>
  <c r="J6" i="2"/>
  <c r="L6" i="2" s="1"/>
  <c r="D6" i="2"/>
  <c r="C6" i="2"/>
  <c r="J5" i="2"/>
  <c r="L5" i="2" s="1"/>
  <c r="D5" i="2"/>
  <c r="C5" i="2"/>
  <c r="J4" i="2"/>
  <c r="L4" i="2" s="1"/>
  <c r="D4" i="2"/>
  <c r="C4" i="2"/>
  <c r="J3" i="2"/>
  <c r="L3" i="2" s="1"/>
  <c r="D3" i="2"/>
  <c r="C3" i="2"/>
  <c r="J2" i="2"/>
  <c r="L2" i="2" s="1"/>
  <c r="D2" i="2"/>
  <c r="C2" i="2"/>
  <c r="M273" i="2"/>
  <c r="M274" i="2"/>
  <c r="M275" i="2"/>
  <c r="M276" i="2"/>
  <c r="M277" i="2"/>
  <c r="M278" i="2"/>
  <c r="M279" i="2"/>
  <c r="M280" i="2"/>
  <c r="M281" i="2"/>
  <c r="M272" i="2"/>
  <c r="K2" i="2" l="1"/>
  <c r="K4" i="2"/>
  <c r="K6" i="2"/>
  <c r="K8" i="2"/>
  <c r="K10" i="2"/>
  <c r="K12" i="2"/>
  <c r="K14" i="2"/>
  <c r="K16" i="2"/>
  <c r="K18" i="2"/>
  <c r="K20" i="2"/>
  <c r="K3" i="2"/>
  <c r="K5" i="2"/>
  <c r="K7" i="2"/>
  <c r="K9" i="2"/>
  <c r="K11" i="2"/>
  <c r="K13" i="2"/>
  <c r="K15" i="2"/>
  <c r="K17" i="2"/>
  <c r="K19" i="2"/>
  <c r="K21" i="2"/>
  <c r="M263" i="2"/>
  <c r="M264" i="2"/>
  <c r="M265" i="2"/>
  <c r="M266" i="2"/>
  <c r="M268" i="2"/>
  <c r="M269" i="2"/>
  <c r="M262" i="2"/>
  <c r="J281" i="2"/>
  <c r="L281" i="2" s="1"/>
  <c r="D281" i="2"/>
  <c r="C281" i="2"/>
  <c r="J280" i="2"/>
  <c r="L280" i="2" s="1"/>
  <c r="D280" i="2"/>
  <c r="C280" i="2"/>
  <c r="J279" i="2"/>
  <c r="L279" i="2" s="1"/>
  <c r="D279" i="2"/>
  <c r="C279" i="2"/>
  <c r="J278" i="2"/>
  <c r="L278" i="2" s="1"/>
  <c r="D278" i="2"/>
  <c r="C278" i="2"/>
  <c r="J277" i="2"/>
  <c r="L277" i="2" s="1"/>
  <c r="D277" i="2"/>
  <c r="C277" i="2"/>
  <c r="J276" i="2"/>
  <c r="L276" i="2" s="1"/>
  <c r="D276" i="2"/>
  <c r="C276" i="2"/>
  <c r="J275" i="2"/>
  <c r="L275" i="2" s="1"/>
  <c r="D275" i="2"/>
  <c r="C275" i="2"/>
  <c r="J274" i="2"/>
  <c r="K274" i="2" s="1"/>
  <c r="D274" i="2"/>
  <c r="C274" i="2"/>
  <c r="J273" i="2"/>
  <c r="L273" i="2" s="1"/>
  <c r="D273" i="2"/>
  <c r="C273" i="2"/>
  <c r="J272" i="2"/>
  <c r="L272" i="2" s="1"/>
  <c r="D272" i="2"/>
  <c r="C272" i="2"/>
  <c r="J271" i="2"/>
  <c r="L271" i="2" s="1"/>
  <c r="D271" i="2"/>
  <c r="C271" i="2"/>
  <c r="J270" i="2"/>
  <c r="L270" i="2" s="1"/>
  <c r="D270" i="2"/>
  <c r="C270" i="2"/>
  <c r="J269" i="2"/>
  <c r="L269" i="2" s="1"/>
  <c r="D269" i="2"/>
  <c r="C269" i="2"/>
  <c r="J268" i="2"/>
  <c r="L268" i="2" s="1"/>
  <c r="D268" i="2"/>
  <c r="C268" i="2"/>
  <c r="J267" i="2"/>
  <c r="L267" i="2" s="1"/>
  <c r="D267" i="2"/>
  <c r="C267" i="2"/>
  <c r="J266" i="2"/>
  <c r="L266" i="2" s="1"/>
  <c r="D266" i="2"/>
  <c r="C266" i="2"/>
  <c r="J265" i="2"/>
  <c r="L265" i="2" s="1"/>
  <c r="D265" i="2"/>
  <c r="C265" i="2"/>
  <c r="J264" i="2"/>
  <c r="L264" i="2" s="1"/>
  <c r="D264" i="2"/>
  <c r="C264" i="2"/>
  <c r="J263" i="2"/>
  <c r="L263" i="2" s="1"/>
  <c r="D263" i="2"/>
  <c r="C263" i="2"/>
  <c r="J262" i="2"/>
  <c r="L262" i="2" s="1"/>
  <c r="D262" i="2"/>
  <c r="C262" i="2"/>
  <c r="D4" i="6"/>
  <c r="D5" i="6"/>
  <c r="D6" i="6"/>
  <c r="D7" i="6"/>
  <c r="D8" i="6"/>
  <c r="D9" i="6"/>
  <c r="M267" i="2" s="1"/>
  <c r="D10" i="6"/>
  <c r="M271" i="2" s="1"/>
  <c r="D11" i="6"/>
  <c r="D12" i="6"/>
  <c r="M270" i="2" s="1"/>
  <c r="C4" i="6"/>
  <c r="C5" i="6"/>
  <c r="C6" i="6"/>
  <c r="C7" i="6"/>
  <c r="C8" i="6"/>
  <c r="C9" i="6"/>
  <c r="C10" i="6"/>
  <c r="C11" i="6"/>
  <c r="C12" i="6"/>
  <c r="K281" i="2" l="1"/>
  <c r="K267" i="2"/>
  <c r="K265" i="2"/>
  <c r="K271" i="2"/>
  <c r="K275" i="2"/>
  <c r="K279" i="2"/>
  <c r="K269" i="2"/>
  <c r="K273" i="2"/>
  <c r="K263" i="2"/>
  <c r="K277" i="2"/>
  <c r="K280" i="2"/>
  <c r="K276" i="2"/>
  <c r="K262" i="2"/>
  <c r="K264" i="2"/>
  <c r="K266" i="2"/>
  <c r="K268" i="2"/>
  <c r="K270" i="2"/>
  <c r="K272" i="2"/>
  <c r="K278" i="2"/>
  <c r="L274" i="2"/>
  <c r="D23" i="2" l="1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2" i="2"/>
  <c r="J23" i="2"/>
  <c r="L23" i="2" s="1"/>
  <c r="J24" i="2"/>
  <c r="L24" i="2" s="1"/>
  <c r="J25" i="2"/>
  <c r="L25" i="2" s="1"/>
  <c r="J26" i="2"/>
  <c r="L26" i="2" s="1"/>
  <c r="J27" i="2"/>
  <c r="L27" i="2" s="1"/>
  <c r="J28" i="2"/>
  <c r="L28" i="2" s="1"/>
  <c r="J29" i="2"/>
  <c r="L29" i="2" s="1"/>
  <c r="J30" i="2"/>
  <c r="L30" i="2" s="1"/>
  <c r="J31" i="2"/>
  <c r="L31" i="2" s="1"/>
  <c r="J32" i="2"/>
  <c r="L32" i="2" s="1"/>
  <c r="J33" i="2"/>
  <c r="K33" i="2" s="1"/>
  <c r="J34" i="2"/>
  <c r="L34" i="2" s="1"/>
  <c r="J35" i="2"/>
  <c r="L35" i="2" s="1"/>
  <c r="J36" i="2"/>
  <c r="L36" i="2" s="1"/>
  <c r="J37" i="2"/>
  <c r="L37" i="2" s="1"/>
  <c r="J38" i="2"/>
  <c r="L38" i="2" s="1"/>
  <c r="J39" i="2"/>
  <c r="L39" i="2" s="1"/>
  <c r="J40" i="2"/>
  <c r="L40" i="2" s="1"/>
  <c r="J41" i="2"/>
  <c r="L41" i="2" s="1"/>
  <c r="J42" i="2"/>
  <c r="L42" i="2" s="1"/>
  <c r="J43" i="2"/>
  <c r="L43" i="2" s="1"/>
  <c r="J44" i="2"/>
  <c r="L44" i="2" s="1"/>
  <c r="J45" i="2"/>
  <c r="L45" i="2" s="1"/>
  <c r="J46" i="2"/>
  <c r="L46" i="2" s="1"/>
  <c r="J47" i="2"/>
  <c r="L47" i="2" s="1"/>
  <c r="J48" i="2"/>
  <c r="L48" i="2" s="1"/>
  <c r="J49" i="2"/>
  <c r="L49" i="2" s="1"/>
  <c r="J50" i="2"/>
  <c r="L50" i="2" s="1"/>
  <c r="J51" i="2"/>
  <c r="L51" i="2" s="1"/>
  <c r="J52" i="2"/>
  <c r="L52" i="2" s="1"/>
  <c r="J53" i="2"/>
  <c r="L53" i="2" s="1"/>
  <c r="J54" i="2"/>
  <c r="L54" i="2" s="1"/>
  <c r="J55" i="2"/>
  <c r="L55" i="2" s="1"/>
  <c r="J56" i="2"/>
  <c r="L56" i="2" s="1"/>
  <c r="J57" i="2"/>
  <c r="L57" i="2" s="1"/>
  <c r="J58" i="2"/>
  <c r="L58" i="2" s="1"/>
  <c r="J59" i="2"/>
  <c r="L59" i="2" s="1"/>
  <c r="J60" i="2"/>
  <c r="L60" i="2" s="1"/>
  <c r="J61" i="2"/>
  <c r="L61" i="2" s="1"/>
  <c r="J62" i="2"/>
  <c r="L62" i="2" s="1"/>
  <c r="J63" i="2"/>
  <c r="L63" i="2" s="1"/>
  <c r="J64" i="2"/>
  <c r="L64" i="2" s="1"/>
  <c r="J65" i="2"/>
  <c r="L65" i="2" s="1"/>
  <c r="J66" i="2"/>
  <c r="L66" i="2" s="1"/>
  <c r="J67" i="2"/>
  <c r="L67" i="2" s="1"/>
  <c r="J68" i="2"/>
  <c r="L68" i="2" s="1"/>
  <c r="J69" i="2"/>
  <c r="K69" i="2" s="1"/>
  <c r="J70" i="2"/>
  <c r="L70" i="2" s="1"/>
  <c r="J71" i="2"/>
  <c r="L71" i="2" s="1"/>
  <c r="J72" i="2"/>
  <c r="L72" i="2" s="1"/>
  <c r="J73" i="2"/>
  <c r="L73" i="2" s="1"/>
  <c r="J74" i="2"/>
  <c r="L74" i="2" s="1"/>
  <c r="J75" i="2"/>
  <c r="L75" i="2" s="1"/>
  <c r="J76" i="2"/>
  <c r="L76" i="2" s="1"/>
  <c r="J77" i="2"/>
  <c r="L77" i="2" s="1"/>
  <c r="J78" i="2"/>
  <c r="L78" i="2" s="1"/>
  <c r="J79" i="2"/>
  <c r="L79" i="2" s="1"/>
  <c r="J80" i="2"/>
  <c r="L80" i="2" s="1"/>
  <c r="J81" i="2"/>
  <c r="K81" i="2" s="1"/>
  <c r="J82" i="2"/>
  <c r="L82" i="2" s="1"/>
  <c r="J83" i="2"/>
  <c r="L83" i="2" s="1"/>
  <c r="J84" i="2"/>
  <c r="L84" i="2" s="1"/>
  <c r="J85" i="2"/>
  <c r="L85" i="2" s="1"/>
  <c r="J86" i="2"/>
  <c r="L86" i="2" s="1"/>
  <c r="J87" i="2"/>
  <c r="L87" i="2" s="1"/>
  <c r="J88" i="2"/>
  <c r="L88" i="2" s="1"/>
  <c r="J89" i="2"/>
  <c r="L89" i="2" s="1"/>
  <c r="J90" i="2"/>
  <c r="L90" i="2" s="1"/>
  <c r="J91" i="2"/>
  <c r="L91" i="2" s="1"/>
  <c r="J92" i="2"/>
  <c r="L92" i="2" s="1"/>
  <c r="J93" i="2"/>
  <c r="L93" i="2" s="1"/>
  <c r="J94" i="2"/>
  <c r="L94" i="2" s="1"/>
  <c r="J95" i="2"/>
  <c r="L95" i="2" s="1"/>
  <c r="J96" i="2"/>
  <c r="L96" i="2" s="1"/>
  <c r="J97" i="2"/>
  <c r="L97" i="2" s="1"/>
  <c r="J98" i="2"/>
  <c r="L98" i="2" s="1"/>
  <c r="J99" i="2"/>
  <c r="L99" i="2" s="1"/>
  <c r="J100" i="2"/>
  <c r="L100" i="2" s="1"/>
  <c r="J101" i="2"/>
  <c r="L101" i="2" s="1"/>
  <c r="J102" i="2"/>
  <c r="L102" i="2" s="1"/>
  <c r="J103" i="2"/>
  <c r="L103" i="2" s="1"/>
  <c r="J104" i="2"/>
  <c r="L104" i="2" s="1"/>
  <c r="J105" i="2"/>
  <c r="K105" i="2" s="1"/>
  <c r="J106" i="2"/>
  <c r="L106" i="2" s="1"/>
  <c r="J107" i="2"/>
  <c r="L107" i="2" s="1"/>
  <c r="J108" i="2"/>
  <c r="L108" i="2" s="1"/>
  <c r="J109" i="2"/>
  <c r="L109" i="2" s="1"/>
  <c r="J110" i="2"/>
  <c r="L110" i="2" s="1"/>
  <c r="J111" i="2"/>
  <c r="L111" i="2" s="1"/>
  <c r="J112" i="2"/>
  <c r="L112" i="2" s="1"/>
  <c r="J113" i="2"/>
  <c r="L113" i="2" s="1"/>
  <c r="J114" i="2"/>
  <c r="L114" i="2" s="1"/>
  <c r="J115" i="2"/>
  <c r="L115" i="2" s="1"/>
  <c r="J116" i="2"/>
  <c r="L116" i="2" s="1"/>
  <c r="J117" i="2"/>
  <c r="K117" i="2" s="1"/>
  <c r="J118" i="2"/>
  <c r="L118" i="2" s="1"/>
  <c r="J119" i="2"/>
  <c r="L119" i="2" s="1"/>
  <c r="J120" i="2"/>
  <c r="L120" i="2" s="1"/>
  <c r="J121" i="2"/>
  <c r="L121" i="2" s="1"/>
  <c r="J122" i="2"/>
  <c r="L122" i="2" s="1"/>
  <c r="J123" i="2"/>
  <c r="L123" i="2" s="1"/>
  <c r="J124" i="2"/>
  <c r="L124" i="2" s="1"/>
  <c r="J125" i="2"/>
  <c r="L125" i="2" s="1"/>
  <c r="J126" i="2"/>
  <c r="L126" i="2" s="1"/>
  <c r="J127" i="2"/>
  <c r="L127" i="2" s="1"/>
  <c r="J128" i="2"/>
  <c r="L128" i="2" s="1"/>
  <c r="J129" i="2"/>
  <c r="L129" i="2" s="1"/>
  <c r="J130" i="2"/>
  <c r="L130" i="2" s="1"/>
  <c r="J131" i="2"/>
  <c r="L131" i="2" s="1"/>
  <c r="J132" i="2"/>
  <c r="L132" i="2" s="1"/>
  <c r="J133" i="2"/>
  <c r="L133" i="2" s="1"/>
  <c r="J134" i="2"/>
  <c r="L134" i="2" s="1"/>
  <c r="J135" i="2"/>
  <c r="L135" i="2" s="1"/>
  <c r="J136" i="2"/>
  <c r="L136" i="2" s="1"/>
  <c r="J137" i="2"/>
  <c r="L137" i="2" s="1"/>
  <c r="J138" i="2"/>
  <c r="L138" i="2" s="1"/>
  <c r="J139" i="2"/>
  <c r="L139" i="2" s="1"/>
  <c r="J140" i="2"/>
  <c r="L140" i="2" s="1"/>
  <c r="J141" i="2"/>
  <c r="L141" i="2" s="1"/>
  <c r="J142" i="2"/>
  <c r="L142" i="2" s="1"/>
  <c r="J143" i="2"/>
  <c r="L143" i="2" s="1"/>
  <c r="J144" i="2"/>
  <c r="L144" i="2" s="1"/>
  <c r="J145" i="2"/>
  <c r="L145" i="2" s="1"/>
  <c r="J146" i="2"/>
  <c r="L146" i="2" s="1"/>
  <c r="J147" i="2"/>
  <c r="L147" i="2" s="1"/>
  <c r="J148" i="2"/>
  <c r="L148" i="2" s="1"/>
  <c r="J149" i="2"/>
  <c r="L149" i="2" s="1"/>
  <c r="J150" i="2"/>
  <c r="L150" i="2" s="1"/>
  <c r="J151" i="2"/>
  <c r="L151" i="2" s="1"/>
  <c r="J152" i="2"/>
  <c r="L152" i="2" s="1"/>
  <c r="J153" i="2"/>
  <c r="K153" i="2" s="1"/>
  <c r="J154" i="2"/>
  <c r="L154" i="2" s="1"/>
  <c r="J155" i="2"/>
  <c r="L155" i="2" s="1"/>
  <c r="J156" i="2"/>
  <c r="L156" i="2" s="1"/>
  <c r="J157" i="2"/>
  <c r="L157" i="2" s="1"/>
  <c r="J158" i="2"/>
  <c r="L158" i="2" s="1"/>
  <c r="J159" i="2"/>
  <c r="L159" i="2" s="1"/>
  <c r="J160" i="2"/>
  <c r="L160" i="2" s="1"/>
  <c r="J161" i="2"/>
  <c r="L161" i="2" s="1"/>
  <c r="J162" i="2"/>
  <c r="L162" i="2" s="1"/>
  <c r="J163" i="2"/>
  <c r="L163" i="2" s="1"/>
  <c r="J164" i="2"/>
  <c r="L164" i="2" s="1"/>
  <c r="J165" i="2"/>
  <c r="L165" i="2" s="1"/>
  <c r="J166" i="2"/>
  <c r="L166" i="2" s="1"/>
  <c r="J167" i="2"/>
  <c r="L167" i="2" s="1"/>
  <c r="J168" i="2"/>
  <c r="L168" i="2" s="1"/>
  <c r="J169" i="2"/>
  <c r="L169" i="2" s="1"/>
  <c r="J170" i="2"/>
  <c r="L170" i="2" s="1"/>
  <c r="J171" i="2"/>
  <c r="L171" i="2" s="1"/>
  <c r="J172" i="2"/>
  <c r="L172" i="2" s="1"/>
  <c r="J173" i="2"/>
  <c r="L173" i="2" s="1"/>
  <c r="J174" i="2"/>
  <c r="L174" i="2" s="1"/>
  <c r="J175" i="2"/>
  <c r="L175" i="2" s="1"/>
  <c r="J176" i="2"/>
  <c r="L176" i="2" s="1"/>
  <c r="J177" i="2"/>
  <c r="L177" i="2" s="1"/>
  <c r="J178" i="2"/>
  <c r="L178" i="2" s="1"/>
  <c r="J179" i="2"/>
  <c r="L179" i="2" s="1"/>
  <c r="J180" i="2"/>
  <c r="L180" i="2" s="1"/>
  <c r="J181" i="2"/>
  <c r="L181" i="2" s="1"/>
  <c r="J182" i="2"/>
  <c r="L182" i="2" s="1"/>
  <c r="J183" i="2"/>
  <c r="L183" i="2" s="1"/>
  <c r="J184" i="2"/>
  <c r="L184" i="2" s="1"/>
  <c r="J185" i="2"/>
  <c r="L185" i="2" s="1"/>
  <c r="J186" i="2"/>
  <c r="L186" i="2" s="1"/>
  <c r="J187" i="2"/>
  <c r="L187" i="2" s="1"/>
  <c r="J188" i="2"/>
  <c r="L188" i="2" s="1"/>
  <c r="J189" i="2"/>
  <c r="K189" i="2" s="1"/>
  <c r="J190" i="2"/>
  <c r="L190" i="2" s="1"/>
  <c r="J191" i="2"/>
  <c r="L191" i="2" s="1"/>
  <c r="J192" i="2"/>
  <c r="L192" i="2" s="1"/>
  <c r="J193" i="2"/>
  <c r="L193" i="2" s="1"/>
  <c r="J194" i="2"/>
  <c r="L194" i="2" s="1"/>
  <c r="J195" i="2"/>
  <c r="L195" i="2" s="1"/>
  <c r="J196" i="2"/>
  <c r="L196" i="2" s="1"/>
  <c r="J197" i="2"/>
  <c r="L197" i="2" s="1"/>
  <c r="J198" i="2"/>
  <c r="L198" i="2" s="1"/>
  <c r="J199" i="2"/>
  <c r="L199" i="2" s="1"/>
  <c r="J200" i="2"/>
  <c r="L200" i="2" s="1"/>
  <c r="J201" i="2"/>
  <c r="K201" i="2" s="1"/>
  <c r="J202" i="2"/>
  <c r="L202" i="2" s="1"/>
  <c r="J203" i="2"/>
  <c r="L203" i="2" s="1"/>
  <c r="J204" i="2"/>
  <c r="L204" i="2" s="1"/>
  <c r="J205" i="2"/>
  <c r="L205" i="2" s="1"/>
  <c r="J206" i="2"/>
  <c r="L206" i="2" s="1"/>
  <c r="J207" i="2"/>
  <c r="L207" i="2" s="1"/>
  <c r="J208" i="2"/>
  <c r="L208" i="2" s="1"/>
  <c r="J209" i="2"/>
  <c r="L209" i="2" s="1"/>
  <c r="J210" i="2"/>
  <c r="L210" i="2" s="1"/>
  <c r="J211" i="2"/>
  <c r="L211" i="2" s="1"/>
  <c r="J212" i="2"/>
  <c r="L212" i="2" s="1"/>
  <c r="J213" i="2"/>
  <c r="L213" i="2" s="1"/>
  <c r="J214" i="2"/>
  <c r="L214" i="2" s="1"/>
  <c r="J215" i="2"/>
  <c r="L215" i="2" s="1"/>
  <c r="J216" i="2"/>
  <c r="L216" i="2" s="1"/>
  <c r="J217" i="2"/>
  <c r="L217" i="2" s="1"/>
  <c r="J218" i="2"/>
  <c r="L218" i="2" s="1"/>
  <c r="J219" i="2"/>
  <c r="L219" i="2" s="1"/>
  <c r="J220" i="2"/>
  <c r="L220" i="2" s="1"/>
  <c r="J221" i="2"/>
  <c r="L221" i="2" s="1"/>
  <c r="J222" i="2"/>
  <c r="L222" i="2" s="1"/>
  <c r="J223" i="2"/>
  <c r="L223" i="2" s="1"/>
  <c r="J224" i="2"/>
  <c r="L224" i="2" s="1"/>
  <c r="J225" i="2"/>
  <c r="L225" i="2" s="1"/>
  <c r="J226" i="2"/>
  <c r="L226" i="2" s="1"/>
  <c r="J227" i="2"/>
  <c r="L227" i="2" s="1"/>
  <c r="J228" i="2"/>
  <c r="L228" i="2" s="1"/>
  <c r="J229" i="2"/>
  <c r="L229" i="2" s="1"/>
  <c r="J230" i="2"/>
  <c r="L230" i="2" s="1"/>
  <c r="J231" i="2"/>
  <c r="L231" i="2" s="1"/>
  <c r="J232" i="2"/>
  <c r="L232" i="2" s="1"/>
  <c r="J233" i="2"/>
  <c r="L233" i="2" s="1"/>
  <c r="J234" i="2"/>
  <c r="L234" i="2" s="1"/>
  <c r="J235" i="2"/>
  <c r="L235" i="2" s="1"/>
  <c r="J236" i="2"/>
  <c r="L236" i="2" s="1"/>
  <c r="J237" i="2"/>
  <c r="K237" i="2" s="1"/>
  <c r="J238" i="2"/>
  <c r="L238" i="2" s="1"/>
  <c r="J239" i="2"/>
  <c r="L239" i="2" s="1"/>
  <c r="J240" i="2"/>
  <c r="L240" i="2" s="1"/>
  <c r="J241" i="2"/>
  <c r="L241" i="2" s="1"/>
  <c r="J242" i="2"/>
  <c r="L242" i="2" s="1"/>
  <c r="J243" i="2"/>
  <c r="L243" i="2" s="1"/>
  <c r="J244" i="2"/>
  <c r="L244" i="2" s="1"/>
  <c r="J245" i="2"/>
  <c r="L245" i="2" s="1"/>
  <c r="J246" i="2"/>
  <c r="L246" i="2" s="1"/>
  <c r="J247" i="2"/>
  <c r="L247" i="2" s="1"/>
  <c r="J248" i="2"/>
  <c r="L248" i="2" s="1"/>
  <c r="J249" i="2"/>
  <c r="K249" i="2" s="1"/>
  <c r="J250" i="2"/>
  <c r="L250" i="2" s="1"/>
  <c r="J251" i="2"/>
  <c r="L251" i="2" s="1"/>
  <c r="J252" i="2"/>
  <c r="L252" i="2" s="1"/>
  <c r="J253" i="2"/>
  <c r="L253" i="2" s="1"/>
  <c r="J254" i="2"/>
  <c r="L254" i="2" s="1"/>
  <c r="J255" i="2"/>
  <c r="L255" i="2" s="1"/>
  <c r="J256" i="2"/>
  <c r="L256" i="2" s="1"/>
  <c r="J257" i="2"/>
  <c r="L257" i="2" s="1"/>
  <c r="J258" i="2"/>
  <c r="L258" i="2" s="1"/>
  <c r="J259" i="2"/>
  <c r="L259" i="2" s="1"/>
  <c r="J260" i="2"/>
  <c r="L260" i="2" s="1"/>
  <c r="J261" i="2"/>
  <c r="L261" i="2" s="1"/>
  <c r="J22" i="2"/>
  <c r="L22" i="2" s="1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2" i="2"/>
  <c r="M213" i="2"/>
  <c r="M214" i="2"/>
  <c r="M215" i="2"/>
  <c r="M216" i="2"/>
  <c r="M217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3" i="2"/>
  <c r="M244" i="2"/>
  <c r="M245" i="2"/>
  <c r="M246" i="2"/>
  <c r="M247" i="2"/>
  <c r="M248" i="2"/>
  <c r="M249" i="2"/>
  <c r="M250" i="2"/>
  <c r="M251" i="2"/>
  <c r="M252" i="2"/>
  <c r="M253" i="2"/>
  <c r="M254" i="2"/>
  <c r="M255" i="2"/>
  <c r="M256" i="2"/>
  <c r="M257" i="2"/>
  <c r="M258" i="2"/>
  <c r="M259" i="2"/>
  <c r="M260" i="2"/>
  <c r="M261" i="2"/>
  <c r="M142" i="2"/>
  <c r="K22" i="2" l="1"/>
  <c r="K250" i="2"/>
  <c r="K238" i="2"/>
  <c r="K226" i="2"/>
  <c r="K214" i="2"/>
  <c r="K202" i="2"/>
  <c r="K190" i="2"/>
  <c r="K178" i="2"/>
  <c r="K166" i="2"/>
  <c r="K154" i="2"/>
  <c r="K142" i="2"/>
  <c r="K130" i="2"/>
  <c r="K118" i="2"/>
  <c r="K106" i="2"/>
  <c r="K94" i="2"/>
  <c r="K82" i="2"/>
  <c r="K70" i="2"/>
  <c r="K58" i="2"/>
  <c r="K46" i="2"/>
  <c r="K34" i="2"/>
  <c r="K261" i="2"/>
  <c r="K213" i="2"/>
  <c r="K177" i="2"/>
  <c r="K129" i="2"/>
  <c r="K93" i="2"/>
  <c r="K57" i="2"/>
  <c r="L249" i="2"/>
  <c r="L237" i="2"/>
  <c r="L201" i="2"/>
  <c r="L189" i="2"/>
  <c r="L153" i="2"/>
  <c r="L117" i="2"/>
  <c r="L105" i="2"/>
  <c r="L81" i="2"/>
  <c r="L69" i="2"/>
  <c r="L33" i="2"/>
  <c r="K260" i="2"/>
  <c r="K248" i="2"/>
  <c r="K236" i="2"/>
  <c r="K224" i="2"/>
  <c r="K212" i="2"/>
  <c r="K200" i="2"/>
  <c r="K188" i="2"/>
  <c r="K176" i="2"/>
  <c r="K164" i="2"/>
  <c r="K152" i="2"/>
  <c r="K140" i="2"/>
  <c r="K128" i="2"/>
  <c r="K116" i="2"/>
  <c r="K104" i="2"/>
  <c r="K92" i="2"/>
  <c r="K80" i="2"/>
  <c r="K68" i="2"/>
  <c r="K56" i="2"/>
  <c r="K44" i="2"/>
  <c r="K32" i="2"/>
  <c r="K225" i="2"/>
  <c r="K141" i="2"/>
  <c r="K259" i="2"/>
  <c r="K247" i="2"/>
  <c r="K235" i="2"/>
  <c r="K223" i="2"/>
  <c r="K211" i="2"/>
  <c r="K199" i="2"/>
  <c r="K187" i="2"/>
  <c r="K175" i="2"/>
  <c r="K163" i="2"/>
  <c r="K151" i="2"/>
  <c r="K139" i="2"/>
  <c r="K127" i="2"/>
  <c r="K115" i="2"/>
  <c r="K103" i="2"/>
  <c r="K91" i="2"/>
  <c r="K79" i="2"/>
  <c r="K67" i="2"/>
  <c r="K55" i="2"/>
  <c r="K43" i="2"/>
  <c r="K31" i="2"/>
  <c r="K165" i="2"/>
  <c r="K45" i="2"/>
  <c r="K258" i="2"/>
  <c r="K246" i="2"/>
  <c r="K234" i="2"/>
  <c r="K222" i="2"/>
  <c r="K210" i="2"/>
  <c r="K198" i="2"/>
  <c r="K186" i="2"/>
  <c r="K174" i="2"/>
  <c r="K162" i="2"/>
  <c r="K150" i="2"/>
  <c r="K138" i="2"/>
  <c r="K126" i="2"/>
  <c r="K114" i="2"/>
  <c r="K102" i="2"/>
  <c r="K90" i="2"/>
  <c r="K78" i="2"/>
  <c r="K66" i="2"/>
  <c r="K54" i="2"/>
  <c r="K42" i="2"/>
  <c r="K30" i="2"/>
  <c r="K257" i="2"/>
  <c r="K245" i="2"/>
  <c r="K233" i="2"/>
  <c r="K221" i="2"/>
  <c r="K209" i="2"/>
  <c r="K197" i="2"/>
  <c r="K185" i="2"/>
  <c r="K173" i="2"/>
  <c r="K161" i="2"/>
  <c r="K149" i="2"/>
  <c r="K137" i="2"/>
  <c r="K125" i="2"/>
  <c r="K113" i="2"/>
  <c r="K101" i="2"/>
  <c r="K89" i="2"/>
  <c r="K77" i="2"/>
  <c r="K65" i="2"/>
  <c r="K53" i="2"/>
  <c r="K41" i="2"/>
  <c r="K29" i="2"/>
  <c r="K256" i="2"/>
  <c r="K244" i="2"/>
  <c r="K232" i="2"/>
  <c r="K220" i="2"/>
  <c r="K208" i="2"/>
  <c r="K196" i="2"/>
  <c r="K184" i="2"/>
  <c r="K172" i="2"/>
  <c r="K160" i="2"/>
  <c r="K148" i="2"/>
  <c r="K136" i="2"/>
  <c r="K124" i="2"/>
  <c r="K112" i="2"/>
  <c r="K100" i="2"/>
  <c r="K88" i="2"/>
  <c r="K76" i="2"/>
  <c r="K64" i="2"/>
  <c r="K52" i="2"/>
  <c r="K40" i="2"/>
  <c r="K28" i="2"/>
  <c r="K255" i="2"/>
  <c r="K243" i="2"/>
  <c r="K231" i="2"/>
  <c r="K219" i="2"/>
  <c r="K207" i="2"/>
  <c r="K195" i="2"/>
  <c r="K183" i="2"/>
  <c r="K171" i="2"/>
  <c r="K159" i="2"/>
  <c r="K147" i="2"/>
  <c r="K135" i="2"/>
  <c r="K123" i="2"/>
  <c r="K111" i="2"/>
  <c r="K99" i="2"/>
  <c r="K87" i="2"/>
  <c r="K75" i="2"/>
  <c r="K63" i="2"/>
  <c r="K51" i="2"/>
  <c r="K39" i="2"/>
  <c r="K27" i="2"/>
  <c r="K254" i="2"/>
  <c r="K242" i="2"/>
  <c r="K230" i="2"/>
  <c r="K218" i="2"/>
  <c r="K206" i="2"/>
  <c r="K194" i="2"/>
  <c r="K182" i="2"/>
  <c r="K170" i="2"/>
  <c r="K158" i="2"/>
  <c r="K146" i="2"/>
  <c r="K134" i="2"/>
  <c r="K122" i="2"/>
  <c r="K110" i="2"/>
  <c r="K98" i="2"/>
  <c r="K86" i="2"/>
  <c r="K74" i="2"/>
  <c r="K62" i="2"/>
  <c r="K50" i="2"/>
  <c r="K38" i="2"/>
  <c r="K26" i="2"/>
  <c r="K253" i="2"/>
  <c r="K241" i="2"/>
  <c r="K229" i="2"/>
  <c r="K217" i="2"/>
  <c r="K205" i="2"/>
  <c r="K193" i="2"/>
  <c r="K181" i="2"/>
  <c r="K169" i="2"/>
  <c r="K157" i="2"/>
  <c r="K145" i="2"/>
  <c r="K133" i="2"/>
  <c r="K121" i="2"/>
  <c r="K109" i="2"/>
  <c r="K97" i="2"/>
  <c r="K85" i="2"/>
  <c r="K73" i="2"/>
  <c r="K61" i="2"/>
  <c r="K49" i="2"/>
  <c r="K37" i="2"/>
  <c r="K25" i="2"/>
  <c r="K252" i="2"/>
  <c r="K240" i="2"/>
  <c r="K228" i="2"/>
  <c r="K216" i="2"/>
  <c r="K204" i="2"/>
  <c r="K192" i="2"/>
  <c r="K180" i="2"/>
  <c r="K168" i="2"/>
  <c r="K156" i="2"/>
  <c r="K144" i="2"/>
  <c r="K132" i="2"/>
  <c r="K120" i="2"/>
  <c r="K108" i="2"/>
  <c r="K96" i="2"/>
  <c r="K84" i="2"/>
  <c r="K72" i="2"/>
  <c r="K60" i="2"/>
  <c r="K48" i="2"/>
  <c r="K36" i="2"/>
  <c r="K24" i="2"/>
  <c r="K251" i="2"/>
  <c r="K239" i="2"/>
  <c r="K227" i="2"/>
  <c r="K215" i="2"/>
  <c r="K203" i="2"/>
  <c r="K191" i="2"/>
  <c r="K179" i="2"/>
  <c r="K167" i="2"/>
  <c r="K155" i="2"/>
  <c r="K143" i="2"/>
  <c r="K131" i="2"/>
  <c r="K119" i="2"/>
  <c r="K107" i="2"/>
  <c r="K95" i="2"/>
  <c r="K83" i="2"/>
  <c r="K71" i="2"/>
  <c r="K59" i="2"/>
  <c r="K47" i="2"/>
  <c r="K35" i="2"/>
  <c r="K23" i="2"/>
</calcChain>
</file>

<file path=xl/sharedStrings.xml><?xml version="1.0" encoding="utf-8"?>
<sst xmlns="http://schemas.openxmlformats.org/spreadsheetml/2006/main" count="16220" uniqueCount="703">
  <si>
    <t>REGIONAL</t>
  </si>
  <si>
    <t>NM_CANAL_AJUSTADO</t>
  </si>
  <si>
    <t>NM_MERCADO</t>
  </si>
  <si>
    <t>INDICADOR DE NEGÓCIO</t>
  </si>
  <si>
    <t>NR_ANO_MES</t>
  </si>
  <si>
    <t>NM_PARCEIRO</t>
  </si>
  <si>
    <t>MÊS</t>
  </si>
  <si>
    <t>TEND.</t>
  </si>
  <si>
    <t>RSI</t>
  </si>
  <si>
    <t>Porta Porta Premium</t>
  </si>
  <si>
    <t>Pessoa Jurídica</t>
  </si>
  <si>
    <t>Instalação</t>
  </si>
  <si>
    <t>CLARO S.A. 4016906</t>
  </si>
  <si>
    <t>CLARO SA 4055200</t>
  </si>
  <si>
    <t>Venda Bruta</t>
  </si>
  <si>
    <t>CLARO SA 4094370</t>
  </si>
  <si>
    <t>Pessoa Física</t>
  </si>
  <si>
    <t>Lojas Proprias</t>
  </si>
  <si>
    <t>CLARO S.A.</t>
  </si>
  <si>
    <t>CLARO SA4027770</t>
  </si>
  <si>
    <t>CLARO SA4051990</t>
  </si>
  <si>
    <t>CLARO SA900</t>
  </si>
  <si>
    <t>CLARO S. A.44</t>
  </si>
  <si>
    <t>CLARO S. A.50</t>
  </si>
  <si>
    <t>CLARO SA4091274</t>
  </si>
  <si>
    <t>CLARO SA4052961</t>
  </si>
  <si>
    <t>CLARO  S. A</t>
  </si>
  <si>
    <t>CLARO SA4016817</t>
  </si>
  <si>
    <t>CLARO SA4013478</t>
  </si>
  <si>
    <t>CLARO SA4012072</t>
  </si>
  <si>
    <t>CLARO SA4007664</t>
  </si>
  <si>
    <t>CLARO SA4004649</t>
  </si>
  <si>
    <t>CLARO S. A. 30992</t>
  </si>
  <si>
    <t>CLARO SA4048859</t>
  </si>
  <si>
    <t>CLARO SA4016493</t>
  </si>
  <si>
    <t>CLARO SA4078332</t>
  </si>
  <si>
    <t>CLARO S. A.525</t>
  </si>
  <si>
    <t>CLARO SA4031026</t>
  </si>
  <si>
    <t>CLARO S. A 13800</t>
  </si>
  <si>
    <t>CLARO SA4032006</t>
  </si>
  <si>
    <t>CLARO SA4032189</t>
  </si>
  <si>
    <t>CLARO SA4053003</t>
  </si>
  <si>
    <t>CLARO SA</t>
  </si>
  <si>
    <t>CLARO BRASIL</t>
  </si>
  <si>
    <t>CLARO S. A.067</t>
  </si>
  <si>
    <t>CLARO S. A.</t>
  </si>
  <si>
    <t>CLARO SA4049235</t>
  </si>
  <si>
    <t>Hospitality PME</t>
  </si>
  <si>
    <t>CLARO S.A. 4082798</t>
  </si>
  <si>
    <t>DAC</t>
  </si>
  <si>
    <t>TEL  CENTRO DE CONTATOS LTDA</t>
  </si>
  <si>
    <t>ALMAVIVA DO BRASIL TELEMARKETING E INFORMATICA S/A</t>
  </si>
  <si>
    <t>NAO INFORMADO</t>
  </si>
  <si>
    <t>TEL CENTRO DE CONTATOS LTDA</t>
  </si>
  <si>
    <t>Televendas Receptivo</t>
  </si>
  <si>
    <t>COBMAX CONTACT CENTER LTDA</t>
  </si>
  <si>
    <t>CALLINK SERVICOS DE CALL CENTER LTDA</t>
  </si>
  <si>
    <t>SADDI E SANTOS LTDA.</t>
  </si>
  <si>
    <t>AEC CENTRO DE CONTATOS S/A</t>
  </si>
  <si>
    <t>Agente Autorizado Claro Empresas</t>
  </si>
  <si>
    <t>DATAVOXX SOLUCOES LTDA</t>
  </si>
  <si>
    <t>ALIANCA SUL CONTACT CENTER LTDA</t>
  </si>
  <si>
    <t>INTER SOLUCOES EM SERVICOS LTDA</t>
  </si>
  <si>
    <t>MZ SERVICOS EM TELEFONIA MOVEL E FIXA LTDA</t>
  </si>
  <si>
    <t>DAVI RIBEIRO AVILES ME</t>
  </si>
  <si>
    <t>R &amp; C TELECOM LTDA</t>
  </si>
  <si>
    <t>PRIME SOLUCOES LTDA</t>
  </si>
  <si>
    <t>VFA NASCIMENTO EIRELI ME</t>
  </si>
  <si>
    <t>NEXUS CONSULTORIA EM TELECOMUNICACOES EIRELI</t>
  </si>
  <si>
    <t>VST AGENCIAMENTO E SERVICOS LTDA</t>
  </si>
  <si>
    <t>FUTURA 7 SOLUCOES EM TELECOMUNICACOES LTDA EPP</t>
  </si>
  <si>
    <t>V &amp; A  COMERCIO DE APARELHOS ELETRONICOS LTDA</t>
  </si>
  <si>
    <t>RR PROMOCAO DE VENDAS E COMERCIO LTDA</t>
  </si>
  <si>
    <t>ZERO11 TELECOMUNICACOES LTDA EPP</t>
  </si>
  <si>
    <t>TELEBAT EQUIPAMENTOS ELETRONICOS LTDA ME</t>
  </si>
  <si>
    <t>PROMO M EIRELI ME</t>
  </si>
  <si>
    <t>ALIANCA SUL CONTACT CENTER EIRELI</t>
  </si>
  <si>
    <t>LUCRATIVE SOLUTIONS APOIO AS EMPRESAS NAS NEGOCIACOES DE CONTRATO LTDA</t>
  </si>
  <si>
    <t>BRAVO TELECOM PRESTADORA DE SERVICO LTDA</t>
  </si>
  <si>
    <t>EMPRESARIAL PRIME SERVICOS DE TELECOMUNICACAO LTDA</t>
  </si>
  <si>
    <t>TAK MOVEL SERVICOS EMPRESARIAIS LTDA</t>
  </si>
  <si>
    <t>Porta Porta Massivo</t>
  </si>
  <si>
    <t>SPOROS TELECOM LTDA</t>
  </si>
  <si>
    <t>LIVE ONE TRADE MARKETING LTDA</t>
  </si>
  <si>
    <t>CONEXOES TELECOM LTDA</t>
  </si>
  <si>
    <t>J.J.A. TELECOM PREPRESENTACAO COMERCIAL LTDA</t>
  </si>
  <si>
    <t>ALMAVIVA DO BRASIL S.A.</t>
  </si>
  <si>
    <t>NEW TECHNOLOGIES SERVICOS DE TELECOMUNICACAO E TV POR ASSINATURA EIRELI</t>
  </si>
  <si>
    <t>PRIME CONNEXION LTDA</t>
  </si>
  <si>
    <t>GP TELECOM SERVICOS E REPRESENTACOES LTDA</t>
  </si>
  <si>
    <t>KP DOS SANTOS EIRELI</t>
  </si>
  <si>
    <t>M.A. CURTI INTERMEDIACOES DE VENDAS LTDA</t>
  </si>
  <si>
    <t>KLEBER RODRIGO DA SILVA</t>
  </si>
  <si>
    <t>FARIAS &amp; FARIAS APOIO ADMINISTRATIVO LTDA</t>
  </si>
  <si>
    <t>JB2 COMERCIO E INTERMEDIACAO DE NEGOCIOS LTDA</t>
  </si>
  <si>
    <t>STELL TELECOM COMERCIO E REPRESENTACAO DE CELULARES LTDA</t>
  </si>
  <si>
    <t>JM TELECON LTDA</t>
  </si>
  <si>
    <t>SAGG ASSESSORIA EMPRESARIAL LTDA</t>
  </si>
  <si>
    <t>TCELL COMERCIO DE TELEFONIA LTDA</t>
  </si>
  <si>
    <t>MTM SOLUCOES E REPRESENTACOES LTDA</t>
  </si>
  <si>
    <t>Porta Porta PME</t>
  </si>
  <si>
    <t>CLARO SA 4000147</t>
  </si>
  <si>
    <t>CLARO S A</t>
  </si>
  <si>
    <t>Porta Porta Indireto PME</t>
  </si>
  <si>
    <t>A S BISPO INTERMEDIACOES</t>
  </si>
  <si>
    <t>REITERAR SERVICOS EMPRESARIAIS LTDA</t>
  </si>
  <si>
    <t>MD CORP LTDA</t>
  </si>
  <si>
    <t>STARTECH CONSULTORIA EM TELECOMUNICACOES LTDA</t>
  </si>
  <si>
    <t>ESTEFANIA COSTA VIEIRA</t>
  </si>
  <si>
    <t>SABRINA SANTOS INTERMEDIACOES DE NEGOCIOS LTDA</t>
  </si>
  <si>
    <t>AEC CENTRO DE CONTATOS S A</t>
  </si>
  <si>
    <t>VITORIA TELECOM LTDA</t>
  </si>
  <si>
    <t>SCRIPT CALL CENTER SERVICOS DE TELEATENDIMENTO LTDA ME</t>
  </si>
  <si>
    <t>THIAGO FERREIRA DO AMARAL</t>
  </si>
  <si>
    <t>ALERT BPO SOLUCOES INTEGRADAS LTDA</t>
  </si>
  <si>
    <t>EMBRATECH TELECOMUNICACOES LTDA</t>
  </si>
  <si>
    <t>TEREZINHA DE JESUS ARAUJO ALVES ME</t>
  </si>
  <si>
    <t>PRIME TELECOM LTDA</t>
  </si>
  <si>
    <t>XF7 TELEATENDIMENTO LTDA ME</t>
  </si>
  <si>
    <t>BALDUS E GOMES SERVICOS DE TELEMARKETING LTDA</t>
  </si>
  <si>
    <t>DEISE NOGUEIRA DA SILVA 27166387807</t>
  </si>
  <si>
    <t>AF TELECOMUNICACAO LTDA</t>
  </si>
  <si>
    <t>EMPREENDEDOR WEB NEGOCIOS E SERVICOS LTDA</t>
  </si>
  <si>
    <t>W N &amp; REPRESENTACOES LTDA</t>
  </si>
  <si>
    <t>MEGA CONEXAO FIBRA LTDA</t>
  </si>
  <si>
    <t>FASTSELL LTDA</t>
  </si>
  <si>
    <t>NAVIKA TELECOMUNICACAO LTDA</t>
  </si>
  <si>
    <t>EVOLUCAO TELECOMUNICACOES LTDA</t>
  </si>
  <si>
    <t>TELETOTAL COMUNICACAO LTDA</t>
  </si>
  <si>
    <t>CONECT FIBRA GESTAO EM TELECOMUNICACOES LTDA</t>
  </si>
  <si>
    <t>JANE MARIA CRUZ DE OLIVEIRA LONGUINHOS</t>
  </si>
  <si>
    <t>C2 TECNOLOGIA INTERMEDIACAO E AGENCIAMENTO DE NEGOCIOS LTDA</t>
  </si>
  <si>
    <t>ATIVINET SERVICOS DE TELECOMUNICACAO LTDA ME</t>
  </si>
  <si>
    <t>MARCO REPRESENTATIVO E PROMOCOES LTDA</t>
  </si>
  <si>
    <t>TLGP TELECOM LTDA</t>
  </si>
  <si>
    <t>SUPREMA TELECOMUNICACOES LTDA</t>
  </si>
  <si>
    <t>TOP PME</t>
  </si>
  <si>
    <t>CLARO S.A. 4083255</t>
  </si>
  <si>
    <t>HITSS DO BRASIL SERVICOS TECNOLOGICOS LTDA</t>
  </si>
  <si>
    <t>Agente Autorizado</t>
  </si>
  <si>
    <t>RP COMERCIO E REPRESENTACAO EM TELECOMUNICACOES LTDA</t>
  </si>
  <si>
    <t>HS TELECOM COMERCIO SERVICOS E REPRESENTACAO DE TELEFONIA MOVEL LTDA</t>
  </si>
  <si>
    <t>FLEX CELL COMERCIO DE CELULARES LTDA ME</t>
  </si>
  <si>
    <t>FLEX CELL COMERCIO DE CELULARES LTDA</t>
  </si>
  <si>
    <t>PRIME ARACATUBA CELULARES LTDA ME</t>
  </si>
  <si>
    <t>JP MACHADO TELEFONIA ME</t>
  </si>
  <si>
    <t>FLEX CELL  COMERCIO DE CELULARES LTDA  ME</t>
  </si>
  <si>
    <t>HS TELECOM  COM SERV E REPRESENT DE TELEFONIA MOVEL LTDA</t>
  </si>
  <si>
    <t>FW TELEFONIA LTDA EPP</t>
  </si>
  <si>
    <t>RP COMERCIO E REPRESENTACAO EM TELECOMUNICACOES 0100</t>
  </si>
  <si>
    <t>DOUGLAS LUIZ ELETRONICOS</t>
  </si>
  <si>
    <t>ADESIENE NUNES MACHADO - ME/</t>
  </si>
  <si>
    <t>RP COMERCIO E REPRESENTACAO EM TELECOMUNICACOES 263</t>
  </si>
  <si>
    <t>FB SERVICOS DE TELECOM LTDA</t>
  </si>
  <si>
    <t>JARBAS WILHAN ME</t>
  </si>
  <si>
    <t>HS TELECOM COM SERV E REPRESENT  DE TELEFONIA MOVEL LTDA</t>
  </si>
  <si>
    <t>CLARICELL SANTO AMARO TELECOMUNICACOES LTDA</t>
  </si>
  <si>
    <t>ADESIENE NUNES MACHADO</t>
  </si>
  <si>
    <t>DOM BARRETO COMERCIAL LTDA ME</t>
  </si>
  <si>
    <t>RP COMERCIO E REPRESENTACAO EM TELECOMUNICACOES EIRELI EPP</t>
  </si>
  <si>
    <t>DIEGO FERNANDES PEREIRA</t>
  </si>
  <si>
    <t>RP COMERCIO E REPRESENTACAO EM TELECOMUNICACOES 03207</t>
  </si>
  <si>
    <t>JF CELULARES LTDA</t>
  </si>
  <si>
    <t>BONELI BIAZI CELULARES EIRELI ME</t>
  </si>
  <si>
    <t>E-Commerce</t>
  </si>
  <si>
    <t>CSU CARDSYSTEM S A</t>
  </si>
  <si>
    <t>I. L. DA SILVA - TELEFONIA</t>
  </si>
  <si>
    <t>DOUGLAS RICARDO DA SILVA OLIVEIRA</t>
  </si>
  <si>
    <t>LA/ MA</t>
  </si>
  <si>
    <t>CLARO NXT TELECOMUNICACOES SA</t>
  </si>
  <si>
    <t>S2S</t>
  </si>
  <si>
    <t>Porta Porta BCC</t>
  </si>
  <si>
    <t>BRASILCENTER COMUNICACOES LTDA</t>
  </si>
  <si>
    <t>Porta Porta BCC PME</t>
  </si>
  <si>
    <t>RRE</t>
  </si>
  <si>
    <t>CLARO S.A. 4059036</t>
  </si>
  <si>
    <t>CLARO SA 4082445</t>
  </si>
  <si>
    <t>CLARO S.A. 4030135</t>
  </si>
  <si>
    <t>CLARO SA 4078170</t>
  </si>
  <si>
    <t>CLARO S.A</t>
  </si>
  <si>
    <t>CLARO - S--A.</t>
  </si>
  <si>
    <t>CLARO SA963</t>
  </si>
  <si>
    <t>CLARO SA 4007150</t>
  </si>
  <si>
    <t>CLARO188</t>
  </si>
  <si>
    <t>CLARO SA 4026880</t>
  </si>
  <si>
    <t>CLARO SA 4005378</t>
  </si>
  <si>
    <t>CLARO SA 4028238</t>
  </si>
  <si>
    <t>CLARO SA4086351</t>
  </si>
  <si>
    <t>CLARO S.A. 13710</t>
  </si>
  <si>
    <t>CLARO SA 4005882</t>
  </si>
  <si>
    <t>CLARO SA 4051566</t>
  </si>
  <si>
    <t>CLARO SA4053500</t>
  </si>
  <si>
    <t>CLARO SA 4051728</t>
  </si>
  <si>
    <t>CLARO S.A501</t>
  </si>
  <si>
    <t>CLARO S.A. 5530</t>
  </si>
  <si>
    <t>CLARO S.A---</t>
  </si>
  <si>
    <t>CLARO S.A40289</t>
  </si>
  <si>
    <t>CLARO SA 4049154</t>
  </si>
  <si>
    <t>CLARO S.A--</t>
  </si>
  <si>
    <t>CLARO SA ++</t>
  </si>
  <si>
    <t>CLARO S.A935</t>
  </si>
  <si>
    <t>CLARO.- S.A.</t>
  </si>
  <si>
    <t>CLARO SA 4004487</t>
  </si>
  <si>
    <t>CLARO S.A 707</t>
  </si>
  <si>
    <t>Não Informado</t>
  </si>
  <si>
    <t>HUSBY BRASIL COMERCIO E SERVICOS EIRELI</t>
  </si>
  <si>
    <t>SDC - COMERCIO E SERVICO LTDA</t>
  </si>
  <si>
    <t>ALIANCA SUL CONTACT CENTER EIRELI ME</t>
  </si>
  <si>
    <t>FW CORPORATIVO LTDA</t>
  </si>
  <si>
    <t>NEOCOM CONSULTORIA E INTERMEDIACAO DE NEGOCIOS LTDA</t>
  </si>
  <si>
    <t>TELENET SERVICOS DE TELECOMUNICACOES LTDA</t>
  </si>
  <si>
    <t>AVANT TELECOM EIRELI</t>
  </si>
  <si>
    <t>SINERGIA CONSULTORIA E TELECOMUNICACOES LTDA</t>
  </si>
  <si>
    <t>LEINAD COMERCIO E SERVICO EIRELL</t>
  </si>
  <si>
    <t>MASTER TELECOM AGENCIA DIGITAL LTDA</t>
  </si>
  <si>
    <t>ALO MIDDLE LTDA</t>
  </si>
  <si>
    <t>BR TELECOM SERVICOS EIRELI</t>
  </si>
  <si>
    <t>DS DE CANTUARIA JUNIOR SERVICOS E INTERMEDIACAO COMERCIAL</t>
  </si>
  <si>
    <t>VIVAMAIS TELECOM EIRELI</t>
  </si>
  <si>
    <t>KSSESINSKI AGENCIAMENTO E INVESTIMENTOS LTDA</t>
  </si>
  <si>
    <t>BRUNO DE JESUS SANTOS LTDA</t>
  </si>
  <si>
    <t>MEETING 01234 COMERCIO E SERVICOS DE TELEFONIAS E INFORMATICA LTDA ME</t>
  </si>
  <si>
    <t>JNF TELECOM LTDA</t>
  </si>
  <si>
    <t>CRM CONNECT TELECOM LTDA</t>
  </si>
  <si>
    <t>J3L SOLUCOES LTDA ME</t>
  </si>
  <si>
    <t>KONNECT LTDA</t>
  </si>
  <si>
    <t>ANDRE DA SILVA DA ROSA &amp; CIA LTDA</t>
  </si>
  <si>
    <t>TOP TELECOM LTDA</t>
  </si>
  <si>
    <t>FAJULUTI GAVEA TELECOM COMERCIO DE MATERIAL DE TELECOMUNICACAO LTDA</t>
  </si>
  <si>
    <t>PONTO CERTO COMERCIO  E  COMUNICACOES LTDA</t>
  </si>
  <si>
    <t>PONTO CERTO COMERCIO E COMUNICACOES LTDA</t>
  </si>
  <si>
    <t>GSM FREE TRES RIOS COMERCIO DE CELULARES LTDA ME</t>
  </si>
  <si>
    <t>MEXCELL COMERCIO E SERVICOS DE TELECOMUNICACOES LTDA</t>
  </si>
  <si>
    <t>MULHER DE PEDRA DE TERESOPOLIS COM DE ELETRONICOS  LTDA - ME</t>
  </si>
  <si>
    <t>GSM FREE DE TERESOPOLIS COMERCIO DE CELULARES LTDA ME</t>
  </si>
  <si>
    <t>FW TELEFONIA LTDA</t>
  </si>
  <si>
    <t>LEINAD COMERCIO E SERVICO LTDA</t>
  </si>
  <si>
    <t>INTERFACE CELL II MACAE LTDA</t>
  </si>
  <si>
    <t>GARA COMERCIO DE CELULAR EIRELI</t>
  </si>
  <si>
    <t>Outros</t>
  </si>
  <si>
    <t>EMBRATEL S.A.</t>
  </si>
  <si>
    <t>MOVILWAY COMERCIO E DISTRIBUIDORA LTDA</t>
  </si>
  <si>
    <t>CLARO S.A. 4071753</t>
  </si>
  <si>
    <t>RMG</t>
  </si>
  <si>
    <t>CLARO SA 4066911</t>
  </si>
  <si>
    <t>CLARO S.A.518</t>
  </si>
  <si>
    <t>CLARO SA 415</t>
  </si>
  <si>
    <t>CLARO SA 4050837</t>
  </si>
  <si>
    <t>CLARO S.A.620</t>
  </si>
  <si>
    <t>CLARO S.A. 569</t>
  </si>
  <si>
    <t>CLARO SA4090383</t>
  </si>
  <si>
    <t>CLARO.SA494</t>
  </si>
  <si>
    <t>CLARO S.A. 842</t>
  </si>
  <si>
    <t>CLARO S.A851</t>
  </si>
  <si>
    <t>CLARO S.A.\543</t>
  </si>
  <si>
    <t>CLARO SA4037490</t>
  </si>
  <si>
    <t>CLARO.SA640</t>
  </si>
  <si>
    <t>CLARO902</t>
  </si>
  <si>
    <t>HUSBY BRASIL COMERCIO E SERVIÇOS EIRELI</t>
  </si>
  <si>
    <t>BKOK CONSULTORIA LTDA</t>
  </si>
  <si>
    <t>MAQUINA DE VENDAS REPRESENTACOES COMERCIAIS LTDA</t>
  </si>
  <si>
    <t>JC INTERMEDIACAO E AGENCIAMENTO DE SERVICOS LTDA</t>
  </si>
  <si>
    <t>AFS SOLUCOES EM TELECOM EIRELI ME</t>
  </si>
  <si>
    <t>WESLEY SARAIVA DA SILVA 03072632669</t>
  </si>
  <si>
    <t>MF ENGENHARIA E SERVICOS LTDA</t>
  </si>
  <si>
    <t>AZEVEDO REPRESENTACOES E SERVICOS LTDA</t>
  </si>
  <si>
    <t>JLC CONSULTORIA E NEGOCIOS LTDA</t>
  </si>
  <si>
    <t>GV COMUNICACOES LTDA</t>
  </si>
  <si>
    <t>SAT PLUS ELETRONICA LTDA ME</t>
  </si>
  <si>
    <t>MENEZES E MATOS COMUNICACAO E CONSULTORIA</t>
  </si>
  <si>
    <t>CHAVE MARKETING LTDA</t>
  </si>
  <si>
    <t>WD TELECOM LTDA</t>
  </si>
  <si>
    <t>MAURICIO RODRIGUES DOS SANTOS JUNIOR</t>
  </si>
  <si>
    <t>ATEL COMERCIAL EIRELI LTDA</t>
  </si>
  <si>
    <t>NONNA TERCEIRIZACAO DE SERVICOS LTDA</t>
  </si>
  <si>
    <t>DIGITAL SERVICE LTDA</t>
  </si>
  <si>
    <t>MANFAR REPRESENTACOES LTDA</t>
  </si>
  <si>
    <t>MAFORTE REPRESENTACAO LTDA</t>
  </si>
  <si>
    <t>CLARO S A.</t>
  </si>
  <si>
    <t>ALFA TECNOLOGIA EIRELI</t>
  </si>
  <si>
    <t>GABIATTI E BUENO TELECOM LTDA</t>
  </si>
  <si>
    <t>ROSIMERE DA SILVA CABRAL</t>
  </si>
  <si>
    <t>ATTIVITA SOLUTIONS LTDA</t>
  </si>
  <si>
    <t>TELECELL TELEFONIA LTDA</t>
  </si>
  <si>
    <t>GLZ TELEFONIA MOVEL LTDA</t>
  </si>
  <si>
    <t>FOR CELL TELECOM LTDA</t>
  </si>
  <si>
    <t>SOLAR COMERCIO E SERVICOS DE TELEFONIA LTDA ME</t>
  </si>
  <si>
    <t>RPS</t>
  </si>
  <si>
    <t>CLARO S.A. 75155</t>
  </si>
  <si>
    <t>CLARO S/A - LS PS PATIO CHAPECO</t>
  </si>
  <si>
    <t>CLARO S.A. 727</t>
  </si>
  <si>
    <t>CLARO S.A.646</t>
  </si>
  <si>
    <t>CLARO S.A. 39000</t>
  </si>
  <si>
    <t>CLARO-CL LR PS MARINGA (CNPJ 0104-52)</t>
  </si>
  <si>
    <t>CLARO S.A. 836</t>
  </si>
  <si>
    <t>CLARO S.A. 7079</t>
  </si>
  <si>
    <t>CLARO SA 4043466</t>
  </si>
  <si>
    <t>CLARO-CL LS PS BEIRAMAR FLORIPA(CNPJ 0132-06)</t>
  </si>
  <si>
    <t>CLARO S.A. 22973</t>
  </si>
  <si>
    <t>CLARO SA 4025484</t>
  </si>
  <si>
    <t>CLARO S.A.098</t>
  </si>
  <si>
    <t>CLARO-CL QS PS MULLER - CWB (CNPJ 0148-73)</t>
  </si>
  <si>
    <t>CLARO SA 4050675</t>
  </si>
  <si>
    <t>YAB TELECOM INTERMEDIACAO DE LINHAS TELEFONICAS LTDA</t>
  </si>
  <si>
    <t>ALIANCA SUL CONTACT CENTER EIRELI - ME</t>
  </si>
  <si>
    <t>E JUNQUEIRA DA SILVEIRA LTDA</t>
  </si>
  <si>
    <t>EVERTON F DOS SANTOS VASCONCELLOS</t>
  </si>
  <si>
    <t>BENUZA DE FARIA BENTO SPELTZ</t>
  </si>
  <si>
    <t>AZM PAP SC TELECOMUNICACOES LTDA</t>
  </si>
  <si>
    <t>NEWLUX TECNOLOGIA LTDA</t>
  </si>
  <si>
    <t>MURILO JOSE TOMAZI</t>
  </si>
  <si>
    <t>DLS TELECOM LTDA</t>
  </si>
  <si>
    <t>J P BALLICO MULTISERVICOS CM</t>
  </si>
  <si>
    <t>ANDERSON DE LIMA ME..</t>
  </si>
  <si>
    <t>ULTRA TELECOM LTDA</t>
  </si>
  <si>
    <t>PROSPECT STORE LTDA</t>
  </si>
  <si>
    <t>CONNECT SERVICOS DE TELEFONIA LTDA</t>
  </si>
  <si>
    <t>A AMORIM INTERMEDIACOES LTDA</t>
  </si>
  <si>
    <t>PRUDENTE SOLUCOES E INTERMEDIACAO LTDA</t>
  </si>
  <si>
    <t>PLANEJE - CONSULTORIA LTDA</t>
  </si>
  <si>
    <t>VIAFACIL SOLUCOES LTDA</t>
  </si>
  <si>
    <t>CLICOM MARKETING SALES LTDA</t>
  </si>
  <si>
    <t>CRISTIANO CONCEICAO DA COSTA</t>
  </si>
  <si>
    <t>JL SOLUCOES LTDA</t>
  </si>
  <si>
    <t>CLARO S.A. 4070943</t>
  </si>
  <si>
    <t>CLINTEL COMERCIO DE APARELHOS ELETRONICOS EIRELI ME</t>
  </si>
  <si>
    <t>BANDEIRA TELEFONIA LTDA</t>
  </si>
  <si>
    <t>INTEGRA CONNECT TELECOMUNICACOES LTDA</t>
  </si>
  <si>
    <t>RP COMERCIO E REPRESENTACAO EM TELECOMUNICACOES 7032</t>
  </si>
  <si>
    <t>CARLOS EDUARDO SAVIAN151</t>
  </si>
  <si>
    <t>RP COMERCIO E REPRESENTACAO EM TELECOMUNICACOES 656</t>
  </si>
  <si>
    <t>CARLOS EDUARDO SAVIAN EPP</t>
  </si>
  <si>
    <t>ITAMARY TELEFONIA LTDA</t>
  </si>
  <si>
    <t>IDEAL COMERCIO E SERVICOS EM TELEFONIA LTDA</t>
  </si>
  <si>
    <t>VOICE CENTER CELULARES LTDA</t>
  </si>
  <si>
    <t>RP COMERCIO E REPRESENTACAO7547</t>
  </si>
  <si>
    <t>RP COMERCIO E REPR EM TELECOM LTDA</t>
  </si>
  <si>
    <t>COMERCIO DE CELULARES BANDEIRA LTDA EPP</t>
  </si>
  <si>
    <t>LOPES NICACIO PRESTADORA DE SERVICOS LTDA</t>
  </si>
  <si>
    <t>AGUIA SERVICOS DE TELECOMUNICACOES LTDA</t>
  </si>
  <si>
    <t>RRS</t>
  </si>
  <si>
    <t>CLARO SA 4074183</t>
  </si>
  <si>
    <t>CLARO-CL LS RS CAXIAS DO SUL (CNPJ 0280-76)</t>
  </si>
  <si>
    <t>CLARO-CL LS RG IGUATEMI POA (CNPJ 0091-01)</t>
  </si>
  <si>
    <t>CLARO SA4097205</t>
  </si>
  <si>
    <t>CLARO S.A. 294</t>
  </si>
  <si>
    <t>CLARO SA 4039434</t>
  </si>
  <si>
    <t>CLARO S.A. 8474</t>
  </si>
  <si>
    <t>CLARO S.A.409012</t>
  </si>
  <si>
    <t>CLARO SA4073292</t>
  </si>
  <si>
    <t>CLARO-CL LS RS NOVO HAMBURGO (CNPJ 0117-77)</t>
  </si>
  <si>
    <t>CLARO S.A. 8989</t>
  </si>
  <si>
    <t>CLARO-CL LR RS PELOTAS (CNPJ 0087-17)</t>
  </si>
  <si>
    <t>CLARO S.A. 37652</t>
  </si>
  <si>
    <t>TELECT TELEFONIA CORPORATIVA LTDA ME</t>
  </si>
  <si>
    <t>CSW EMPRESAS LTDA</t>
  </si>
  <si>
    <t>AZM PAP RS TELECOMUNICAÇOES LTDA</t>
  </si>
  <si>
    <t>NEWCO SM - EMPRESA JORNALISTICA LTDA</t>
  </si>
  <si>
    <t>STAR SOLUTION SERVICOS E MANUTENCAO LTDA</t>
  </si>
  <si>
    <t>TALK PAP LTDA</t>
  </si>
  <si>
    <t>TSALEACH SOLUCOES EM VENDAS LTDA</t>
  </si>
  <si>
    <t>M J TOMAZI LTDA</t>
  </si>
  <si>
    <t>FIBERX SOLUCOES LTDA</t>
  </si>
  <si>
    <t>PAX SOLUCOES FINANCEIRAS LTDA</t>
  </si>
  <si>
    <t>D A ADMINISTRACAO DE NEGOCIOS LTDA</t>
  </si>
  <si>
    <t>RC TELECOMUNICACOES LTDA</t>
  </si>
  <si>
    <t>NR VIEIRA TELEMARKETING ME</t>
  </si>
  <si>
    <t>CLARO S.A. 4072130</t>
  </si>
  <si>
    <t>EDUARDO JUNQUEIRA DA SILVEIRA LTDA</t>
  </si>
  <si>
    <t>JOAO LUIS AYRES LTDA</t>
  </si>
  <si>
    <t>EDUARDO JUNQUEIRA DA SILVEIRA ADMINISTRACAO</t>
  </si>
  <si>
    <t>AYRES E STRAGLIOTTO LTDA ME</t>
  </si>
  <si>
    <t>NORTEL COMERCIO DE CELULARES LTDA</t>
  </si>
  <si>
    <t>LAERCIO SOMAVILLA &amp; CIA LTDA</t>
  </si>
  <si>
    <t>CSW POA LTDA</t>
  </si>
  <si>
    <t>AYRES E STRAGLIOTTO LTDA</t>
  </si>
  <si>
    <t>MARISA STRAGLIOTTO</t>
  </si>
  <si>
    <t>EDUARDO JUNQUEIRA SILVEIRA LTDA</t>
  </si>
  <si>
    <t>GARA COMERCIO DE CELULAR EIRELI - T6817297 - 04132535000177</t>
  </si>
  <si>
    <t>NEW POINT CELULAR LTDA - ME</t>
  </si>
  <si>
    <t>Field Sales PME</t>
  </si>
  <si>
    <t>RCO</t>
  </si>
  <si>
    <t>CLARO S.A. 4027347</t>
  </si>
  <si>
    <t>CLARO SA4107537</t>
  </si>
  <si>
    <t>CLARO SA4052880</t>
  </si>
  <si>
    <t>CLARO SA4049669</t>
  </si>
  <si>
    <t>CLARO SA4046724</t>
  </si>
  <si>
    <t>CLARO SA4046996</t>
  </si>
  <si>
    <t>CLARO SA4045400</t>
  </si>
  <si>
    <t>CLARO SA4049740</t>
  </si>
  <si>
    <t>CLARO SA4049820</t>
  </si>
  <si>
    <t>CLARO SA4047291</t>
  </si>
  <si>
    <t>CLARO SA4048778</t>
  </si>
  <si>
    <t>CLARO SA4048697</t>
  </si>
  <si>
    <t>CLARO SA4085541</t>
  </si>
  <si>
    <t>CLARO SA4107456</t>
  </si>
  <si>
    <t>CLARO SA4047534</t>
  </si>
  <si>
    <t>CLARO SA4045833</t>
  </si>
  <si>
    <t>CLARO SA 4046309</t>
  </si>
  <si>
    <t>CLARO SA4045590</t>
  </si>
  <si>
    <t>CLARO SA4047100</t>
  </si>
  <si>
    <t>CLARO SA4053429</t>
  </si>
  <si>
    <t>CLARO SA4045914</t>
  </si>
  <si>
    <t>CLARO SA4045167</t>
  </si>
  <si>
    <t>CLARO S.A. 4046481</t>
  </si>
  <si>
    <t>CLARO SA4048182</t>
  </si>
  <si>
    <t>CLARO SA4047615</t>
  </si>
  <si>
    <t>CLARO SA4046139</t>
  </si>
  <si>
    <t>CLARO SA4045329</t>
  </si>
  <si>
    <t>CLARO SA4047020</t>
  </si>
  <si>
    <t>CLARO SA4047704</t>
  </si>
  <si>
    <t>CLARO SA4045248</t>
  </si>
  <si>
    <t>COMUNICARE CONSULTORIA E TELECOMUNICACOES EIRELI ME</t>
  </si>
  <si>
    <t>VITAL SERVICOS DE APOIO ADMINISTRATIVO LTDA EPP</t>
  </si>
  <si>
    <t>JAQUELINE LOPES MIRANDA LTDA</t>
  </si>
  <si>
    <t>RED CELL TELECOM LTDA</t>
  </si>
  <si>
    <t>FACILITA CRED ASSESSORIA E SERVICOS LTDA</t>
  </si>
  <si>
    <t>ENERGIA TELECOM LTDA</t>
  </si>
  <si>
    <t>3G CELL EIRELI ME</t>
  </si>
  <si>
    <t>BNORTE TELECOM LTDA</t>
  </si>
  <si>
    <t>BARAUNA COMERCIO E SERVICOS EIRELI ME</t>
  </si>
  <si>
    <t>LIDER RV EMPRESARIAL E SERVICOS LTDA</t>
  </si>
  <si>
    <t>EFICIENCIE GESTAO E ECONOMIA LTDA</t>
  </si>
  <si>
    <t>EDUARDO HUSSEIN EL SAYED EIRELI</t>
  </si>
  <si>
    <t>MASTER CELL SOLUÇÕES LTDA</t>
  </si>
  <si>
    <t>TIMES NEGOCIOS E INTERMEDIACOES LTDA</t>
  </si>
  <si>
    <t>FORBS COMERCIO E SERVICE DE COMUNICACAO EIRELI</t>
  </si>
  <si>
    <t>MM TELECOM LTDA</t>
  </si>
  <si>
    <t>C C H MENDES SERVICOS E TRADE MARKETING LTDA</t>
  </si>
  <si>
    <t>46849951000130</t>
  </si>
  <si>
    <t>FENIX SERVIÇOS DE TELECOM LTDA</t>
  </si>
  <si>
    <t>HFM TELECOM LTDA</t>
  </si>
  <si>
    <t>SEVEN TELECOM LTDA</t>
  </si>
  <si>
    <t>JACKSON COSTA DE MORAES LTDA</t>
  </si>
  <si>
    <t>CONTACT SERVICOS E NEGOCIOS LTDA</t>
  </si>
  <si>
    <t>CONTACTUS TRADE MARKETING LTDA ME</t>
  </si>
  <si>
    <t>TCD SAT TELECOMUNICACOES LTDA</t>
  </si>
  <si>
    <t>JWN SOLUCOES INTEGRADAS LTDA</t>
  </si>
  <si>
    <t>CELNET COMERCIO E SERVICOS DE TELEFONIA LTDA</t>
  </si>
  <si>
    <t>AMERICOM COMERCIO DE APARELHOS ELETRONICOS LTDA</t>
  </si>
  <si>
    <t>HIROTA &amp; HIROTA LTDA</t>
  </si>
  <si>
    <t>DERZE &amp; VIDAL LTDA</t>
  </si>
  <si>
    <t>TELEMAIS TELEFONIA LTDA ME</t>
  </si>
  <si>
    <t>TELEMAIS TELEFONIA LTDA</t>
  </si>
  <si>
    <t>HIROTA &amp; HIROTA LTDA ME</t>
  </si>
  <si>
    <t>CELNET COM E SERV DE TELEFONIA LTDA</t>
  </si>
  <si>
    <t>DERZE &amp; VIDAL LTDA ME</t>
  </si>
  <si>
    <t>RNE</t>
  </si>
  <si>
    <t>CLARO S/A 15411</t>
  </si>
  <si>
    <t>CLARO SA 4007745</t>
  </si>
  <si>
    <t>CLARO S.A.40432544014288</t>
  </si>
  <si>
    <t>CLARO S.A.40432544024240</t>
  </si>
  <si>
    <t>CLARO S.A.225</t>
  </si>
  <si>
    <t>CLARO S.A116</t>
  </si>
  <si>
    <t>CLARO SA 4043202</t>
  </si>
  <si>
    <t>CLARO-CL LS NE RECIFERECIFE (CNPJ 0192-47)</t>
  </si>
  <si>
    <t>CLARO SA4053690</t>
  </si>
  <si>
    <t>CLARO SA 4094702</t>
  </si>
  <si>
    <t>CLARO SA 4040955</t>
  </si>
  <si>
    <t>CLARO SA 4052457</t>
  </si>
  <si>
    <t>CLARO SA 4038705</t>
  </si>
  <si>
    <t>CLARO S.A537</t>
  </si>
  <si>
    <t>CLARO S.A 6420</t>
  </si>
  <si>
    <t>CLARO S.A.40432544010371</t>
  </si>
  <si>
    <t>SMART TELECOM EIRELI ME</t>
  </si>
  <si>
    <t>MR SERVICOS E AGENCIAMENTO DE BENS MOVEIS LTDA EPP</t>
  </si>
  <si>
    <t>PIEDRO L B SILVA TELECOMUNICACOES LTDA</t>
  </si>
  <si>
    <t>JONNATHA ELIAS DE LIMA OLIVEIRA</t>
  </si>
  <si>
    <t>APN TELECOMUNICACOES EIRELI ME</t>
  </si>
  <si>
    <t>MV DE MATOS FILHA</t>
  </si>
  <si>
    <t>K V RODRIGUES DE VASCONCELOS</t>
  </si>
  <si>
    <t>AE TELEFONIA E INFORMATICA LTDA ME</t>
  </si>
  <si>
    <t>EDGLAYDSON DA SILVA RAMOS</t>
  </si>
  <si>
    <t>ALIANCA SUL CONTACT CENTER LTDA - T6402949 - 19276792002870</t>
  </si>
  <si>
    <t>MB CONSULTORIA EM TELECOMUNICACOES LTDA ME</t>
  </si>
  <si>
    <t>ITALO CARVALHO &amp; THALITA CORREIA LTDA</t>
  </si>
  <si>
    <t>RECOVER SERVICOS E COMERCIO EM TELEFONIA LTDA</t>
  </si>
  <si>
    <t>DS SOLUCOES CORPORATIVAS LTDA</t>
  </si>
  <si>
    <t>HIKARI TEC TELECOM LTDA</t>
  </si>
  <si>
    <t>TOP BRASIL VENDAS E SERVICOS EM TELECOMUNICACOES LTDA</t>
  </si>
  <si>
    <t>LUMAR NEGOCIOS EM TELECOMUNICACOES LTDA ME</t>
  </si>
  <si>
    <t>UP SERVICOS DE TELECOMUNICACOES LTDA</t>
  </si>
  <si>
    <t>VNA TELECOM LTDA ME</t>
  </si>
  <si>
    <t>UPLIVE BUSINESS SERVICOS DE PRODUCAO E PROMOCAO DE VENDAS LTDA</t>
  </si>
  <si>
    <t>LIDER TELECOM SERVICOS E NEGOCIOS LTDA</t>
  </si>
  <si>
    <t>VOX COM SERV IMP NEGOCIOS EMPRESARIAIS LTDA</t>
  </si>
  <si>
    <t>JG LINS TELECOMUNICACOES LTDA</t>
  </si>
  <si>
    <t>RDT TELECOM LTDA</t>
  </si>
  <si>
    <t>JMS TELECOM LTDA</t>
  </si>
  <si>
    <t>TECH NET COMUNICACAO E TELEFONIA</t>
  </si>
  <si>
    <t>H M SERVICOS DE TELECOMUNICACOES LTDA</t>
  </si>
  <si>
    <t>P D FARIAS MORAIS EIRELI</t>
  </si>
  <si>
    <t>ALEXONSAT LTDA</t>
  </si>
  <si>
    <t>BARRETO SOLUCOES LTDA</t>
  </si>
  <si>
    <t>LM TELECOM LTDA</t>
  </si>
  <si>
    <t>AL SOLUTIONS LTDA</t>
  </si>
  <si>
    <t>CENTERLINE KENNEDY COMERCIO E SERVICOS DE TELEFONIA LTDA</t>
  </si>
  <si>
    <t>DALINE PEREIRA SANTOS DA SILVA</t>
  </si>
  <si>
    <t>J L ELETRONICOS LTDA</t>
  </si>
  <si>
    <t>HARCOS COMERCIO E SERVICOS LTDA</t>
  </si>
  <si>
    <t>KELLY CHRISTINE SANTANA FERNANDES GONCALVES DE LIMA</t>
  </si>
  <si>
    <t>R&amp;R HIPER COMERCIO LTDA</t>
  </si>
  <si>
    <t>NAUM RAONI VARELA DOS SANTOS TELEFONIA E SERVICOS EIRELI</t>
  </si>
  <si>
    <t>NAUM RAONI TELEFONIA E SERVICOS LTDA</t>
  </si>
  <si>
    <t>KELLY CHRISTINE SANTANA FERNANDES GONCALVES DE LIMA ME</t>
  </si>
  <si>
    <t>SANTOS E TENORIO TELECOM LTDA</t>
  </si>
  <si>
    <t>SELF TELECOM REC COMERCIO E SERVICO EM TELEFONIA LTDA</t>
  </si>
  <si>
    <t>DELTA CELL TELECOMUNICACOES LTDA</t>
  </si>
  <si>
    <t>HARCOS COMERCIO E SERVICOS LTDA EPP</t>
  </si>
  <si>
    <t>TOTAL TELECOM LTDA</t>
  </si>
  <si>
    <t>SELF TELECOM SOB COMERCIO E SERVICOS EM TELEFONIA LTDA</t>
  </si>
  <si>
    <t>SELF TELECOM PI COMERCIO E SERVICOS EM TELEFONIA LTDA</t>
  </si>
  <si>
    <t>CAVALCANTI &amp; CORREIA &amp; CIA LTDA</t>
  </si>
  <si>
    <t>BRUNO TARGINO JORDAO DE MENEZES</t>
  </si>
  <si>
    <t>SELF COMERCIO E SERVICOS EM TELEFONIA LTDA</t>
  </si>
  <si>
    <t>E-MEAN SERVICOS DE MARKETING DIRETO LTDA</t>
  </si>
  <si>
    <t>R &amp; R HIPER COMERCIO LTDA</t>
  </si>
  <si>
    <t>RSC</t>
  </si>
  <si>
    <t>CLARO S.A. 29803</t>
  </si>
  <si>
    <t>CLARO SA 4030488</t>
  </si>
  <si>
    <t>CLARO S/A 500</t>
  </si>
  <si>
    <t>CLARO S.A. 340</t>
  </si>
  <si>
    <t>CLARO430</t>
  </si>
  <si>
    <t>CLARO S.A. 298</t>
  </si>
  <si>
    <t>CLARO SA 4002271</t>
  </si>
  <si>
    <t>CLARO S.A. 053</t>
  </si>
  <si>
    <t>CLARO SA 4001623</t>
  </si>
  <si>
    <t>CLARO SA 4018275</t>
  </si>
  <si>
    <t>CLARO SA4087323</t>
  </si>
  <si>
    <t>CLARO. S.A..</t>
  </si>
  <si>
    <t>CLARO SA4053186</t>
  </si>
  <si>
    <t>CLARO SA 4023864</t>
  </si>
  <si>
    <t>CLARO S.A.  3596</t>
  </si>
  <si>
    <t>CLARO SA 4051051</t>
  </si>
  <si>
    <t>CLARO SA 4032693</t>
  </si>
  <si>
    <t>CLARO SA 4012315</t>
  </si>
  <si>
    <t>CLARO SA 4034122</t>
  </si>
  <si>
    <t>CLARO SA 4013630</t>
  </si>
  <si>
    <t>CLARO SA 4037903</t>
  </si>
  <si>
    <t>CLARO SA4031964</t>
  </si>
  <si>
    <t>CLARO SA 4033746</t>
  </si>
  <si>
    <t>CLARO S.A. 2603</t>
  </si>
  <si>
    <t>CLARO SA 4004215</t>
  </si>
  <si>
    <t>CLARO SA 4034041</t>
  </si>
  <si>
    <t>CLARO SA 4021063</t>
  </si>
  <si>
    <t>CLARO SA 4018356</t>
  </si>
  <si>
    <t>CLARO SA 4036680</t>
  </si>
  <si>
    <t>CLARO SA4034394</t>
  </si>
  <si>
    <t>CLARO S.A.521</t>
  </si>
  <si>
    <t>CLARO S.A. 134</t>
  </si>
  <si>
    <t>J.V.A. - COMERCIO DE PRODUTOS DE TELEFONIA LTDA - ME</t>
  </si>
  <si>
    <t>CLARO S.A. 461</t>
  </si>
  <si>
    <t>HIGH SOLUTIONS - REPRESENTACOES COMERCIAIS</t>
  </si>
  <si>
    <t>M DINIZ BALDEZ LTDA</t>
  </si>
  <si>
    <t>ALLEANZA SOLUCOES EM BENEFICIOS LTDA</t>
  </si>
  <si>
    <t>LATITUDE TELECOM LTDA</t>
  </si>
  <si>
    <t>CARLOS COMERCIO E SERVICOS DE TELECOMUNICACAO LTDA</t>
  </si>
  <si>
    <t>MR TELECOM SERVICOS DE TELEFONIA LTDA</t>
  </si>
  <si>
    <t>T-TELECON - LTDA</t>
  </si>
  <si>
    <t>NEW TECHNOLOGIES SERVICOS DE TELECOMUNICACAO E TV POR ASSINATURA LTDA</t>
  </si>
  <si>
    <t>MULTSAT TELECOM EIRELI</t>
  </si>
  <si>
    <t>WC DE FIGUEIREDO NETO SERVICOS DE TELECOMUNICACAO</t>
  </si>
  <si>
    <t>MOTIVA CENTRAL DE ATENDIMENTO TELEFONICO &amp; CONSULTORIA EM TELEVENDAS LTDA</t>
  </si>
  <si>
    <t>ONE CLICK SERVICOS DE TELECOMUNICACOES LTDA</t>
  </si>
  <si>
    <t>CELL AZUL CELULARES LTDA</t>
  </si>
  <si>
    <t>RP COMERCIO E REPRESENTACAO EM TELECOMUNICACOES LTDA EPP</t>
  </si>
  <si>
    <t>LINK TELECOM COMERCIO DE CELULARES LTDA</t>
  </si>
  <si>
    <t>FLEXCELL COMERCIO DE CELULARES</t>
  </si>
  <si>
    <t>KG COMERCIO E SERVICOS DE TELECOMUNICACOES EIRELI ME</t>
  </si>
  <si>
    <t>LINK TELECOM COMERCIO DE CELULARES LTDA ME</t>
  </si>
  <si>
    <t>TATHIANE LEME GOMES DOS SANTOS ME</t>
  </si>
  <si>
    <t>CELL AZUL CELULARES LTDA EPP</t>
  </si>
  <si>
    <t>BRASILCENTER COMUNICACOES LTDA - N6040478 - 02917443000258</t>
  </si>
  <si>
    <t>BRASILCENTER COMUNICACOES  VAR RBS</t>
  </si>
  <si>
    <t>RNO</t>
  </si>
  <si>
    <t>CLARO SA 4084901</t>
  </si>
  <si>
    <t>CLARO SA 4064463</t>
  </si>
  <si>
    <t>CLARO SA 4025999</t>
  </si>
  <si>
    <t>CLARO SA4050918</t>
  </si>
  <si>
    <t>CLARO SA 4027932</t>
  </si>
  <si>
    <t>CLARO SA 4028742</t>
  </si>
  <si>
    <t>CLARO SA 4040440</t>
  </si>
  <si>
    <t>CLARO SA 4041412</t>
  </si>
  <si>
    <t>CLARO SA 4044780</t>
  </si>
  <si>
    <t>CLARO S.A.40432544027002</t>
  </si>
  <si>
    <t>CLARO SA 4045086</t>
  </si>
  <si>
    <t>CLARO S.A.40.432.544/0423-03</t>
  </si>
  <si>
    <t>DIN COMERCIO E SERVICOS DE TELEFONIA LTDA</t>
  </si>
  <si>
    <t>A C CAMPOS DINIZ COELHO</t>
  </si>
  <si>
    <t>DSX TECH COMERCIO E SERVICOS LTDA</t>
  </si>
  <si>
    <t>APF TECNOLOGIA LTDA</t>
  </si>
  <si>
    <t>GNM EMPREENDIMENTOS LTDA</t>
  </si>
  <si>
    <t>INOVACELL LTDA</t>
  </si>
  <si>
    <t>A MACIEL MIRANDA</t>
  </si>
  <si>
    <t>JV COMERCIO DE EQUIPAMENTOS E EPI LTDA</t>
  </si>
  <si>
    <t>M C M HITOTUZI LTDA</t>
  </si>
  <si>
    <t>VIA NET EIRELI ME</t>
  </si>
  <si>
    <t>JNNVB TELECOM REPARACAO E MANUTENCAO DE EQUIPAMENTOS DE COMUNICACAO LTDA</t>
  </si>
  <si>
    <t>VGX CONTACT CENTER NORTE MG SA</t>
  </si>
  <si>
    <t>DIN COM E SERVICOS DE TELEFONIA EIRELI</t>
  </si>
  <si>
    <t>DIN COMERCIO E SERVICOS DE TELEFONIA LTDA.</t>
  </si>
  <si>
    <t>E. DAMA LTDA</t>
  </si>
  <si>
    <t>SELF TELECOM NORTE II COMERCIO E SERVICOS EM TELEFONIA LTDA</t>
  </si>
  <si>
    <t>SELF TELECOM NORTE COMERCIO E SERVICOS EM TELEFONIA LTDA</t>
  </si>
  <si>
    <t>E GALENO DOS SANTOS SERVICOS E COMERCIO ME</t>
  </si>
  <si>
    <t>RV TECNOLOGIA E SISTEMAS SA</t>
  </si>
  <si>
    <t>RBS</t>
  </si>
  <si>
    <t>CLARO S.A. 4084570</t>
  </si>
  <si>
    <t>CLARO</t>
  </si>
  <si>
    <t>CLARO SA4022701</t>
  </si>
  <si>
    <t>CLARO S/A</t>
  </si>
  <si>
    <t>CLARO SA4022540</t>
  </si>
  <si>
    <t>CLARO S.A.SALVADOR</t>
  </si>
  <si>
    <t>CLARO S/A590</t>
  </si>
  <si>
    <t>CLARO S.A528</t>
  </si>
  <si>
    <t>CLARO S.A. 4022892</t>
  </si>
  <si>
    <t>CLARO S/A438</t>
  </si>
  <si>
    <t>CLARO SA4034637</t>
  </si>
  <si>
    <t>INOVARE SOLUCOES EM SERVICOS DE TELEFONIA MOVEL LTDA</t>
  </si>
  <si>
    <t>RTR COMERCIO E SERVICOS EM TELECOMUNICACOES LTDA</t>
  </si>
  <si>
    <t>I.S MACHADO DE OLIVEIRA</t>
  </si>
  <si>
    <t>CONNECTIS TELECOMUNICACOES LTDA</t>
  </si>
  <si>
    <t>PRIMETEL SERVICOS TELECOM II LTDA</t>
  </si>
  <si>
    <t>NIELLA LEMOS TELEFONIA LTDA</t>
  </si>
  <si>
    <t>J.M.G. TELECOM LTDA</t>
  </si>
  <si>
    <t>MEGA SERVIÇOS ADMINISTRATIVOS LTDA</t>
  </si>
  <si>
    <t>HEAD EVOLUTION &amp; CONECTION LTDA</t>
  </si>
  <si>
    <t>START SOLUCOES LTDA</t>
  </si>
  <si>
    <t>MS NOGUEIRA EIRELI</t>
  </si>
  <si>
    <t>EOG TELECOMUNICACOES LTDA</t>
  </si>
  <si>
    <t>SHEILA RIOS OLIVEIRA LTDA</t>
  </si>
  <si>
    <t>NOVA TELECOM E TECNOLOGIA LTDA</t>
  </si>
  <si>
    <t>CLARO. S/A.</t>
  </si>
  <si>
    <t>SIM MAGAZINE CONQUISTA LTDA</t>
  </si>
  <si>
    <t>JOSE ADALBERTO CERQUEIRA JUNIOR ME</t>
  </si>
  <si>
    <t>HS TELECOM COMERCIO, SERVICOS E REPRESENTACAO DE TELEFONIA MOVEL LTDA</t>
  </si>
  <si>
    <t>ELETROSHOPPING EIRELI</t>
  </si>
  <si>
    <t>CLEAR TELECOM COMERCIO E SERVICOS DE TELEFONIA EIRELI</t>
  </si>
  <si>
    <t>LIG COMERCIO E SERVICOS EM TELEFONIA EIRELI ME</t>
  </si>
  <si>
    <t>SIM MAGAZINE VDC BRASIL LTDA</t>
  </si>
  <si>
    <t>SIM MAGAZINE CENTRO LTDA</t>
  </si>
  <si>
    <t>CANAL</t>
  </si>
  <si>
    <t>INDICADOR</t>
  </si>
  <si>
    <t>FIXA</t>
  </si>
  <si>
    <t>Televendas Ativo</t>
  </si>
  <si>
    <t>Inside Sales</t>
  </si>
  <si>
    <t>Lembrar de ajustar o nome dos canais na base</t>
  </si>
  <si>
    <t>CONTA</t>
  </si>
  <si>
    <t>GROSS BRUTO</t>
  </si>
  <si>
    <t>Top PME</t>
  </si>
  <si>
    <t/>
  </si>
  <si>
    <t>Grandes Marcas PME</t>
  </si>
  <si>
    <t>Agente Autorizado PME</t>
  </si>
  <si>
    <t>Parceiros Nacionais</t>
  </si>
  <si>
    <t>FIELD SALES</t>
  </si>
  <si>
    <t>Canais GE</t>
  </si>
  <si>
    <t>Varejo</t>
  </si>
  <si>
    <t>Porta Porta Condominio</t>
  </si>
  <si>
    <t>App Flex</t>
  </si>
  <si>
    <t>FAKE</t>
  </si>
  <si>
    <t>-</t>
  </si>
  <si>
    <t>META 100D</t>
  </si>
  <si>
    <t>Field Sales</t>
  </si>
  <si>
    <t>Porta Porta Condominio BCC</t>
  </si>
  <si>
    <t>Porta Porta Condominio BCC PME</t>
  </si>
  <si>
    <t>GROSS LIQUIDO</t>
  </si>
  <si>
    <t>CANAL_PLAN</t>
  </si>
  <si>
    <t>DAT_MOVIMENTO</t>
  </si>
  <si>
    <t>DAT_MÊS</t>
  </si>
  <si>
    <t>ANO</t>
  </si>
  <si>
    <t>DSC_INDICADOR</t>
  </si>
  <si>
    <t>QTDE</t>
  </si>
  <si>
    <t>DESAFIO_QTD</t>
  </si>
  <si>
    <t>TEND_QTD</t>
  </si>
  <si>
    <t>DAT_MOVIMENTO2</t>
  </si>
  <si>
    <t>dat_tratada</t>
  </si>
  <si>
    <t>dia_semana</t>
  </si>
  <si>
    <t>PEDIDOS - REGIONAL</t>
  </si>
  <si>
    <t>TEND</t>
  </si>
  <si>
    <t>TOTAL REAL</t>
  </si>
  <si>
    <t>TEND_REAL</t>
  </si>
  <si>
    <t>PEDIDOS</t>
  </si>
  <si>
    <t>COD_PLATAFORMA</t>
  </si>
  <si>
    <t>CLARO S/A - LS SP FRANCA</t>
  </si>
  <si>
    <t>INSIDE SALES</t>
  </si>
  <si>
    <t>FLEX CELL COMERCIO DE CELULARES-LTDA</t>
  </si>
  <si>
    <t>PRIME ARACATUBA CELULARES LTDA</t>
  </si>
  <si>
    <t>WCI CELULARES SERVICOS E TELECOMUNICACOES LTDA</t>
  </si>
  <si>
    <t>CLARO SA 4004800</t>
  </si>
  <si>
    <t>MEX CELL COMERCIO E SERVICOS DE TELECOMUNICACOES EIRELI</t>
  </si>
  <si>
    <t>Inside Sales PME</t>
  </si>
  <si>
    <t>OTAVIO RAUL SPELTZ</t>
  </si>
  <si>
    <t>CLINTEL COMERCIO DE APARELHOS ELETRONICOS LTDA</t>
  </si>
  <si>
    <t>CLARO SA4073616</t>
  </si>
  <si>
    <t>CLARO S.A. 39353</t>
  </si>
  <si>
    <t>HARCOS COMERCIO E SERVICOS LTDA932</t>
  </si>
  <si>
    <t>CLARO SA 4021578</t>
  </si>
  <si>
    <t>MOBI TELECOM EIRELI ME</t>
  </si>
  <si>
    <t>DIEGO FERNANDES PEREIRA ME</t>
  </si>
  <si>
    <t>CLARO SA4087676</t>
  </si>
  <si>
    <t>DUAL REPRESENTACOES LTDA</t>
  </si>
  <si>
    <t>PAULA C L NIELLA EIRELI</t>
  </si>
  <si>
    <t>LIGACOES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</si>
</sst>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7">
    <xf numFmtId="0" fontId="0" fillId="0" borderId="0" xfId="0"/>
    <xf numFmtId="14" fontId="0" fillId="0" borderId="0" xfId="0" applyNumberFormat="1"/>
    <xf numFmtId="0" fontId="0" fillId="2" borderId="0" xfId="0" applyFill="1"/>
    <xf numFmtId="17" fontId="0" fillId="2" borderId="0" xfId="0" applyNumberFormat="1" applyFill="1"/>
    <xf numFmtId="0" fontId="2" fillId="3" borderId="0" xfId="0" applyFont="1" applyFill="1" applyAlignment="1">
      <alignment horizontal="left" vertical="center"/>
    </xf>
    <xf numFmtId="3" fontId="2" fillId="3" borderId="0" xfId="1" applyNumberFormat="1" applyFont="1" applyFill="1" applyBorder="1" applyAlignment="1">
      <alignment horizontal="center" vertical="center"/>
    </xf>
    <xf numFmtId="3" fontId="0" fillId="0" borderId="0" xfId="0" applyNumberForma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C15E5-71F8-42CA-82DF-A07355FCC401}">
  <dimension ref="A1:M301"/>
  <sheetViews>
    <sheetView tabSelected="1" topLeftCell="A279" workbookViewId="0">
      <selection activeCell="B287" sqref="B287"/>
    </sheetView>
  </sheetViews>
  <sheetFormatPr defaultRowHeight="14.4" x14ac:dyDescent="0.3"/>
  <cols>
    <col min="2" max="2" width="10.33203125" bestFit="1" customWidth="1"/>
    <col min="5" max="5" width="18.44140625" bestFit="1" customWidth="1"/>
    <col min="9" max="9" width="12.33203125" bestFit="1" customWidth="1"/>
    <col min="10" max="12" width="12.33203125" customWidth="1"/>
  </cols>
  <sheetData>
    <row r="1" spans="1:13" x14ac:dyDescent="0.3">
      <c r="A1" t="s">
        <v>0</v>
      </c>
      <c r="B1" t="s">
        <v>667</v>
      </c>
      <c r="C1" s="2" t="s">
        <v>668</v>
      </c>
      <c r="D1" s="2" t="s">
        <v>669</v>
      </c>
      <c r="E1" t="s">
        <v>666</v>
      </c>
      <c r="F1" t="s">
        <v>670</v>
      </c>
      <c r="G1" t="s">
        <v>682</v>
      </c>
      <c r="H1" t="s">
        <v>671</v>
      </c>
      <c r="I1" t="s">
        <v>672</v>
      </c>
      <c r="J1" s="2" t="s">
        <v>674</v>
      </c>
      <c r="K1" s="2" t="s">
        <v>675</v>
      </c>
      <c r="L1" s="2" t="s">
        <v>676</v>
      </c>
      <c r="M1" s="3" t="s">
        <v>673</v>
      </c>
    </row>
    <row r="2" spans="1:13" x14ac:dyDescent="0.3">
      <c r="A2" t="s">
        <v>8</v>
      </c>
      <c r="B2" s="1">
        <v>46054</v>
      </c>
      <c r="C2" t="str">
        <f>TEXT(B2,"MM")</f>
        <v>02</v>
      </c>
      <c r="D2">
        <f>YEAR(B2)</f>
        <v>2026</v>
      </c>
      <c r="E2" t="s">
        <v>47</v>
      </c>
      <c r="F2" t="s">
        <v>11</v>
      </c>
      <c r="G2" t="s">
        <v>643</v>
      </c>
      <c r="H2">
        <v>0</v>
      </c>
      <c r="I2">
        <v>0</v>
      </c>
      <c r="J2" s="1">
        <f>B2</f>
        <v>46054</v>
      </c>
      <c r="K2" t="str">
        <f>TEXT(J2,"MMM/AA")</f>
        <v>fev/26</v>
      </c>
      <c r="L2" t="str">
        <f>TEXT(J2,"DDD")</f>
        <v>dom</v>
      </c>
      <c r="M2">
        <f>SUMIFS(BASE_FIXA_TEND!AN:AN,BASE_FIXA_TEND!$A:$A,$A2,BASE_FIXA_TEND!$B:$B,$E2,BASE_FIXA_TEND!$D:$D,$F2)</f>
        <v>0</v>
      </c>
    </row>
    <row r="3" spans="1:13" x14ac:dyDescent="0.3">
      <c r="A3" t="s">
        <v>174</v>
      </c>
      <c r="B3" s="1">
        <v>46054</v>
      </c>
      <c r="C3" t="str">
        <f t="shared" ref="C3:C21" si="0">TEXT(B3,"MM")</f>
        <v>02</v>
      </c>
      <c r="D3">
        <f t="shared" ref="D3:D21" si="1">YEAR(B3)</f>
        <v>2026</v>
      </c>
      <c r="E3" t="s">
        <v>47</v>
      </c>
      <c r="F3" t="s">
        <v>11</v>
      </c>
      <c r="G3" t="s">
        <v>643</v>
      </c>
      <c r="H3">
        <v>0</v>
      </c>
      <c r="I3">
        <v>0</v>
      </c>
      <c r="J3" s="1">
        <f t="shared" ref="J3:J21" si="2">B3</f>
        <v>46054</v>
      </c>
      <c r="K3" t="str">
        <f t="shared" ref="K3:K21" si="3">TEXT(J3,"MMM/AA")</f>
        <v>fev/26</v>
      </c>
      <c r="L3" t="str">
        <f t="shared" ref="L3:L21" si="4">TEXT(J3,"DDD")</f>
        <v>dom</v>
      </c>
      <c r="M3">
        <f>SUMIFS(BASE_FIXA_TEND!AN:AN,BASE_FIXA_TEND!$A:$A,$A3,BASE_FIXA_TEND!$B:$B,$E3,BASE_FIXA_TEND!$D:$D,$F3)</f>
        <v>0</v>
      </c>
    </row>
    <row r="4" spans="1:13" x14ac:dyDescent="0.3">
      <c r="A4" t="s">
        <v>243</v>
      </c>
      <c r="B4" s="1">
        <v>46054</v>
      </c>
      <c r="C4" t="str">
        <f t="shared" si="0"/>
        <v>02</v>
      </c>
      <c r="D4">
        <f t="shared" si="1"/>
        <v>2026</v>
      </c>
      <c r="E4" t="s">
        <v>47</v>
      </c>
      <c r="F4" t="s">
        <v>11</v>
      </c>
      <c r="G4" t="s">
        <v>643</v>
      </c>
      <c r="H4">
        <v>0</v>
      </c>
      <c r="I4">
        <v>0</v>
      </c>
      <c r="J4" s="1">
        <f t="shared" si="2"/>
        <v>46054</v>
      </c>
      <c r="K4" t="str">
        <f t="shared" si="3"/>
        <v>fev/26</v>
      </c>
      <c r="L4" t="str">
        <f t="shared" si="4"/>
        <v>dom</v>
      </c>
      <c r="M4">
        <f>SUMIFS(BASE_FIXA_TEND!AN:AN,BASE_FIXA_TEND!$A:$A,$A4,BASE_FIXA_TEND!$B:$B,$E4,BASE_FIXA_TEND!$D:$D,$F4)</f>
        <v>0</v>
      </c>
    </row>
    <row r="5" spans="1:13" x14ac:dyDescent="0.3">
      <c r="A5" t="s">
        <v>287</v>
      </c>
      <c r="B5" s="1">
        <v>46054</v>
      </c>
      <c r="C5" t="str">
        <f t="shared" si="0"/>
        <v>02</v>
      </c>
      <c r="D5">
        <f t="shared" si="1"/>
        <v>2026</v>
      </c>
      <c r="E5" t="s">
        <v>47</v>
      </c>
      <c r="F5" t="s">
        <v>11</v>
      </c>
      <c r="G5" t="s">
        <v>643</v>
      </c>
      <c r="H5">
        <v>0</v>
      </c>
      <c r="I5">
        <v>0</v>
      </c>
      <c r="J5" s="1">
        <f t="shared" si="2"/>
        <v>46054</v>
      </c>
      <c r="K5" t="str">
        <f t="shared" si="3"/>
        <v>fev/26</v>
      </c>
      <c r="L5" t="str">
        <f t="shared" si="4"/>
        <v>dom</v>
      </c>
      <c r="M5">
        <f>SUMIFS(BASE_FIXA_TEND!AN:AN,BASE_FIXA_TEND!$A:$A,$A5,BASE_FIXA_TEND!$B:$B,$E5,BASE_FIXA_TEND!$D:$D,$F5)</f>
        <v>0</v>
      </c>
    </row>
    <row r="6" spans="1:13" x14ac:dyDescent="0.3">
      <c r="A6" t="s">
        <v>340</v>
      </c>
      <c r="B6" s="1">
        <v>46054</v>
      </c>
      <c r="C6" t="str">
        <f t="shared" si="0"/>
        <v>02</v>
      </c>
      <c r="D6">
        <f t="shared" si="1"/>
        <v>2026</v>
      </c>
      <c r="E6" t="s">
        <v>47</v>
      </c>
      <c r="F6" t="s">
        <v>11</v>
      </c>
      <c r="G6" t="s">
        <v>643</v>
      </c>
      <c r="H6">
        <v>0</v>
      </c>
      <c r="I6">
        <v>0</v>
      </c>
      <c r="J6" s="1">
        <f t="shared" si="2"/>
        <v>46054</v>
      </c>
      <c r="K6" t="str">
        <f t="shared" si="3"/>
        <v>fev/26</v>
      </c>
      <c r="L6" t="str">
        <f t="shared" si="4"/>
        <v>dom</v>
      </c>
      <c r="M6">
        <f>SUMIFS(BASE_FIXA_TEND!AN:AN,BASE_FIXA_TEND!$A:$A,$A6,BASE_FIXA_TEND!$B:$B,$E6,BASE_FIXA_TEND!$D:$D,$F6)</f>
        <v>0</v>
      </c>
    </row>
    <row r="7" spans="1:13" x14ac:dyDescent="0.3">
      <c r="A7" t="s">
        <v>381</v>
      </c>
      <c r="B7" s="1">
        <v>46054</v>
      </c>
      <c r="C7" t="str">
        <f t="shared" si="0"/>
        <v>02</v>
      </c>
      <c r="D7">
        <f t="shared" si="1"/>
        <v>2026</v>
      </c>
      <c r="E7" t="s">
        <v>47</v>
      </c>
      <c r="F7" t="s">
        <v>11</v>
      </c>
      <c r="G7" t="s">
        <v>643</v>
      </c>
      <c r="H7">
        <v>0</v>
      </c>
      <c r="I7">
        <v>0</v>
      </c>
      <c r="J7" s="1">
        <f t="shared" si="2"/>
        <v>46054</v>
      </c>
      <c r="K7" t="str">
        <f t="shared" si="3"/>
        <v>fev/26</v>
      </c>
      <c r="L7" t="str">
        <f t="shared" si="4"/>
        <v>dom</v>
      </c>
      <c r="M7">
        <f>SUMIFS(BASE_FIXA_TEND!AN:AN,BASE_FIXA_TEND!$A:$A,$A7,BASE_FIXA_TEND!$B:$B,$E7,BASE_FIXA_TEND!$D:$D,$F7)</f>
        <v>0</v>
      </c>
    </row>
    <row r="8" spans="1:13" x14ac:dyDescent="0.3">
      <c r="A8" t="s">
        <v>447</v>
      </c>
      <c r="B8" s="1">
        <v>46054</v>
      </c>
      <c r="C8" t="str">
        <f t="shared" si="0"/>
        <v>02</v>
      </c>
      <c r="D8">
        <f t="shared" si="1"/>
        <v>2026</v>
      </c>
      <c r="E8" t="s">
        <v>47</v>
      </c>
      <c r="F8" t="s">
        <v>11</v>
      </c>
      <c r="G8" t="s">
        <v>643</v>
      </c>
      <c r="H8">
        <v>0</v>
      </c>
      <c r="I8">
        <v>0</v>
      </c>
      <c r="J8" s="1">
        <f t="shared" si="2"/>
        <v>46054</v>
      </c>
      <c r="K8" t="str">
        <f t="shared" si="3"/>
        <v>fev/26</v>
      </c>
      <c r="L8" t="str">
        <f t="shared" si="4"/>
        <v>dom</v>
      </c>
      <c r="M8">
        <f>SUMIFS(BASE_FIXA_TEND!AN:AN,BASE_FIXA_TEND!$A:$A,$A8,BASE_FIXA_TEND!$B:$B,$E8,BASE_FIXA_TEND!$D:$D,$F8)</f>
        <v>0</v>
      </c>
    </row>
    <row r="9" spans="1:13" x14ac:dyDescent="0.3">
      <c r="A9" t="s">
        <v>517</v>
      </c>
      <c r="B9" s="1">
        <v>46054</v>
      </c>
      <c r="C9" t="str">
        <f t="shared" si="0"/>
        <v>02</v>
      </c>
      <c r="D9">
        <f t="shared" si="1"/>
        <v>2026</v>
      </c>
      <c r="E9" t="s">
        <v>47</v>
      </c>
      <c r="F9" t="s">
        <v>11</v>
      </c>
      <c r="G9" t="s">
        <v>643</v>
      </c>
      <c r="H9">
        <v>0</v>
      </c>
      <c r="I9">
        <v>0</v>
      </c>
      <c r="J9" s="1">
        <f t="shared" si="2"/>
        <v>46054</v>
      </c>
      <c r="K9" t="str">
        <f t="shared" si="3"/>
        <v>fev/26</v>
      </c>
      <c r="L9" t="str">
        <f t="shared" si="4"/>
        <v>dom</v>
      </c>
      <c r="M9">
        <f>SUMIFS(BASE_FIXA_TEND!AN:AN,BASE_FIXA_TEND!$A:$A,$A9,BASE_FIXA_TEND!$B:$B,$E9,BASE_FIXA_TEND!$D:$D,$F9)</f>
        <v>30.813875419619336</v>
      </c>
    </row>
    <row r="10" spans="1:13" x14ac:dyDescent="0.3">
      <c r="A10" t="s">
        <v>574</v>
      </c>
      <c r="B10" s="1">
        <v>46054</v>
      </c>
      <c r="C10" t="str">
        <f t="shared" si="0"/>
        <v>02</v>
      </c>
      <c r="D10">
        <f t="shared" si="1"/>
        <v>2026</v>
      </c>
      <c r="E10" t="s">
        <v>47</v>
      </c>
      <c r="F10" t="s">
        <v>11</v>
      </c>
      <c r="G10" t="s">
        <v>643</v>
      </c>
      <c r="H10">
        <v>0</v>
      </c>
      <c r="I10">
        <v>0</v>
      </c>
      <c r="J10" s="1">
        <f t="shared" si="2"/>
        <v>46054</v>
      </c>
      <c r="K10" t="str">
        <f t="shared" si="3"/>
        <v>fev/26</v>
      </c>
      <c r="L10" t="str">
        <f t="shared" si="4"/>
        <v>dom</v>
      </c>
      <c r="M10">
        <f>SUMIFS(BASE_FIXA_TEND!AN:AN,BASE_FIXA_TEND!$A:$A,$A10,BASE_FIXA_TEND!$B:$B,$E10,BASE_FIXA_TEND!$D:$D,$F10)</f>
        <v>0</v>
      </c>
    </row>
    <row r="11" spans="1:13" x14ac:dyDescent="0.3">
      <c r="A11" t="s">
        <v>606</v>
      </c>
      <c r="B11" s="1">
        <v>46054</v>
      </c>
      <c r="C11" t="str">
        <f t="shared" si="0"/>
        <v>02</v>
      </c>
      <c r="D11">
        <f t="shared" si="1"/>
        <v>2026</v>
      </c>
      <c r="E11" t="s">
        <v>47</v>
      </c>
      <c r="F11" t="s">
        <v>11</v>
      </c>
      <c r="G11" t="s">
        <v>643</v>
      </c>
      <c r="H11">
        <v>0</v>
      </c>
      <c r="I11">
        <v>0</v>
      </c>
      <c r="J11" s="1">
        <f t="shared" si="2"/>
        <v>46054</v>
      </c>
      <c r="K11" t="str">
        <f t="shared" si="3"/>
        <v>fev/26</v>
      </c>
      <c r="L11" t="str">
        <f t="shared" si="4"/>
        <v>dom</v>
      </c>
      <c r="M11">
        <f>SUMIFS(BASE_FIXA_TEND!AN:AN,BASE_FIXA_TEND!$A:$A,$A11,BASE_FIXA_TEND!$B:$B,$E11,BASE_FIXA_TEND!$D:$D,$F11)</f>
        <v>0</v>
      </c>
    </row>
    <row r="12" spans="1:13" x14ac:dyDescent="0.3">
      <c r="A12" t="s">
        <v>8</v>
      </c>
      <c r="B12" s="1">
        <v>46054</v>
      </c>
      <c r="C12" t="str">
        <f t="shared" si="0"/>
        <v>02</v>
      </c>
      <c r="D12">
        <f t="shared" si="1"/>
        <v>2026</v>
      </c>
      <c r="E12" t="s">
        <v>47</v>
      </c>
      <c r="F12" t="s">
        <v>14</v>
      </c>
      <c r="G12" t="s">
        <v>643</v>
      </c>
      <c r="H12">
        <v>0</v>
      </c>
      <c r="I12">
        <v>0</v>
      </c>
      <c r="J12" s="1">
        <f t="shared" si="2"/>
        <v>46054</v>
      </c>
      <c r="K12" t="str">
        <f t="shared" si="3"/>
        <v>fev/26</v>
      </c>
      <c r="L12" t="str">
        <f t="shared" si="4"/>
        <v>dom</v>
      </c>
      <c r="M12">
        <f>SUMIFS(BASE_FIXA_TEND!AN:AN,BASE_FIXA_TEND!$A:$A,$A12,BASE_FIXA_TEND!$B:$B,$E12,BASE_FIXA_TEND!$D:$D,$F12)</f>
        <v>21.166964285714453</v>
      </c>
    </row>
    <row r="13" spans="1:13" x14ac:dyDescent="0.3">
      <c r="A13" t="s">
        <v>174</v>
      </c>
      <c r="B13" s="1">
        <v>46054</v>
      </c>
      <c r="C13" t="str">
        <f t="shared" si="0"/>
        <v>02</v>
      </c>
      <c r="D13">
        <f t="shared" si="1"/>
        <v>2026</v>
      </c>
      <c r="E13" t="s">
        <v>47</v>
      </c>
      <c r="F13" t="s">
        <v>14</v>
      </c>
      <c r="G13" t="s">
        <v>643</v>
      </c>
      <c r="H13">
        <v>0</v>
      </c>
      <c r="I13">
        <v>0</v>
      </c>
      <c r="J13" s="1">
        <f t="shared" si="2"/>
        <v>46054</v>
      </c>
      <c r="K13" t="str">
        <f t="shared" si="3"/>
        <v>fev/26</v>
      </c>
      <c r="L13" t="str">
        <f t="shared" si="4"/>
        <v>dom</v>
      </c>
      <c r="M13">
        <f>SUMIFS(BASE_FIXA_TEND!AN:AN,BASE_FIXA_TEND!$A:$A,$A13,BASE_FIXA_TEND!$B:$B,$E13,BASE_FIXA_TEND!$D:$D,$F13)</f>
        <v>0</v>
      </c>
    </row>
    <row r="14" spans="1:13" x14ac:dyDescent="0.3">
      <c r="A14" t="s">
        <v>243</v>
      </c>
      <c r="B14" s="1">
        <v>46054</v>
      </c>
      <c r="C14" t="str">
        <f t="shared" si="0"/>
        <v>02</v>
      </c>
      <c r="D14">
        <f t="shared" si="1"/>
        <v>2026</v>
      </c>
      <c r="E14" t="s">
        <v>47</v>
      </c>
      <c r="F14" t="s">
        <v>14</v>
      </c>
      <c r="G14" t="s">
        <v>643</v>
      </c>
      <c r="H14">
        <v>0</v>
      </c>
      <c r="I14">
        <v>0</v>
      </c>
      <c r="J14" s="1">
        <f t="shared" si="2"/>
        <v>46054</v>
      </c>
      <c r="K14" t="str">
        <f t="shared" si="3"/>
        <v>fev/26</v>
      </c>
      <c r="L14" t="str">
        <f t="shared" si="4"/>
        <v>dom</v>
      </c>
      <c r="M14">
        <f>SUMIFS(BASE_FIXA_TEND!AN:AN,BASE_FIXA_TEND!$A:$A,$A14,BASE_FIXA_TEND!$B:$B,$E14,BASE_FIXA_TEND!$D:$D,$F14)</f>
        <v>0</v>
      </c>
    </row>
    <row r="15" spans="1:13" x14ac:dyDescent="0.3">
      <c r="A15" t="s">
        <v>287</v>
      </c>
      <c r="B15" s="1">
        <v>46054</v>
      </c>
      <c r="C15" t="str">
        <f t="shared" si="0"/>
        <v>02</v>
      </c>
      <c r="D15">
        <f t="shared" si="1"/>
        <v>2026</v>
      </c>
      <c r="E15" t="s">
        <v>47</v>
      </c>
      <c r="F15" t="s">
        <v>14</v>
      </c>
      <c r="G15" t="s">
        <v>643</v>
      </c>
      <c r="H15">
        <v>0</v>
      </c>
      <c r="I15">
        <v>0</v>
      </c>
      <c r="J15" s="1">
        <f t="shared" si="2"/>
        <v>46054</v>
      </c>
      <c r="K15" t="str">
        <f t="shared" si="3"/>
        <v>fev/26</v>
      </c>
      <c r="L15" t="str">
        <f t="shared" si="4"/>
        <v>dom</v>
      </c>
      <c r="M15">
        <f>SUMIFS(BASE_FIXA_TEND!AN:AN,BASE_FIXA_TEND!$A:$A,$A15,BASE_FIXA_TEND!$B:$B,$E15,BASE_FIXA_TEND!$D:$D,$F15)</f>
        <v>0</v>
      </c>
    </row>
    <row r="16" spans="1:13" x14ac:dyDescent="0.3">
      <c r="A16" t="s">
        <v>340</v>
      </c>
      <c r="B16" s="1">
        <v>46054</v>
      </c>
      <c r="C16" t="str">
        <f t="shared" si="0"/>
        <v>02</v>
      </c>
      <c r="D16">
        <f t="shared" si="1"/>
        <v>2026</v>
      </c>
      <c r="E16" t="s">
        <v>47</v>
      </c>
      <c r="F16" t="s">
        <v>14</v>
      </c>
      <c r="G16" t="s">
        <v>643</v>
      </c>
      <c r="H16">
        <v>0</v>
      </c>
      <c r="I16">
        <v>0</v>
      </c>
      <c r="J16" s="1">
        <f t="shared" si="2"/>
        <v>46054</v>
      </c>
      <c r="K16" t="str">
        <f t="shared" si="3"/>
        <v>fev/26</v>
      </c>
      <c r="L16" t="str">
        <f t="shared" si="4"/>
        <v>dom</v>
      </c>
      <c r="M16">
        <f>SUMIFS(BASE_FIXA_TEND!AN:AN,BASE_FIXA_TEND!$A:$A,$A16,BASE_FIXA_TEND!$B:$B,$E16,BASE_FIXA_TEND!$D:$D,$F16)</f>
        <v>0</v>
      </c>
    </row>
    <row r="17" spans="1:13" x14ac:dyDescent="0.3">
      <c r="A17" t="s">
        <v>381</v>
      </c>
      <c r="B17" s="1">
        <v>46054</v>
      </c>
      <c r="C17" t="str">
        <f t="shared" si="0"/>
        <v>02</v>
      </c>
      <c r="D17">
        <f t="shared" si="1"/>
        <v>2026</v>
      </c>
      <c r="E17" t="s">
        <v>47</v>
      </c>
      <c r="F17" t="s">
        <v>14</v>
      </c>
      <c r="G17" t="s">
        <v>643</v>
      </c>
      <c r="H17">
        <v>0</v>
      </c>
      <c r="I17">
        <v>0</v>
      </c>
      <c r="J17" s="1">
        <f t="shared" si="2"/>
        <v>46054</v>
      </c>
      <c r="K17" t="str">
        <f t="shared" si="3"/>
        <v>fev/26</v>
      </c>
      <c r="L17" t="str">
        <f t="shared" si="4"/>
        <v>dom</v>
      </c>
      <c r="M17">
        <f>SUMIFS(BASE_FIXA_TEND!AN:AN,BASE_FIXA_TEND!$A:$A,$A17,BASE_FIXA_TEND!$B:$B,$E17,BASE_FIXA_TEND!$D:$D,$F17)</f>
        <v>0</v>
      </c>
    </row>
    <row r="18" spans="1:13" x14ac:dyDescent="0.3">
      <c r="A18" t="s">
        <v>447</v>
      </c>
      <c r="B18" s="1">
        <v>46054</v>
      </c>
      <c r="C18" t="str">
        <f t="shared" si="0"/>
        <v>02</v>
      </c>
      <c r="D18">
        <f t="shared" si="1"/>
        <v>2026</v>
      </c>
      <c r="E18" t="s">
        <v>47</v>
      </c>
      <c r="F18" t="s">
        <v>14</v>
      </c>
      <c r="G18" t="s">
        <v>643</v>
      </c>
      <c r="H18">
        <v>0</v>
      </c>
      <c r="I18">
        <v>0</v>
      </c>
      <c r="J18" s="1">
        <f t="shared" si="2"/>
        <v>46054</v>
      </c>
      <c r="K18" t="str">
        <f t="shared" si="3"/>
        <v>fev/26</v>
      </c>
      <c r="L18" t="str">
        <f t="shared" si="4"/>
        <v>dom</v>
      </c>
      <c r="M18">
        <f>SUMIFS(BASE_FIXA_TEND!AN:AN,BASE_FIXA_TEND!$A:$A,$A18,BASE_FIXA_TEND!$B:$B,$E18,BASE_FIXA_TEND!$D:$D,$F18)</f>
        <v>0</v>
      </c>
    </row>
    <row r="19" spans="1:13" x14ac:dyDescent="0.3">
      <c r="A19" t="s">
        <v>517</v>
      </c>
      <c r="B19" s="1">
        <v>46054</v>
      </c>
      <c r="C19" t="str">
        <f t="shared" si="0"/>
        <v>02</v>
      </c>
      <c r="D19">
        <f t="shared" si="1"/>
        <v>2026</v>
      </c>
      <c r="E19" t="s">
        <v>47</v>
      </c>
      <c r="F19" t="s">
        <v>14</v>
      </c>
      <c r="G19" t="s">
        <v>643</v>
      </c>
      <c r="H19">
        <v>0</v>
      </c>
      <c r="I19">
        <v>0</v>
      </c>
      <c r="J19" s="1">
        <f t="shared" si="2"/>
        <v>46054</v>
      </c>
      <c r="K19" t="str">
        <f t="shared" si="3"/>
        <v>fev/26</v>
      </c>
      <c r="L19" t="str">
        <f t="shared" si="4"/>
        <v>dom</v>
      </c>
      <c r="M19">
        <f>SUMIFS(BASE_FIXA_TEND!AN:AN,BASE_FIXA_TEND!$A:$A,$A19,BASE_FIXA_TEND!$B:$B,$E19,BASE_FIXA_TEND!$D:$D,$F19)</f>
        <v>47.166964285714457</v>
      </c>
    </row>
    <row r="20" spans="1:13" x14ac:dyDescent="0.3">
      <c r="A20" t="s">
        <v>574</v>
      </c>
      <c r="B20" s="1">
        <v>46054</v>
      </c>
      <c r="C20" t="str">
        <f t="shared" si="0"/>
        <v>02</v>
      </c>
      <c r="D20">
        <f t="shared" si="1"/>
        <v>2026</v>
      </c>
      <c r="E20" t="s">
        <v>47</v>
      </c>
      <c r="F20" t="s">
        <v>14</v>
      </c>
      <c r="G20" t="s">
        <v>643</v>
      </c>
      <c r="H20">
        <v>0</v>
      </c>
      <c r="I20">
        <v>0</v>
      </c>
      <c r="J20" s="1">
        <f t="shared" si="2"/>
        <v>46054</v>
      </c>
      <c r="K20" t="str">
        <f t="shared" si="3"/>
        <v>fev/26</v>
      </c>
      <c r="L20" t="str">
        <f t="shared" si="4"/>
        <v>dom</v>
      </c>
      <c r="M20">
        <f>SUMIFS(BASE_FIXA_TEND!AN:AN,BASE_FIXA_TEND!$A:$A,$A20,BASE_FIXA_TEND!$B:$B,$E20,BASE_FIXA_TEND!$D:$D,$F20)</f>
        <v>0</v>
      </c>
    </row>
    <row r="21" spans="1:13" x14ac:dyDescent="0.3">
      <c r="A21" t="s">
        <v>606</v>
      </c>
      <c r="B21" s="1">
        <v>46054</v>
      </c>
      <c r="C21" t="str">
        <f t="shared" si="0"/>
        <v>02</v>
      </c>
      <c r="D21">
        <f t="shared" si="1"/>
        <v>2026</v>
      </c>
      <c r="E21" t="s">
        <v>47</v>
      </c>
      <c r="F21" t="s">
        <v>14</v>
      </c>
      <c r="G21" t="s">
        <v>643</v>
      </c>
      <c r="H21">
        <v>0</v>
      </c>
      <c r="I21">
        <v>0</v>
      </c>
      <c r="J21" s="1">
        <f t="shared" si="2"/>
        <v>46054</v>
      </c>
      <c r="K21" t="str">
        <f t="shared" si="3"/>
        <v>fev/26</v>
      </c>
      <c r="L21" t="str">
        <f t="shared" si="4"/>
        <v>dom</v>
      </c>
      <c r="M21">
        <f>SUMIFS(BASE_FIXA_TEND!AN:AN,BASE_FIXA_TEND!$A:$A,$A21,BASE_FIXA_TEND!$B:$B,$E21,BASE_FIXA_TEND!$D:$D,$F21)</f>
        <v>0</v>
      </c>
    </row>
    <row r="22" spans="1:13" x14ac:dyDescent="0.3">
      <c r="A22" t="s">
        <v>8</v>
      </c>
      <c r="B22" s="1">
        <v>46054</v>
      </c>
      <c r="C22" t="str">
        <f>TEXT(B22,"MM")</f>
        <v>02</v>
      </c>
      <c r="D22">
        <f>YEAR(B22)</f>
        <v>2026</v>
      </c>
      <c r="E22" t="s">
        <v>164</v>
      </c>
      <c r="F22" t="s">
        <v>11</v>
      </c>
      <c r="G22" t="s">
        <v>643</v>
      </c>
      <c r="H22">
        <v>0</v>
      </c>
      <c r="I22">
        <v>0</v>
      </c>
      <c r="J22" s="1">
        <f>B22</f>
        <v>46054</v>
      </c>
      <c r="K22" t="str">
        <f>TEXT(J22,"MMM/AA")</f>
        <v>fev/26</v>
      </c>
      <c r="L22" t="str">
        <f>TEXT(J22,"DDD")</f>
        <v>dom</v>
      </c>
      <c r="M22">
        <f>SUMIFS(BASE_FIXA_TEND!AN:AN,BASE_FIXA_TEND!$A:$A,$A22,BASE_FIXA_TEND!$B:$B,$E22,BASE_FIXA_TEND!$D:$D,$F22)</f>
        <v>353.60350615441689</v>
      </c>
    </row>
    <row r="23" spans="1:13" x14ac:dyDescent="0.3">
      <c r="A23" t="s">
        <v>174</v>
      </c>
      <c r="B23" s="1">
        <v>46054</v>
      </c>
      <c r="C23" t="str">
        <f t="shared" ref="C23:C86" si="5">TEXT(B23,"MM")</f>
        <v>02</v>
      </c>
      <c r="D23">
        <f t="shared" ref="D23:D86" si="6">YEAR(B23)</f>
        <v>2026</v>
      </c>
      <c r="E23" t="s">
        <v>164</v>
      </c>
      <c r="F23" t="s">
        <v>11</v>
      </c>
      <c r="G23" t="s">
        <v>643</v>
      </c>
      <c r="H23">
        <v>0</v>
      </c>
      <c r="I23">
        <v>0</v>
      </c>
      <c r="J23" s="1">
        <f t="shared" ref="J23:J86" si="7">B23</f>
        <v>46054</v>
      </c>
      <c r="K23" t="str">
        <f t="shared" ref="K23:K86" si="8">TEXT(J23,"MMM/AA")</f>
        <v>fev/26</v>
      </c>
      <c r="L23" t="str">
        <f t="shared" ref="L23:L86" si="9">TEXT(J23,"DDD")</f>
        <v>dom</v>
      </c>
      <c r="M23">
        <f>SUMIFS(BASE_FIXA_TEND!AN:AN,BASE_FIXA_TEND!$A:$A,$A23,BASE_FIXA_TEND!$B:$B,$E23,BASE_FIXA_TEND!$D:$D,$F23)</f>
        <v>304.18500559492452</v>
      </c>
    </row>
    <row r="24" spans="1:13" x14ac:dyDescent="0.3">
      <c r="A24" t="s">
        <v>243</v>
      </c>
      <c r="B24" s="1">
        <v>46054</v>
      </c>
      <c r="C24" t="str">
        <f t="shared" si="5"/>
        <v>02</v>
      </c>
      <c r="D24">
        <f t="shared" si="6"/>
        <v>2026</v>
      </c>
      <c r="E24" t="s">
        <v>164</v>
      </c>
      <c r="F24" t="s">
        <v>11</v>
      </c>
      <c r="G24" t="s">
        <v>643</v>
      </c>
      <c r="H24">
        <v>0</v>
      </c>
      <c r="I24">
        <v>0</v>
      </c>
      <c r="J24" s="1">
        <f t="shared" si="7"/>
        <v>46054</v>
      </c>
      <c r="K24" t="str">
        <f t="shared" si="8"/>
        <v>fev/26</v>
      </c>
      <c r="L24" t="str">
        <f t="shared" si="9"/>
        <v>dom</v>
      </c>
      <c r="M24">
        <f>SUMIFS(BASE_FIXA_TEND!AN:AN,BASE_FIXA_TEND!$A:$A,$A24,BASE_FIXA_TEND!$B:$B,$E24,BASE_FIXA_TEND!$D:$D,$F24)</f>
        <v>231.13875419619336</v>
      </c>
    </row>
    <row r="25" spans="1:13" x14ac:dyDescent="0.3">
      <c r="A25" t="s">
        <v>287</v>
      </c>
      <c r="B25" s="1">
        <v>46054</v>
      </c>
      <c r="C25" t="str">
        <f t="shared" si="5"/>
        <v>02</v>
      </c>
      <c r="D25">
        <f t="shared" si="6"/>
        <v>2026</v>
      </c>
      <c r="E25" t="s">
        <v>164</v>
      </c>
      <c r="F25" t="s">
        <v>11</v>
      </c>
      <c r="G25" t="s">
        <v>643</v>
      </c>
      <c r="H25">
        <v>0</v>
      </c>
      <c r="I25">
        <v>0</v>
      </c>
      <c r="J25" s="1">
        <f t="shared" si="7"/>
        <v>46054</v>
      </c>
      <c r="K25" t="str">
        <f t="shared" si="8"/>
        <v>fev/26</v>
      </c>
      <c r="L25" t="str">
        <f t="shared" si="9"/>
        <v>dom</v>
      </c>
      <c r="M25">
        <f>SUMIFS(BASE_FIXA_TEND!AN:AN,BASE_FIXA_TEND!$A:$A,$A25,BASE_FIXA_TEND!$B:$B,$E25,BASE_FIXA_TEND!$D:$D,$F25)</f>
        <v>314.3942558746707</v>
      </c>
    </row>
    <row r="26" spans="1:13" x14ac:dyDescent="0.3">
      <c r="A26" t="s">
        <v>340</v>
      </c>
      <c r="B26" s="1">
        <v>46054</v>
      </c>
      <c r="C26" t="str">
        <f t="shared" si="5"/>
        <v>02</v>
      </c>
      <c r="D26">
        <f t="shared" si="6"/>
        <v>2026</v>
      </c>
      <c r="E26" t="s">
        <v>164</v>
      </c>
      <c r="F26" t="s">
        <v>11</v>
      </c>
      <c r="G26" t="s">
        <v>643</v>
      </c>
      <c r="H26">
        <v>0</v>
      </c>
      <c r="I26">
        <v>0</v>
      </c>
      <c r="J26" s="1">
        <f t="shared" si="7"/>
        <v>46054</v>
      </c>
      <c r="K26" t="str">
        <f t="shared" si="8"/>
        <v>fev/26</v>
      </c>
      <c r="L26" t="str">
        <f t="shared" si="9"/>
        <v>dom</v>
      </c>
      <c r="M26">
        <f>SUMIFS(BASE_FIXA_TEND!AN:AN,BASE_FIXA_TEND!$A:$A,$A26,BASE_FIXA_TEND!$B:$B,$E26,BASE_FIXA_TEND!$D:$D,$F26)</f>
        <v>116.46475195822354</v>
      </c>
    </row>
    <row r="27" spans="1:13" x14ac:dyDescent="0.3">
      <c r="A27" t="s">
        <v>381</v>
      </c>
      <c r="B27" s="1">
        <v>46054</v>
      </c>
      <c r="C27" t="str">
        <f t="shared" si="5"/>
        <v>02</v>
      </c>
      <c r="D27">
        <f t="shared" si="6"/>
        <v>2026</v>
      </c>
      <c r="E27" t="s">
        <v>164</v>
      </c>
      <c r="F27" t="s">
        <v>11</v>
      </c>
      <c r="G27" t="s">
        <v>643</v>
      </c>
      <c r="H27">
        <v>0</v>
      </c>
      <c r="I27">
        <v>0</v>
      </c>
      <c r="J27" s="1">
        <f t="shared" si="7"/>
        <v>46054</v>
      </c>
      <c r="K27" t="str">
        <f t="shared" si="8"/>
        <v>fev/26</v>
      </c>
      <c r="L27" t="str">
        <f t="shared" si="9"/>
        <v>dom</v>
      </c>
      <c r="M27">
        <f>SUMIFS(BASE_FIXA_TEND!AN:AN,BASE_FIXA_TEND!$A:$A,$A27,BASE_FIXA_TEND!$B:$B,$E27,BASE_FIXA_TEND!$D:$D,$F27)</f>
        <v>178.11562849682778</v>
      </c>
    </row>
    <row r="28" spans="1:13" x14ac:dyDescent="0.3">
      <c r="A28" t="s">
        <v>447</v>
      </c>
      <c r="B28" s="1">
        <v>46054</v>
      </c>
      <c r="C28" t="str">
        <f t="shared" si="5"/>
        <v>02</v>
      </c>
      <c r="D28">
        <f t="shared" si="6"/>
        <v>2026</v>
      </c>
      <c r="E28" t="s">
        <v>164</v>
      </c>
      <c r="F28" t="s">
        <v>11</v>
      </c>
      <c r="G28" t="s">
        <v>643</v>
      </c>
      <c r="H28">
        <v>0</v>
      </c>
      <c r="I28">
        <v>0</v>
      </c>
      <c r="J28" s="1">
        <f t="shared" si="7"/>
        <v>46054</v>
      </c>
      <c r="K28" t="str">
        <f t="shared" si="8"/>
        <v>fev/26</v>
      </c>
      <c r="L28" t="str">
        <f t="shared" si="9"/>
        <v>dom</v>
      </c>
      <c r="M28">
        <f>SUMIFS(BASE_FIXA_TEND!AN:AN,BASE_FIXA_TEND!$A:$A,$A28,BASE_FIXA_TEND!$B:$B,$E28,BASE_FIXA_TEND!$D:$D,$F28)</f>
        <v>90.25550167847733</v>
      </c>
    </row>
    <row r="29" spans="1:13" x14ac:dyDescent="0.3">
      <c r="A29" t="s">
        <v>517</v>
      </c>
      <c r="B29" s="1">
        <v>46054</v>
      </c>
      <c r="C29" t="str">
        <f t="shared" si="5"/>
        <v>02</v>
      </c>
      <c r="D29">
        <f t="shared" si="6"/>
        <v>2026</v>
      </c>
      <c r="E29" t="s">
        <v>164</v>
      </c>
      <c r="F29" t="s">
        <v>11</v>
      </c>
      <c r="G29" t="s">
        <v>643</v>
      </c>
      <c r="H29">
        <v>0</v>
      </c>
      <c r="I29">
        <v>0</v>
      </c>
      <c r="J29" s="1">
        <f t="shared" si="7"/>
        <v>46054</v>
      </c>
      <c r="K29" t="str">
        <f t="shared" si="8"/>
        <v>fev/26</v>
      </c>
      <c r="L29" t="str">
        <f t="shared" si="9"/>
        <v>dom</v>
      </c>
      <c r="M29">
        <f>SUMIFS(BASE_FIXA_TEND!AN:AN,BASE_FIXA_TEND!$A:$A,$A29,BASE_FIXA_TEND!$B:$B,$E29,BASE_FIXA_TEND!$D:$D,$F29)</f>
        <v>819.88101454680361</v>
      </c>
    </row>
    <row r="30" spans="1:13" x14ac:dyDescent="0.3">
      <c r="A30" t="s">
        <v>574</v>
      </c>
      <c r="B30" s="1">
        <v>46054</v>
      </c>
      <c r="C30" t="str">
        <f t="shared" si="5"/>
        <v>02</v>
      </c>
      <c r="D30">
        <f t="shared" si="6"/>
        <v>2026</v>
      </c>
      <c r="E30" t="s">
        <v>164</v>
      </c>
      <c r="F30" t="s">
        <v>11</v>
      </c>
      <c r="G30" t="s">
        <v>643</v>
      </c>
      <c r="H30">
        <v>0</v>
      </c>
      <c r="I30">
        <v>0</v>
      </c>
      <c r="J30" s="1">
        <f t="shared" si="7"/>
        <v>46054</v>
      </c>
      <c r="K30" t="str">
        <f t="shared" si="8"/>
        <v>fev/26</v>
      </c>
      <c r="L30" t="str">
        <f t="shared" si="9"/>
        <v>dom</v>
      </c>
      <c r="M30">
        <f>SUMIFS(BASE_FIXA_TEND!AN:AN,BASE_FIXA_TEND!$A:$A,$A30,BASE_FIXA_TEND!$B:$B,$E30,BASE_FIXA_TEND!$D:$D,$F30)</f>
        <v>73.232375979111779</v>
      </c>
    </row>
    <row r="31" spans="1:13" x14ac:dyDescent="0.3">
      <c r="A31" t="s">
        <v>606</v>
      </c>
      <c r="B31" s="1">
        <v>46054</v>
      </c>
      <c r="C31" t="str">
        <f t="shared" si="5"/>
        <v>02</v>
      </c>
      <c r="D31">
        <f t="shared" si="6"/>
        <v>2026</v>
      </c>
      <c r="E31" t="s">
        <v>164</v>
      </c>
      <c r="F31" t="s">
        <v>11</v>
      </c>
      <c r="G31" t="s">
        <v>643</v>
      </c>
      <c r="H31">
        <v>0</v>
      </c>
      <c r="I31">
        <v>0</v>
      </c>
      <c r="J31" s="1">
        <f t="shared" si="7"/>
        <v>46054</v>
      </c>
      <c r="K31" t="str">
        <f t="shared" si="8"/>
        <v>fev/26</v>
      </c>
      <c r="L31" t="str">
        <f t="shared" si="9"/>
        <v>dom</v>
      </c>
      <c r="M31">
        <f>SUMIFS(BASE_FIXA_TEND!AN:AN,BASE_FIXA_TEND!$A:$A,$A31,BASE_FIXA_TEND!$B:$B,$E31,BASE_FIXA_TEND!$D:$D,$F31)</f>
        <v>28.418500559492443</v>
      </c>
    </row>
    <row r="32" spans="1:13" x14ac:dyDescent="0.3">
      <c r="A32" t="s">
        <v>8</v>
      </c>
      <c r="B32" s="1">
        <v>46054</v>
      </c>
      <c r="C32" t="str">
        <f t="shared" si="5"/>
        <v>02</v>
      </c>
      <c r="D32">
        <f t="shared" si="6"/>
        <v>2026</v>
      </c>
      <c r="E32" t="s">
        <v>164</v>
      </c>
      <c r="F32" t="s">
        <v>14</v>
      </c>
      <c r="G32" t="s">
        <v>643</v>
      </c>
      <c r="H32">
        <v>0</v>
      </c>
      <c r="I32">
        <v>0</v>
      </c>
      <c r="J32" s="1">
        <f t="shared" si="7"/>
        <v>46054</v>
      </c>
      <c r="K32" t="str">
        <f t="shared" si="8"/>
        <v>fev/26</v>
      </c>
      <c r="L32" t="str">
        <f t="shared" si="9"/>
        <v>dom</v>
      </c>
      <c r="M32">
        <f>SUMIFS(BASE_FIXA_TEND!AN:AN,BASE_FIXA_TEND!$A:$A,$A32,BASE_FIXA_TEND!$B:$B,$E32,BASE_FIXA_TEND!$D:$D,$F32)</f>
        <v>674.50803571429037</v>
      </c>
    </row>
    <row r="33" spans="1:13" x14ac:dyDescent="0.3">
      <c r="A33" t="s">
        <v>174</v>
      </c>
      <c r="B33" s="1">
        <v>46054</v>
      </c>
      <c r="C33" t="str">
        <f t="shared" si="5"/>
        <v>02</v>
      </c>
      <c r="D33">
        <f t="shared" si="6"/>
        <v>2026</v>
      </c>
      <c r="E33" t="s">
        <v>164</v>
      </c>
      <c r="F33" t="s">
        <v>14</v>
      </c>
      <c r="G33" t="s">
        <v>643</v>
      </c>
      <c r="H33">
        <v>0</v>
      </c>
      <c r="I33">
        <v>0</v>
      </c>
      <c r="J33" s="1">
        <f t="shared" si="7"/>
        <v>46054</v>
      </c>
      <c r="K33" t="str">
        <f t="shared" si="8"/>
        <v>fev/26</v>
      </c>
      <c r="L33" t="str">
        <f t="shared" si="9"/>
        <v>dom</v>
      </c>
      <c r="M33">
        <f>SUMIFS(BASE_FIXA_TEND!AN:AN,BASE_FIXA_TEND!$A:$A,$A33,BASE_FIXA_TEND!$B:$B,$E33,BASE_FIXA_TEND!$D:$D,$F33)</f>
        <v>545.50625000000343</v>
      </c>
    </row>
    <row r="34" spans="1:13" x14ac:dyDescent="0.3">
      <c r="A34" t="s">
        <v>243</v>
      </c>
      <c r="B34" s="1">
        <v>46054</v>
      </c>
      <c r="C34" t="str">
        <f t="shared" si="5"/>
        <v>02</v>
      </c>
      <c r="D34">
        <f t="shared" si="6"/>
        <v>2026</v>
      </c>
      <c r="E34" t="s">
        <v>164</v>
      </c>
      <c r="F34" t="s">
        <v>14</v>
      </c>
      <c r="G34" t="s">
        <v>643</v>
      </c>
      <c r="H34">
        <v>0</v>
      </c>
      <c r="I34">
        <v>0</v>
      </c>
      <c r="J34" s="1">
        <f t="shared" si="7"/>
        <v>46054</v>
      </c>
      <c r="K34" t="str">
        <f t="shared" si="8"/>
        <v>fev/26</v>
      </c>
      <c r="L34" t="str">
        <f t="shared" si="9"/>
        <v>dom</v>
      </c>
      <c r="M34">
        <f>SUMIFS(BASE_FIXA_TEND!AN:AN,BASE_FIXA_TEND!$A:$A,$A34,BASE_FIXA_TEND!$B:$B,$E34,BASE_FIXA_TEND!$D:$D,$F34)</f>
        <v>279.71138392857307</v>
      </c>
    </row>
    <row r="35" spans="1:13" x14ac:dyDescent="0.3">
      <c r="A35" t="s">
        <v>287</v>
      </c>
      <c r="B35" s="1">
        <v>46054</v>
      </c>
      <c r="C35" t="str">
        <f t="shared" si="5"/>
        <v>02</v>
      </c>
      <c r="D35">
        <f t="shared" si="6"/>
        <v>2026</v>
      </c>
      <c r="E35" t="s">
        <v>164</v>
      </c>
      <c r="F35" t="s">
        <v>14</v>
      </c>
      <c r="G35" t="s">
        <v>643</v>
      </c>
      <c r="H35">
        <v>0</v>
      </c>
      <c r="I35">
        <v>0</v>
      </c>
      <c r="J35" s="1">
        <f t="shared" si="7"/>
        <v>46054</v>
      </c>
      <c r="K35" t="str">
        <f t="shared" si="8"/>
        <v>fev/26</v>
      </c>
      <c r="L35" t="str">
        <f t="shared" si="9"/>
        <v>dom</v>
      </c>
      <c r="M35">
        <f>SUMIFS(BASE_FIXA_TEND!AN:AN,BASE_FIXA_TEND!$A:$A,$A35,BASE_FIXA_TEND!$B:$B,$E35,BASE_FIXA_TEND!$D:$D,$F35)</f>
        <v>515.21406250000314</v>
      </c>
    </row>
    <row r="36" spans="1:13" x14ac:dyDescent="0.3">
      <c r="A36" t="s">
        <v>340</v>
      </c>
      <c r="B36" s="1">
        <v>46054</v>
      </c>
      <c r="C36" t="str">
        <f t="shared" si="5"/>
        <v>02</v>
      </c>
      <c r="D36">
        <f t="shared" si="6"/>
        <v>2026</v>
      </c>
      <c r="E36" t="s">
        <v>164</v>
      </c>
      <c r="F36" t="s">
        <v>14</v>
      </c>
      <c r="G36" t="s">
        <v>643</v>
      </c>
      <c r="H36">
        <v>0</v>
      </c>
      <c r="I36">
        <v>0</v>
      </c>
      <c r="J36" s="1">
        <f t="shared" si="7"/>
        <v>46054</v>
      </c>
      <c r="K36" t="str">
        <f t="shared" si="8"/>
        <v>fev/26</v>
      </c>
      <c r="L36" t="str">
        <f t="shared" si="9"/>
        <v>dom</v>
      </c>
      <c r="M36">
        <f>SUMIFS(BASE_FIXA_TEND!AN:AN,BASE_FIXA_TEND!$A:$A,$A36,BASE_FIXA_TEND!$B:$B,$E36,BASE_FIXA_TEND!$D:$D,$F36)</f>
        <v>171.96004464285807</v>
      </c>
    </row>
    <row r="37" spans="1:13" x14ac:dyDescent="0.3">
      <c r="A37" t="s">
        <v>381</v>
      </c>
      <c r="B37" s="1">
        <v>46054</v>
      </c>
      <c r="C37" t="str">
        <f t="shared" si="5"/>
        <v>02</v>
      </c>
      <c r="D37">
        <f t="shared" si="6"/>
        <v>2026</v>
      </c>
      <c r="E37" t="s">
        <v>164</v>
      </c>
      <c r="F37" t="s">
        <v>14</v>
      </c>
      <c r="G37" t="s">
        <v>643</v>
      </c>
      <c r="H37">
        <v>0</v>
      </c>
      <c r="I37">
        <v>0</v>
      </c>
      <c r="J37" s="1">
        <f t="shared" si="7"/>
        <v>46054</v>
      </c>
      <c r="K37" t="str">
        <f t="shared" si="8"/>
        <v>fev/26</v>
      </c>
      <c r="L37" t="str">
        <f t="shared" si="9"/>
        <v>dom</v>
      </c>
      <c r="M37">
        <f>SUMIFS(BASE_FIXA_TEND!AN:AN,BASE_FIXA_TEND!$A:$A,$A37,BASE_FIXA_TEND!$B:$B,$E37,BASE_FIXA_TEND!$D:$D,$F37)</f>
        <v>303.04531250000196</v>
      </c>
    </row>
    <row r="38" spans="1:13" x14ac:dyDescent="0.3">
      <c r="A38" t="s">
        <v>447</v>
      </c>
      <c r="B38" s="1">
        <v>46054</v>
      </c>
      <c r="C38" t="str">
        <f t="shared" si="5"/>
        <v>02</v>
      </c>
      <c r="D38">
        <f t="shared" si="6"/>
        <v>2026</v>
      </c>
      <c r="E38" t="s">
        <v>164</v>
      </c>
      <c r="F38" t="s">
        <v>14</v>
      </c>
      <c r="G38" t="s">
        <v>643</v>
      </c>
      <c r="H38">
        <v>0</v>
      </c>
      <c r="I38">
        <v>0</v>
      </c>
      <c r="J38" s="1">
        <f t="shared" si="7"/>
        <v>46054</v>
      </c>
      <c r="K38" t="str">
        <f t="shared" si="8"/>
        <v>fev/26</v>
      </c>
      <c r="L38" t="str">
        <f t="shared" si="9"/>
        <v>dom</v>
      </c>
      <c r="M38">
        <f>SUMIFS(BASE_FIXA_TEND!AN:AN,BASE_FIXA_TEND!$A:$A,$A38,BASE_FIXA_TEND!$B:$B,$E38,BASE_FIXA_TEND!$D:$D,$F38)</f>
        <v>126.75133928571503</v>
      </c>
    </row>
    <row r="39" spans="1:13" x14ac:dyDescent="0.3">
      <c r="A39" t="s">
        <v>517</v>
      </c>
      <c r="B39" s="1">
        <v>46054</v>
      </c>
      <c r="C39" t="str">
        <f t="shared" si="5"/>
        <v>02</v>
      </c>
      <c r="D39">
        <f t="shared" si="6"/>
        <v>2026</v>
      </c>
      <c r="E39" t="s">
        <v>164</v>
      </c>
      <c r="F39" t="s">
        <v>14</v>
      </c>
      <c r="G39" t="s">
        <v>643</v>
      </c>
      <c r="H39">
        <v>0</v>
      </c>
      <c r="I39">
        <v>0</v>
      </c>
      <c r="J39" s="1">
        <f t="shared" si="7"/>
        <v>46054</v>
      </c>
      <c r="K39" t="str">
        <f t="shared" si="8"/>
        <v>fev/26</v>
      </c>
      <c r="L39" t="str">
        <f t="shared" si="9"/>
        <v>dom</v>
      </c>
      <c r="M39">
        <f>SUMIFS(BASE_FIXA_TEND!AN:AN,BASE_FIXA_TEND!$A:$A,$A39,BASE_FIXA_TEND!$B:$B,$E39,BASE_FIXA_TEND!$D:$D,$F39)</f>
        <v>1339.5151785714372</v>
      </c>
    </row>
    <row r="40" spans="1:13" x14ac:dyDescent="0.3">
      <c r="A40" t="s">
        <v>574</v>
      </c>
      <c r="B40" s="1">
        <v>46054</v>
      </c>
      <c r="C40" t="str">
        <f t="shared" si="5"/>
        <v>02</v>
      </c>
      <c r="D40">
        <f t="shared" si="6"/>
        <v>2026</v>
      </c>
      <c r="E40" t="s">
        <v>164</v>
      </c>
      <c r="F40" t="s">
        <v>14</v>
      </c>
      <c r="G40" t="s">
        <v>643</v>
      </c>
      <c r="H40">
        <v>0</v>
      </c>
      <c r="I40">
        <v>0</v>
      </c>
      <c r="J40" s="1">
        <f t="shared" si="7"/>
        <v>46054</v>
      </c>
      <c r="K40" t="str">
        <f t="shared" si="8"/>
        <v>fev/26</v>
      </c>
      <c r="L40" t="str">
        <f t="shared" si="9"/>
        <v>dom</v>
      </c>
      <c r="M40">
        <f>SUMIFS(BASE_FIXA_TEND!AN:AN,BASE_FIXA_TEND!$A:$A,$A40,BASE_FIXA_TEND!$B:$B,$E40,BASE_FIXA_TEND!$D:$D,$F40)</f>
        <v>148.91830357142948</v>
      </c>
    </row>
    <row r="41" spans="1:13" x14ac:dyDescent="0.3">
      <c r="A41" t="s">
        <v>606</v>
      </c>
      <c r="B41" s="1">
        <v>46054</v>
      </c>
      <c r="C41" t="str">
        <f t="shared" si="5"/>
        <v>02</v>
      </c>
      <c r="D41">
        <f t="shared" si="6"/>
        <v>2026</v>
      </c>
      <c r="E41" t="s">
        <v>164</v>
      </c>
      <c r="F41" t="s">
        <v>14</v>
      </c>
      <c r="G41" t="s">
        <v>643</v>
      </c>
      <c r="H41">
        <v>0</v>
      </c>
      <c r="I41">
        <v>0</v>
      </c>
      <c r="J41" s="1">
        <f t="shared" si="7"/>
        <v>46054</v>
      </c>
      <c r="K41" t="str">
        <f t="shared" si="8"/>
        <v>fev/26</v>
      </c>
      <c r="L41" t="str">
        <f t="shared" si="9"/>
        <v>dom</v>
      </c>
      <c r="M41">
        <f>SUMIFS(BASE_FIXA_TEND!AN:AN,BASE_FIXA_TEND!$A:$A,$A41,BASE_FIXA_TEND!$B:$B,$E41,BASE_FIXA_TEND!$D:$D,$F41)</f>
        <v>86.626116071429209</v>
      </c>
    </row>
    <row r="42" spans="1:13" x14ac:dyDescent="0.3">
      <c r="A42" t="s">
        <v>8</v>
      </c>
      <c r="B42" s="1">
        <v>46054</v>
      </c>
      <c r="C42" t="str">
        <f t="shared" si="5"/>
        <v>02</v>
      </c>
      <c r="D42">
        <f t="shared" si="6"/>
        <v>2026</v>
      </c>
      <c r="E42" t="s">
        <v>644</v>
      </c>
      <c r="F42" t="s">
        <v>11</v>
      </c>
      <c r="G42" t="s">
        <v>643</v>
      </c>
      <c r="H42">
        <v>0</v>
      </c>
      <c r="I42">
        <v>0</v>
      </c>
      <c r="J42" s="1">
        <f t="shared" si="7"/>
        <v>46054</v>
      </c>
      <c r="K42" t="str">
        <f t="shared" si="8"/>
        <v>fev/26</v>
      </c>
      <c r="L42" t="str">
        <f t="shared" si="9"/>
        <v>dom</v>
      </c>
      <c r="M42">
        <f>SUMIFS(BASE_FIXA_TEND!AN:AN,BASE_FIXA_TEND!$A:$A,$A42,BASE_FIXA_TEND!$B:$B,$E42,BASE_FIXA_TEND!$D:$D,$F42)</f>
        <v>160.69712793733535</v>
      </c>
    </row>
    <row r="43" spans="1:13" x14ac:dyDescent="0.3">
      <c r="A43" t="s">
        <v>174</v>
      </c>
      <c r="B43" s="1">
        <v>46054</v>
      </c>
      <c r="C43" t="str">
        <f t="shared" si="5"/>
        <v>02</v>
      </c>
      <c r="D43">
        <f t="shared" si="6"/>
        <v>2026</v>
      </c>
      <c r="E43" t="s">
        <v>644</v>
      </c>
      <c r="F43" t="s">
        <v>11</v>
      </c>
      <c r="G43" t="s">
        <v>643</v>
      </c>
      <c r="H43">
        <v>0</v>
      </c>
      <c r="I43">
        <v>0</v>
      </c>
      <c r="J43" s="1">
        <f t="shared" si="7"/>
        <v>46054</v>
      </c>
      <c r="K43" t="str">
        <f t="shared" si="8"/>
        <v>fev/26</v>
      </c>
      <c r="L43" t="str">
        <f t="shared" si="9"/>
        <v>dom</v>
      </c>
      <c r="M43">
        <f>SUMIFS(BASE_FIXA_TEND!AN:AN,BASE_FIXA_TEND!$A:$A,$A43,BASE_FIXA_TEND!$B:$B,$E43,BASE_FIXA_TEND!$D:$D,$F43)</f>
        <v>102.65087653860424</v>
      </c>
    </row>
    <row r="44" spans="1:13" x14ac:dyDescent="0.3">
      <c r="A44" t="s">
        <v>243</v>
      </c>
      <c r="B44" s="1">
        <v>46054</v>
      </c>
      <c r="C44" t="str">
        <f t="shared" si="5"/>
        <v>02</v>
      </c>
      <c r="D44">
        <f t="shared" si="6"/>
        <v>2026</v>
      </c>
      <c r="E44" t="s">
        <v>644</v>
      </c>
      <c r="F44" t="s">
        <v>11</v>
      </c>
      <c r="G44" t="s">
        <v>643</v>
      </c>
      <c r="H44">
        <v>0</v>
      </c>
      <c r="I44">
        <v>0</v>
      </c>
      <c r="J44" s="1">
        <f t="shared" si="7"/>
        <v>46054</v>
      </c>
      <c r="K44" t="str">
        <f t="shared" si="8"/>
        <v>fev/26</v>
      </c>
      <c r="L44" t="str">
        <f t="shared" si="9"/>
        <v>dom</v>
      </c>
      <c r="M44">
        <f>SUMIFS(BASE_FIXA_TEND!AN:AN,BASE_FIXA_TEND!$A:$A,$A44,BASE_FIXA_TEND!$B:$B,$E44,BASE_FIXA_TEND!$D:$D,$F44)</f>
        <v>150.09250279746226</v>
      </c>
    </row>
    <row r="45" spans="1:13" x14ac:dyDescent="0.3">
      <c r="A45" t="s">
        <v>287</v>
      </c>
      <c r="B45" s="1">
        <v>46054</v>
      </c>
      <c r="C45" t="str">
        <f t="shared" si="5"/>
        <v>02</v>
      </c>
      <c r="D45">
        <f t="shared" si="6"/>
        <v>2026</v>
      </c>
      <c r="E45" t="s">
        <v>644</v>
      </c>
      <c r="F45" t="s">
        <v>11</v>
      </c>
      <c r="G45" t="s">
        <v>643</v>
      </c>
      <c r="H45">
        <v>0</v>
      </c>
      <c r="I45">
        <v>0</v>
      </c>
      <c r="J45" s="1">
        <f t="shared" si="7"/>
        <v>46054</v>
      </c>
      <c r="K45" t="str">
        <f t="shared" si="8"/>
        <v>fev/26</v>
      </c>
      <c r="L45" t="str">
        <f t="shared" si="9"/>
        <v>dom</v>
      </c>
      <c r="M45">
        <f>SUMIFS(BASE_FIXA_TEND!AN:AN,BASE_FIXA_TEND!$A:$A,$A45,BASE_FIXA_TEND!$B:$B,$E45,BASE_FIXA_TEND!$D:$D,$F45)</f>
        <v>122.06937709809667</v>
      </c>
    </row>
    <row r="46" spans="1:13" x14ac:dyDescent="0.3">
      <c r="A46" t="s">
        <v>340</v>
      </c>
      <c r="B46" s="1">
        <v>46054</v>
      </c>
      <c r="C46" t="str">
        <f t="shared" si="5"/>
        <v>02</v>
      </c>
      <c r="D46">
        <f t="shared" si="6"/>
        <v>2026</v>
      </c>
      <c r="E46" t="s">
        <v>644</v>
      </c>
      <c r="F46" t="s">
        <v>11</v>
      </c>
      <c r="G46" t="s">
        <v>643</v>
      </c>
      <c r="H46">
        <v>0</v>
      </c>
      <c r="I46">
        <v>0</v>
      </c>
      <c r="J46" s="1">
        <f t="shared" si="7"/>
        <v>46054</v>
      </c>
      <c r="K46" t="str">
        <f t="shared" si="8"/>
        <v>fev/26</v>
      </c>
      <c r="L46" t="str">
        <f t="shared" si="9"/>
        <v>dom</v>
      </c>
      <c r="M46">
        <f>SUMIFS(BASE_FIXA_TEND!AN:AN,BASE_FIXA_TEND!$A:$A,$A46,BASE_FIXA_TEND!$B:$B,$E46,BASE_FIXA_TEND!$D:$D,$F46)</f>
        <v>114.27862737784289</v>
      </c>
    </row>
    <row r="47" spans="1:13" x14ac:dyDescent="0.3">
      <c r="A47" t="s">
        <v>381</v>
      </c>
      <c r="B47" s="1">
        <v>46054</v>
      </c>
      <c r="C47" t="str">
        <f t="shared" si="5"/>
        <v>02</v>
      </c>
      <c r="D47">
        <f t="shared" si="6"/>
        <v>2026</v>
      </c>
      <c r="E47" t="s">
        <v>644</v>
      </c>
      <c r="F47" t="s">
        <v>11</v>
      </c>
      <c r="G47" t="s">
        <v>643</v>
      </c>
      <c r="H47">
        <v>0</v>
      </c>
      <c r="I47">
        <v>0</v>
      </c>
      <c r="J47" s="1">
        <f t="shared" si="7"/>
        <v>46054</v>
      </c>
      <c r="K47" t="str">
        <f t="shared" si="8"/>
        <v>fev/26</v>
      </c>
      <c r="L47" t="str">
        <f t="shared" si="9"/>
        <v>dom</v>
      </c>
      <c r="M47">
        <f>SUMIFS(BASE_FIXA_TEND!AN:AN,BASE_FIXA_TEND!$A:$A,$A47,BASE_FIXA_TEND!$B:$B,$E47,BASE_FIXA_TEND!$D:$D,$F47)</f>
        <v>185.11562849682778</v>
      </c>
    </row>
    <row r="48" spans="1:13" x14ac:dyDescent="0.3">
      <c r="A48" t="s">
        <v>447</v>
      </c>
      <c r="B48" s="1">
        <v>46054</v>
      </c>
      <c r="C48" t="str">
        <f t="shared" si="5"/>
        <v>02</v>
      </c>
      <c r="D48">
        <f t="shared" si="6"/>
        <v>2026</v>
      </c>
      <c r="E48" t="s">
        <v>644</v>
      </c>
      <c r="F48" t="s">
        <v>11</v>
      </c>
      <c r="G48" t="s">
        <v>643</v>
      </c>
      <c r="H48">
        <v>0</v>
      </c>
      <c r="I48">
        <v>0</v>
      </c>
      <c r="J48" s="1">
        <f t="shared" si="7"/>
        <v>46054</v>
      </c>
      <c r="K48" t="str">
        <f t="shared" si="8"/>
        <v>fev/26</v>
      </c>
      <c r="L48" t="str">
        <f t="shared" si="9"/>
        <v>dom</v>
      </c>
      <c r="M48">
        <f>SUMIFS(BASE_FIXA_TEND!AN:AN,BASE_FIXA_TEND!$A:$A,$A48,BASE_FIXA_TEND!$B:$B,$E48,BASE_FIXA_TEND!$D:$D,$F48)</f>
        <v>65.441626258857994</v>
      </c>
    </row>
    <row r="49" spans="1:13" x14ac:dyDescent="0.3">
      <c r="A49" t="s">
        <v>517</v>
      </c>
      <c r="B49" s="1">
        <v>46054</v>
      </c>
      <c r="C49" t="str">
        <f t="shared" si="5"/>
        <v>02</v>
      </c>
      <c r="D49">
        <f t="shared" si="6"/>
        <v>2026</v>
      </c>
      <c r="E49" t="s">
        <v>644</v>
      </c>
      <c r="F49" t="s">
        <v>11</v>
      </c>
      <c r="G49" t="s">
        <v>643</v>
      </c>
      <c r="H49">
        <v>0</v>
      </c>
      <c r="I49">
        <v>0</v>
      </c>
      <c r="J49" s="1">
        <f t="shared" si="7"/>
        <v>46054</v>
      </c>
      <c r="K49" t="str">
        <f t="shared" si="8"/>
        <v>fev/26</v>
      </c>
      <c r="L49" t="str">
        <f t="shared" si="9"/>
        <v>dom</v>
      </c>
      <c r="M49">
        <f>SUMIFS(BASE_FIXA_TEND!AN:AN,BASE_FIXA_TEND!$A:$A,$A49,BASE_FIXA_TEND!$B:$B,$E49,BASE_FIXA_TEND!$D:$D,$F49)</f>
        <v>287.18500559492452</v>
      </c>
    </row>
    <row r="50" spans="1:13" x14ac:dyDescent="0.3">
      <c r="A50" t="s">
        <v>574</v>
      </c>
      <c r="B50" s="1">
        <v>46054</v>
      </c>
      <c r="C50" t="str">
        <f t="shared" si="5"/>
        <v>02</v>
      </c>
      <c r="D50">
        <f t="shared" si="6"/>
        <v>2026</v>
      </c>
      <c r="E50" t="s">
        <v>644</v>
      </c>
      <c r="F50" t="s">
        <v>11</v>
      </c>
      <c r="G50" t="s">
        <v>643</v>
      </c>
      <c r="H50">
        <v>0</v>
      </c>
      <c r="I50">
        <v>0</v>
      </c>
      <c r="J50" s="1">
        <f t="shared" si="7"/>
        <v>46054</v>
      </c>
      <c r="K50" t="str">
        <f t="shared" si="8"/>
        <v>fev/26</v>
      </c>
      <c r="L50" t="str">
        <f t="shared" si="9"/>
        <v>dom</v>
      </c>
      <c r="M50">
        <f>SUMIFS(BASE_FIXA_TEND!AN:AN,BASE_FIXA_TEND!$A:$A,$A50,BASE_FIXA_TEND!$B:$B,$E50,BASE_FIXA_TEND!$D:$D,$F50)</f>
        <v>76.441626258858008</v>
      </c>
    </row>
    <row r="51" spans="1:13" x14ac:dyDescent="0.3">
      <c r="A51" t="s">
        <v>606</v>
      </c>
      <c r="B51" s="1">
        <v>46054</v>
      </c>
      <c r="C51" t="str">
        <f t="shared" si="5"/>
        <v>02</v>
      </c>
      <c r="D51">
        <f t="shared" si="6"/>
        <v>2026</v>
      </c>
      <c r="E51" t="s">
        <v>644</v>
      </c>
      <c r="F51" t="s">
        <v>11</v>
      </c>
      <c r="G51" t="s">
        <v>643</v>
      </c>
      <c r="H51">
        <v>0</v>
      </c>
      <c r="I51">
        <v>0</v>
      </c>
      <c r="J51" s="1">
        <f t="shared" si="7"/>
        <v>46054</v>
      </c>
      <c r="K51" t="str">
        <f t="shared" si="8"/>
        <v>fev/26</v>
      </c>
      <c r="L51" t="str">
        <f t="shared" si="9"/>
        <v>dom</v>
      </c>
      <c r="M51">
        <f>SUMIFS(BASE_FIXA_TEND!AN:AN,BASE_FIXA_TEND!$A:$A,$A51,BASE_FIXA_TEND!$B:$B,$E51,BASE_FIXA_TEND!$D:$D,$F51)</f>
        <v>42.023125699365558</v>
      </c>
    </row>
    <row r="52" spans="1:13" x14ac:dyDescent="0.3">
      <c r="A52" t="s">
        <v>8</v>
      </c>
      <c r="B52" s="1">
        <v>46054</v>
      </c>
      <c r="C52" t="str">
        <f t="shared" si="5"/>
        <v>02</v>
      </c>
      <c r="D52">
        <f t="shared" si="6"/>
        <v>2026</v>
      </c>
      <c r="E52" t="s">
        <v>644</v>
      </c>
      <c r="F52" t="s">
        <v>14</v>
      </c>
      <c r="G52" t="s">
        <v>643</v>
      </c>
      <c r="H52">
        <v>0</v>
      </c>
      <c r="I52">
        <v>0</v>
      </c>
      <c r="J52" s="1">
        <f t="shared" si="7"/>
        <v>46054</v>
      </c>
      <c r="K52" t="str">
        <f t="shared" si="8"/>
        <v>fev/26</v>
      </c>
      <c r="L52" t="str">
        <f t="shared" si="9"/>
        <v>dom</v>
      </c>
      <c r="M52">
        <f>SUMIFS(BASE_FIXA_TEND!AN:AN,BASE_FIXA_TEND!$A:$A,$A52,BASE_FIXA_TEND!$B:$B,$E52,BASE_FIXA_TEND!$D:$D,$F52)</f>
        <v>255.46093750000151</v>
      </c>
    </row>
    <row r="53" spans="1:13" x14ac:dyDescent="0.3">
      <c r="A53" t="s">
        <v>174</v>
      </c>
      <c r="B53" s="1">
        <v>46054</v>
      </c>
      <c r="C53" t="str">
        <f t="shared" si="5"/>
        <v>02</v>
      </c>
      <c r="D53">
        <f t="shared" si="6"/>
        <v>2026</v>
      </c>
      <c r="E53" t="s">
        <v>644</v>
      </c>
      <c r="F53" t="s">
        <v>14</v>
      </c>
      <c r="G53" t="s">
        <v>643</v>
      </c>
      <c r="H53">
        <v>0</v>
      </c>
      <c r="I53">
        <v>0</v>
      </c>
      <c r="J53" s="1">
        <f t="shared" si="7"/>
        <v>46054</v>
      </c>
      <c r="K53" t="str">
        <f t="shared" si="8"/>
        <v>fev/26</v>
      </c>
      <c r="L53" t="str">
        <f t="shared" si="9"/>
        <v>dom</v>
      </c>
      <c r="M53">
        <f>SUMIFS(BASE_FIXA_TEND!AN:AN,BASE_FIXA_TEND!$A:$A,$A53,BASE_FIXA_TEND!$B:$B,$E53,BASE_FIXA_TEND!$D:$D,$F53)</f>
        <v>271.62790178571595</v>
      </c>
    </row>
    <row r="54" spans="1:13" x14ac:dyDescent="0.3">
      <c r="A54" t="s">
        <v>243</v>
      </c>
      <c r="B54" s="1">
        <v>46054</v>
      </c>
      <c r="C54" t="str">
        <f t="shared" si="5"/>
        <v>02</v>
      </c>
      <c r="D54">
        <f t="shared" si="6"/>
        <v>2026</v>
      </c>
      <c r="E54" t="s">
        <v>644</v>
      </c>
      <c r="F54" t="s">
        <v>14</v>
      </c>
      <c r="G54" t="s">
        <v>643</v>
      </c>
      <c r="H54">
        <v>0</v>
      </c>
      <c r="I54">
        <v>0</v>
      </c>
      <c r="J54" s="1">
        <f t="shared" si="7"/>
        <v>46054</v>
      </c>
      <c r="K54" t="str">
        <f t="shared" si="8"/>
        <v>fev/26</v>
      </c>
      <c r="L54" t="str">
        <f t="shared" si="9"/>
        <v>dom</v>
      </c>
      <c r="M54">
        <f>SUMIFS(BASE_FIXA_TEND!AN:AN,BASE_FIXA_TEND!$A:$A,$A54,BASE_FIXA_TEND!$B:$B,$E54,BASE_FIXA_TEND!$D:$D,$F54)</f>
        <v>241.46093750000148</v>
      </c>
    </row>
    <row r="55" spans="1:13" x14ac:dyDescent="0.3">
      <c r="A55" t="s">
        <v>287</v>
      </c>
      <c r="B55" s="1">
        <v>46054</v>
      </c>
      <c r="C55" t="str">
        <f t="shared" si="5"/>
        <v>02</v>
      </c>
      <c r="D55">
        <f t="shared" si="6"/>
        <v>2026</v>
      </c>
      <c r="E55" t="s">
        <v>644</v>
      </c>
      <c r="F55" t="s">
        <v>14</v>
      </c>
      <c r="G55" t="s">
        <v>643</v>
      </c>
      <c r="H55">
        <v>0</v>
      </c>
      <c r="I55">
        <v>0</v>
      </c>
      <c r="J55" s="1">
        <f t="shared" si="7"/>
        <v>46054</v>
      </c>
      <c r="K55" t="str">
        <f t="shared" si="8"/>
        <v>fev/26</v>
      </c>
      <c r="L55" t="str">
        <f t="shared" si="9"/>
        <v>dom</v>
      </c>
      <c r="M55">
        <f>SUMIFS(BASE_FIXA_TEND!AN:AN,BASE_FIXA_TEND!$A:$A,$A55,BASE_FIXA_TEND!$B:$B,$E55,BASE_FIXA_TEND!$D:$D,$F55)</f>
        <v>261.62790178571595</v>
      </c>
    </row>
    <row r="56" spans="1:13" x14ac:dyDescent="0.3">
      <c r="A56" t="s">
        <v>340</v>
      </c>
      <c r="B56" s="1">
        <v>46054</v>
      </c>
      <c r="C56" t="str">
        <f t="shared" si="5"/>
        <v>02</v>
      </c>
      <c r="D56">
        <f t="shared" si="6"/>
        <v>2026</v>
      </c>
      <c r="E56" t="s">
        <v>644</v>
      </c>
      <c r="F56" t="s">
        <v>14</v>
      </c>
      <c r="G56" t="s">
        <v>643</v>
      </c>
      <c r="H56">
        <v>0</v>
      </c>
      <c r="I56">
        <v>0</v>
      </c>
      <c r="J56" s="1">
        <f t="shared" si="7"/>
        <v>46054</v>
      </c>
      <c r="K56" t="str">
        <f t="shared" si="8"/>
        <v>fev/26</v>
      </c>
      <c r="L56" t="str">
        <f t="shared" si="9"/>
        <v>dom</v>
      </c>
      <c r="M56">
        <f>SUMIFS(BASE_FIXA_TEND!AN:AN,BASE_FIXA_TEND!$A:$A,$A56,BASE_FIXA_TEND!$B:$B,$E56,BASE_FIXA_TEND!$D:$D,$F56)</f>
        <v>136.9183035714295</v>
      </c>
    </row>
    <row r="57" spans="1:13" x14ac:dyDescent="0.3">
      <c r="A57" t="s">
        <v>381</v>
      </c>
      <c r="B57" s="1">
        <v>46054</v>
      </c>
      <c r="C57" t="str">
        <f t="shared" si="5"/>
        <v>02</v>
      </c>
      <c r="D57">
        <f t="shared" si="6"/>
        <v>2026</v>
      </c>
      <c r="E57" t="s">
        <v>644</v>
      </c>
      <c r="F57" t="s">
        <v>14</v>
      </c>
      <c r="G57" t="s">
        <v>643</v>
      </c>
      <c r="H57">
        <v>0</v>
      </c>
      <c r="I57">
        <v>0</v>
      </c>
      <c r="J57" s="1">
        <f t="shared" si="7"/>
        <v>46054</v>
      </c>
      <c r="K57" t="str">
        <f t="shared" si="8"/>
        <v>fev/26</v>
      </c>
      <c r="L57" t="str">
        <f t="shared" si="9"/>
        <v>dom</v>
      </c>
      <c r="M57">
        <f>SUMIFS(BASE_FIXA_TEND!AN:AN,BASE_FIXA_TEND!$A:$A,$A57,BASE_FIXA_TEND!$B:$B,$E57,BASE_FIXA_TEND!$D:$D,$F57)</f>
        <v>210.08526785714398</v>
      </c>
    </row>
    <row r="58" spans="1:13" x14ac:dyDescent="0.3">
      <c r="A58" t="s">
        <v>447</v>
      </c>
      <c r="B58" s="1">
        <v>46054</v>
      </c>
      <c r="C58" t="str">
        <f t="shared" si="5"/>
        <v>02</v>
      </c>
      <c r="D58">
        <f t="shared" si="6"/>
        <v>2026</v>
      </c>
      <c r="E58" t="s">
        <v>644</v>
      </c>
      <c r="F58" t="s">
        <v>14</v>
      </c>
      <c r="G58" t="s">
        <v>643</v>
      </c>
      <c r="H58">
        <v>0</v>
      </c>
      <c r="I58">
        <v>0</v>
      </c>
      <c r="J58" s="1">
        <f t="shared" si="7"/>
        <v>46054</v>
      </c>
      <c r="K58" t="str">
        <f t="shared" si="8"/>
        <v>fev/26</v>
      </c>
      <c r="L58" t="str">
        <f t="shared" si="9"/>
        <v>dom</v>
      </c>
      <c r="M58">
        <f>SUMIFS(BASE_FIXA_TEND!AN:AN,BASE_FIXA_TEND!$A:$A,$A58,BASE_FIXA_TEND!$B:$B,$E58,BASE_FIXA_TEND!$D:$D,$F58)</f>
        <v>97.584375000000605</v>
      </c>
    </row>
    <row r="59" spans="1:13" x14ac:dyDescent="0.3">
      <c r="A59" t="s">
        <v>517</v>
      </c>
      <c r="B59" s="1">
        <v>46054</v>
      </c>
      <c r="C59" t="str">
        <f t="shared" si="5"/>
        <v>02</v>
      </c>
      <c r="D59">
        <f t="shared" si="6"/>
        <v>2026</v>
      </c>
      <c r="E59" t="s">
        <v>644</v>
      </c>
      <c r="F59" t="s">
        <v>14</v>
      </c>
      <c r="G59" t="s">
        <v>643</v>
      </c>
      <c r="H59">
        <v>0</v>
      </c>
      <c r="I59">
        <v>0</v>
      </c>
      <c r="J59" s="1">
        <f t="shared" si="7"/>
        <v>46054</v>
      </c>
      <c r="K59" t="str">
        <f t="shared" si="8"/>
        <v>fev/26</v>
      </c>
      <c r="L59" t="str">
        <f t="shared" si="9"/>
        <v>dom</v>
      </c>
      <c r="M59">
        <f>SUMIFS(BASE_FIXA_TEND!AN:AN,BASE_FIXA_TEND!$A:$A,$A59,BASE_FIXA_TEND!$B:$B,$E59,BASE_FIXA_TEND!$D:$D,$F59)</f>
        <v>588.96540178571809</v>
      </c>
    </row>
    <row r="60" spans="1:13" x14ac:dyDescent="0.3">
      <c r="A60" t="s">
        <v>574</v>
      </c>
      <c r="B60" s="1">
        <v>46054</v>
      </c>
      <c r="C60" t="str">
        <f t="shared" si="5"/>
        <v>02</v>
      </c>
      <c r="D60">
        <f t="shared" si="6"/>
        <v>2026</v>
      </c>
      <c r="E60" t="s">
        <v>644</v>
      </c>
      <c r="F60" t="s">
        <v>14</v>
      </c>
      <c r="G60" t="s">
        <v>643</v>
      </c>
      <c r="H60">
        <v>0</v>
      </c>
      <c r="I60">
        <v>0</v>
      </c>
      <c r="J60" s="1">
        <f t="shared" si="7"/>
        <v>46054</v>
      </c>
      <c r="K60" t="str">
        <f t="shared" si="8"/>
        <v>fev/26</v>
      </c>
      <c r="L60" t="str">
        <f t="shared" si="9"/>
        <v>dom</v>
      </c>
      <c r="M60">
        <f>SUMIFS(BASE_FIXA_TEND!AN:AN,BASE_FIXA_TEND!$A:$A,$A60,BASE_FIXA_TEND!$B:$B,$E60,BASE_FIXA_TEND!$D:$D,$F60)</f>
        <v>116.66785714285783</v>
      </c>
    </row>
    <row r="61" spans="1:13" x14ac:dyDescent="0.3">
      <c r="A61" t="s">
        <v>606</v>
      </c>
      <c r="B61" s="1">
        <v>46054</v>
      </c>
      <c r="C61" t="str">
        <f t="shared" si="5"/>
        <v>02</v>
      </c>
      <c r="D61">
        <f t="shared" si="6"/>
        <v>2026</v>
      </c>
      <c r="E61" t="s">
        <v>644</v>
      </c>
      <c r="F61" t="s">
        <v>14</v>
      </c>
      <c r="G61" t="s">
        <v>643</v>
      </c>
      <c r="H61">
        <v>0</v>
      </c>
      <c r="I61">
        <v>0</v>
      </c>
      <c r="J61" s="1">
        <f t="shared" si="7"/>
        <v>46054</v>
      </c>
      <c r="K61" t="str">
        <f t="shared" si="8"/>
        <v>fev/26</v>
      </c>
      <c r="L61" t="str">
        <f t="shared" si="9"/>
        <v>dom</v>
      </c>
      <c r="M61">
        <f>SUMIFS(BASE_FIXA_TEND!AN:AN,BASE_FIXA_TEND!$A:$A,$A61,BASE_FIXA_TEND!$B:$B,$E61,BASE_FIXA_TEND!$D:$D,$F61)</f>
        <v>75.417410714286149</v>
      </c>
    </row>
    <row r="62" spans="1:13" x14ac:dyDescent="0.3">
      <c r="A62" t="s">
        <v>8</v>
      </c>
      <c r="B62" s="1">
        <v>46054</v>
      </c>
      <c r="C62" t="str">
        <f t="shared" si="5"/>
        <v>02</v>
      </c>
      <c r="D62">
        <f t="shared" si="6"/>
        <v>2026</v>
      </c>
      <c r="E62" t="s">
        <v>54</v>
      </c>
      <c r="F62" t="s">
        <v>11</v>
      </c>
      <c r="G62" t="s">
        <v>643</v>
      </c>
      <c r="H62">
        <v>0</v>
      </c>
      <c r="I62">
        <v>0</v>
      </c>
      <c r="J62" s="1">
        <f t="shared" si="7"/>
        <v>46054</v>
      </c>
      <c r="K62" t="str">
        <f t="shared" si="8"/>
        <v>fev/26</v>
      </c>
      <c r="L62" t="str">
        <f t="shared" si="9"/>
        <v>dom</v>
      </c>
      <c r="M62">
        <f>SUMIFS(BASE_FIXA_TEND!AN:AN,BASE_FIXA_TEND!$A:$A,$A62,BASE_FIXA_TEND!$B:$B,$E62,BASE_FIXA_TEND!$D:$D,$F62)</f>
        <v>337.20813129429007</v>
      </c>
    </row>
    <row r="63" spans="1:13" x14ac:dyDescent="0.3">
      <c r="A63" t="s">
        <v>174</v>
      </c>
      <c r="B63" s="1">
        <v>46054</v>
      </c>
      <c r="C63" t="str">
        <f t="shared" si="5"/>
        <v>02</v>
      </c>
      <c r="D63">
        <f t="shared" si="6"/>
        <v>2026</v>
      </c>
      <c r="E63" t="s">
        <v>54</v>
      </c>
      <c r="F63" t="s">
        <v>11</v>
      </c>
      <c r="G63" t="s">
        <v>643</v>
      </c>
      <c r="H63">
        <v>0</v>
      </c>
      <c r="I63">
        <v>0</v>
      </c>
      <c r="J63" s="1">
        <f t="shared" si="7"/>
        <v>46054</v>
      </c>
      <c r="K63" t="str">
        <f t="shared" si="8"/>
        <v>fev/26</v>
      </c>
      <c r="L63" t="str">
        <f t="shared" si="9"/>
        <v>dom</v>
      </c>
      <c r="M63">
        <f>SUMIFS(BASE_FIXA_TEND!AN:AN,BASE_FIXA_TEND!$A:$A,$A63,BASE_FIXA_TEND!$B:$B,$E63,BASE_FIXA_TEND!$D:$D,$F63)</f>
        <v>250.53412905632024</v>
      </c>
    </row>
    <row r="64" spans="1:13" x14ac:dyDescent="0.3">
      <c r="A64" t="s">
        <v>243</v>
      </c>
      <c r="B64" s="1">
        <v>46054</v>
      </c>
      <c r="C64" t="str">
        <f t="shared" si="5"/>
        <v>02</v>
      </c>
      <c r="D64">
        <f t="shared" si="6"/>
        <v>2026</v>
      </c>
      <c r="E64" t="s">
        <v>54</v>
      </c>
      <c r="F64" t="s">
        <v>11</v>
      </c>
      <c r="G64" t="s">
        <v>643</v>
      </c>
      <c r="H64">
        <v>0</v>
      </c>
      <c r="I64">
        <v>0</v>
      </c>
      <c r="J64" s="1">
        <f t="shared" si="7"/>
        <v>46054</v>
      </c>
      <c r="K64" t="str">
        <f t="shared" si="8"/>
        <v>fev/26</v>
      </c>
      <c r="L64" t="str">
        <f t="shared" si="9"/>
        <v>dom</v>
      </c>
      <c r="M64">
        <f>SUMIFS(BASE_FIXA_TEND!AN:AN,BASE_FIXA_TEND!$A:$A,$A64,BASE_FIXA_TEND!$B:$B,$E64,BASE_FIXA_TEND!$D:$D,$F64)</f>
        <v>112.46475195822356</v>
      </c>
    </row>
    <row r="65" spans="1:13" x14ac:dyDescent="0.3">
      <c r="A65" t="s">
        <v>287</v>
      </c>
      <c r="B65" s="1">
        <v>46054</v>
      </c>
      <c r="C65" t="str">
        <f t="shared" si="5"/>
        <v>02</v>
      </c>
      <c r="D65">
        <f t="shared" si="6"/>
        <v>2026</v>
      </c>
      <c r="E65" t="s">
        <v>54</v>
      </c>
      <c r="F65" t="s">
        <v>11</v>
      </c>
      <c r="G65" t="s">
        <v>643</v>
      </c>
      <c r="H65">
        <v>0</v>
      </c>
      <c r="I65">
        <v>0</v>
      </c>
      <c r="J65" s="1">
        <f t="shared" si="7"/>
        <v>46054</v>
      </c>
      <c r="K65" t="str">
        <f t="shared" si="8"/>
        <v>fev/26</v>
      </c>
      <c r="L65" t="str">
        <f t="shared" si="9"/>
        <v>dom</v>
      </c>
      <c r="M65">
        <f>SUMIFS(BASE_FIXA_TEND!AN:AN,BASE_FIXA_TEND!$A:$A,$A65,BASE_FIXA_TEND!$B:$B,$E65,BASE_FIXA_TEND!$D:$D,$F65)</f>
        <v>163.48787765758914</v>
      </c>
    </row>
    <row r="66" spans="1:13" x14ac:dyDescent="0.3">
      <c r="A66" t="s">
        <v>340</v>
      </c>
      <c r="B66" s="1">
        <v>46054</v>
      </c>
      <c r="C66" t="str">
        <f t="shared" si="5"/>
        <v>02</v>
      </c>
      <c r="D66">
        <f t="shared" si="6"/>
        <v>2026</v>
      </c>
      <c r="E66" t="s">
        <v>54</v>
      </c>
      <c r="F66" t="s">
        <v>11</v>
      </c>
      <c r="G66" t="s">
        <v>643</v>
      </c>
      <c r="H66">
        <v>0</v>
      </c>
      <c r="I66">
        <v>0</v>
      </c>
      <c r="J66" s="1">
        <f t="shared" si="7"/>
        <v>46054</v>
      </c>
      <c r="K66" t="str">
        <f t="shared" si="8"/>
        <v>fev/26</v>
      </c>
      <c r="L66" t="str">
        <f t="shared" si="9"/>
        <v>dom</v>
      </c>
      <c r="M66">
        <f>SUMIFS(BASE_FIXA_TEND!AN:AN,BASE_FIXA_TEND!$A:$A,$A66,BASE_FIXA_TEND!$B:$B,$E66,BASE_FIXA_TEND!$D:$D,$F66)</f>
        <v>54.627750839238672</v>
      </c>
    </row>
    <row r="67" spans="1:13" x14ac:dyDescent="0.3">
      <c r="A67" t="s">
        <v>381</v>
      </c>
      <c r="B67" s="1">
        <v>46054</v>
      </c>
      <c r="C67" t="str">
        <f t="shared" si="5"/>
        <v>02</v>
      </c>
      <c r="D67">
        <f t="shared" si="6"/>
        <v>2026</v>
      </c>
      <c r="E67" t="s">
        <v>54</v>
      </c>
      <c r="F67" t="s">
        <v>11</v>
      </c>
      <c r="G67" t="s">
        <v>643</v>
      </c>
      <c r="H67">
        <v>0</v>
      </c>
      <c r="I67">
        <v>0</v>
      </c>
      <c r="J67" s="1">
        <f t="shared" si="7"/>
        <v>46054</v>
      </c>
      <c r="K67" t="str">
        <f t="shared" si="8"/>
        <v>fev/26</v>
      </c>
      <c r="L67" t="str">
        <f t="shared" si="9"/>
        <v>dom</v>
      </c>
      <c r="M67">
        <f>SUMIFS(BASE_FIXA_TEND!AN:AN,BASE_FIXA_TEND!$A:$A,$A67,BASE_FIXA_TEND!$B:$B,$E67,BASE_FIXA_TEND!$D:$D,$F67)</f>
        <v>112.86012681835044</v>
      </c>
    </row>
    <row r="68" spans="1:13" x14ac:dyDescent="0.3">
      <c r="A68" t="s">
        <v>447</v>
      </c>
      <c r="B68" s="1">
        <v>46054</v>
      </c>
      <c r="C68" t="str">
        <f t="shared" si="5"/>
        <v>02</v>
      </c>
      <c r="D68">
        <f t="shared" si="6"/>
        <v>2026</v>
      </c>
      <c r="E68" t="s">
        <v>54</v>
      </c>
      <c r="F68" t="s">
        <v>11</v>
      </c>
      <c r="G68" t="s">
        <v>643</v>
      </c>
      <c r="H68">
        <v>0</v>
      </c>
      <c r="I68">
        <v>0</v>
      </c>
      <c r="J68" s="1">
        <f t="shared" si="7"/>
        <v>46054</v>
      </c>
      <c r="K68" t="str">
        <f t="shared" si="8"/>
        <v>fev/26</v>
      </c>
      <c r="L68" t="str">
        <f t="shared" si="9"/>
        <v>dom</v>
      </c>
      <c r="M68">
        <f>SUMIFS(BASE_FIXA_TEND!AN:AN,BASE_FIXA_TEND!$A:$A,$A68,BASE_FIXA_TEND!$B:$B,$E68,BASE_FIXA_TEND!$D:$D,$F68)</f>
        <v>60.232375979111779</v>
      </c>
    </row>
    <row r="69" spans="1:13" x14ac:dyDescent="0.3">
      <c r="A69" t="s">
        <v>517</v>
      </c>
      <c r="B69" s="1">
        <v>46054</v>
      </c>
      <c r="C69" t="str">
        <f t="shared" si="5"/>
        <v>02</v>
      </c>
      <c r="D69">
        <f t="shared" si="6"/>
        <v>2026</v>
      </c>
      <c r="E69" t="s">
        <v>54</v>
      </c>
      <c r="F69" t="s">
        <v>11</v>
      </c>
      <c r="G69" t="s">
        <v>643</v>
      </c>
      <c r="H69">
        <v>0</v>
      </c>
      <c r="I69">
        <v>0</v>
      </c>
      <c r="J69" s="1">
        <f t="shared" si="7"/>
        <v>46054</v>
      </c>
      <c r="K69" t="str">
        <f t="shared" si="8"/>
        <v>fev/26</v>
      </c>
      <c r="L69" t="str">
        <f t="shared" si="9"/>
        <v>dom</v>
      </c>
      <c r="M69">
        <f>SUMIFS(BASE_FIXA_TEND!AN:AN,BASE_FIXA_TEND!$A:$A,$A69,BASE_FIXA_TEND!$B:$B,$E69,BASE_FIXA_TEND!$D:$D,$F69)</f>
        <v>935.18276762401183</v>
      </c>
    </row>
    <row r="70" spans="1:13" x14ac:dyDescent="0.3">
      <c r="A70" t="s">
        <v>574</v>
      </c>
      <c r="B70" s="1">
        <v>46054</v>
      </c>
      <c r="C70" t="str">
        <f t="shared" si="5"/>
        <v>02</v>
      </c>
      <c r="D70">
        <f t="shared" si="6"/>
        <v>2026</v>
      </c>
      <c r="E70" t="s">
        <v>54</v>
      </c>
      <c r="F70" t="s">
        <v>11</v>
      </c>
      <c r="G70" t="s">
        <v>643</v>
      </c>
      <c r="H70">
        <v>0</v>
      </c>
      <c r="I70">
        <v>0</v>
      </c>
      <c r="J70" s="1">
        <f t="shared" si="7"/>
        <v>46054</v>
      </c>
      <c r="K70" t="str">
        <f t="shared" si="8"/>
        <v>fev/26</v>
      </c>
      <c r="L70" t="str">
        <f t="shared" si="9"/>
        <v>dom</v>
      </c>
      <c r="M70">
        <f>SUMIFS(BASE_FIXA_TEND!AN:AN,BASE_FIXA_TEND!$A:$A,$A70,BASE_FIXA_TEND!$B:$B,$E70,BASE_FIXA_TEND!$D:$D,$F70)</f>
        <v>120.67400223796979</v>
      </c>
    </row>
    <row r="71" spans="1:13" x14ac:dyDescent="0.3">
      <c r="A71" t="s">
        <v>606</v>
      </c>
      <c r="B71" s="1">
        <v>46054</v>
      </c>
      <c r="C71" t="str">
        <f t="shared" si="5"/>
        <v>02</v>
      </c>
      <c r="D71">
        <f t="shared" si="6"/>
        <v>2026</v>
      </c>
      <c r="E71" t="s">
        <v>54</v>
      </c>
      <c r="F71" t="s">
        <v>11</v>
      </c>
      <c r="G71" t="s">
        <v>643</v>
      </c>
      <c r="H71">
        <v>0</v>
      </c>
      <c r="I71">
        <v>0</v>
      </c>
      <c r="J71" s="1">
        <f t="shared" si="7"/>
        <v>46054</v>
      </c>
      <c r="K71" t="str">
        <f t="shared" si="8"/>
        <v>fev/26</v>
      </c>
      <c r="L71" t="str">
        <f t="shared" si="9"/>
        <v>dom</v>
      </c>
      <c r="M71">
        <f>SUMIFS(BASE_FIXA_TEND!AN:AN,BASE_FIXA_TEND!$A:$A,$A71,BASE_FIXA_TEND!$B:$B,$E71,BASE_FIXA_TEND!$D:$D,$F71)</f>
        <v>37.627750839238672</v>
      </c>
    </row>
    <row r="72" spans="1:13" x14ac:dyDescent="0.3">
      <c r="A72" t="s">
        <v>8</v>
      </c>
      <c r="B72" s="1">
        <v>46054</v>
      </c>
      <c r="C72" t="str">
        <f t="shared" si="5"/>
        <v>02</v>
      </c>
      <c r="D72">
        <f t="shared" si="6"/>
        <v>2026</v>
      </c>
      <c r="E72" t="s">
        <v>54</v>
      </c>
      <c r="F72" t="s">
        <v>14</v>
      </c>
      <c r="G72" t="s">
        <v>643</v>
      </c>
      <c r="H72">
        <v>0</v>
      </c>
      <c r="I72">
        <v>0</v>
      </c>
      <c r="J72" s="1">
        <f t="shared" si="7"/>
        <v>46054</v>
      </c>
      <c r="K72" t="str">
        <f t="shared" si="8"/>
        <v>fev/26</v>
      </c>
      <c r="L72" t="str">
        <f t="shared" si="9"/>
        <v>dom</v>
      </c>
      <c r="M72">
        <f>SUMIFS(BASE_FIXA_TEND!AN:AN,BASE_FIXA_TEND!$A:$A,$A72,BASE_FIXA_TEND!$B:$B,$E72,BASE_FIXA_TEND!$D:$D,$F72)</f>
        <v>434.6296875000026</v>
      </c>
    </row>
    <row r="73" spans="1:13" x14ac:dyDescent="0.3">
      <c r="A73" t="s">
        <v>174</v>
      </c>
      <c r="B73" s="1">
        <v>46054</v>
      </c>
      <c r="C73" t="str">
        <f t="shared" si="5"/>
        <v>02</v>
      </c>
      <c r="D73">
        <f t="shared" si="6"/>
        <v>2026</v>
      </c>
      <c r="E73" t="s">
        <v>54</v>
      </c>
      <c r="F73" t="s">
        <v>14</v>
      </c>
      <c r="G73" t="s">
        <v>643</v>
      </c>
      <c r="H73">
        <v>0</v>
      </c>
      <c r="I73">
        <v>0</v>
      </c>
      <c r="J73" s="1">
        <f t="shared" si="7"/>
        <v>46054</v>
      </c>
      <c r="K73" t="str">
        <f t="shared" si="8"/>
        <v>fev/26</v>
      </c>
      <c r="L73" t="str">
        <f t="shared" si="9"/>
        <v>dom</v>
      </c>
      <c r="M73">
        <f>SUMIFS(BASE_FIXA_TEND!AN:AN,BASE_FIXA_TEND!$A:$A,$A73,BASE_FIXA_TEND!$B:$B,$E73,BASE_FIXA_TEND!$D:$D,$F73)</f>
        <v>420.54620535714537</v>
      </c>
    </row>
    <row r="74" spans="1:13" x14ac:dyDescent="0.3">
      <c r="A74" t="s">
        <v>243</v>
      </c>
      <c r="B74" s="1">
        <v>46054</v>
      </c>
      <c r="C74" t="str">
        <f t="shared" si="5"/>
        <v>02</v>
      </c>
      <c r="D74">
        <f t="shared" si="6"/>
        <v>2026</v>
      </c>
      <c r="E74" t="s">
        <v>54</v>
      </c>
      <c r="F74" t="s">
        <v>14</v>
      </c>
      <c r="G74" t="s">
        <v>643</v>
      </c>
      <c r="H74">
        <v>0</v>
      </c>
      <c r="I74">
        <v>0</v>
      </c>
      <c r="J74" s="1">
        <f t="shared" si="7"/>
        <v>46054</v>
      </c>
      <c r="K74" t="str">
        <f t="shared" si="8"/>
        <v>fev/26</v>
      </c>
      <c r="L74" t="str">
        <f t="shared" si="9"/>
        <v>dom</v>
      </c>
      <c r="M74">
        <f>SUMIFS(BASE_FIXA_TEND!AN:AN,BASE_FIXA_TEND!$A:$A,$A74,BASE_FIXA_TEND!$B:$B,$E74,BASE_FIXA_TEND!$D:$D,$F74)</f>
        <v>197.25223214285839</v>
      </c>
    </row>
    <row r="75" spans="1:13" x14ac:dyDescent="0.3">
      <c r="A75" t="s">
        <v>287</v>
      </c>
      <c r="B75" s="1">
        <v>46054</v>
      </c>
      <c r="C75" t="str">
        <f t="shared" si="5"/>
        <v>02</v>
      </c>
      <c r="D75">
        <f t="shared" si="6"/>
        <v>2026</v>
      </c>
      <c r="E75" t="s">
        <v>54</v>
      </c>
      <c r="F75" t="s">
        <v>14</v>
      </c>
      <c r="G75" t="s">
        <v>643</v>
      </c>
      <c r="H75">
        <v>0</v>
      </c>
      <c r="I75">
        <v>0</v>
      </c>
      <c r="J75" s="1">
        <f t="shared" si="7"/>
        <v>46054</v>
      </c>
      <c r="K75" t="str">
        <f t="shared" si="8"/>
        <v>fev/26</v>
      </c>
      <c r="L75" t="str">
        <f t="shared" si="9"/>
        <v>dom</v>
      </c>
      <c r="M75">
        <f>SUMIFS(BASE_FIXA_TEND!AN:AN,BASE_FIXA_TEND!$A:$A,$A75,BASE_FIXA_TEND!$B:$B,$E75,BASE_FIXA_TEND!$D:$D,$F75)</f>
        <v>310.92008928571619</v>
      </c>
    </row>
    <row r="76" spans="1:13" x14ac:dyDescent="0.3">
      <c r="A76" t="s">
        <v>340</v>
      </c>
      <c r="B76" s="1">
        <v>46054</v>
      </c>
      <c r="C76" t="str">
        <f t="shared" si="5"/>
        <v>02</v>
      </c>
      <c r="D76">
        <f t="shared" si="6"/>
        <v>2026</v>
      </c>
      <c r="E76" t="s">
        <v>54</v>
      </c>
      <c r="F76" t="s">
        <v>14</v>
      </c>
      <c r="G76" t="s">
        <v>643</v>
      </c>
      <c r="H76">
        <v>0</v>
      </c>
      <c r="I76">
        <v>0</v>
      </c>
      <c r="J76" s="1">
        <f t="shared" si="7"/>
        <v>46054</v>
      </c>
      <c r="K76" t="str">
        <f t="shared" si="8"/>
        <v>fev/26</v>
      </c>
      <c r="L76" t="str">
        <f t="shared" si="9"/>
        <v>dom</v>
      </c>
      <c r="M76">
        <f>SUMIFS(BASE_FIXA_TEND!AN:AN,BASE_FIXA_TEND!$A:$A,$A76,BASE_FIXA_TEND!$B:$B,$E76,BASE_FIXA_TEND!$D:$D,$F76)</f>
        <v>54.250446428571678</v>
      </c>
    </row>
    <row r="77" spans="1:13" x14ac:dyDescent="0.3">
      <c r="A77" t="s">
        <v>381</v>
      </c>
      <c r="B77" s="1">
        <v>46054</v>
      </c>
      <c r="C77" t="str">
        <f t="shared" si="5"/>
        <v>02</v>
      </c>
      <c r="D77">
        <f t="shared" si="6"/>
        <v>2026</v>
      </c>
      <c r="E77" t="s">
        <v>54</v>
      </c>
      <c r="F77" t="s">
        <v>14</v>
      </c>
      <c r="G77" t="s">
        <v>643</v>
      </c>
      <c r="H77">
        <v>0</v>
      </c>
      <c r="I77">
        <v>0</v>
      </c>
      <c r="J77" s="1">
        <f t="shared" si="7"/>
        <v>46054</v>
      </c>
      <c r="K77" t="str">
        <f t="shared" si="8"/>
        <v>fev/26</v>
      </c>
      <c r="L77" t="str">
        <f t="shared" si="9"/>
        <v>dom</v>
      </c>
      <c r="M77">
        <f>SUMIFS(BASE_FIXA_TEND!AN:AN,BASE_FIXA_TEND!$A:$A,$A77,BASE_FIXA_TEND!$B:$B,$E77,BASE_FIXA_TEND!$D:$D,$F77)</f>
        <v>260.58616071428725</v>
      </c>
    </row>
    <row r="78" spans="1:13" x14ac:dyDescent="0.3">
      <c r="A78" t="s">
        <v>447</v>
      </c>
      <c r="B78" s="1">
        <v>46054</v>
      </c>
      <c r="C78" t="str">
        <f t="shared" si="5"/>
        <v>02</v>
      </c>
      <c r="D78">
        <f t="shared" si="6"/>
        <v>2026</v>
      </c>
      <c r="E78" t="s">
        <v>54</v>
      </c>
      <c r="F78" t="s">
        <v>14</v>
      </c>
      <c r="G78" t="s">
        <v>643</v>
      </c>
      <c r="H78">
        <v>0</v>
      </c>
      <c r="I78">
        <v>0</v>
      </c>
      <c r="J78" s="1">
        <f t="shared" si="7"/>
        <v>46054</v>
      </c>
      <c r="K78" t="str">
        <f t="shared" si="8"/>
        <v>fev/26</v>
      </c>
      <c r="L78" t="str">
        <f t="shared" si="9"/>
        <v>dom</v>
      </c>
      <c r="M78">
        <f>SUMIFS(BASE_FIXA_TEND!AN:AN,BASE_FIXA_TEND!$A:$A,$A78,BASE_FIXA_TEND!$B:$B,$E78,BASE_FIXA_TEND!$D:$D,$F78)</f>
        <v>169.12700892857254</v>
      </c>
    </row>
    <row r="79" spans="1:13" x14ac:dyDescent="0.3">
      <c r="A79" t="s">
        <v>517</v>
      </c>
      <c r="B79" s="1">
        <v>46054</v>
      </c>
      <c r="C79" t="str">
        <f t="shared" si="5"/>
        <v>02</v>
      </c>
      <c r="D79">
        <f t="shared" si="6"/>
        <v>2026</v>
      </c>
      <c r="E79" t="s">
        <v>54</v>
      </c>
      <c r="F79" t="s">
        <v>14</v>
      </c>
      <c r="G79" t="s">
        <v>643</v>
      </c>
      <c r="H79">
        <v>0</v>
      </c>
      <c r="I79">
        <v>0</v>
      </c>
      <c r="J79" s="1">
        <f t="shared" si="7"/>
        <v>46054</v>
      </c>
      <c r="K79" t="str">
        <f t="shared" si="8"/>
        <v>fev/26</v>
      </c>
      <c r="L79" t="str">
        <f t="shared" si="9"/>
        <v>dom</v>
      </c>
      <c r="M79">
        <f>SUMIFS(BASE_FIXA_TEND!AN:AN,BASE_FIXA_TEND!$A:$A,$A79,BASE_FIXA_TEND!$B:$B,$E79,BASE_FIXA_TEND!$D:$D,$F79)</f>
        <v>1306.13950892858</v>
      </c>
    </row>
    <row r="80" spans="1:13" x14ac:dyDescent="0.3">
      <c r="A80" t="s">
        <v>574</v>
      </c>
      <c r="B80" s="1">
        <v>46054</v>
      </c>
      <c r="C80" t="str">
        <f t="shared" si="5"/>
        <v>02</v>
      </c>
      <c r="D80">
        <f t="shared" si="6"/>
        <v>2026</v>
      </c>
      <c r="E80" t="s">
        <v>54</v>
      </c>
      <c r="F80" t="s">
        <v>14</v>
      </c>
      <c r="G80" t="s">
        <v>643</v>
      </c>
      <c r="H80">
        <v>0</v>
      </c>
      <c r="I80">
        <v>0</v>
      </c>
      <c r="J80" s="1">
        <f t="shared" si="7"/>
        <v>46054</v>
      </c>
      <c r="K80" t="str">
        <f t="shared" si="8"/>
        <v>fev/26</v>
      </c>
      <c r="L80" t="str">
        <f t="shared" si="9"/>
        <v>dom</v>
      </c>
      <c r="M80">
        <f>SUMIFS(BASE_FIXA_TEND!AN:AN,BASE_FIXA_TEND!$A:$A,$A80,BASE_FIXA_TEND!$B:$B,$E80,BASE_FIXA_TEND!$D:$D,$F80)</f>
        <v>202.2104910714298</v>
      </c>
    </row>
    <row r="81" spans="1:13" x14ac:dyDescent="0.3">
      <c r="A81" t="s">
        <v>606</v>
      </c>
      <c r="B81" s="1">
        <v>46054</v>
      </c>
      <c r="C81" t="str">
        <f t="shared" si="5"/>
        <v>02</v>
      </c>
      <c r="D81">
        <f t="shared" si="6"/>
        <v>2026</v>
      </c>
      <c r="E81" t="s">
        <v>54</v>
      </c>
      <c r="F81" t="s">
        <v>14</v>
      </c>
      <c r="G81" t="s">
        <v>643</v>
      </c>
      <c r="H81">
        <v>0</v>
      </c>
      <c r="I81">
        <v>0</v>
      </c>
      <c r="J81" s="1">
        <f t="shared" si="7"/>
        <v>46054</v>
      </c>
      <c r="K81" t="str">
        <f t="shared" si="8"/>
        <v>fev/26</v>
      </c>
      <c r="L81" t="str">
        <f t="shared" si="9"/>
        <v>dom</v>
      </c>
      <c r="M81">
        <f>SUMIFS(BASE_FIXA_TEND!AN:AN,BASE_FIXA_TEND!$A:$A,$A81,BASE_FIXA_TEND!$B:$B,$E81,BASE_FIXA_TEND!$D:$D,$F81)</f>
        <v>87.584375000000591</v>
      </c>
    </row>
    <row r="82" spans="1:13" x14ac:dyDescent="0.3">
      <c r="A82" t="s">
        <v>8</v>
      </c>
      <c r="B82" s="1">
        <v>46054</v>
      </c>
      <c r="C82" t="str">
        <f t="shared" si="5"/>
        <v>02</v>
      </c>
      <c r="D82">
        <f t="shared" si="6"/>
        <v>2026</v>
      </c>
      <c r="E82" t="s">
        <v>49</v>
      </c>
      <c r="F82" t="s">
        <v>11</v>
      </c>
      <c r="G82" t="s">
        <v>643</v>
      </c>
      <c r="H82">
        <v>0</v>
      </c>
      <c r="I82">
        <v>0</v>
      </c>
      <c r="J82" s="1">
        <f t="shared" si="7"/>
        <v>46054</v>
      </c>
      <c r="K82" t="str">
        <f t="shared" si="8"/>
        <v>fev/26</v>
      </c>
      <c r="L82" t="str">
        <f t="shared" si="9"/>
        <v>dom</v>
      </c>
      <c r="M82">
        <f>SUMIFS(BASE_FIXA_TEND!AN:AN,BASE_FIXA_TEND!$A:$A,$A82,BASE_FIXA_TEND!$B:$B,$E82,BASE_FIXA_TEND!$D:$D,$F82)</f>
        <v>20.813875419619336</v>
      </c>
    </row>
    <row r="83" spans="1:13" x14ac:dyDescent="0.3">
      <c r="A83" t="s">
        <v>174</v>
      </c>
      <c r="B83" s="1">
        <v>46054</v>
      </c>
      <c r="C83" t="str">
        <f t="shared" si="5"/>
        <v>02</v>
      </c>
      <c r="D83">
        <f t="shared" si="6"/>
        <v>2026</v>
      </c>
      <c r="E83" t="s">
        <v>49</v>
      </c>
      <c r="F83" t="s">
        <v>11</v>
      </c>
      <c r="G83" t="s">
        <v>643</v>
      </c>
      <c r="H83">
        <v>0</v>
      </c>
      <c r="I83">
        <v>0</v>
      </c>
      <c r="J83" s="1">
        <f t="shared" si="7"/>
        <v>46054</v>
      </c>
      <c r="K83" t="str">
        <f t="shared" si="8"/>
        <v>fev/26</v>
      </c>
      <c r="L83" t="str">
        <f t="shared" si="9"/>
        <v>dom</v>
      </c>
      <c r="M83">
        <f>SUMIFS(BASE_FIXA_TEND!AN:AN,BASE_FIXA_TEND!$A:$A,$A83,BASE_FIXA_TEND!$B:$B,$E83,BASE_FIXA_TEND!$D:$D,$F83)</f>
        <v>28.418500559492447</v>
      </c>
    </row>
    <row r="84" spans="1:13" x14ac:dyDescent="0.3">
      <c r="A84" t="s">
        <v>243</v>
      </c>
      <c r="B84" s="1">
        <v>46054</v>
      </c>
      <c r="C84" t="str">
        <f t="shared" si="5"/>
        <v>02</v>
      </c>
      <c r="D84">
        <f t="shared" si="6"/>
        <v>2026</v>
      </c>
      <c r="E84" t="s">
        <v>49</v>
      </c>
      <c r="F84" t="s">
        <v>11</v>
      </c>
      <c r="G84" t="s">
        <v>643</v>
      </c>
      <c r="H84">
        <v>0</v>
      </c>
      <c r="I84">
        <v>0</v>
      </c>
      <c r="J84" s="1">
        <f t="shared" si="7"/>
        <v>46054</v>
      </c>
      <c r="K84" t="str">
        <f t="shared" si="8"/>
        <v>fev/26</v>
      </c>
      <c r="L84" t="str">
        <f t="shared" si="9"/>
        <v>dom</v>
      </c>
      <c r="M84">
        <f>SUMIFS(BASE_FIXA_TEND!AN:AN,BASE_FIXA_TEND!$A:$A,$A84,BASE_FIXA_TEND!$B:$B,$E84,BASE_FIXA_TEND!$D:$D,$F84)</f>
        <v>7.6046251398731117</v>
      </c>
    </row>
    <row r="85" spans="1:13" x14ac:dyDescent="0.3">
      <c r="A85" t="s">
        <v>287</v>
      </c>
      <c r="B85" s="1">
        <v>46054</v>
      </c>
      <c r="C85" t="str">
        <f t="shared" si="5"/>
        <v>02</v>
      </c>
      <c r="D85">
        <f t="shared" si="6"/>
        <v>2026</v>
      </c>
      <c r="E85" t="s">
        <v>49</v>
      </c>
      <c r="F85" t="s">
        <v>11</v>
      </c>
      <c r="G85" t="s">
        <v>643</v>
      </c>
      <c r="H85">
        <v>0</v>
      </c>
      <c r="I85">
        <v>0</v>
      </c>
      <c r="J85" s="1">
        <f t="shared" si="7"/>
        <v>46054</v>
      </c>
      <c r="K85" t="str">
        <f t="shared" si="8"/>
        <v>fev/26</v>
      </c>
      <c r="L85" t="str">
        <f t="shared" si="9"/>
        <v>dom</v>
      </c>
      <c r="M85">
        <f>SUMIFS(BASE_FIXA_TEND!AN:AN,BASE_FIXA_TEND!$A:$A,$A85,BASE_FIXA_TEND!$B:$B,$E85,BASE_FIXA_TEND!$D:$D,$F85)</f>
        <v>8.6046251398731108</v>
      </c>
    </row>
    <row r="86" spans="1:13" x14ac:dyDescent="0.3">
      <c r="A86" t="s">
        <v>340</v>
      </c>
      <c r="B86" s="1">
        <v>46054</v>
      </c>
      <c r="C86" t="str">
        <f t="shared" si="5"/>
        <v>02</v>
      </c>
      <c r="D86">
        <f t="shared" si="6"/>
        <v>2026</v>
      </c>
      <c r="E86" t="s">
        <v>49</v>
      </c>
      <c r="F86" t="s">
        <v>11</v>
      </c>
      <c r="G86" t="s">
        <v>643</v>
      </c>
      <c r="H86">
        <v>0</v>
      </c>
      <c r="I86">
        <v>0</v>
      </c>
      <c r="J86" s="1">
        <f t="shared" si="7"/>
        <v>46054</v>
      </c>
      <c r="K86" t="str">
        <f t="shared" si="8"/>
        <v>fev/26</v>
      </c>
      <c r="L86" t="str">
        <f t="shared" si="9"/>
        <v>dom</v>
      </c>
      <c r="M86">
        <f>SUMIFS(BASE_FIXA_TEND!AN:AN,BASE_FIXA_TEND!$A:$A,$A86,BASE_FIXA_TEND!$B:$B,$E86,BASE_FIXA_TEND!$D:$D,$F86)</f>
        <v>0</v>
      </c>
    </row>
    <row r="87" spans="1:13" x14ac:dyDescent="0.3">
      <c r="A87" t="s">
        <v>381</v>
      </c>
      <c r="B87" s="1">
        <v>46054</v>
      </c>
      <c r="C87" t="str">
        <f t="shared" ref="C87:C150" si="10">TEXT(B87,"MM")</f>
        <v>02</v>
      </c>
      <c r="D87">
        <f t="shared" ref="D87:D150" si="11">YEAR(B87)</f>
        <v>2026</v>
      </c>
      <c r="E87" t="s">
        <v>49</v>
      </c>
      <c r="F87" t="s">
        <v>11</v>
      </c>
      <c r="G87" t="s">
        <v>643</v>
      </c>
      <c r="H87">
        <v>0</v>
      </c>
      <c r="I87">
        <v>0</v>
      </c>
      <c r="J87" s="1">
        <f t="shared" ref="J87:J150" si="12">B87</f>
        <v>46054</v>
      </c>
      <c r="K87" t="str">
        <f t="shared" ref="K87:K150" si="13">TEXT(J87,"MMM/AA")</f>
        <v>fev/26</v>
      </c>
      <c r="L87" t="str">
        <f t="shared" ref="L87:L150" si="14">TEXT(J87,"DDD")</f>
        <v>dom</v>
      </c>
      <c r="M87">
        <f>SUMIFS(BASE_FIXA_TEND!AN:AN,BASE_FIXA_TEND!$A:$A,$A87,BASE_FIXA_TEND!$B:$B,$E87,BASE_FIXA_TEND!$D:$D,$F87)</f>
        <v>9.6046251398731108</v>
      </c>
    </row>
    <row r="88" spans="1:13" x14ac:dyDescent="0.3">
      <c r="A88" t="s">
        <v>447</v>
      </c>
      <c r="B88" s="1">
        <v>46054</v>
      </c>
      <c r="C88" t="str">
        <f t="shared" si="10"/>
        <v>02</v>
      </c>
      <c r="D88">
        <f t="shared" si="11"/>
        <v>2026</v>
      </c>
      <c r="E88" t="s">
        <v>49</v>
      </c>
      <c r="F88" t="s">
        <v>11</v>
      </c>
      <c r="G88" t="s">
        <v>643</v>
      </c>
      <c r="H88">
        <v>0</v>
      </c>
      <c r="I88">
        <v>0</v>
      </c>
      <c r="J88" s="1">
        <f t="shared" si="12"/>
        <v>46054</v>
      </c>
      <c r="K88" t="str">
        <f t="shared" si="13"/>
        <v>fev/26</v>
      </c>
      <c r="L88" t="str">
        <f t="shared" si="14"/>
        <v>dom</v>
      </c>
      <c r="M88">
        <f>SUMIFS(BASE_FIXA_TEND!AN:AN,BASE_FIXA_TEND!$A:$A,$A88,BASE_FIXA_TEND!$B:$B,$E88,BASE_FIXA_TEND!$D:$D,$F88)</f>
        <v>0</v>
      </c>
    </row>
    <row r="89" spans="1:13" x14ac:dyDescent="0.3">
      <c r="A89" t="s">
        <v>517</v>
      </c>
      <c r="B89" s="1">
        <v>46054</v>
      </c>
      <c r="C89" t="str">
        <f t="shared" si="10"/>
        <v>02</v>
      </c>
      <c r="D89">
        <f t="shared" si="11"/>
        <v>2026</v>
      </c>
      <c r="E89" t="s">
        <v>49</v>
      </c>
      <c r="F89" t="s">
        <v>11</v>
      </c>
      <c r="G89" t="s">
        <v>643</v>
      </c>
      <c r="H89">
        <v>0</v>
      </c>
      <c r="I89">
        <v>0</v>
      </c>
      <c r="J89" s="1">
        <f t="shared" si="12"/>
        <v>46054</v>
      </c>
      <c r="K89" t="str">
        <f t="shared" si="13"/>
        <v>fev/26</v>
      </c>
      <c r="L89" t="str">
        <f t="shared" si="14"/>
        <v>dom</v>
      </c>
      <c r="M89">
        <f>SUMIFS(BASE_FIXA_TEND!AN:AN,BASE_FIXA_TEND!$A:$A,$A89,BASE_FIXA_TEND!$B:$B,$E89,BASE_FIXA_TEND!$D:$D,$F89)</f>
        <v>66.837001118984887</v>
      </c>
    </row>
    <row r="90" spans="1:13" x14ac:dyDescent="0.3">
      <c r="A90" t="s">
        <v>574</v>
      </c>
      <c r="B90" s="1">
        <v>46054</v>
      </c>
      <c r="C90" t="str">
        <f t="shared" si="10"/>
        <v>02</v>
      </c>
      <c r="D90">
        <f t="shared" si="11"/>
        <v>2026</v>
      </c>
      <c r="E90" t="s">
        <v>49</v>
      </c>
      <c r="F90" t="s">
        <v>11</v>
      </c>
      <c r="G90" t="s">
        <v>643</v>
      </c>
      <c r="H90">
        <v>0</v>
      </c>
      <c r="I90">
        <v>0</v>
      </c>
      <c r="J90" s="1">
        <f t="shared" si="12"/>
        <v>46054</v>
      </c>
      <c r="K90" t="str">
        <f t="shared" si="13"/>
        <v>fev/26</v>
      </c>
      <c r="L90" t="str">
        <f t="shared" si="14"/>
        <v>dom</v>
      </c>
      <c r="M90">
        <f>SUMIFS(BASE_FIXA_TEND!AN:AN,BASE_FIXA_TEND!$A:$A,$A90,BASE_FIXA_TEND!$B:$B,$E90,BASE_FIXA_TEND!$D:$D,$F90)</f>
        <v>0</v>
      </c>
    </row>
    <row r="91" spans="1:13" x14ac:dyDescent="0.3">
      <c r="A91" t="s">
        <v>606</v>
      </c>
      <c r="B91" s="1">
        <v>46054</v>
      </c>
      <c r="C91" t="str">
        <f t="shared" si="10"/>
        <v>02</v>
      </c>
      <c r="D91">
        <f t="shared" si="11"/>
        <v>2026</v>
      </c>
      <c r="E91" t="s">
        <v>49</v>
      </c>
      <c r="F91" t="s">
        <v>11</v>
      </c>
      <c r="G91" t="s">
        <v>643</v>
      </c>
      <c r="H91">
        <v>0</v>
      </c>
      <c r="I91">
        <v>0</v>
      </c>
      <c r="J91" s="1">
        <f t="shared" si="12"/>
        <v>46054</v>
      </c>
      <c r="K91" t="str">
        <f t="shared" si="13"/>
        <v>fev/26</v>
      </c>
      <c r="L91" t="str">
        <f t="shared" si="14"/>
        <v>dom</v>
      </c>
      <c r="M91">
        <f>SUMIFS(BASE_FIXA_TEND!AN:AN,BASE_FIXA_TEND!$A:$A,$A91,BASE_FIXA_TEND!$B:$B,$E91,BASE_FIXA_TEND!$D:$D,$F91)</f>
        <v>0</v>
      </c>
    </row>
    <row r="92" spans="1:13" x14ac:dyDescent="0.3">
      <c r="A92" t="s">
        <v>8</v>
      </c>
      <c r="B92" s="1">
        <v>46054</v>
      </c>
      <c r="C92" t="str">
        <f t="shared" si="10"/>
        <v>02</v>
      </c>
      <c r="D92">
        <f t="shared" si="11"/>
        <v>2026</v>
      </c>
      <c r="E92" t="s">
        <v>49</v>
      </c>
      <c r="F92" t="s">
        <v>14</v>
      </c>
      <c r="G92" t="s">
        <v>643</v>
      </c>
      <c r="H92">
        <v>0</v>
      </c>
      <c r="I92">
        <v>0</v>
      </c>
      <c r="J92" s="1">
        <f t="shared" si="12"/>
        <v>46054</v>
      </c>
      <c r="K92" t="str">
        <f t="shared" si="13"/>
        <v>fev/26</v>
      </c>
      <c r="L92" t="str">
        <f t="shared" si="14"/>
        <v>dom</v>
      </c>
      <c r="M92">
        <f>SUMIFS(BASE_FIXA_TEND!AN:AN,BASE_FIXA_TEND!$A:$A,$A92,BASE_FIXA_TEND!$B:$B,$E92,BASE_FIXA_TEND!$D:$D,$F92)</f>
        <v>37.250446428571678</v>
      </c>
    </row>
    <row r="93" spans="1:13" x14ac:dyDescent="0.3">
      <c r="A93" t="s">
        <v>174</v>
      </c>
      <c r="B93" s="1">
        <v>46054</v>
      </c>
      <c r="C93" t="str">
        <f t="shared" si="10"/>
        <v>02</v>
      </c>
      <c r="D93">
        <f t="shared" si="11"/>
        <v>2026</v>
      </c>
      <c r="E93" t="s">
        <v>49</v>
      </c>
      <c r="F93" t="s">
        <v>14</v>
      </c>
      <c r="G93" t="s">
        <v>643</v>
      </c>
      <c r="H93">
        <v>0</v>
      </c>
      <c r="I93">
        <v>0</v>
      </c>
      <c r="J93" s="1">
        <f t="shared" si="12"/>
        <v>46054</v>
      </c>
      <c r="K93" t="str">
        <f t="shared" si="13"/>
        <v>fev/26</v>
      </c>
      <c r="L93" t="str">
        <f t="shared" si="14"/>
        <v>dom</v>
      </c>
      <c r="M93">
        <f>SUMIFS(BASE_FIXA_TEND!AN:AN,BASE_FIXA_TEND!$A:$A,$A93,BASE_FIXA_TEND!$B:$B,$E93,BASE_FIXA_TEND!$D:$D,$F93)</f>
        <v>43.250446428571678</v>
      </c>
    </row>
    <row r="94" spans="1:13" x14ac:dyDescent="0.3">
      <c r="A94" t="s">
        <v>243</v>
      </c>
      <c r="B94" s="1">
        <v>46054</v>
      </c>
      <c r="C94" t="str">
        <f t="shared" si="10"/>
        <v>02</v>
      </c>
      <c r="D94">
        <f t="shared" si="11"/>
        <v>2026</v>
      </c>
      <c r="E94" t="s">
        <v>49</v>
      </c>
      <c r="F94" t="s">
        <v>14</v>
      </c>
      <c r="G94" t="s">
        <v>643</v>
      </c>
      <c r="H94">
        <v>0</v>
      </c>
      <c r="I94">
        <v>0</v>
      </c>
      <c r="J94" s="1">
        <f t="shared" si="12"/>
        <v>46054</v>
      </c>
      <c r="K94" t="str">
        <f t="shared" si="13"/>
        <v>fev/26</v>
      </c>
      <c r="L94" t="str">
        <f t="shared" si="14"/>
        <v>dom</v>
      </c>
      <c r="M94">
        <f>SUMIFS(BASE_FIXA_TEND!AN:AN,BASE_FIXA_TEND!$A:$A,$A94,BASE_FIXA_TEND!$B:$B,$E94,BASE_FIXA_TEND!$D:$D,$F94)</f>
        <v>14.083482142857228</v>
      </c>
    </row>
    <row r="95" spans="1:13" x14ac:dyDescent="0.3">
      <c r="A95" t="s">
        <v>287</v>
      </c>
      <c r="B95" s="1">
        <v>46054</v>
      </c>
      <c r="C95" t="str">
        <f t="shared" si="10"/>
        <v>02</v>
      </c>
      <c r="D95">
        <f t="shared" si="11"/>
        <v>2026</v>
      </c>
      <c r="E95" t="s">
        <v>49</v>
      </c>
      <c r="F95" t="s">
        <v>14</v>
      </c>
      <c r="G95" t="s">
        <v>643</v>
      </c>
      <c r="H95">
        <v>0</v>
      </c>
      <c r="I95">
        <v>0</v>
      </c>
      <c r="J95" s="1">
        <f t="shared" si="12"/>
        <v>46054</v>
      </c>
      <c r="K95" t="str">
        <f t="shared" si="13"/>
        <v>fev/26</v>
      </c>
      <c r="L95" t="str">
        <f t="shared" si="14"/>
        <v>dom</v>
      </c>
      <c r="M95">
        <f>SUMIFS(BASE_FIXA_TEND!AN:AN,BASE_FIXA_TEND!$A:$A,$A95,BASE_FIXA_TEND!$B:$B,$E95,BASE_FIXA_TEND!$D:$D,$F95)</f>
        <v>19.125223214285839</v>
      </c>
    </row>
    <row r="96" spans="1:13" x14ac:dyDescent="0.3">
      <c r="A96" t="s">
        <v>340</v>
      </c>
      <c r="B96" s="1">
        <v>46054</v>
      </c>
      <c r="C96" t="str">
        <f t="shared" si="10"/>
        <v>02</v>
      </c>
      <c r="D96">
        <f t="shared" si="11"/>
        <v>2026</v>
      </c>
      <c r="E96" t="s">
        <v>49</v>
      </c>
      <c r="F96" t="s">
        <v>14</v>
      </c>
      <c r="G96" t="s">
        <v>643</v>
      </c>
      <c r="H96">
        <v>0</v>
      </c>
      <c r="I96">
        <v>0</v>
      </c>
      <c r="J96" s="1">
        <f t="shared" si="12"/>
        <v>46054</v>
      </c>
      <c r="K96" t="str">
        <f t="shared" si="13"/>
        <v>fev/26</v>
      </c>
      <c r="L96" t="str">
        <f t="shared" si="14"/>
        <v>dom</v>
      </c>
      <c r="M96">
        <f>SUMIFS(BASE_FIXA_TEND!AN:AN,BASE_FIXA_TEND!$A:$A,$A96,BASE_FIXA_TEND!$B:$B,$E96,BASE_FIXA_TEND!$D:$D,$F96)</f>
        <v>11.083482142857227</v>
      </c>
    </row>
    <row r="97" spans="1:13" x14ac:dyDescent="0.3">
      <c r="A97" t="s">
        <v>381</v>
      </c>
      <c r="B97" s="1">
        <v>46054</v>
      </c>
      <c r="C97" t="str">
        <f t="shared" si="10"/>
        <v>02</v>
      </c>
      <c r="D97">
        <f t="shared" si="11"/>
        <v>2026</v>
      </c>
      <c r="E97" t="s">
        <v>49</v>
      </c>
      <c r="F97" t="s">
        <v>14</v>
      </c>
      <c r="G97" t="s">
        <v>643</v>
      </c>
      <c r="H97">
        <v>0</v>
      </c>
      <c r="I97">
        <v>0</v>
      </c>
      <c r="J97" s="1">
        <f t="shared" si="12"/>
        <v>46054</v>
      </c>
      <c r="K97" t="str">
        <f t="shared" si="13"/>
        <v>fev/26</v>
      </c>
      <c r="L97" t="str">
        <f t="shared" si="14"/>
        <v>dom</v>
      </c>
      <c r="M97">
        <f>SUMIFS(BASE_FIXA_TEND!AN:AN,BASE_FIXA_TEND!$A:$A,$A97,BASE_FIXA_TEND!$B:$B,$E97,BASE_FIXA_TEND!$D:$D,$F97)</f>
        <v>14.041741071428614</v>
      </c>
    </row>
    <row r="98" spans="1:13" x14ac:dyDescent="0.3">
      <c r="A98" t="s">
        <v>447</v>
      </c>
      <c r="B98" s="1">
        <v>46054</v>
      </c>
      <c r="C98" t="str">
        <f t="shared" si="10"/>
        <v>02</v>
      </c>
      <c r="D98">
        <f t="shared" si="11"/>
        <v>2026</v>
      </c>
      <c r="E98" t="s">
        <v>49</v>
      </c>
      <c r="F98" t="s">
        <v>14</v>
      </c>
      <c r="G98" t="s">
        <v>643</v>
      </c>
      <c r="H98">
        <v>0</v>
      </c>
      <c r="I98">
        <v>0</v>
      </c>
      <c r="J98" s="1">
        <f t="shared" si="12"/>
        <v>46054</v>
      </c>
      <c r="K98" t="str">
        <f t="shared" si="13"/>
        <v>fev/26</v>
      </c>
      <c r="L98" t="str">
        <f t="shared" si="14"/>
        <v>dom</v>
      </c>
      <c r="M98">
        <f>SUMIFS(BASE_FIXA_TEND!AN:AN,BASE_FIXA_TEND!$A:$A,$A98,BASE_FIXA_TEND!$B:$B,$E98,BASE_FIXA_TEND!$D:$D,$F98)</f>
        <v>2</v>
      </c>
    </row>
    <row r="99" spans="1:13" x14ac:dyDescent="0.3">
      <c r="A99" t="s">
        <v>517</v>
      </c>
      <c r="B99" s="1">
        <v>46054</v>
      </c>
      <c r="C99" t="str">
        <f t="shared" si="10"/>
        <v>02</v>
      </c>
      <c r="D99">
        <f t="shared" si="11"/>
        <v>2026</v>
      </c>
      <c r="E99" t="s">
        <v>49</v>
      </c>
      <c r="F99" t="s">
        <v>14</v>
      </c>
      <c r="G99" t="s">
        <v>643</v>
      </c>
      <c r="H99">
        <v>0</v>
      </c>
      <c r="I99">
        <v>0</v>
      </c>
      <c r="J99" s="1">
        <f t="shared" si="12"/>
        <v>46054</v>
      </c>
      <c r="K99" t="str">
        <f t="shared" si="13"/>
        <v>fev/26</v>
      </c>
      <c r="L99" t="str">
        <f t="shared" si="14"/>
        <v>dom</v>
      </c>
      <c r="M99">
        <f>SUMIFS(BASE_FIXA_TEND!AN:AN,BASE_FIXA_TEND!$A:$A,$A99,BASE_FIXA_TEND!$B:$B,$E99,BASE_FIXA_TEND!$D:$D,$F99)</f>
        <v>122.75133928571503</v>
      </c>
    </row>
    <row r="100" spans="1:13" x14ac:dyDescent="0.3">
      <c r="A100" t="s">
        <v>574</v>
      </c>
      <c r="B100" s="1">
        <v>46054</v>
      </c>
      <c r="C100" t="str">
        <f t="shared" si="10"/>
        <v>02</v>
      </c>
      <c r="D100">
        <f t="shared" si="11"/>
        <v>2026</v>
      </c>
      <c r="E100" t="s">
        <v>49</v>
      </c>
      <c r="F100" t="s">
        <v>14</v>
      </c>
      <c r="G100" t="s">
        <v>643</v>
      </c>
      <c r="H100">
        <v>0</v>
      </c>
      <c r="I100">
        <v>0</v>
      </c>
      <c r="J100" s="1">
        <f t="shared" si="12"/>
        <v>46054</v>
      </c>
      <c r="K100" t="str">
        <f t="shared" si="13"/>
        <v>fev/26</v>
      </c>
      <c r="L100" t="str">
        <f t="shared" si="14"/>
        <v>dom</v>
      </c>
      <c r="M100">
        <f>SUMIFS(BASE_FIXA_TEND!AN:AN,BASE_FIXA_TEND!$A:$A,$A100,BASE_FIXA_TEND!$B:$B,$E100,BASE_FIXA_TEND!$D:$D,$F100)</f>
        <v>7.0417410714286133</v>
      </c>
    </row>
    <row r="101" spans="1:13" x14ac:dyDescent="0.3">
      <c r="A101" t="s">
        <v>606</v>
      </c>
      <c r="B101" s="1">
        <v>46054</v>
      </c>
      <c r="C101" t="str">
        <f t="shared" si="10"/>
        <v>02</v>
      </c>
      <c r="D101">
        <f t="shared" si="11"/>
        <v>2026</v>
      </c>
      <c r="E101" t="s">
        <v>49</v>
      </c>
      <c r="F101" t="s">
        <v>14</v>
      </c>
      <c r="G101" t="s">
        <v>643</v>
      </c>
      <c r="H101">
        <v>0</v>
      </c>
      <c r="I101">
        <v>0</v>
      </c>
      <c r="J101" s="1">
        <f t="shared" si="12"/>
        <v>46054</v>
      </c>
      <c r="K101" t="str">
        <f t="shared" si="13"/>
        <v>fev/26</v>
      </c>
      <c r="L101" t="str">
        <f t="shared" si="14"/>
        <v>dom</v>
      </c>
      <c r="M101">
        <f>SUMIFS(BASE_FIXA_TEND!AN:AN,BASE_FIXA_TEND!$A:$A,$A101,BASE_FIXA_TEND!$B:$B,$E101,BASE_FIXA_TEND!$D:$D,$F101)</f>
        <v>1</v>
      </c>
    </row>
    <row r="102" spans="1:13" x14ac:dyDescent="0.3">
      <c r="A102" t="s">
        <v>8</v>
      </c>
      <c r="B102" s="1">
        <v>46054</v>
      </c>
      <c r="C102" t="str">
        <f t="shared" si="10"/>
        <v>02</v>
      </c>
      <c r="D102">
        <f t="shared" si="11"/>
        <v>2026</v>
      </c>
      <c r="E102" t="s">
        <v>645</v>
      </c>
      <c r="F102" t="s">
        <v>11</v>
      </c>
      <c r="G102" t="s">
        <v>643</v>
      </c>
      <c r="H102">
        <v>0</v>
      </c>
      <c r="I102">
        <v>0</v>
      </c>
      <c r="J102" s="1">
        <f t="shared" si="12"/>
        <v>46054</v>
      </c>
      <c r="K102" t="str">
        <f t="shared" si="13"/>
        <v>fev/26</v>
      </c>
      <c r="L102" t="str">
        <f t="shared" si="14"/>
        <v>dom</v>
      </c>
      <c r="M102">
        <f>SUMIFS(BASE_FIXA_TEND!AN:AN,BASE_FIXA_TEND!$A:$A,$A102,BASE_FIXA_TEND!$B:$B,$E102,BASE_FIXA_TEND!$D:$D,$F102)</f>
        <v>15.209250279746223</v>
      </c>
    </row>
    <row r="103" spans="1:13" x14ac:dyDescent="0.3">
      <c r="A103" t="s">
        <v>174</v>
      </c>
      <c r="B103" s="1">
        <v>46054</v>
      </c>
      <c r="C103" t="str">
        <f t="shared" si="10"/>
        <v>02</v>
      </c>
      <c r="D103">
        <f t="shared" si="11"/>
        <v>2026</v>
      </c>
      <c r="E103" t="s">
        <v>645</v>
      </c>
      <c r="F103" t="s">
        <v>11</v>
      </c>
      <c r="G103" t="s">
        <v>643</v>
      </c>
      <c r="H103">
        <v>0</v>
      </c>
      <c r="I103">
        <v>0</v>
      </c>
      <c r="J103" s="1">
        <f t="shared" si="12"/>
        <v>46054</v>
      </c>
      <c r="K103" t="str">
        <f t="shared" si="13"/>
        <v>fev/26</v>
      </c>
      <c r="L103" t="str">
        <f t="shared" si="14"/>
        <v>dom</v>
      </c>
      <c r="M103">
        <f>SUMIFS(BASE_FIXA_TEND!AN:AN,BASE_FIXA_TEND!$A:$A,$A103,BASE_FIXA_TEND!$B:$B,$E103,BASE_FIXA_TEND!$D:$D,$F103)</f>
        <v>7.6046251398731117</v>
      </c>
    </row>
    <row r="104" spans="1:13" x14ac:dyDescent="0.3">
      <c r="A104" t="s">
        <v>243</v>
      </c>
      <c r="B104" s="1">
        <v>46054</v>
      </c>
      <c r="C104" t="str">
        <f t="shared" si="10"/>
        <v>02</v>
      </c>
      <c r="D104">
        <f t="shared" si="11"/>
        <v>2026</v>
      </c>
      <c r="E104" t="s">
        <v>645</v>
      </c>
      <c r="F104" t="s">
        <v>11</v>
      </c>
      <c r="G104" t="s">
        <v>643</v>
      </c>
      <c r="H104">
        <v>0</v>
      </c>
      <c r="I104">
        <v>0</v>
      </c>
      <c r="J104" s="1">
        <f t="shared" si="12"/>
        <v>46054</v>
      </c>
      <c r="K104" t="str">
        <f t="shared" si="13"/>
        <v>fev/26</v>
      </c>
      <c r="L104" t="str">
        <f t="shared" si="14"/>
        <v>dom</v>
      </c>
      <c r="M104">
        <f>SUMIFS(BASE_FIXA_TEND!AN:AN,BASE_FIXA_TEND!$A:$A,$A104,BASE_FIXA_TEND!$B:$B,$E104,BASE_FIXA_TEND!$D:$D,$F104)</f>
        <v>1</v>
      </c>
    </row>
    <row r="105" spans="1:13" x14ac:dyDescent="0.3">
      <c r="A105" t="s">
        <v>287</v>
      </c>
      <c r="B105" s="1">
        <v>46054</v>
      </c>
      <c r="C105" t="str">
        <f t="shared" si="10"/>
        <v>02</v>
      </c>
      <c r="D105">
        <f t="shared" si="11"/>
        <v>2026</v>
      </c>
      <c r="E105" t="s">
        <v>645</v>
      </c>
      <c r="F105" t="s">
        <v>11</v>
      </c>
      <c r="G105" t="s">
        <v>643</v>
      </c>
      <c r="H105">
        <v>0</v>
      </c>
      <c r="I105">
        <v>0</v>
      </c>
      <c r="J105" s="1">
        <f t="shared" si="12"/>
        <v>46054</v>
      </c>
      <c r="K105" t="str">
        <f t="shared" si="13"/>
        <v>fev/26</v>
      </c>
      <c r="L105" t="str">
        <f t="shared" si="14"/>
        <v>dom</v>
      </c>
      <c r="M105">
        <f>SUMIFS(BASE_FIXA_TEND!AN:AN,BASE_FIXA_TEND!$A:$A,$A105,BASE_FIXA_TEND!$B:$B,$E105,BASE_FIXA_TEND!$D:$D,$F105)</f>
        <v>15.209250279746222</v>
      </c>
    </row>
    <row r="106" spans="1:13" x14ac:dyDescent="0.3">
      <c r="A106" t="s">
        <v>340</v>
      </c>
      <c r="B106" s="1">
        <v>46054</v>
      </c>
      <c r="C106" t="str">
        <f t="shared" si="10"/>
        <v>02</v>
      </c>
      <c r="D106">
        <f t="shared" si="11"/>
        <v>2026</v>
      </c>
      <c r="E106" t="s">
        <v>645</v>
      </c>
      <c r="F106" t="s">
        <v>11</v>
      </c>
      <c r="G106" t="s">
        <v>643</v>
      </c>
      <c r="H106">
        <v>0</v>
      </c>
      <c r="I106">
        <v>0</v>
      </c>
      <c r="J106" s="1">
        <f t="shared" si="12"/>
        <v>46054</v>
      </c>
      <c r="K106" t="str">
        <f t="shared" si="13"/>
        <v>fev/26</v>
      </c>
      <c r="L106" t="str">
        <f t="shared" si="14"/>
        <v>dom</v>
      </c>
      <c r="M106">
        <f>SUMIFS(BASE_FIXA_TEND!AN:AN,BASE_FIXA_TEND!$A:$A,$A106,BASE_FIXA_TEND!$B:$B,$E106,BASE_FIXA_TEND!$D:$D,$F106)</f>
        <v>8.6046251398731108</v>
      </c>
    </row>
    <row r="107" spans="1:13" x14ac:dyDescent="0.3">
      <c r="A107" t="s">
        <v>381</v>
      </c>
      <c r="B107" s="1">
        <v>46054</v>
      </c>
      <c r="C107" t="str">
        <f t="shared" si="10"/>
        <v>02</v>
      </c>
      <c r="D107">
        <f t="shared" si="11"/>
        <v>2026</v>
      </c>
      <c r="E107" t="s">
        <v>645</v>
      </c>
      <c r="F107" t="s">
        <v>11</v>
      </c>
      <c r="G107" t="s">
        <v>643</v>
      </c>
      <c r="H107">
        <v>0</v>
      </c>
      <c r="I107">
        <v>0</v>
      </c>
      <c r="J107" s="1">
        <f t="shared" si="12"/>
        <v>46054</v>
      </c>
      <c r="K107" t="str">
        <f t="shared" si="13"/>
        <v>fev/26</v>
      </c>
      <c r="L107" t="str">
        <f t="shared" si="14"/>
        <v>dom</v>
      </c>
      <c r="M107">
        <f>SUMIFS(BASE_FIXA_TEND!AN:AN,BASE_FIXA_TEND!$A:$A,$A107,BASE_FIXA_TEND!$B:$B,$E107,BASE_FIXA_TEND!$D:$D,$F107)</f>
        <v>18.813875419619336</v>
      </c>
    </row>
    <row r="108" spans="1:13" x14ac:dyDescent="0.3">
      <c r="A108" t="s">
        <v>447</v>
      </c>
      <c r="B108" s="1">
        <v>46054</v>
      </c>
      <c r="C108" t="str">
        <f t="shared" si="10"/>
        <v>02</v>
      </c>
      <c r="D108">
        <f t="shared" si="11"/>
        <v>2026</v>
      </c>
      <c r="E108" t="s">
        <v>645</v>
      </c>
      <c r="F108" t="s">
        <v>11</v>
      </c>
      <c r="G108" t="s">
        <v>643</v>
      </c>
      <c r="H108">
        <v>0</v>
      </c>
      <c r="I108">
        <v>0</v>
      </c>
      <c r="J108" s="1">
        <f t="shared" si="12"/>
        <v>46054</v>
      </c>
      <c r="K108" t="str">
        <f t="shared" si="13"/>
        <v>fev/26</v>
      </c>
      <c r="L108" t="str">
        <f t="shared" si="14"/>
        <v>dom</v>
      </c>
      <c r="M108">
        <f>SUMIFS(BASE_FIXA_TEND!AN:AN,BASE_FIXA_TEND!$A:$A,$A108,BASE_FIXA_TEND!$B:$B,$E108,BASE_FIXA_TEND!$D:$D,$F108)</f>
        <v>1</v>
      </c>
    </row>
    <row r="109" spans="1:13" x14ac:dyDescent="0.3">
      <c r="A109" t="s">
        <v>517</v>
      </c>
      <c r="B109" s="1">
        <v>46054</v>
      </c>
      <c r="C109" t="str">
        <f t="shared" si="10"/>
        <v>02</v>
      </c>
      <c r="D109">
        <f t="shared" si="11"/>
        <v>2026</v>
      </c>
      <c r="E109" t="s">
        <v>645</v>
      </c>
      <c r="F109" t="s">
        <v>11</v>
      </c>
      <c r="G109" t="s">
        <v>643</v>
      </c>
      <c r="H109">
        <v>0</v>
      </c>
      <c r="I109">
        <v>0</v>
      </c>
      <c r="J109" s="1">
        <f t="shared" si="12"/>
        <v>46054</v>
      </c>
      <c r="K109" t="str">
        <f t="shared" si="13"/>
        <v>fev/26</v>
      </c>
      <c r="L109" t="str">
        <f t="shared" si="14"/>
        <v>dom</v>
      </c>
      <c r="M109">
        <f>SUMIFS(BASE_FIXA_TEND!AN:AN,BASE_FIXA_TEND!$A:$A,$A109,BASE_FIXA_TEND!$B:$B,$E109,BASE_FIXA_TEND!$D:$D,$F109)</f>
        <v>51.232375979111779</v>
      </c>
    </row>
    <row r="110" spans="1:13" x14ac:dyDescent="0.3">
      <c r="A110" t="s">
        <v>574</v>
      </c>
      <c r="B110" s="1">
        <v>46054</v>
      </c>
      <c r="C110" t="str">
        <f t="shared" si="10"/>
        <v>02</v>
      </c>
      <c r="D110">
        <f t="shared" si="11"/>
        <v>2026</v>
      </c>
      <c r="E110" t="s">
        <v>645</v>
      </c>
      <c r="F110" t="s">
        <v>11</v>
      </c>
      <c r="G110" t="s">
        <v>643</v>
      </c>
      <c r="H110">
        <v>0</v>
      </c>
      <c r="I110">
        <v>0</v>
      </c>
      <c r="J110" s="1">
        <f t="shared" si="12"/>
        <v>46054</v>
      </c>
      <c r="K110" t="str">
        <f t="shared" si="13"/>
        <v>fev/26</v>
      </c>
      <c r="L110" t="str">
        <f t="shared" si="14"/>
        <v>dom</v>
      </c>
      <c r="M110">
        <f>SUMIFS(BASE_FIXA_TEND!AN:AN,BASE_FIXA_TEND!$A:$A,$A110,BASE_FIXA_TEND!$B:$B,$E110,BASE_FIXA_TEND!$D:$D,$F110)</f>
        <v>12.209250279746223</v>
      </c>
    </row>
    <row r="111" spans="1:13" x14ac:dyDescent="0.3">
      <c r="A111" t="s">
        <v>606</v>
      </c>
      <c r="B111" s="1">
        <v>46054</v>
      </c>
      <c r="C111" t="str">
        <f t="shared" si="10"/>
        <v>02</v>
      </c>
      <c r="D111">
        <f t="shared" si="11"/>
        <v>2026</v>
      </c>
      <c r="E111" t="s">
        <v>645</v>
      </c>
      <c r="F111" t="s">
        <v>11</v>
      </c>
      <c r="G111" t="s">
        <v>643</v>
      </c>
      <c r="H111">
        <v>0</v>
      </c>
      <c r="I111">
        <v>0</v>
      </c>
      <c r="J111" s="1">
        <f t="shared" si="12"/>
        <v>46054</v>
      </c>
      <c r="K111" t="str">
        <f t="shared" si="13"/>
        <v>fev/26</v>
      </c>
      <c r="L111" t="str">
        <f t="shared" si="14"/>
        <v>dom</v>
      </c>
      <c r="M111">
        <f>SUMIFS(BASE_FIXA_TEND!AN:AN,BASE_FIXA_TEND!$A:$A,$A111,BASE_FIXA_TEND!$B:$B,$E111,BASE_FIXA_TEND!$D:$D,$F111)</f>
        <v>1</v>
      </c>
    </row>
    <row r="112" spans="1:13" x14ac:dyDescent="0.3">
      <c r="A112" t="s">
        <v>8</v>
      </c>
      <c r="B112" s="1">
        <v>46054</v>
      </c>
      <c r="C112" t="str">
        <f t="shared" si="10"/>
        <v>02</v>
      </c>
      <c r="D112">
        <f t="shared" si="11"/>
        <v>2026</v>
      </c>
      <c r="E112" t="s">
        <v>645</v>
      </c>
      <c r="F112" t="s">
        <v>14</v>
      </c>
      <c r="G112" t="s">
        <v>643</v>
      </c>
      <c r="H112">
        <v>0</v>
      </c>
      <c r="I112">
        <v>0</v>
      </c>
      <c r="J112" s="1">
        <f t="shared" si="12"/>
        <v>46054</v>
      </c>
      <c r="K112" t="str">
        <f t="shared" si="13"/>
        <v>fev/26</v>
      </c>
      <c r="L112" t="str">
        <f t="shared" si="14"/>
        <v>dom</v>
      </c>
      <c r="M112">
        <f>SUMIFS(BASE_FIXA_TEND!AN:AN,BASE_FIXA_TEND!$A:$A,$A112,BASE_FIXA_TEND!$B:$B,$E112,BASE_FIXA_TEND!$D:$D,$F112)</f>
        <v>22.125223214285839</v>
      </c>
    </row>
    <row r="113" spans="1:13" x14ac:dyDescent="0.3">
      <c r="A113" t="s">
        <v>174</v>
      </c>
      <c r="B113" s="1">
        <v>46054</v>
      </c>
      <c r="C113" t="str">
        <f t="shared" si="10"/>
        <v>02</v>
      </c>
      <c r="D113">
        <f t="shared" si="11"/>
        <v>2026</v>
      </c>
      <c r="E113" t="s">
        <v>645</v>
      </c>
      <c r="F113" t="s">
        <v>14</v>
      </c>
      <c r="G113" t="s">
        <v>643</v>
      </c>
      <c r="H113">
        <v>0</v>
      </c>
      <c r="I113">
        <v>0</v>
      </c>
      <c r="J113" s="1">
        <f t="shared" si="12"/>
        <v>46054</v>
      </c>
      <c r="K113" t="str">
        <f t="shared" si="13"/>
        <v>fev/26</v>
      </c>
      <c r="L113" t="str">
        <f t="shared" si="14"/>
        <v>dom</v>
      </c>
      <c r="M113">
        <f>SUMIFS(BASE_FIXA_TEND!AN:AN,BASE_FIXA_TEND!$A:$A,$A113,BASE_FIXA_TEND!$B:$B,$E113,BASE_FIXA_TEND!$D:$D,$F113)</f>
        <v>15.083482142857227</v>
      </c>
    </row>
    <row r="114" spans="1:13" x14ac:dyDescent="0.3">
      <c r="A114" t="s">
        <v>243</v>
      </c>
      <c r="B114" s="1">
        <v>46054</v>
      </c>
      <c r="C114" t="str">
        <f t="shared" si="10"/>
        <v>02</v>
      </c>
      <c r="D114">
        <f t="shared" si="11"/>
        <v>2026</v>
      </c>
      <c r="E114" t="s">
        <v>645</v>
      </c>
      <c r="F114" t="s">
        <v>14</v>
      </c>
      <c r="G114" t="s">
        <v>643</v>
      </c>
      <c r="H114">
        <v>0</v>
      </c>
      <c r="I114">
        <v>0</v>
      </c>
      <c r="J114" s="1">
        <f t="shared" si="12"/>
        <v>46054</v>
      </c>
      <c r="K114" t="str">
        <f t="shared" si="13"/>
        <v>fev/26</v>
      </c>
      <c r="L114" t="str">
        <f t="shared" si="14"/>
        <v>dom</v>
      </c>
      <c r="M114">
        <f>SUMIFS(BASE_FIXA_TEND!AN:AN,BASE_FIXA_TEND!$A:$A,$A114,BASE_FIXA_TEND!$B:$B,$E114,BASE_FIXA_TEND!$D:$D,$F114)</f>
        <v>16.125223214285839</v>
      </c>
    </row>
    <row r="115" spans="1:13" x14ac:dyDescent="0.3">
      <c r="A115" t="s">
        <v>287</v>
      </c>
      <c r="B115" s="1">
        <v>46054</v>
      </c>
      <c r="C115" t="str">
        <f t="shared" si="10"/>
        <v>02</v>
      </c>
      <c r="D115">
        <f t="shared" si="11"/>
        <v>2026</v>
      </c>
      <c r="E115" t="s">
        <v>645</v>
      </c>
      <c r="F115" t="s">
        <v>14</v>
      </c>
      <c r="G115" t="s">
        <v>643</v>
      </c>
      <c r="H115">
        <v>0</v>
      </c>
      <c r="I115">
        <v>0</v>
      </c>
      <c r="J115" s="1">
        <f t="shared" si="12"/>
        <v>46054</v>
      </c>
      <c r="K115" t="str">
        <f t="shared" si="13"/>
        <v>fev/26</v>
      </c>
      <c r="L115" t="str">
        <f t="shared" si="14"/>
        <v>dom</v>
      </c>
      <c r="M115">
        <f>SUMIFS(BASE_FIXA_TEND!AN:AN,BASE_FIXA_TEND!$A:$A,$A115,BASE_FIXA_TEND!$B:$B,$E115,BASE_FIXA_TEND!$D:$D,$F115)</f>
        <v>12.083482142857227</v>
      </c>
    </row>
    <row r="116" spans="1:13" x14ac:dyDescent="0.3">
      <c r="A116" t="s">
        <v>340</v>
      </c>
      <c r="B116" s="1">
        <v>46054</v>
      </c>
      <c r="C116" t="str">
        <f t="shared" si="10"/>
        <v>02</v>
      </c>
      <c r="D116">
        <f t="shared" si="11"/>
        <v>2026</v>
      </c>
      <c r="E116" t="s">
        <v>645</v>
      </c>
      <c r="F116" t="s">
        <v>14</v>
      </c>
      <c r="G116" t="s">
        <v>643</v>
      </c>
      <c r="H116">
        <v>0</v>
      </c>
      <c r="I116">
        <v>0</v>
      </c>
      <c r="J116" s="1">
        <f t="shared" si="12"/>
        <v>46054</v>
      </c>
      <c r="K116" t="str">
        <f t="shared" si="13"/>
        <v>fev/26</v>
      </c>
      <c r="L116" t="str">
        <f t="shared" si="14"/>
        <v>dom</v>
      </c>
      <c r="M116">
        <f>SUMIFS(BASE_FIXA_TEND!AN:AN,BASE_FIXA_TEND!$A:$A,$A116,BASE_FIXA_TEND!$B:$B,$E116,BASE_FIXA_TEND!$D:$D,$F116)</f>
        <v>3</v>
      </c>
    </row>
    <row r="117" spans="1:13" x14ac:dyDescent="0.3">
      <c r="A117" t="s">
        <v>381</v>
      </c>
      <c r="B117" s="1">
        <v>46054</v>
      </c>
      <c r="C117" t="str">
        <f t="shared" si="10"/>
        <v>02</v>
      </c>
      <c r="D117">
        <f t="shared" si="11"/>
        <v>2026</v>
      </c>
      <c r="E117" t="s">
        <v>645</v>
      </c>
      <c r="F117" t="s">
        <v>14</v>
      </c>
      <c r="G117" t="s">
        <v>643</v>
      </c>
      <c r="H117">
        <v>0</v>
      </c>
      <c r="I117">
        <v>0</v>
      </c>
      <c r="J117" s="1">
        <f t="shared" si="12"/>
        <v>46054</v>
      </c>
      <c r="K117" t="str">
        <f t="shared" si="13"/>
        <v>fev/26</v>
      </c>
      <c r="L117" t="str">
        <f t="shared" si="14"/>
        <v>dom</v>
      </c>
      <c r="M117">
        <f>SUMIFS(BASE_FIXA_TEND!AN:AN,BASE_FIXA_TEND!$A:$A,$A117,BASE_FIXA_TEND!$B:$B,$E117,BASE_FIXA_TEND!$D:$D,$F117)</f>
        <v>12.041741071428614</v>
      </c>
    </row>
    <row r="118" spans="1:13" x14ac:dyDescent="0.3">
      <c r="A118" t="s">
        <v>447</v>
      </c>
      <c r="B118" s="1">
        <v>46054</v>
      </c>
      <c r="C118" t="str">
        <f t="shared" si="10"/>
        <v>02</v>
      </c>
      <c r="D118">
        <f t="shared" si="11"/>
        <v>2026</v>
      </c>
      <c r="E118" t="s">
        <v>645</v>
      </c>
      <c r="F118" t="s">
        <v>14</v>
      </c>
      <c r="G118" t="s">
        <v>643</v>
      </c>
      <c r="H118">
        <v>0</v>
      </c>
      <c r="I118">
        <v>0</v>
      </c>
      <c r="J118" s="1">
        <f t="shared" si="12"/>
        <v>46054</v>
      </c>
      <c r="K118" t="str">
        <f t="shared" si="13"/>
        <v>fev/26</v>
      </c>
      <c r="L118" t="str">
        <f t="shared" si="14"/>
        <v>dom</v>
      </c>
      <c r="M118">
        <f>SUMIFS(BASE_FIXA_TEND!AN:AN,BASE_FIXA_TEND!$A:$A,$A118,BASE_FIXA_TEND!$B:$B,$E118,BASE_FIXA_TEND!$D:$D,$F118)</f>
        <v>6.0417410714286133</v>
      </c>
    </row>
    <row r="119" spans="1:13" x14ac:dyDescent="0.3">
      <c r="A119" t="s">
        <v>517</v>
      </c>
      <c r="B119" s="1">
        <v>46054</v>
      </c>
      <c r="C119" t="str">
        <f t="shared" si="10"/>
        <v>02</v>
      </c>
      <c r="D119">
        <f t="shared" si="11"/>
        <v>2026</v>
      </c>
      <c r="E119" t="s">
        <v>645</v>
      </c>
      <c r="F119" t="s">
        <v>14</v>
      </c>
      <c r="G119" t="s">
        <v>643</v>
      </c>
      <c r="H119">
        <v>0</v>
      </c>
      <c r="I119">
        <v>0</v>
      </c>
      <c r="J119" s="1">
        <f t="shared" si="12"/>
        <v>46054</v>
      </c>
      <c r="K119" t="str">
        <f t="shared" si="13"/>
        <v>fev/26</v>
      </c>
      <c r="L119" t="str">
        <f t="shared" si="14"/>
        <v>dom</v>
      </c>
      <c r="M119">
        <f>SUMIFS(BASE_FIXA_TEND!AN:AN,BASE_FIXA_TEND!$A:$A,$A119,BASE_FIXA_TEND!$B:$B,$E119,BASE_FIXA_TEND!$D:$D,$F119)</f>
        <v>80.500892857143356</v>
      </c>
    </row>
    <row r="120" spans="1:13" x14ac:dyDescent="0.3">
      <c r="A120" t="s">
        <v>574</v>
      </c>
      <c r="B120" s="1">
        <v>46054</v>
      </c>
      <c r="C120" t="str">
        <f t="shared" si="10"/>
        <v>02</v>
      </c>
      <c r="D120">
        <f t="shared" si="11"/>
        <v>2026</v>
      </c>
      <c r="E120" t="s">
        <v>645</v>
      </c>
      <c r="F120" t="s">
        <v>14</v>
      </c>
      <c r="G120" t="s">
        <v>643</v>
      </c>
      <c r="H120">
        <v>0</v>
      </c>
      <c r="I120">
        <v>0</v>
      </c>
      <c r="J120" s="1">
        <f t="shared" si="12"/>
        <v>46054</v>
      </c>
      <c r="K120" t="str">
        <f t="shared" si="13"/>
        <v>fev/26</v>
      </c>
      <c r="L120" t="str">
        <f t="shared" si="14"/>
        <v>dom</v>
      </c>
      <c r="M120">
        <f>SUMIFS(BASE_FIXA_TEND!AN:AN,BASE_FIXA_TEND!$A:$A,$A120,BASE_FIXA_TEND!$B:$B,$E120,BASE_FIXA_TEND!$D:$D,$F120)</f>
        <v>8.0417410714286142</v>
      </c>
    </row>
    <row r="121" spans="1:13" x14ac:dyDescent="0.3">
      <c r="A121" t="s">
        <v>606</v>
      </c>
      <c r="B121" s="1">
        <v>46054</v>
      </c>
      <c r="C121" t="str">
        <f t="shared" si="10"/>
        <v>02</v>
      </c>
      <c r="D121">
        <f t="shared" si="11"/>
        <v>2026</v>
      </c>
      <c r="E121" t="s">
        <v>645</v>
      </c>
      <c r="F121" t="s">
        <v>14</v>
      </c>
      <c r="G121" t="s">
        <v>643</v>
      </c>
      <c r="H121">
        <v>0</v>
      </c>
      <c r="I121">
        <v>0</v>
      </c>
      <c r="J121" s="1">
        <f t="shared" si="12"/>
        <v>46054</v>
      </c>
      <c r="K121" t="str">
        <f t="shared" si="13"/>
        <v>fev/26</v>
      </c>
      <c r="L121" t="str">
        <f t="shared" si="14"/>
        <v>dom</v>
      </c>
      <c r="M121">
        <f>SUMIFS(BASE_FIXA_TEND!AN:AN,BASE_FIXA_TEND!$A:$A,$A121,BASE_FIXA_TEND!$B:$B,$E121,BASE_FIXA_TEND!$D:$D,$F121)</f>
        <v>6.0417410714286133</v>
      </c>
    </row>
    <row r="122" spans="1:13" x14ac:dyDescent="0.3">
      <c r="A122" t="s">
        <v>8</v>
      </c>
      <c r="B122" s="1">
        <v>46054</v>
      </c>
      <c r="C122" t="str">
        <f t="shared" si="10"/>
        <v>02</v>
      </c>
      <c r="D122">
        <f t="shared" si="11"/>
        <v>2026</v>
      </c>
      <c r="E122" t="s">
        <v>170</v>
      </c>
      <c r="F122" t="s">
        <v>11</v>
      </c>
      <c r="G122" t="s">
        <v>643</v>
      </c>
      <c r="H122">
        <v>0</v>
      </c>
      <c r="I122">
        <v>0</v>
      </c>
      <c r="J122" s="1">
        <f t="shared" si="12"/>
        <v>46054</v>
      </c>
      <c r="K122" t="str">
        <f t="shared" si="13"/>
        <v>fev/26</v>
      </c>
      <c r="L122" t="str">
        <f t="shared" si="14"/>
        <v>dom</v>
      </c>
      <c r="M122">
        <f>SUMIFS(BASE_FIXA_TEND!AN:AN,BASE_FIXA_TEND!$A:$A,$A122,BASE_FIXA_TEND!$B:$B,$E122,BASE_FIXA_TEND!$D:$D,$F122)</f>
        <v>9.6046251398731108</v>
      </c>
    </row>
    <row r="123" spans="1:13" x14ac:dyDescent="0.3">
      <c r="A123" t="s">
        <v>174</v>
      </c>
      <c r="B123" s="1">
        <v>46054</v>
      </c>
      <c r="C123" t="str">
        <f t="shared" si="10"/>
        <v>02</v>
      </c>
      <c r="D123">
        <f t="shared" si="11"/>
        <v>2026</v>
      </c>
      <c r="E123" t="s">
        <v>170</v>
      </c>
      <c r="F123" t="s">
        <v>11</v>
      </c>
      <c r="G123" t="s">
        <v>643</v>
      </c>
      <c r="H123">
        <v>0</v>
      </c>
      <c r="I123">
        <v>0</v>
      </c>
      <c r="J123" s="1">
        <f t="shared" si="12"/>
        <v>46054</v>
      </c>
      <c r="K123" t="str">
        <f t="shared" si="13"/>
        <v>fev/26</v>
      </c>
      <c r="L123" t="str">
        <f t="shared" si="14"/>
        <v>dom</v>
      </c>
      <c r="M123">
        <f>SUMIFS(BASE_FIXA_TEND!AN:AN,BASE_FIXA_TEND!$A:$A,$A123,BASE_FIXA_TEND!$B:$B,$E123,BASE_FIXA_TEND!$D:$D,$F123)</f>
        <v>18.209250279746222</v>
      </c>
    </row>
    <row r="124" spans="1:13" x14ac:dyDescent="0.3">
      <c r="A124" t="s">
        <v>243</v>
      </c>
      <c r="B124" s="1">
        <v>46054</v>
      </c>
      <c r="C124" t="str">
        <f t="shared" si="10"/>
        <v>02</v>
      </c>
      <c r="D124">
        <f t="shared" si="11"/>
        <v>2026</v>
      </c>
      <c r="E124" t="s">
        <v>170</v>
      </c>
      <c r="F124" t="s">
        <v>11</v>
      </c>
      <c r="G124" t="s">
        <v>643</v>
      </c>
      <c r="H124">
        <v>0</v>
      </c>
      <c r="I124">
        <v>0</v>
      </c>
      <c r="J124" s="1">
        <f t="shared" si="12"/>
        <v>46054</v>
      </c>
      <c r="K124" t="str">
        <f t="shared" si="13"/>
        <v>fev/26</v>
      </c>
      <c r="L124" t="str">
        <f t="shared" si="14"/>
        <v>dom</v>
      </c>
      <c r="M124">
        <f>SUMIFS(BASE_FIXA_TEND!AN:AN,BASE_FIXA_TEND!$A:$A,$A124,BASE_FIXA_TEND!$B:$B,$E124,BASE_FIXA_TEND!$D:$D,$F124)</f>
        <v>2</v>
      </c>
    </row>
    <row r="125" spans="1:13" x14ac:dyDescent="0.3">
      <c r="A125" t="s">
        <v>287</v>
      </c>
      <c r="B125" s="1">
        <v>46054</v>
      </c>
      <c r="C125" t="str">
        <f t="shared" si="10"/>
        <v>02</v>
      </c>
      <c r="D125">
        <f t="shared" si="11"/>
        <v>2026</v>
      </c>
      <c r="E125" t="s">
        <v>170</v>
      </c>
      <c r="F125" t="s">
        <v>11</v>
      </c>
      <c r="G125" t="s">
        <v>643</v>
      </c>
      <c r="H125">
        <v>0</v>
      </c>
      <c r="I125">
        <v>0</v>
      </c>
      <c r="J125" s="1">
        <f t="shared" si="12"/>
        <v>46054</v>
      </c>
      <c r="K125" t="str">
        <f t="shared" si="13"/>
        <v>fev/26</v>
      </c>
      <c r="L125" t="str">
        <f t="shared" si="14"/>
        <v>dom</v>
      </c>
      <c r="M125">
        <f>SUMIFS(BASE_FIXA_TEND!AN:AN,BASE_FIXA_TEND!$A:$A,$A125,BASE_FIXA_TEND!$B:$B,$E125,BASE_FIXA_TEND!$D:$D,$F125)</f>
        <v>11.209250279746223</v>
      </c>
    </row>
    <row r="126" spans="1:13" x14ac:dyDescent="0.3">
      <c r="A126" t="s">
        <v>340</v>
      </c>
      <c r="B126" s="1">
        <v>46054</v>
      </c>
      <c r="C126" t="str">
        <f t="shared" si="10"/>
        <v>02</v>
      </c>
      <c r="D126">
        <f t="shared" si="11"/>
        <v>2026</v>
      </c>
      <c r="E126" t="s">
        <v>170</v>
      </c>
      <c r="F126" t="s">
        <v>11</v>
      </c>
      <c r="G126" t="s">
        <v>643</v>
      </c>
      <c r="H126">
        <v>0</v>
      </c>
      <c r="I126">
        <v>0</v>
      </c>
      <c r="J126" s="1">
        <f t="shared" si="12"/>
        <v>46054</v>
      </c>
      <c r="K126" t="str">
        <f t="shared" si="13"/>
        <v>fev/26</v>
      </c>
      <c r="L126" t="str">
        <f t="shared" si="14"/>
        <v>dom</v>
      </c>
      <c r="M126">
        <f>SUMIFS(BASE_FIXA_TEND!AN:AN,BASE_FIXA_TEND!$A:$A,$A126,BASE_FIXA_TEND!$B:$B,$E126,BASE_FIXA_TEND!$D:$D,$F126)</f>
        <v>6.6046251398731117</v>
      </c>
    </row>
    <row r="127" spans="1:13" x14ac:dyDescent="0.3">
      <c r="A127" t="s">
        <v>381</v>
      </c>
      <c r="B127" s="1">
        <v>46054</v>
      </c>
      <c r="C127" t="str">
        <f t="shared" si="10"/>
        <v>02</v>
      </c>
      <c r="D127">
        <f t="shared" si="11"/>
        <v>2026</v>
      </c>
      <c r="E127" t="s">
        <v>170</v>
      </c>
      <c r="F127" t="s">
        <v>11</v>
      </c>
      <c r="G127" t="s">
        <v>643</v>
      </c>
      <c r="H127">
        <v>0</v>
      </c>
      <c r="I127">
        <v>0</v>
      </c>
      <c r="J127" s="1">
        <f t="shared" si="12"/>
        <v>46054</v>
      </c>
      <c r="K127" t="str">
        <f t="shared" si="13"/>
        <v>fev/26</v>
      </c>
      <c r="L127" t="str">
        <f t="shared" si="14"/>
        <v>dom</v>
      </c>
      <c r="M127">
        <f>SUMIFS(BASE_FIXA_TEND!AN:AN,BASE_FIXA_TEND!$A:$A,$A127,BASE_FIXA_TEND!$B:$B,$E127,BASE_FIXA_TEND!$D:$D,$F127)</f>
        <v>2</v>
      </c>
    </row>
    <row r="128" spans="1:13" x14ac:dyDescent="0.3">
      <c r="A128" t="s">
        <v>447</v>
      </c>
      <c r="B128" s="1">
        <v>46054</v>
      </c>
      <c r="C128" t="str">
        <f t="shared" si="10"/>
        <v>02</v>
      </c>
      <c r="D128">
        <f t="shared" si="11"/>
        <v>2026</v>
      </c>
      <c r="E128" t="s">
        <v>170</v>
      </c>
      <c r="F128" t="s">
        <v>11</v>
      </c>
      <c r="G128" t="s">
        <v>643</v>
      </c>
      <c r="H128">
        <v>0</v>
      </c>
      <c r="I128">
        <v>0</v>
      </c>
      <c r="J128" s="1">
        <f t="shared" si="12"/>
        <v>46054</v>
      </c>
      <c r="K128" t="str">
        <f t="shared" si="13"/>
        <v>fev/26</v>
      </c>
      <c r="L128" t="str">
        <f t="shared" si="14"/>
        <v>dom</v>
      </c>
      <c r="M128">
        <f>SUMIFS(BASE_FIXA_TEND!AN:AN,BASE_FIXA_TEND!$A:$A,$A128,BASE_FIXA_TEND!$B:$B,$E128,BASE_FIXA_TEND!$D:$D,$F128)</f>
        <v>0</v>
      </c>
    </row>
    <row r="129" spans="1:13" x14ac:dyDescent="0.3">
      <c r="A129" t="s">
        <v>517</v>
      </c>
      <c r="B129" s="1">
        <v>46054</v>
      </c>
      <c r="C129" t="str">
        <f t="shared" si="10"/>
        <v>02</v>
      </c>
      <c r="D129">
        <f t="shared" si="11"/>
        <v>2026</v>
      </c>
      <c r="E129" t="s">
        <v>170</v>
      </c>
      <c r="F129" t="s">
        <v>11</v>
      </c>
      <c r="G129" t="s">
        <v>643</v>
      </c>
      <c r="H129">
        <v>0</v>
      </c>
      <c r="I129">
        <v>0</v>
      </c>
      <c r="J129" s="1">
        <f t="shared" si="12"/>
        <v>46054</v>
      </c>
      <c r="K129" t="str">
        <f t="shared" si="13"/>
        <v>fev/26</v>
      </c>
      <c r="L129" t="str">
        <f t="shared" si="14"/>
        <v>dom</v>
      </c>
      <c r="M129">
        <f>SUMIFS(BASE_FIXA_TEND!AN:AN,BASE_FIXA_TEND!$A:$A,$A129,BASE_FIXA_TEND!$B:$B,$E129,BASE_FIXA_TEND!$D:$D,$F129)</f>
        <v>23.813875419619336</v>
      </c>
    </row>
    <row r="130" spans="1:13" x14ac:dyDescent="0.3">
      <c r="A130" t="s">
        <v>574</v>
      </c>
      <c r="B130" s="1">
        <v>46054</v>
      </c>
      <c r="C130" t="str">
        <f t="shared" si="10"/>
        <v>02</v>
      </c>
      <c r="D130">
        <f t="shared" si="11"/>
        <v>2026</v>
      </c>
      <c r="E130" t="s">
        <v>170</v>
      </c>
      <c r="F130" t="s">
        <v>11</v>
      </c>
      <c r="G130" t="s">
        <v>643</v>
      </c>
      <c r="H130">
        <v>0</v>
      </c>
      <c r="I130">
        <v>0</v>
      </c>
      <c r="J130" s="1">
        <f t="shared" si="12"/>
        <v>46054</v>
      </c>
      <c r="K130" t="str">
        <f t="shared" si="13"/>
        <v>fev/26</v>
      </c>
      <c r="L130" t="str">
        <f t="shared" si="14"/>
        <v>dom</v>
      </c>
      <c r="M130">
        <f>SUMIFS(BASE_FIXA_TEND!AN:AN,BASE_FIXA_TEND!$A:$A,$A130,BASE_FIXA_TEND!$B:$B,$E130,BASE_FIXA_TEND!$D:$D,$F130)</f>
        <v>1</v>
      </c>
    </row>
    <row r="131" spans="1:13" x14ac:dyDescent="0.3">
      <c r="A131" t="s">
        <v>606</v>
      </c>
      <c r="B131" s="1">
        <v>46054</v>
      </c>
      <c r="C131" t="str">
        <f t="shared" si="10"/>
        <v>02</v>
      </c>
      <c r="D131">
        <f t="shared" si="11"/>
        <v>2026</v>
      </c>
      <c r="E131" t="s">
        <v>170</v>
      </c>
      <c r="F131" t="s">
        <v>11</v>
      </c>
      <c r="G131" t="s">
        <v>643</v>
      </c>
      <c r="H131">
        <v>0</v>
      </c>
      <c r="I131">
        <v>0</v>
      </c>
      <c r="J131" s="1">
        <f t="shared" si="12"/>
        <v>46054</v>
      </c>
      <c r="K131" t="str">
        <f t="shared" si="13"/>
        <v>fev/26</v>
      </c>
      <c r="L131" t="str">
        <f t="shared" si="14"/>
        <v>dom</v>
      </c>
      <c r="M131">
        <f>SUMIFS(BASE_FIXA_TEND!AN:AN,BASE_FIXA_TEND!$A:$A,$A131,BASE_FIXA_TEND!$B:$B,$E131,BASE_FIXA_TEND!$D:$D,$F131)</f>
        <v>6.6046251398731117</v>
      </c>
    </row>
    <row r="132" spans="1:13" x14ac:dyDescent="0.3">
      <c r="A132" t="s">
        <v>8</v>
      </c>
      <c r="B132" s="1">
        <v>46054</v>
      </c>
      <c r="C132" t="str">
        <f t="shared" si="10"/>
        <v>02</v>
      </c>
      <c r="D132">
        <f t="shared" si="11"/>
        <v>2026</v>
      </c>
      <c r="E132" t="s">
        <v>170</v>
      </c>
      <c r="F132" t="s">
        <v>14</v>
      </c>
      <c r="G132" t="s">
        <v>643</v>
      </c>
      <c r="H132">
        <v>0</v>
      </c>
      <c r="I132">
        <v>0</v>
      </c>
      <c r="J132" s="1">
        <f t="shared" si="12"/>
        <v>46054</v>
      </c>
      <c r="K132" t="str">
        <f t="shared" si="13"/>
        <v>fev/26</v>
      </c>
      <c r="L132" t="str">
        <f t="shared" si="14"/>
        <v>dom</v>
      </c>
      <c r="M132">
        <f>SUMIFS(BASE_FIXA_TEND!AN:AN,BASE_FIXA_TEND!$A:$A,$A132,BASE_FIXA_TEND!$B:$B,$E132,BASE_FIXA_TEND!$D:$D,$F132)</f>
        <v>37.250446428571678</v>
      </c>
    </row>
    <row r="133" spans="1:13" x14ac:dyDescent="0.3">
      <c r="A133" t="s">
        <v>174</v>
      </c>
      <c r="B133" s="1">
        <v>46054</v>
      </c>
      <c r="C133" t="str">
        <f t="shared" si="10"/>
        <v>02</v>
      </c>
      <c r="D133">
        <f t="shared" si="11"/>
        <v>2026</v>
      </c>
      <c r="E133" t="s">
        <v>170</v>
      </c>
      <c r="F133" t="s">
        <v>14</v>
      </c>
      <c r="G133" t="s">
        <v>643</v>
      </c>
      <c r="H133">
        <v>0</v>
      </c>
      <c r="I133">
        <v>0</v>
      </c>
      <c r="J133" s="1">
        <f t="shared" si="12"/>
        <v>46054</v>
      </c>
      <c r="K133" t="str">
        <f t="shared" si="13"/>
        <v>fev/26</v>
      </c>
      <c r="L133" t="str">
        <f t="shared" si="14"/>
        <v>dom</v>
      </c>
      <c r="M133">
        <f>SUMIFS(BASE_FIXA_TEND!AN:AN,BASE_FIXA_TEND!$A:$A,$A133,BASE_FIXA_TEND!$B:$B,$E133,BASE_FIXA_TEND!$D:$D,$F133)</f>
        <v>29.166964285714453</v>
      </c>
    </row>
    <row r="134" spans="1:13" x14ac:dyDescent="0.3">
      <c r="A134" t="s">
        <v>243</v>
      </c>
      <c r="B134" s="1">
        <v>46054</v>
      </c>
      <c r="C134" t="str">
        <f t="shared" si="10"/>
        <v>02</v>
      </c>
      <c r="D134">
        <f t="shared" si="11"/>
        <v>2026</v>
      </c>
      <c r="E134" t="s">
        <v>170</v>
      </c>
      <c r="F134" t="s">
        <v>14</v>
      </c>
      <c r="G134" t="s">
        <v>643</v>
      </c>
      <c r="H134">
        <v>0</v>
      </c>
      <c r="I134">
        <v>0</v>
      </c>
      <c r="J134" s="1">
        <f t="shared" si="12"/>
        <v>46054</v>
      </c>
      <c r="K134" t="str">
        <f t="shared" si="13"/>
        <v>fev/26</v>
      </c>
      <c r="L134" t="str">
        <f t="shared" si="14"/>
        <v>dom</v>
      </c>
      <c r="M134">
        <f>SUMIFS(BASE_FIXA_TEND!AN:AN,BASE_FIXA_TEND!$A:$A,$A134,BASE_FIXA_TEND!$B:$B,$E134,BASE_FIXA_TEND!$D:$D,$F134)</f>
        <v>11.083482142857227</v>
      </c>
    </row>
    <row r="135" spans="1:13" x14ac:dyDescent="0.3">
      <c r="A135" t="s">
        <v>287</v>
      </c>
      <c r="B135" s="1">
        <v>46054</v>
      </c>
      <c r="C135" t="str">
        <f t="shared" si="10"/>
        <v>02</v>
      </c>
      <c r="D135">
        <f t="shared" si="11"/>
        <v>2026</v>
      </c>
      <c r="E135" t="s">
        <v>170</v>
      </c>
      <c r="F135" t="s">
        <v>14</v>
      </c>
      <c r="G135" t="s">
        <v>643</v>
      </c>
      <c r="H135">
        <v>0</v>
      </c>
      <c r="I135">
        <v>0</v>
      </c>
      <c r="J135" s="1">
        <f t="shared" si="12"/>
        <v>46054</v>
      </c>
      <c r="K135" t="str">
        <f t="shared" si="13"/>
        <v>fev/26</v>
      </c>
      <c r="L135" t="str">
        <f t="shared" si="14"/>
        <v>dom</v>
      </c>
      <c r="M135">
        <f>SUMIFS(BASE_FIXA_TEND!AN:AN,BASE_FIXA_TEND!$A:$A,$A135,BASE_FIXA_TEND!$B:$B,$E135,BASE_FIXA_TEND!$D:$D,$F135)</f>
        <v>6.0417410714286133</v>
      </c>
    </row>
    <row r="136" spans="1:13" x14ac:dyDescent="0.3">
      <c r="A136" t="s">
        <v>340</v>
      </c>
      <c r="B136" s="1">
        <v>46054</v>
      </c>
      <c r="C136" t="str">
        <f t="shared" si="10"/>
        <v>02</v>
      </c>
      <c r="D136">
        <f t="shared" si="11"/>
        <v>2026</v>
      </c>
      <c r="E136" t="s">
        <v>170</v>
      </c>
      <c r="F136" t="s">
        <v>14</v>
      </c>
      <c r="G136" t="s">
        <v>643</v>
      </c>
      <c r="H136">
        <v>0</v>
      </c>
      <c r="I136">
        <v>0</v>
      </c>
      <c r="J136" s="1">
        <f t="shared" si="12"/>
        <v>46054</v>
      </c>
      <c r="K136" t="str">
        <f t="shared" si="13"/>
        <v>fev/26</v>
      </c>
      <c r="L136" t="str">
        <f t="shared" si="14"/>
        <v>dom</v>
      </c>
      <c r="M136">
        <f>SUMIFS(BASE_FIXA_TEND!AN:AN,BASE_FIXA_TEND!$A:$A,$A136,BASE_FIXA_TEND!$B:$B,$E136,BASE_FIXA_TEND!$D:$D,$F136)</f>
        <v>7.0417410714286133</v>
      </c>
    </row>
    <row r="137" spans="1:13" x14ac:dyDescent="0.3">
      <c r="A137" t="s">
        <v>381</v>
      </c>
      <c r="B137" s="1">
        <v>46054</v>
      </c>
      <c r="C137" t="str">
        <f t="shared" si="10"/>
        <v>02</v>
      </c>
      <c r="D137">
        <f t="shared" si="11"/>
        <v>2026</v>
      </c>
      <c r="E137" t="s">
        <v>170</v>
      </c>
      <c r="F137" t="s">
        <v>14</v>
      </c>
      <c r="G137" t="s">
        <v>643</v>
      </c>
      <c r="H137">
        <v>0</v>
      </c>
      <c r="I137">
        <v>0</v>
      </c>
      <c r="J137" s="1">
        <f t="shared" si="12"/>
        <v>46054</v>
      </c>
      <c r="K137" t="str">
        <f t="shared" si="13"/>
        <v>fev/26</v>
      </c>
      <c r="L137" t="str">
        <f t="shared" si="14"/>
        <v>dom</v>
      </c>
      <c r="M137">
        <f>SUMIFS(BASE_FIXA_TEND!AN:AN,BASE_FIXA_TEND!$A:$A,$A137,BASE_FIXA_TEND!$B:$B,$E137,BASE_FIXA_TEND!$D:$D,$F137)</f>
        <v>9.0417410714286142</v>
      </c>
    </row>
    <row r="138" spans="1:13" x14ac:dyDescent="0.3">
      <c r="A138" t="s">
        <v>447</v>
      </c>
      <c r="B138" s="1">
        <v>46054</v>
      </c>
      <c r="C138" t="str">
        <f t="shared" si="10"/>
        <v>02</v>
      </c>
      <c r="D138">
        <f t="shared" si="11"/>
        <v>2026</v>
      </c>
      <c r="E138" t="s">
        <v>170</v>
      </c>
      <c r="F138" t="s">
        <v>14</v>
      </c>
      <c r="G138" t="s">
        <v>643</v>
      </c>
      <c r="H138">
        <v>0</v>
      </c>
      <c r="I138">
        <v>0</v>
      </c>
      <c r="J138" s="1">
        <f t="shared" si="12"/>
        <v>46054</v>
      </c>
      <c r="K138" t="str">
        <f t="shared" si="13"/>
        <v>fev/26</v>
      </c>
      <c r="L138" t="str">
        <f t="shared" si="14"/>
        <v>dom</v>
      </c>
      <c r="M138">
        <f>SUMIFS(BASE_FIXA_TEND!AN:AN,BASE_FIXA_TEND!$A:$A,$A138,BASE_FIXA_TEND!$B:$B,$E138,BASE_FIXA_TEND!$D:$D,$F138)</f>
        <v>0</v>
      </c>
    </row>
    <row r="139" spans="1:13" x14ac:dyDescent="0.3">
      <c r="A139" t="s">
        <v>517</v>
      </c>
      <c r="B139" s="1">
        <v>46054</v>
      </c>
      <c r="C139" t="str">
        <f t="shared" si="10"/>
        <v>02</v>
      </c>
      <c r="D139">
        <f t="shared" si="11"/>
        <v>2026</v>
      </c>
      <c r="E139" t="s">
        <v>170</v>
      </c>
      <c r="F139" t="s">
        <v>14</v>
      </c>
      <c r="G139" t="s">
        <v>643</v>
      </c>
      <c r="H139">
        <v>0</v>
      </c>
      <c r="I139">
        <v>0</v>
      </c>
      <c r="J139" s="1">
        <f t="shared" si="12"/>
        <v>46054</v>
      </c>
      <c r="K139" t="str">
        <f t="shared" si="13"/>
        <v>fev/26</v>
      </c>
      <c r="L139" t="str">
        <f t="shared" si="14"/>
        <v>dom</v>
      </c>
      <c r="M139">
        <f>SUMIFS(BASE_FIXA_TEND!AN:AN,BASE_FIXA_TEND!$A:$A,$A139,BASE_FIXA_TEND!$B:$B,$E139,BASE_FIXA_TEND!$D:$D,$F139)</f>
        <v>46.292187500000296</v>
      </c>
    </row>
    <row r="140" spans="1:13" x14ac:dyDescent="0.3">
      <c r="A140" t="s">
        <v>574</v>
      </c>
      <c r="B140" s="1">
        <v>46054</v>
      </c>
      <c r="C140" t="str">
        <f t="shared" si="10"/>
        <v>02</v>
      </c>
      <c r="D140">
        <f t="shared" si="11"/>
        <v>2026</v>
      </c>
      <c r="E140" t="s">
        <v>170</v>
      </c>
      <c r="F140" t="s">
        <v>14</v>
      </c>
      <c r="G140" t="s">
        <v>643</v>
      </c>
      <c r="H140">
        <v>0</v>
      </c>
      <c r="I140">
        <v>0</v>
      </c>
      <c r="J140" s="1">
        <f t="shared" si="12"/>
        <v>46054</v>
      </c>
      <c r="K140" t="str">
        <f t="shared" si="13"/>
        <v>fev/26</v>
      </c>
      <c r="L140" t="str">
        <f t="shared" si="14"/>
        <v>dom</v>
      </c>
      <c r="M140">
        <f>SUMIFS(BASE_FIXA_TEND!AN:AN,BASE_FIXA_TEND!$A:$A,$A140,BASE_FIXA_TEND!$B:$B,$E140,BASE_FIXA_TEND!$D:$D,$F140)</f>
        <v>0</v>
      </c>
    </row>
    <row r="141" spans="1:13" x14ac:dyDescent="0.3">
      <c r="A141" t="s">
        <v>606</v>
      </c>
      <c r="B141" s="1">
        <v>46054</v>
      </c>
      <c r="C141" t="str">
        <f t="shared" si="10"/>
        <v>02</v>
      </c>
      <c r="D141">
        <f t="shared" si="11"/>
        <v>2026</v>
      </c>
      <c r="E141" t="s">
        <v>170</v>
      </c>
      <c r="F141" t="s">
        <v>14</v>
      </c>
      <c r="G141" t="s">
        <v>643</v>
      </c>
      <c r="H141">
        <v>0</v>
      </c>
      <c r="I141">
        <v>0</v>
      </c>
      <c r="J141" s="1">
        <f t="shared" si="12"/>
        <v>46054</v>
      </c>
      <c r="K141" t="str">
        <f t="shared" si="13"/>
        <v>fev/26</v>
      </c>
      <c r="L141" t="str">
        <f t="shared" si="14"/>
        <v>dom</v>
      </c>
      <c r="M141">
        <f>SUMIFS(BASE_FIXA_TEND!AN:AN,BASE_FIXA_TEND!$A:$A,$A141,BASE_FIXA_TEND!$B:$B,$E141,BASE_FIXA_TEND!$D:$D,$F141)</f>
        <v>2</v>
      </c>
    </row>
    <row r="142" spans="1:13" x14ac:dyDescent="0.3">
      <c r="A142" t="s">
        <v>8</v>
      </c>
      <c r="B142" s="1">
        <v>46054</v>
      </c>
      <c r="C142" t="str">
        <f t="shared" si="10"/>
        <v>02</v>
      </c>
      <c r="D142">
        <f t="shared" si="11"/>
        <v>2026</v>
      </c>
      <c r="E142" t="s">
        <v>164</v>
      </c>
      <c r="F142" t="s">
        <v>648</v>
      </c>
      <c r="G142" t="s">
        <v>647</v>
      </c>
      <c r="H142">
        <v>0</v>
      </c>
      <c r="I142">
        <v>0</v>
      </c>
      <c r="J142" s="1">
        <f t="shared" si="12"/>
        <v>46054</v>
      </c>
      <c r="K142" t="str">
        <f t="shared" si="13"/>
        <v>fev/26</v>
      </c>
      <c r="L142" t="str">
        <f t="shared" si="14"/>
        <v>dom</v>
      </c>
      <c r="M142">
        <f>SUMIFS(BASE_MOVEL_TEND!$D:$D,BASE_MOVEL_TEND!$A:$A,$F142,BASE_MOVEL_TEND!$B:$B,$E142,BASE_MOVEL_TEND!$C:$C,$A142)</f>
        <v>346.47106852734311</v>
      </c>
    </row>
    <row r="143" spans="1:13" x14ac:dyDescent="0.3">
      <c r="A143" t="s">
        <v>174</v>
      </c>
      <c r="B143" s="1">
        <v>46054</v>
      </c>
      <c r="C143" t="str">
        <f t="shared" si="10"/>
        <v>02</v>
      </c>
      <c r="D143">
        <f t="shared" si="11"/>
        <v>2026</v>
      </c>
      <c r="E143" t="s">
        <v>164</v>
      </c>
      <c r="F143" t="s">
        <v>648</v>
      </c>
      <c r="G143" t="s">
        <v>647</v>
      </c>
      <c r="H143">
        <v>0</v>
      </c>
      <c r="I143">
        <v>0</v>
      </c>
      <c r="J143" s="1">
        <f t="shared" si="12"/>
        <v>46054</v>
      </c>
      <c r="K143" t="str">
        <f t="shared" si="13"/>
        <v>fev/26</v>
      </c>
      <c r="L143" t="str">
        <f t="shared" si="14"/>
        <v>dom</v>
      </c>
      <c r="M143">
        <f>SUMIFS(BASE_MOVEL_TEND!$D:$D,BASE_MOVEL_TEND!$A:$A,$F143,BASE_MOVEL_TEND!$B:$B,$E143,BASE_MOVEL_TEND!$C:$C,$A143)</f>
        <v>419.78689675825166</v>
      </c>
    </row>
    <row r="144" spans="1:13" x14ac:dyDescent="0.3">
      <c r="A144" t="s">
        <v>243</v>
      </c>
      <c r="B144" s="1">
        <v>46054</v>
      </c>
      <c r="C144" t="str">
        <f t="shared" si="10"/>
        <v>02</v>
      </c>
      <c r="D144">
        <f t="shared" si="11"/>
        <v>2026</v>
      </c>
      <c r="E144" t="s">
        <v>164</v>
      </c>
      <c r="F144" t="s">
        <v>648</v>
      </c>
      <c r="G144" t="s">
        <v>647</v>
      </c>
      <c r="H144">
        <v>0</v>
      </c>
      <c r="I144">
        <v>0</v>
      </c>
      <c r="J144" s="1">
        <f t="shared" si="12"/>
        <v>46054</v>
      </c>
      <c r="K144" t="str">
        <f t="shared" si="13"/>
        <v>fev/26</v>
      </c>
      <c r="L144" t="str">
        <f t="shared" si="14"/>
        <v>dom</v>
      </c>
      <c r="M144">
        <f>SUMIFS(BASE_MOVEL_TEND!$D:$D,BASE_MOVEL_TEND!$A:$A,$F144,BASE_MOVEL_TEND!$B:$B,$E144,BASE_MOVEL_TEND!$C:$C,$A144)</f>
        <v>212.95139131489748</v>
      </c>
    </row>
    <row r="145" spans="1:13" x14ac:dyDescent="0.3">
      <c r="A145" t="s">
        <v>287</v>
      </c>
      <c r="B145" s="1">
        <v>46054</v>
      </c>
      <c r="C145" t="str">
        <f t="shared" si="10"/>
        <v>02</v>
      </c>
      <c r="D145">
        <f t="shared" si="11"/>
        <v>2026</v>
      </c>
      <c r="E145" t="s">
        <v>164</v>
      </c>
      <c r="F145" t="s">
        <v>648</v>
      </c>
      <c r="G145" t="s">
        <v>647</v>
      </c>
      <c r="H145">
        <v>0</v>
      </c>
      <c r="I145">
        <v>0</v>
      </c>
      <c r="J145" s="1">
        <f t="shared" si="12"/>
        <v>46054</v>
      </c>
      <c r="K145" t="str">
        <f t="shared" si="13"/>
        <v>fev/26</v>
      </c>
      <c r="L145" t="str">
        <f t="shared" si="14"/>
        <v>dom</v>
      </c>
      <c r="M145">
        <f>SUMIFS(BASE_MOVEL_TEND!$D:$D,BASE_MOVEL_TEND!$A:$A,$F145,BASE_MOVEL_TEND!$B:$B,$E145,BASE_MOVEL_TEND!$C:$C,$A145)</f>
        <v>285.26331292363426</v>
      </c>
    </row>
    <row r="146" spans="1:13" x14ac:dyDescent="0.3">
      <c r="A146" t="s">
        <v>340</v>
      </c>
      <c r="B146" s="1">
        <v>46054</v>
      </c>
      <c r="C146" t="str">
        <f t="shared" si="10"/>
        <v>02</v>
      </c>
      <c r="D146">
        <f t="shared" si="11"/>
        <v>2026</v>
      </c>
      <c r="E146" t="s">
        <v>164</v>
      </c>
      <c r="F146" t="s">
        <v>648</v>
      </c>
      <c r="G146" t="s">
        <v>647</v>
      </c>
      <c r="H146">
        <v>0</v>
      </c>
      <c r="I146">
        <v>0</v>
      </c>
      <c r="J146" s="1">
        <f t="shared" si="12"/>
        <v>46054</v>
      </c>
      <c r="K146" t="str">
        <f t="shared" si="13"/>
        <v>fev/26</v>
      </c>
      <c r="L146" t="str">
        <f t="shared" si="14"/>
        <v>dom</v>
      </c>
      <c r="M146">
        <f>SUMIFS(BASE_MOVEL_TEND!$D:$D,BASE_MOVEL_TEND!$A:$A,$F146,BASE_MOVEL_TEND!$B:$B,$E146,BASE_MOVEL_TEND!$C:$C,$A146)</f>
        <v>154.06756538961429</v>
      </c>
    </row>
    <row r="147" spans="1:13" x14ac:dyDescent="0.3">
      <c r="A147" t="s">
        <v>381</v>
      </c>
      <c r="B147" s="1">
        <v>46054</v>
      </c>
      <c r="C147" t="str">
        <f t="shared" si="10"/>
        <v>02</v>
      </c>
      <c r="D147">
        <f t="shared" si="11"/>
        <v>2026</v>
      </c>
      <c r="E147" t="s">
        <v>164</v>
      </c>
      <c r="F147" t="s">
        <v>648</v>
      </c>
      <c r="G147" t="s">
        <v>647</v>
      </c>
      <c r="H147">
        <v>0</v>
      </c>
      <c r="I147">
        <v>0</v>
      </c>
      <c r="J147" s="1">
        <f t="shared" si="12"/>
        <v>46054</v>
      </c>
      <c r="K147" t="str">
        <f t="shared" si="13"/>
        <v>fev/26</v>
      </c>
      <c r="L147" t="str">
        <f t="shared" si="14"/>
        <v>dom</v>
      </c>
      <c r="M147">
        <f>SUMIFS(BASE_MOVEL_TEND!$D:$D,BASE_MOVEL_TEND!$A:$A,$F147,BASE_MOVEL_TEND!$B:$B,$E147,BASE_MOVEL_TEND!$C:$C,$A147)</f>
        <v>344.98712732079059</v>
      </c>
    </row>
    <row r="148" spans="1:13" x14ac:dyDescent="0.3">
      <c r="A148" t="s">
        <v>447</v>
      </c>
      <c r="B148" s="1">
        <v>46054</v>
      </c>
      <c r="C148" t="str">
        <f t="shared" si="10"/>
        <v>02</v>
      </c>
      <c r="D148">
        <f t="shared" si="11"/>
        <v>2026</v>
      </c>
      <c r="E148" t="s">
        <v>164</v>
      </c>
      <c r="F148" t="s">
        <v>648</v>
      </c>
      <c r="G148" t="s">
        <v>647</v>
      </c>
      <c r="H148">
        <v>0</v>
      </c>
      <c r="I148">
        <v>0</v>
      </c>
      <c r="J148" s="1">
        <f t="shared" si="12"/>
        <v>46054</v>
      </c>
      <c r="K148" t="str">
        <f t="shared" si="13"/>
        <v>fev/26</v>
      </c>
      <c r="L148" t="str">
        <f t="shared" si="14"/>
        <v>dom</v>
      </c>
      <c r="M148">
        <f>SUMIFS(BASE_MOVEL_TEND!$D:$D,BASE_MOVEL_TEND!$A:$A,$F148,BASE_MOVEL_TEND!$B:$B,$E148,BASE_MOVEL_TEND!$C:$C,$A148)</f>
        <v>245.89135096645316</v>
      </c>
    </row>
    <row r="149" spans="1:13" x14ac:dyDescent="0.3">
      <c r="A149" t="s">
        <v>517</v>
      </c>
      <c r="B149" s="1">
        <v>46054</v>
      </c>
      <c r="C149" t="str">
        <f t="shared" si="10"/>
        <v>02</v>
      </c>
      <c r="D149">
        <f t="shared" si="11"/>
        <v>2026</v>
      </c>
      <c r="E149" t="s">
        <v>164</v>
      </c>
      <c r="F149" t="s">
        <v>648</v>
      </c>
      <c r="G149" t="s">
        <v>647</v>
      </c>
      <c r="H149">
        <v>0</v>
      </c>
      <c r="I149">
        <v>0</v>
      </c>
      <c r="J149" s="1">
        <f t="shared" si="12"/>
        <v>46054</v>
      </c>
      <c r="K149" t="str">
        <f t="shared" si="13"/>
        <v>fev/26</v>
      </c>
      <c r="L149" t="str">
        <f t="shared" si="14"/>
        <v>dom</v>
      </c>
      <c r="M149">
        <f>SUMIFS(BASE_MOVEL_TEND!$D:$D,BASE_MOVEL_TEND!$A:$A,$F149,BASE_MOVEL_TEND!$B:$B,$E149,BASE_MOVEL_TEND!$C:$C,$A149)</f>
        <v>822.82504366689602</v>
      </c>
    </row>
    <row r="150" spans="1:13" x14ac:dyDescent="0.3">
      <c r="A150" t="s">
        <v>574</v>
      </c>
      <c r="B150" s="1">
        <v>46054</v>
      </c>
      <c r="C150" t="str">
        <f t="shared" si="10"/>
        <v>02</v>
      </c>
      <c r="D150">
        <f t="shared" si="11"/>
        <v>2026</v>
      </c>
      <c r="E150" t="s">
        <v>164</v>
      </c>
      <c r="F150" t="s">
        <v>648</v>
      </c>
      <c r="G150" t="s">
        <v>647</v>
      </c>
      <c r="H150">
        <v>0</v>
      </c>
      <c r="I150">
        <v>0</v>
      </c>
      <c r="J150" s="1">
        <f t="shared" si="12"/>
        <v>46054</v>
      </c>
      <c r="K150" t="str">
        <f t="shared" si="13"/>
        <v>fev/26</v>
      </c>
      <c r="L150" t="str">
        <f t="shared" si="14"/>
        <v>dom</v>
      </c>
      <c r="M150">
        <f>SUMIFS(BASE_MOVEL_TEND!$D:$D,BASE_MOVEL_TEND!$A:$A,$F150,BASE_MOVEL_TEND!$B:$B,$E150,BASE_MOVEL_TEND!$C:$C,$A150)</f>
        <v>100.0477440755819</v>
      </c>
    </row>
    <row r="151" spans="1:13" x14ac:dyDescent="0.3">
      <c r="A151" t="s">
        <v>606</v>
      </c>
      <c r="B151" s="1">
        <v>46054</v>
      </c>
      <c r="C151" t="str">
        <f t="shared" ref="C151:C214" si="15">TEXT(B151,"MM")</f>
        <v>02</v>
      </c>
      <c r="D151">
        <f t="shared" ref="D151:D214" si="16">YEAR(B151)</f>
        <v>2026</v>
      </c>
      <c r="E151" t="s">
        <v>164</v>
      </c>
      <c r="F151" t="s">
        <v>648</v>
      </c>
      <c r="G151" t="s">
        <v>647</v>
      </c>
      <c r="H151">
        <v>0</v>
      </c>
      <c r="I151">
        <v>0</v>
      </c>
      <c r="J151" s="1">
        <f t="shared" ref="J151:J214" si="17">B151</f>
        <v>46054</v>
      </c>
      <c r="K151" t="str">
        <f t="shared" ref="K151:K214" si="18">TEXT(J151,"MMM/AA")</f>
        <v>fev/26</v>
      </c>
      <c r="L151" t="str">
        <f t="shared" ref="L151:L214" si="19">TEXT(J151,"DDD")</f>
        <v>dom</v>
      </c>
      <c r="M151">
        <f>SUMIFS(BASE_MOVEL_TEND!$D:$D,BASE_MOVEL_TEND!$A:$A,$F151,BASE_MOVEL_TEND!$B:$B,$E151,BASE_MOVEL_TEND!$C:$C,$A151)</f>
        <v>106.40769796307413</v>
      </c>
    </row>
    <row r="152" spans="1:13" x14ac:dyDescent="0.3">
      <c r="A152" t="s">
        <v>8</v>
      </c>
      <c r="B152" s="1">
        <v>46054</v>
      </c>
      <c r="C152" t="str">
        <f t="shared" si="15"/>
        <v>02</v>
      </c>
      <c r="D152">
        <f t="shared" si="16"/>
        <v>2026</v>
      </c>
      <c r="E152" t="s">
        <v>164</v>
      </c>
      <c r="F152" t="s">
        <v>665</v>
      </c>
      <c r="G152" t="s">
        <v>647</v>
      </c>
      <c r="H152">
        <v>0</v>
      </c>
      <c r="I152">
        <v>0</v>
      </c>
      <c r="J152" s="1">
        <f t="shared" si="17"/>
        <v>46054</v>
      </c>
      <c r="K152" t="str">
        <f t="shared" si="18"/>
        <v>fev/26</v>
      </c>
      <c r="L152" t="str">
        <f t="shared" si="19"/>
        <v>dom</v>
      </c>
      <c r="M152">
        <f>SUMIFS(BASE_MOVEL_TEND!$D:$D,BASE_MOVEL_TEND!$A:$A,$F152,BASE_MOVEL_TEND!$B:$B,$E152,BASE_MOVEL_TEND!$C:$C,$A152)</f>
        <v>321.59114922423169</v>
      </c>
    </row>
    <row r="153" spans="1:13" x14ac:dyDescent="0.3">
      <c r="A153" t="s">
        <v>174</v>
      </c>
      <c r="B153" s="1">
        <v>46054</v>
      </c>
      <c r="C153" t="str">
        <f t="shared" si="15"/>
        <v>02</v>
      </c>
      <c r="D153">
        <f t="shared" si="16"/>
        <v>2026</v>
      </c>
      <c r="E153" t="s">
        <v>164</v>
      </c>
      <c r="F153" t="s">
        <v>665</v>
      </c>
      <c r="G153" t="s">
        <v>647</v>
      </c>
      <c r="H153">
        <v>0</v>
      </c>
      <c r="I153">
        <v>0</v>
      </c>
      <c r="J153" s="1">
        <f t="shared" si="17"/>
        <v>46054</v>
      </c>
      <c r="K153" t="str">
        <f t="shared" si="18"/>
        <v>fev/26</v>
      </c>
      <c r="L153" t="str">
        <f t="shared" si="19"/>
        <v>dom</v>
      </c>
      <c r="M153">
        <f>SUMIFS(BASE_MOVEL_TEND!$D:$D,BASE_MOVEL_TEND!$A:$A,$F153,BASE_MOVEL_TEND!$B:$B,$E153,BASE_MOVEL_TEND!$C:$C,$A153)</f>
        <v>363.28704085983844</v>
      </c>
    </row>
    <row r="154" spans="1:13" x14ac:dyDescent="0.3">
      <c r="A154" t="s">
        <v>243</v>
      </c>
      <c r="B154" s="1">
        <v>46054</v>
      </c>
      <c r="C154" t="str">
        <f t="shared" si="15"/>
        <v>02</v>
      </c>
      <c r="D154">
        <f t="shared" si="16"/>
        <v>2026</v>
      </c>
      <c r="E154" t="s">
        <v>164</v>
      </c>
      <c r="F154" t="s">
        <v>665</v>
      </c>
      <c r="G154" t="s">
        <v>647</v>
      </c>
      <c r="H154">
        <v>0</v>
      </c>
      <c r="I154">
        <v>0</v>
      </c>
      <c r="J154" s="1">
        <f t="shared" si="17"/>
        <v>46054</v>
      </c>
      <c r="K154" t="str">
        <f t="shared" si="18"/>
        <v>fev/26</v>
      </c>
      <c r="L154" t="str">
        <f t="shared" si="19"/>
        <v>dom</v>
      </c>
      <c r="M154">
        <f>SUMIFS(BASE_MOVEL_TEND!$D:$D,BASE_MOVEL_TEND!$A:$A,$F154,BASE_MOVEL_TEND!$B:$B,$E154,BASE_MOVEL_TEND!$C:$C,$A154)</f>
        <v>191.15943512177986</v>
      </c>
    </row>
    <row r="155" spans="1:13" x14ac:dyDescent="0.3">
      <c r="A155" t="s">
        <v>287</v>
      </c>
      <c r="B155" s="1">
        <v>46054</v>
      </c>
      <c r="C155" t="str">
        <f t="shared" si="15"/>
        <v>02</v>
      </c>
      <c r="D155">
        <f t="shared" si="16"/>
        <v>2026</v>
      </c>
      <c r="E155" t="s">
        <v>164</v>
      </c>
      <c r="F155" t="s">
        <v>665</v>
      </c>
      <c r="G155" t="s">
        <v>647</v>
      </c>
      <c r="H155">
        <v>0</v>
      </c>
      <c r="I155">
        <v>0</v>
      </c>
      <c r="J155" s="1">
        <f t="shared" si="17"/>
        <v>46054</v>
      </c>
      <c r="K155" t="str">
        <f t="shared" si="18"/>
        <v>fev/26</v>
      </c>
      <c r="L155" t="str">
        <f t="shared" si="19"/>
        <v>dom</v>
      </c>
      <c r="M155">
        <f>SUMIFS(BASE_MOVEL_TEND!$D:$D,BASE_MOVEL_TEND!$A:$A,$F155,BASE_MOVEL_TEND!$B:$B,$E155,BASE_MOVEL_TEND!$C:$C,$A155)</f>
        <v>246.39540169021171</v>
      </c>
    </row>
    <row r="156" spans="1:13" x14ac:dyDescent="0.3">
      <c r="A156" t="s">
        <v>340</v>
      </c>
      <c r="B156" s="1">
        <v>46054</v>
      </c>
      <c r="C156" t="str">
        <f t="shared" si="15"/>
        <v>02</v>
      </c>
      <c r="D156">
        <f t="shared" si="16"/>
        <v>2026</v>
      </c>
      <c r="E156" t="s">
        <v>164</v>
      </c>
      <c r="F156" t="s">
        <v>665</v>
      </c>
      <c r="G156" t="s">
        <v>647</v>
      </c>
      <c r="H156">
        <v>0</v>
      </c>
      <c r="I156">
        <v>0</v>
      </c>
      <c r="J156" s="1">
        <f t="shared" si="17"/>
        <v>46054</v>
      </c>
      <c r="K156" t="str">
        <f t="shared" si="18"/>
        <v>fev/26</v>
      </c>
      <c r="L156" t="str">
        <f t="shared" si="19"/>
        <v>dom</v>
      </c>
      <c r="M156">
        <f>SUMIFS(BASE_MOVEL_TEND!$D:$D,BASE_MOVEL_TEND!$A:$A,$F156,BASE_MOVEL_TEND!$B:$B,$E156,BASE_MOVEL_TEND!$C:$C,$A156)</f>
        <v>131.31163340556324</v>
      </c>
    </row>
    <row r="157" spans="1:13" x14ac:dyDescent="0.3">
      <c r="A157" t="s">
        <v>381</v>
      </c>
      <c r="B157" s="1">
        <v>46054</v>
      </c>
      <c r="C157" t="str">
        <f t="shared" si="15"/>
        <v>02</v>
      </c>
      <c r="D157">
        <f t="shared" si="16"/>
        <v>2026</v>
      </c>
      <c r="E157" t="s">
        <v>164</v>
      </c>
      <c r="F157" t="s">
        <v>665</v>
      </c>
      <c r="G157" t="s">
        <v>647</v>
      </c>
      <c r="H157">
        <v>0</v>
      </c>
      <c r="I157">
        <v>0</v>
      </c>
      <c r="J157" s="1">
        <f t="shared" si="17"/>
        <v>46054</v>
      </c>
      <c r="K157" t="str">
        <f t="shared" si="18"/>
        <v>fev/26</v>
      </c>
      <c r="L157" t="str">
        <f t="shared" si="19"/>
        <v>dom</v>
      </c>
      <c r="M157">
        <f>SUMIFS(BASE_MOVEL_TEND!$D:$D,BASE_MOVEL_TEND!$A:$A,$F157,BASE_MOVEL_TEND!$B:$B,$E157,BASE_MOVEL_TEND!$C:$C,$A157)</f>
        <v>289.77127026956464</v>
      </c>
    </row>
    <row r="158" spans="1:13" x14ac:dyDescent="0.3">
      <c r="A158" t="s">
        <v>447</v>
      </c>
      <c r="B158" s="1">
        <v>46054</v>
      </c>
      <c r="C158" t="str">
        <f t="shared" si="15"/>
        <v>02</v>
      </c>
      <c r="D158">
        <f t="shared" si="16"/>
        <v>2026</v>
      </c>
      <c r="E158" t="s">
        <v>164</v>
      </c>
      <c r="F158" t="s">
        <v>665</v>
      </c>
      <c r="G158" t="s">
        <v>647</v>
      </c>
      <c r="H158">
        <v>0</v>
      </c>
      <c r="I158">
        <v>0</v>
      </c>
      <c r="J158" s="1">
        <f t="shared" si="17"/>
        <v>46054</v>
      </c>
      <c r="K158" t="str">
        <f t="shared" si="18"/>
        <v>fev/26</v>
      </c>
      <c r="L158" t="str">
        <f t="shared" si="19"/>
        <v>dom</v>
      </c>
      <c r="M158">
        <f>SUMIFS(BASE_MOVEL_TEND!$D:$D,BASE_MOVEL_TEND!$A:$A,$F158,BASE_MOVEL_TEND!$B:$B,$E158,BASE_MOVEL_TEND!$C:$C,$A158)</f>
        <v>223.85142013521482</v>
      </c>
    </row>
    <row r="159" spans="1:13" x14ac:dyDescent="0.3">
      <c r="A159" t="s">
        <v>517</v>
      </c>
      <c r="B159" s="1">
        <v>46054</v>
      </c>
      <c r="C159" t="str">
        <f t="shared" si="15"/>
        <v>02</v>
      </c>
      <c r="D159">
        <f t="shared" si="16"/>
        <v>2026</v>
      </c>
      <c r="E159" t="s">
        <v>164</v>
      </c>
      <c r="F159" t="s">
        <v>665</v>
      </c>
      <c r="G159" t="s">
        <v>647</v>
      </c>
      <c r="H159">
        <v>0</v>
      </c>
      <c r="I159">
        <v>0</v>
      </c>
      <c r="J159" s="1">
        <f t="shared" si="17"/>
        <v>46054</v>
      </c>
      <c r="K159" t="str">
        <f t="shared" si="18"/>
        <v>fev/26</v>
      </c>
      <c r="L159" t="str">
        <f t="shared" si="19"/>
        <v>dom</v>
      </c>
      <c r="M159">
        <f>SUMIFS(BASE_MOVEL_TEND!$D:$D,BASE_MOVEL_TEND!$A:$A,$F159,BASE_MOVEL_TEND!$B:$B,$E159,BASE_MOVEL_TEND!$C:$C,$A159)</f>
        <v>735.79929451557348</v>
      </c>
    </row>
    <row r="160" spans="1:13" x14ac:dyDescent="0.3">
      <c r="A160" t="s">
        <v>574</v>
      </c>
      <c r="B160" s="1">
        <v>46054</v>
      </c>
      <c r="C160" t="str">
        <f t="shared" si="15"/>
        <v>02</v>
      </c>
      <c r="D160">
        <f t="shared" si="16"/>
        <v>2026</v>
      </c>
      <c r="E160" t="s">
        <v>164</v>
      </c>
      <c r="F160" t="s">
        <v>665</v>
      </c>
      <c r="G160" t="s">
        <v>647</v>
      </c>
      <c r="H160">
        <v>0</v>
      </c>
      <c r="I160">
        <v>0</v>
      </c>
      <c r="J160" s="1">
        <f t="shared" si="17"/>
        <v>46054</v>
      </c>
      <c r="K160" t="str">
        <f t="shared" si="18"/>
        <v>fev/26</v>
      </c>
      <c r="L160" t="str">
        <f t="shared" si="19"/>
        <v>dom</v>
      </c>
      <c r="M160">
        <f>SUMIFS(BASE_MOVEL_TEND!$D:$D,BASE_MOVEL_TEND!$A:$A,$F160,BASE_MOVEL_TEND!$B:$B,$E160,BASE_MOVEL_TEND!$C:$C,$A160)</f>
        <v>89.79976943746118</v>
      </c>
    </row>
    <row r="161" spans="1:13" x14ac:dyDescent="0.3">
      <c r="A161" t="s">
        <v>606</v>
      </c>
      <c r="B161" s="1">
        <v>46054</v>
      </c>
      <c r="C161" t="str">
        <f t="shared" si="15"/>
        <v>02</v>
      </c>
      <c r="D161">
        <f t="shared" si="16"/>
        <v>2026</v>
      </c>
      <c r="E161" t="s">
        <v>164</v>
      </c>
      <c r="F161" t="s">
        <v>665</v>
      </c>
      <c r="G161" t="s">
        <v>647</v>
      </c>
      <c r="H161">
        <v>0</v>
      </c>
      <c r="I161">
        <v>0</v>
      </c>
      <c r="J161" s="1">
        <f t="shared" si="17"/>
        <v>46054</v>
      </c>
      <c r="K161" t="str">
        <f t="shared" si="18"/>
        <v>fev/26</v>
      </c>
      <c r="L161" t="str">
        <f t="shared" si="19"/>
        <v>dom</v>
      </c>
      <c r="M161">
        <f>SUMIFS(BASE_MOVEL_TEND!$D:$D,BASE_MOVEL_TEND!$A:$A,$F161,BASE_MOVEL_TEND!$B:$B,$E161,BASE_MOVEL_TEND!$C:$C,$A161)</f>
        <v>94.579717560889932</v>
      </c>
    </row>
    <row r="162" spans="1:13" x14ac:dyDescent="0.3">
      <c r="A162" t="s">
        <v>8</v>
      </c>
      <c r="B162" s="1">
        <v>46054</v>
      </c>
      <c r="C162" t="str">
        <f t="shared" si="15"/>
        <v>02</v>
      </c>
      <c r="D162">
        <f t="shared" si="16"/>
        <v>2026</v>
      </c>
      <c r="E162" t="s">
        <v>644</v>
      </c>
      <c r="F162" t="s">
        <v>648</v>
      </c>
      <c r="G162" t="s">
        <v>647</v>
      </c>
      <c r="H162">
        <v>0</v>
      </c>
      <c r="I162">
        <v>0</v>
      </c>
      <c r="J162" s="1">
        <f t="shared" si="17"/>
        <v>46054</v>
      </c>
      <c r="K162" t="str">
        <f t="shared" si="18"/>
        <v>fev/26</v>
      </c>
      <c r="L162" t="str">
        <f t="shared" si="19"/>
        <v>dom</v>
      </c>
      <c r="M162">
        <f>SUMIFS(BASE_MOVEL_TEND!$D:$D,BASE_MOVEL_TEND!$A:$A,$F162,BASE_MOVEL_TEND!$B:$B,$E162,BASE_MOVEL_TEND!$C:$C,$A162)</f>
        <v>63.067853592787841</v>
      </c>
    </row>
    <row r="163" spans="1:13" x14ac:dyDescent="0.3">
      <c r="A163" t="s">
        <v>174</v>
      </c>
      <c r="B163" s="1">
        <v>46054</v>
      </c>
      <c r="C163" t="str">
        <f t="shared" si="15"/>
        <v>02</v>
      </c>
      <c r="D163">
        <f t="shared" si="16"/>
        <v>2026</v>
      </c>
      <c r="E163" t="s">
        <v>644</v>
      </c>
      <c r="F163" t="s">
        <v>648</v>
      </c>
      <c r="G163" t="s">
        <v>647</v>
      </c>
      <c r="H163">
        <v>0</v>
      </c>
      <c r="I163">
        <v>0</v>
      </c>
      <c r="J163" s="1">
        <f t="shared" si="17"/>
        <v>46054</v>
      </c>
      <c r="K163" t="str">
        <f t="shared" si="18"/>
        <v>fev/26</v>
      </c>
      <c r="L163" t="str">
        <f t="shared" si="19"/>
        <v>dom</v>
      </c>
      <c r="M163">
        <f>SUMIFS(BASE_MOVEL_TEND!$D:$D,BASE_MOVEL_TEND!$A:$A,$F163,BASE_MOVEL_TEND!$B:$B,$E163,BASE_MOVEL_TEND!$C:$C,$A163)</f>
        <v>68.711806327467372</v>
      </c>
    </row>
    <row r="164" spans="1:13" x14ac:dyDescent="0.3">
      <c r="A164" t="s">
        <v>243</v>
      </c>
      <c r="B164" s="1">
        <v>46054</v>
      </c>
      <c r="C164" t="str">
        <f t="shared" si="15"/>
        <v>02</v>
      </c>
      <c r="D164">
        <f t="shared" si="16"/>
        <v>2026</v>
      </c>
      <c r="E164" t="s">
        <v>644</v>
      </c>
      <c r="F164" t="s">
        <v>648</v>
      </c>
      <c r="G164" t="s">
        <v>647</v>
      </c>
      <c r="H164">
        <v>0</v>
      </c>
      <c r="I164">
        <v>0</v>
      </c>
      <c r="J164" s="1">
        <f t="shared" si="17"/>
        <v>46054</v>
      </c>
      <c r="K164" t="str">
        <f t="shared" si="18"/>
        <v>fev/26</v>
      </c>
      <c r="L164" t="str">
        <f t="shared" si="19"/>
        <v>dom</v>
      </c>
      <c r="M164">
        <f>SUMIFS(BASE_MOVEL_TEND!$D:$D,BASE_MOVEL_TEND!$A:$A,$F164,BASE_MOVEL_TEND!$B:$B,$E164,BASE_MOVEL_TEND!$C:$C,$A164)</f>
        <v>31.719907774984467</v>
      </c>
    </row>
    <row r="165" spans="1:13" x14ac:dyDescent="0.3">
      <c r="A165" t="s">
        <v>287</v>
      </c>
      <c r="B165" s="1">
        <v>46054</v>
      </c>
      <c r="C165" t="str">
        <f t="shared" si="15"/>
        <v>02</v>
      </c>
      <c r="D165">
        <f t="shared" si="16"/>
        <v>2026</v>
      </c>
      <c r="E165" t="s">
        <v>644</v>
      </c>
      <c r="F165" t="s">
        <v>648</v>
      </c>
      <c r="G165" t="s">
        <v>647</v>
      </c>
      <c r="H165">
        <v>0</v>
      </c>
      <c r="I165">
        <v>0</v>
      </c>
      <c r="J165" s="1">
        <f t="shared" si="17"/>
        <v>46054</v>
      </c>
      <c r="K165" t="str">
        <f t="shared" si="18"/>
        <v>fev/26</v>
      </c>
      <c r="L165" t="str">
        <f t="shared" si="19"/>
        <v>dom</v>
      </c>
      <c r="M165">
        <f>SUMIFS(BASE_MOVEL_TEND!$D:$D,BASE_MOVEL_TEND!$A:$A,$F165,BASE_MOVEL_TEND!$B:$B,$E165,BASE_MOVEL_TEND!$C:$C,$A165)</f>
        <v>71.871817855594315</v>
      </c>
    </row>
    <row r="166" spans="1:13" x14ac:dyDescent="0.3">
      <c r="A166" t="s">
        <v>340</v>
      </c>
      <c r="B166" s="1">
        <v>46054</v>
      </c>
      <c r="C166" t="str">
        <f t="shared" si="15"/>
        <v>02</v>
      </c>
      <c r="D166">
        <f t="shared" si="16"/>
        <v>2026</v>
      </c>
      <c r="E166" t="s">
        <v>644</v>
      </c>
      <c r="F166" t="s">
        <v>648</v>
      </c>
      <c r="G166" t="s">
        <v>647</v>
      </c>
      <c r="H166">
        <v>0</v>
      </c>
      <c r="I166">
        <v>0</v>
      </c>
      <c r="J166" s="1">
        <f t="shared" si="17"/>
        <v>46054</v>
      </c>
      <c r="K166" t="str">
        <f t="shared" si="18"/>
        <v>fev/26</v>
      </c>
      <c r="L166" t="str">
        <f t="shared" si="19"/>
        <v>dom</v>
      </c>
      <c r="M166">
        <f>SUMIFS(BASE_MOVEL_TEND!$D:$D,BASE_MOVEL_TEND!$A:$A,$F166,BASE_MOVEL_TEND!$B:$B,$E166,BASE_MOVEL_TEND!$C:$C,$A166)</f>
        <v>38.879919303111407</v>
      </c>
    </row>
    <row r="167" spans="1:13" x14ac:dyDescent="0.3">
      <c r="A167" t="s">
        <v>381</v>
      </c>
      <c r="B167" s="1">
        <v>46054</v>
      </c>
      <c r="C167" t="str">
        <f t="shared" si="15"/>
        <v>02</v>
      </c>
      <c r="D167">
        <f t="shared" si="16"/>
        <v>2026</v>
      </c>
      <c r="E167" t="s">
        <v>644</v>
      </c>
      <c r="F167" t="s">
        <v>648</v>
      </c>
      <c r="G167" t="s">
        <v>647</v>
      </c>
      <c r="H167">
        <v>0</v>
      </c>
      <c r="I167">
        <v>0</v>
      </c>
      <c r="J167" s="1">
        <f t="shared" si="17"/>
        <v>46054</v>
      </c>
      <c r="K167" t="str">
        <f t="shared" si="18"/>
        <v>fev/26</v>
      </c>
      <c r="L167" t="str">
        <f t="shared" si="19"/>
        <v>dom</v>
      </c>
      <c r="M167">
        <f>SUMIFS(BASE_MOVEL_TEND!$D:$D,BASE_MOVEL_TEND!$A:$A,$F167,BASE_MOVEL_TEND!$B:$B,$E167,BASE_MOVEL_TEND!$C:$C,$A167)</f>
        <v>64.647859356851313</v>
      </c>
    </row>
    <row r="168" spans="1:13" x14ac:dyDescent="0.3">
      <c r="A168" t="s">
        <v>447</v>
      </c>
      <c r="B168" s="1">
        <v>46054</v>
      </c>
      <c r="C168" t="str">
        <f t="shared" si="15"/>
        <v>02</v>
      </c>
      <c r="D168">
        <f t="shared" si="16"/>
        <v>2026</v>
      </c>
      <c r="E168" t="s">
        <v>644</v>
      </c>
      <c r="F168" t="s">
        <v>648</v>
      </c>
      <c r="G168" t="s">
        <v>647</v>
      </c>
      <c r="H168">
        <v>0</v>
      </c>
      <c r="I168">
        <v>0</v>
      </c>
      <c r="J168" s="1">
        <f t="shared" si="17"/>
        <v>46054</v>
      </c>
      <c r="K168" t="str">
        <f t="shared" si="18"/>
        <v>fev/26</v>
      </c>
      <c r="L168" t="str">
        <f t="shared" si="19"/>
        <v>dom</v>
      </c>
      <c r="M168">
        <f>SUMIFS(BASE_MOVEL_TEND!$D:$D,BASE_MOVEL_TEND!$A:$A,$F168,BASE_MOVEL_TEND!$B:$B,$E168,BASE_MOVEL_TEND!$C:$C,$A168)</f>
        <v>30.335937748114517</v>
      </c>
    </row>
    <row r="169" spans="1:13" x14ac:dyDescent="0.3">
      <c r="A169" t="s">
        <v>517</v>
      </c>
      <c r="B169" s="1">
        <v>46054</v>
      </c>
      <c r="C169" t="str">
        <f t="shared" si="15"/>
        <v>02</v>
      </c>
      <c r="D169">
        <f t="shared" si="16"/>
        <v>2026</v>
      </c>
      <c r="E169" t="s">
        <v>644</v>
      </c>
      <c r="F169" t="s">
        <v>648</v>
      </c>
      <c r="G169" t="s">
        <v>647</v>
      </c>
      <c r="H169">
        <v>0</v>
      </c>
      <c r="I169">
        <v>0</v>
      </c>
      <c r="J169" s="1">
        <f t="shared" si="17"/>
        <v>46054</v>
      </c>
      <c r="K169" t="str">
        <f t="shared" si="18"/>
        <v>fev/26</v>
      </c>
      <c r="L169" t="str">
        <f t="shared" si="19"/>
        <v>dom</v>
      </c>
      <c r="M169">
        <f>SUMIFS(BASE_MOVEL_TEND!$D:$D,BASE_MOVEL_TEND!$A:$A,$F169,BASE_MOVEL_TEND!$B:$B,$E169,BASE_MOVEL_TEND!$C:$C,$A169)</f>
        <v>151.48375717993122</v>
      </c>
    </row>
    <row r="170" spans="1:13" x14ac:dyDescent="0.3">
      <c r="A170" t="s">
        <v>574</v>
      </c>
      <c r="B170" s="1">
        <v>46054</v>
      </c>
      <c r="C170" t="str">
        <f t="shared" si="15"/>
        <v>02</v>
      </c>
      <c r="D170">
        <f t="shared" si="16"/>
        <v>2026</v>
      </c>
      <c r="E170" t="s">
        <v>644</v>
      </c>
      <c r="F170" t="s">
        <v>648</v>
      </c>
      <c r="G170" t="s">
        <v>647</v>
      </c>
      <c r="H170">
        <v>0</v>
      </c>
      <c r="I170">
        <v>0</v>
      </c>
      <c r="J170" s="1">
        <f t="shared" si="17"/>
        <v>46054</v>
      </c>
      <c r="K170" t="str">
        <f t="shared" si="18"/>
        <v>fev/26</v>
      </c>
      <c r="L170" t="str">
        <f t="shared" si="19"/>
        <v>dom</v>
      </c>
      <c r="M170">
        <f>SUMIFS(BASE_MOVEL_TEND!$D:$D,BASE_MOVEL_TEND!$A:$A,$F170,BASE_MOVEL_TEND!$B:$B,$E170,BASE_MOVEL_TEND!$C:$C,$A170)</f>
        <v>19.495949276241454</v>
      </c>
    </row>
    <row r="171" spans="1:13" x14ac:dyDescent="0.3">
      <c r="A171" t="s">
        <v>606</v>
      </c>
      <c r="B171" s="1">
        <v>46054</v>
      </c>
      <c r="C171" t="str">
        <f t="shared" si="15"/>
        <v>02</v>
      </c>
      <c r="D171">
        <f t="shared" si="16"/>
        <v>2026</v>
      </c>
      <c r="E171" t="s">
        <v>644</v>
      </c>
      <c r="F171" t="s">
        <v>648</v>
      </c>
      <c r="G171" t="s">
        <v>647</v>
      </c>
      <c r="H171">
        <v>0</v>
      </c>
      <c r="I171">
        <v>0</v>
      </c>
      <c r="J171" s="1">
        <f t="shared" si="17"/>
        <v>46054</v>
      </c>
      <c r="K171" t="str">
        <f t="shared" si="18"/>
        <v>fev/26</v>
      </c>
      <c r="L171" t="str">
        <f t="shared" si="19"/>
        <v>dom</v>
      </c>
      <c r="M171">
        <f>SUMIFS(BASE_MOVEL_TEND!$D:$D,BASE_MOVEL_TEND!$A:$A,$F171,BASE_MOVEL_TEND!$B:$B,$E171,BASE_MOVEL_TEND!$C:$C,$A171)</f>
        <v>23.223958498743009</v>
      </c>
    </row>
    <row r="172" spans="1:13" x14ac:dyDescent="0.3">
      <c r="A172" t="s">
        <v>8</v>
      </c>
      <c r="B172" s="1">
        <v>46054</v>
      </c>
      <c r="C172" t="str">
        <f t="shared" si="15"/>
        <v>02</v>
      </c>
      <c r="D172">
        <f t="shared" si="16"/>
        <v>2026</v>
      </c>
      <c r="E172" t="s">
        <v>644</v>
      </c>
      <c r="F172" t="s">
        <v>665</v>
      </c>
      <c r="G172" t="s">
        <v>647</v>
      </c>
      <c r="H172">
        <v>0</v>
      </c>
      <c r="I172">
        <v>0</v>
      </c>
      <c r="J172" s="1">
        <f t="shared" si="17"/>
        <v>46054</v>
      </c>
      <c r="K172" t="str">
        <f t="shared" si="18"/>
        <v>fev/26</v>
      </c>
      <c r="L172" t="str">
        <f t="shared" si="19"/>
        <v>dom</v>
      </c>
      <c r="M172">
        <f>SUMIFS(BASE_MOVEL_TEND!$D:$D,BASE_MOVEL_TEND!$A:$A,$F172,BASE_MOVEL_TEND!$B:$B,$E172,BASE_MOVEL_TEND!$C:$C,$A172)</f>
        <v>61.647859356851313</v>
      </c>
    </row>
    <row r="173" spans="1:13" x14ac:dyDescent="0.3">
      <c r="A173" t="s">
        <v>174</v>
      </c>
      <c r="B173" s="1">
        <v>46054</v>
      </c>
      <c r="C173" t="str">
        <f t="shared" si="15"/>
        <v>02</v>
      </c>
      <c r="D173">
        <f t="shared" si="16"/>
        <v>2026</v>
      </c>
      <c r="E173" t="s">
        <v>644</v>
      </c>
      <c r="F173" t="s">
        <v>665</v>
      </c>
      <c r="G173" t="s">
        <v>647</v>
      </c>
      <c r="H173">
        <v>0</v>
      </c>
      <c r="I173">
        <v>0</v>
      </c>
      <c r="J173" s="1">
        <f t="shared" si="17"/>
        <v>46054</v>
      </c>
      <c r="K173" t="str">
        <f t="shared" si="18"/>
        <v>fev/26</v>
      </c>
      <c r="L173" t="str">
        <f t="shared" si="19"/>
        <v>dom</v>
      </c>
      <c r="M173">
        <f>SUMIFS(BASE_MOVEL_TEND!$D:$D,BASE_MOVEL_TEND!$A:$A,$F173,BASE_MOVEL_TEND!$B:$B,$E173,BASE_MOVEL_TEND!$C:$C,$A173)</f>
        <v>61.599827078095871</v>
      </c>
    </row>
    <row r="174" spans="1:13" x14ac:dyDescent="0.3">
      <c r="A174" t="s">
        <v>243</v>
      </c>
      <c r="B174" s="1">
        <v>46054</v>
      </c>
      <c r="C174" t="str">
        <f t="shared" si="15"/>
        <v>02</v>
      </c>
      <c r="D174">
        <f t="shared" si="16"/>
        <v>2026</v>
      </c>
      <c r="E174" t="s">
        <v>644</v>
      </c>
      <c r="F174" t="s">
        <v>665</v>
      </c>
      <c r="G174" t="s">
        <v>647</v>
      </c>
      <c r="H174">
        <v>0</v>
      </c>
      <c r="I174">
        <v>0</v>
      </c>
      <c r="J174" s="1">
        <f t="shared" si="17"/>
        <v>46054</v>
      </c>
      <c r="K174" t="str">
        <f t="shared" si="18"/>
        <v>fev/26</v>
      </c>
      <c r="L174" t="str">
        <f t="shared" si="19"/>
        <v>dom</v>
      </c>
      <c r="M174">
        <f>SUMIFS(BASE_MOVEL_TEND!$D:$D,BASE_MOVEL_TEND!$A:$A,$F174,BASE_MOVEL_TEND!$B:$B,$E174,BASE_MOVEL_TEND!$C:$C,$A174)</f>
        <v>30.015914691860633</v>
      </c>
    </row>
    <row r="175" spans="1:13" x14ac:dyDescent="0.3">
      <c r="A175" t="s">
        <v>287</v>
      </c>
      <c r="B175" s="1">
        <v>46054</v>
      </c>
      <c r="C175" t="str">
        <f t="shared" si="15"/>
        <v>02</v>
      </c>
      <c r="D175">
        <f t="shared" si="16"/>
        <v>2026</v>
      </c>
      <c r="E175" t="s">
        <v>644</v>
      </c>
      <c r="F175" t="s">
        <v>665</v>
      </c>
      <c r="G175" t="s">
        <v>647</v>
      </c>
      <c r="H175">
        <v>0</v>
      </c>
      <c r="I175">
        <v>0</v>
      </c>
      <c r="J175" s="1">
        <f t="shared" si="17"/>
        <v>46054</v>
      </c>
      <c r="K175" t="str">
        <f t="shared" si="18"/>
        <v>fev/26</v>
      </c>
      <c r="L175" t="str">
        <f t="shared" si="19"/>
        <v>dom</v>
      </c>
      <c r="M175">
        <f>SUMIFS(BASE_MOVEL_TEND!$D:$D,BASE_MOVEL_TEND!$A:$A,$F175,BASE_MOVEL_TEND!$B:$B,$E175,BASE_MOVEL_TEND!$C:$C,$A175)</f>
        <v>66.315828230908565</v>
      </c>
    </row>
    <row r="176" spans="1:13" x14ac:dyDescent="0.3">
      <c r="A176" t="s">
        <v>340</v>
      </c>
      <c r="B176" s="1">
        <v>46054</v>
      </c>
      <c r="C176" t="str">
        <f t="shared" si="15"/>
        <v>02</v>
      </c>
      <c r="D176">
        <f t="shared" si="16"/>
        <v>2026</v>
      </c>
      <c r="E176" t="s">
        <v>644</v>
      </c>
      <c r="F176" t="s">
        <v>665</v>
      </c>
      <c r="G176" t="s">
        <v>647</v>
      </c>
      <c r="H176">
        <v>0</v>
      </c>
      <c r="I176">
        <v>0</v>
      </c>
      <c r="J176" s="1">
        <f t="shared" si="17"/>
        <v>46054</v>
      </c>
      <c r="K176" t="str">
        <f t="shared" si="18"/>
        <v>fev/26</v>
      </c>
      <c r="L176" t="str">
        <f t="shared" si="19"/>
        <v>dom</v>
      </c>
      <c r="M176">
        <f>SUMIFS(BASE_MOVEL_TEND!$D:$D,BASE_MOVEL_TEND!$A:$A,$F176,BASE_MOVEL_TEND!$B:$B,$E176,BASE_MOVEL_TEND!$C:$C,$A176)</f>
        <v>36.175926219987574</v>
      </c>
    </row>
    <row r="177" spans="1:13" x14ac:dyDescent="0.3">
      <c r="A177" t="s">
        <v>381</v>
      </c>
      <c r="B177" s="1">
        <v>46054</v>
      </c>
      <c r="C177" t="str">
        <f t="shared" si="15"/>
        <v>02</v>
      </c>
      <c r="D177">
        <f t="shared" si="16"/>
        <v>2026</v>
      </c>
      <c r="E177" t="s">
        <v>644</v>
      </c>
      <c r="F177" t="s">
        <v>665</v>
      </c>
      <c r="G177" t="s">
        <v>647</v>
      </c>
      <c r="H177">
        <v>0</v>
      </c>
      <c r="I177">
        <v>0</v>
      </c>
      <c r="J177" s="1">
        <f t="shared" si="17"/>
        <v>46054</v>
      </c>
      <c r="K177" t="str">
        <f t="shared" si="18"/>
        <v>fev/26</v>
      </c>
      <c r="L177" t="str">
        <f t="shared" si="19"/>
        <v>dom</v>
      </c>
      <c r="M177">
        <f>SUMIFS(BASE_MOVEL_TEND!$D:$D,BASE_MOVEL_TEND!$A:$A,$F177,BASE_MOVEL_TEND!$B:$B,$E177,BASE_MOVEL_TEND!$C:$C,$A177)</f>
        <v>53.671875496229035</v>
      </c>
    </row>
    <row r="178" spans="1:13" x14ac:dyDescent="0.3">
      <c r="A178" t="s">
        <v>447</v>
      </c>
      <c r="B178" s="1">
        <v>46054</v>
      </c>
      <c r="C178" t="str">
        <f t="shared" si="15"/>
        <v>02</v>
      </c>
      <c r="D178">
        <f t="shared" si="16"/>
        <v>2026</v>
      </c>
      <c r="E178" t="s">
        <v>644</v>
      </c>
      <c r="F178" t="s">
        <v>665</v>
      </c>
      <c r="G178" t="s">
        <v>647</v>
      </c>
      <c r="H178">
        <v>0</v>
      </c>
      <c r="I178">
        <v>0</v>
      </c>
      <c r="J178" s="1">
        <f t="shared" si="17"/>
        <v>46054</v>
      </c>
      <c r="K178" t="str">
        <f t="shared" si="18"/>
        <v>fev/26</v>
      </c>
      <c r="L178" t="str">
        <f t="shared" si="19"/>
        <v>dom</v>
      </c>
      <c r="M178">
        <f>SUMIFS(BASE_MOVEL_TEND!$D:$D,BASE_MOVEL_TEND!$A:$A,$F178,BASE_MOVEL_TEND!$B:$B,$E178,BASE_MOVEL_TEND!$C:$C,$A178)</f>
        <v>29.483941206552601</v>
      </c>
    </row>
    <row r="179" spans="1:13" x14ac:dyDescent="0.3">
      <c r="A179" t="s">
        <v>517</v>
      </c>
      <c r="B179" s="1">
        <v>46054</v>
      </c>
      <c r="C179" t="str">
        <f t="shared" si="15"/>
        <v>02</v>
      </c>
      <c r="D179">
        <f t="shared" si="16"/>
        <v>2026</v>
      </c>
      <c r="E179" t="s">
        <v>644</v>
      </c>
      <c r="F179" t="s">
        <v>665</v>
      </c>
      <c r="G179" t="s">
        <v>647</v>
      </c>
      <c r="H179">
        <v>0</v>
      </c>
      <c r="I179">
        <v>0</v>
      </c>
      <c r="J179" s="1">
        <f t="shared" si="17"/>
        <v>46054</v>
      </c>
      <c r="K179" t="str">
        <f t="shared" si="18"/>
        <v>fev/26</v>
      </c>
      <c r="L179" t="str">
        <f t="shared" si="19"/>
        <v>dom</v>
      </c>
      <c r="M179">
        <f>SUMIFS(BASE_MOVEL_TEND!$D:$D,BASE_MOVEL_TEND!$A:$A,$F179,BASE_MOVEL_TEND!$B:$B,$E179,BASE_MOVEL_TEND!$C:$C,$A179)</f>
        <v>140.23860483007948</v>
      </c>
    </row>
    <row r="180" spans="1:13" x14ac:dyDescent="0.3">
      <c r="A180" t="s">
        <v>574</v>
      </c>
      <c r="B180" s="1">
        <v>46054</v>
      </c>
      <c r="C180" t="str">
        <f t="shared" si="15"/>
        <v>02</v>
      </c>
      <c r="D180">
        <f t="shared" si="16"/>
        <v>2026</v>
      </c>
      <c r="E180" t="s">
        <v>644</v>
      </c>
      <c r="F180" t="s">
        <v>665</v>
      </c>
      <c r="G180" t="s">
        <v>647</v>
      </c>
      <c r="H180">
        <v>0</v>
      </c>
      <c r="I180">
        <v>0</v>
      </c>
      <c r="J180" s="1">
        <f t="shared" si="17"/>
        <v>46054</v>
      </c>
      <c r="K180" t="str">
        <f t="shared" si="18"/>
        <v>fev/26</v>
      </c>
      <c r="L180" t="str">
        <f t="shared" si="19"/>
        <v>dom</v>
      </c>
      <c r="M180">
        <f>SUMIFS(BASE_MOVEL_TEND!$D:$D,BASE_MOVEL_TEND!$A:$A,$F180,BASE_MOVEL_TEND!$B:$B,$E180,BASE_MOVEL_TEND!$C:$C,$A180)</f>
        <v>18.359953887492232</v>
      </c>
    </row>
    <row r="181" spans="1:13" x14ac:dyDescent="0.3">
      <c r="A181" t="s">
        <v>606</v>
      </c>
      <c r="B181" s="1">
        <v>46054</v>
      </c>
      <c r="C181" t="str">
        <f t="shared" si="15"/>
        <v>02</v>
      </c>
      <c r="D181">
        <f t="shared" si="16"/>
        <v>2026</v>
      </c>
      <c r="E181" t="s">
        <v>644</v>
      </c>
      <c r="F181" t="s">
        <v>665</v>
      </c>
      <c r="G181" t="s">
        <v>647</v>
      </c>
      <c r="H181">
        <v>0</v>
      </c>
      <c r="I181">
        <v>0</v>
      </c>
      <c r="J181" s="1">
        <f t="shared" si="17"/>
        <v>46054</v>
      </c>
      <c r="K181" t="str">
        <f t="shared" si="18"/>
        <v>fev/26</v>
      </c>
      <c r="L181" t="str">
        <f t="shared" si="19"/>
        <v>dom</v>
      </c>
      <c r="M181">
        <f>SUMIFS(BASE_MOVEL_TEND!$D:$D,BASE_MOVEL_TEND!$A:$A,$F181,BASE_MOVEL_TEND!$B:$B,$E181,BASE_MOVEL_TEND!$C:$C,$A181)</f>
        <v>22.939959651555704</v>
      </c>
    </row>
    <row r="182" spans="1:13" x14ac:dyDescent="0.3">
      <c r="A182" t="s">
        <v>8</v>
      </c>
      <c r="B182" s="1">
        <v>46054</v>
      </c>
      <c r="C182" t="str">
        <f t="shared" si="15"/>
        <v>02</v>
      </c>
      <c r="D182">
        <f t="shared" si="16"/>
        <v>2026</v>
      </c>
      <c r="E182" t="s">
        <v>54</v>
      </c>
      <c r="F182" t="s">
        <v>648</v>
      </c>
      <c r="G182" t="s">
        <v>647</v>
      </c>
      <c r="H182">
        <v>0</v>
      </c>
      <c r="I182">
        <v>0</v>
      </c>
      <c r="J182" s="1">
        <f t="shared" si="17"/>
        <v>46054</v>
      </c>
      <c r="K182" t="str">
        <f t="shared" si="18"/>
        <v>fev/26</v>
      </c>
      <c r="L182" t="str">
        <f t="shared" si="19"/>
        <v>dom</v>
      </c>
      <c r="M182">
        <f>SUMIFS(BASE_MOVEL_TEND!$D:$D,BASE_MOVEL_TEND!$A:$A,$F182,BASE_MOVEL_TEND!$B:$B,$E182,BASE_MOVEL_TEND!$C:$C,$A182)</f>
        <v>155.33564954494096</v>
      </c>
    </row>
    <row r="183" spans="1:13" x14ac:dyDescent="0.3">
      <c r="A183" t="s">
        <v>174</v>
      </c>
      <c r="B183" s="1">
        <v>46054</v>
      </c>
      <c r="C183" t="str">
        <f t="shared" si="15"/>
        <v>02</v>
      </c>
      <c r="D183">
        <f t="shared" si="16"/>
        <v>2026</v>
      </c>
      <c r="E183" t="s">
        <v>54</v>
      </c>
      <c r="F183" t="s">
        <v>648</v>
      </c>
      <c r="G183" t="s">
        <v>647</v>
      </c>
      <c r="H183">
        <v>0</v>
      </c>
      <c r="I183">
        <v>0</v>
      </c>
      <c r="J183" s="1">
        <f t="shared" si="17"/>
        <v>46054</v>
      </c>
      <c r="K183" t="str">
        <f t="shared" si="18"/>
        <v>fev/26</v>
      </c>
      <c r="L183" t="str">
        <f t="shared" si="19"/>
        <v>dom</v>
      </c>
      <c r="M183">
        <f>SUMIFS(BASE_MOVEL_TEND!$D:$D,BASE_MOVEL_TEND!$A:$A,$F183,BASE_MOVEL_TEND!$B:$B,$E183,BASE_MOVEL_TEND!$C:$C,$A183)</f>
        <v>136.75564378087751</v>
      </c>
    </row>
    <row r="184" spans="1:13" x14ac:dyDescent="0.3">
      <c r="A184" t="s">
        <v>243</v>
      </c>
      <c r="B184" s="1">
        <v>46054</v>
      </c>
      <c r="C184" t="str">
        <f t="shared" si="15"/>
        <v>02</v>
      </c>
      <c r="D184">
        <f t="shared" si="16"/>
        <v>2026</v>
      </c>
      <c r="E184" t="s">
        <v>54</v>
      </c>
      <c r="F184" t="s">
        <v>648</v>
      </c>
      <c r="G184" t="s">
        <v>647</v>
      </c>
      <c r="H184">
        <v>0</v>
      </c>
      <c r="I184">
        <v>0</v>
      </c>
      <c r="J184" s="1">
        <f t="shared" si="17"/>
        <v>46054</v>
      </c>
      <c r="K184" t="str">
        <f t="shared" si="18"/>
        <v>fev/26</v>
      </c>
      <c r="L184" t="str">
        <f t="shared" si="19"/>
        <v>dom</v>
      </c>
      <c r="M184">
        <f>SUMIFS(BASE_MOVEL_TEND!$D:$D,BASE_MOVEL_TEND!$A:$A,$F184,BASE_MOVEL_TEND!$B:$B,$E184,BASE_MOVEL_TEND!$C:$C,$A184)</f>
        <v>70.155816702781635</v>
      </c>
    </row>
    <row r="185" spans="1:13" x14ac:dyDescent="0.3">
      <c r="A185" t="s">
        <v>287</v>
      </c>
      <c r="B185" s="1">
        <v>46054</v>
      </c>
      <c r="C185" t="str">
        <f t="shared" si="15"/>
        <v>02</v>
      </c>
      <c r="D185">
        <f t="shared" si="16"/>
        <v>2026</v>
      </c>
      <c r="E185" t="s">
        <v>54</v>
      </c>
      <c r="F185" t="s">
        <v>648</v>
      </c>
      <c r="G185" t="s">
        <v>647</v>
      </c>
      <c r="H185">
        <v>0</v>
      </c>
      <c r="I185">
        <v>0</v>
      </c>
      <c r="J185" s="1">
        <f t="shared" si="17"/>
        <v>46054</v>
      </c>
      <c r="K185" t="str">
        <f t="shared" si="18"/>
        <v>fev/26</v>
      </c>
      <c r="L185" t="str">
        <f t="shared" si="19"/>
        <v>dom</v>
      </c>
      <c r="M185">
        <f>SUMIFS(BASE_MOVEL_TEND!$D:$D,BASE_MOVEL_TEND!$A:$A,$F185,BASE_MOVEL_TEND!$B:$B,$E185,BASE_MOVEL_TEND!$C:$C,$A185)</f>
        <v>106.18373946433111</v>
      </c>
    </row>
    <row r="186" spans="1:13" x14ac:dyDescent="0.3">
      <c r="A186" t="s">
        <v>340</v>
      </c>
      <c r="B186" s="1">
        <v>46054</v>
      </c>
      <c r="C186" t="str">
        <f t="shared" si="15"/>
        <v>02</v>
      </c>
      <c r="D186">
        <f t="shared" si="16"/>
        <v>2026</v>
      </c>
      <c r="E186" t="s">
        <v>54</v>
      </c>
      <c r="F186" t="s">
        <v>648</v>
      </c>
      <c r="G186" t="s">
        <v>647</v>
      </c>
      <c r="H186">
        <v>0</v>
      </c>
      <c r="I186">
        <v>0</v>
      </c>
      <c r="J186" s="1">
        <f t="shared" si="17"/>
        <v>46054</v>
      </c>
      <c r="K186" t="str">
        <f t="shared" si="18"/>
        <v>fev/26</v>
      </c>
      <c r="L186" t="str">
        <f t="shared" si="19"/>
        <v>dom</v>
      </c>
      <c r="M186">
        <f>SUMIFS(BASE_MOVEL_TEND!$D:$D,BASE_MOVEL_TEND!$A:$A,$F186,BASE_MOVEL_TEND!$B:$B,$E186,BASE_MOVEL_TEND!$C:$C,$A186)</f>
        <v>57.659867426540174</v>
      </c>
    </row>
    <row r="187" spans="1:13" x14ac:dyDescent="0.3">
      <c r="A187" t="s">
        <v>381</v>
      </c>
      <c r="B187" s="1">
        <v>46054</v>
      </c>
      <c r="C187" t="str">
        <f t="shared" si="15"/>
        <v>02</v>
      </c>
      <c r="D187">
        <f t="shared" si="16"/>
        <v>2026</v>
      </c>
      <c r="E187" t="s">
        <v>54</v>
      </c>
      <c r="F187" t="s">
        <v>648</v>
      </c>
      <c r="G187" t="s">
        <v>647</v>
      </c>
      <c r="H187">
        <v>0</v>
      </c>
      <c r="I187">
        <v>0</v>
      </c>
      <c r="J187" s="1">
        <f t="shared" si="17"/>
        <v>46054</v>
      </c>
      <c r="K187" t="str">
        <f t="shared" si="18"/>
        <v>fev/26</v>
      </c>
      <c r="L187" t="str">
        <f t="shared" si="19"/>
        <v>dom</v>
      </c>
      <c r="M187">
        <f>SUMIFS(BASE_MOVEL_TEND!$D:$D,BASE_MOVEL_TEND!$A:$A,$F187,BASE_MOVEL_TEND!$B:$B,$E187,BASE_MOVEL_TEND!$C:$C,$A187)</f>
        <v>123.69169681026143</v>
      </c>
    </row>
    <row r="188" spans="1:13" x14ac:dyDescent="0.3">
      <c r="A188" t="s">
        <v>447</v>
      </c>
      <c r="B188" s="1">
        <v>46054</v>
      </c>
      <c r="C188" t="str">
        <f t="shared" si="15"/>
        <v>02</v>
      </c>
      <c r="D188">
        <f t="shared" si="16"/>
        <v>2026</v>
      </c>
      <c r="E188" t="s">
        <v>54</v>
      </c>
      <c r="F188" t="s">
        <v>648</v>
      </c>
      <c r="G188" t="s">
        <v>647</v>
      </c>
      <c r="H188">
        <v>0</v>
      </c>
      <c r="I188">
        <v>0</v>
      </c>
      <c r="J188" s="1">
        <f t="shared" si="17"/>
        <v>46054</v>
      </c>
      <c r="K188" t="str">
        <f t="shared" si="18"/>
        <v>fev/26</v>
      </c>
      <c r="L188" t="str">
        <f t="shared" si="19"/>
        <v>dom</v>
      </c>
      <c r="M188">
        <f>SUMIFS(BASE_MOVEL_TEND!$D:$D,BASE_MOVEL_TEND!$A:$A,$F188,BASE_MOVEL_TEND!$B:$B,$E188,BASE_MOVEL_TEND!$C:$C,$A188)</f>
        <v>54.931858204038619</v>
      </c>
    </row>
    <row r="189" spans="1:13" x14ac:dyDescent="0.3">
      <c r="A189" t="s">
        <v>517</v>
      </c>
      <c r="B189" s="1">
        <v>46054</v>
      </c>
      <c r="C189" t="str">
        <f t="shared" si="15"/>
        <v>02</v>
      </c>
      <c r="D189">
        <f t="shared" si="16"/>
        <v>2026</v>
      </c>
      <c r="E189" t="s">
        <v>54</v>
      </c>
      <c r="F189" t="s">
        <v>648</v>
      </c>
      <c r="G189" t="s">
        <v>647</v>
      </c>
      <c r="H189">
        <v>0</v>
      </c>
      <c r="I189">
        <v>0</v>
      </c>
      <c r="J189" s="1">
        <f t="shared" si="17"/>
        <v>46054</v>
      </c>
      <c r="K189" t="str">
        <f t="shared" si="18"/>
        <v>fev/26</v>
      </c>
      <c r="L189" t="str">
        <f t="shared" si="19"/>
        <v>dom</v>
      </c>
      <c r="M189">
        <f>SUMIFS(BASE_MOVEL_TEND!$D:$D,BASE_MOVEL_TEND!$A:$A,$F189,BASE_MOVEL_TEND!$B:$B,$E189,BASE_MOVEL_TEND!$C:$C,$A189)</f>
        <v>372.32869536486771</v>
      </c>
    </row>
    <row r="190" spans="1:13" x14ac:dyDescent="0.3">
      <c r="A190" t="s">
        <v>574</v>
      </c>
      <c r="B190" s="1">
        <v>46054</v>
      </c>
      <c r="C190" t="str">
        <f t="shared" si="15"/>
        <v>02</v>
      </c>
      <c r="D190">
        <f t="shared" si="16"/>
        <v>2026</v>
      </c>
      <c r="E190" t="s">
        <v>54</v>
      </c>
      <c r="F190" t="s">
        <v>648</v>
      </c>
      <c r="G190" t="s">
        <v>647</v>
      </c>
      <c r="H190">
        <v>0</v>
      </c>
      <c r="I190">
        <v>0</v>
      </c>
      <c r="J190" s="1">
        <f t="shared" si="17"/>
        <v>46054</v>
      </c>
      <c r="K190" t="str">
        <f t="shared" si="18"/>
        <v>fev/26</v>
      </c>
      <c r="L190" t="str">
        <f t="shared" si="19"/>
        <v>dom</v>
      </c>
      <c r="M190">
        <f>SUMIFS(BASE_MOVEL_TEND!$D:$D,BASE_MOVEL_TEND!$A:$A,$F190,BASE_MOVEL_TEND!$B:$B,$E190,BASE_MOVEL_TEND!$C:$C,$A190)</f>
        <v>33.695891635606749</v>
      </c>
    </row>
    <row r="191" spans="1:13" x14ac:dyDescent="0.3">
      <c r="A191" t="s">
        <v>606</v>
      </c>
      <c r="B191" s="1">
        <v>46054</v>
      </c>
      <c r="C191" t="str">
        <f t="shared" si="15"/>
        <v>02</v>
      </c>
      <c r="D191">
        <f t="shared" si="16"/>
        <v>2026</v>
      </c>
      <c r="E191" t="s">
        <v>54</v>
      </c>
      <c r="F191" t="s">
        <v>648</v>
      </c>
      <c r="G191" t="s">
        <v>647</v>
      </c>
      <c r="H191">
        <v>0</v>
      </c>
      <c r="I191">
        <v>0</v>
      </c>
      <c r="J191" s="1">
        <f t="shared" si="17"/>
        <v>46054</v>
      </c>
      <c r="K191" t="str">
        <f t="shared" si="18"/>
        <v>fev/26</v>
      </c>
      <c r="L191" t="str">
        <f t="shared" si="19"/>
        <v>dom</v>
      </c>
      <c r="M191">
        <f>SUMIFS(BASE_MOVEL_TEND!$D:$D,BASE_MOVEL_TEND!$A:$A,$F191,BASE_MOVEL_TEND!$B:$B,$E191,BASE_MOVEL_TEND!$C:$C,$A191)</f>
        <v>31.02792276154949</v>
      </c>
    </row>
    <row r="192" spans="1:13" x14ac:dyDescent="0.3">
      <c r="A192" t="s">
        <v>8</v>
      </c>
      <c r="B192" s="1">
        <v>46054</v>
      </c>
      <c r="C192" t="str">
        <f t="shared" si="15"/>
        <v>02</v>
      </c>
      <c r="D192">
        <f t="shared" si="16"/>
        <v>2026</v>
      </c>
      <c r="E192" t="s">
        <v>54</v>
      </c>
      <c r="F192" t="s">
        <v>665</v>
      </c>
      <c r="G192" t="s">
        <v>647</v>
      </c>
      <c r="H192">
        <v>0</v>
      </c>
      <c r="I192">
        <v>0</v>
      </c>
      <c r="J192" s="1">
        <f t="shared" si="17"/>
        <v>46054</v>
      </c>
      <c r="K192" t="str">
        <f t="shared" si="18"/>
        <v>fev/26</v>
      </c>
      <c r="L192" t="str">
        <f t="shared" si="19"/>
        <v>dom</v>
      </c>
      <c r="M192">
        <f>SUMIFS(BASE_MOVEL_TEND!$D:$D,BASE_MOVEL_TEND!$A:$A,$F192,BASE_MOVEL_TEND!$B:$B,$E192,BASE_MOVEL_TEND!$C:$C,$A192)</f>
        <v>146.64366453150598</v>
      </c>
    </row>
    <row r="193" spans="1:13" x14ac:dyDescent="0.3">
      <c r="A193" t="s">
        <v>174</v>
      </c>
      <c r="B193" s="1">
        <v>46054</v>
      </c>
      <c r="C193" t="str">
        <f t="shared" si="15"/>
        <v>02</v>
      </c>
      <c r="D193">
        <f t="shared" si="16"/>
        <v>2026</v>
      </c>
      <c r="E193" t="s">
        <v>54</v>
      </c>
      <c r="F193" t="s">
        <v>665</v>
      </c>
      <c r="G193" t="s">
        <v>647</v>
      </c>
      <c r="H193">
        <v>0</v>
      </c>
      <c r="I193">
        <v>0</v>
      </c>
      <c r="J193" s="1">
        <f t="shared" si="17"/>
        <v>46054</v>
      </c>
      <c r="K193" t="str">
        <f t="shared" si="18"/>
        <v>fev/26</v>
      </c>
      <c r="L193" t="str">
        <f t="shared" si="19"/>
        <v>dom</v>
      </c>
      <c r="M193">
        <f>SUMIFS(BASE_MOVEL_TEND!$D:$D,BASE_MOVEL_TEND!$A:$A,$F193,BASE_MOVEL_TEND!$B:$B,$E193,BASE_MOVEL_TEND!$C:$C,$A193)</f>
        <v>127.92766337869331</v>
      </c>
    </row>
    <row r="194" spans="1:13" x14ac:dyDescent="0.3">
      <c r="A194" t="s">
        <v>243</v>
      </c>
      <c r="B194" s="1">
        <v>46054</v>
      </c>
      <c r="C194" t="str">
        <f t="shared" si="15"/>
        <v>02</v>
      </c>
      <c r="D194">
        <f t="shared" si="16"/>
        <v>2026</v>
      </c>
      <c r="E194" t="s">
        <v>54</v>
      </c>
      <c r="F194" t="s">
        <v>665</v>
      </c>
      <c r="G194" t="s">
        <v>647</v>
      </c>
      <c r="H194">
        <v>0</v>
      </c>
      <c r="I194">
        <v>0</v>
      </c>
      <c r="J194" s="1">
        <f t="shared" si="17"/>
        <v>46054</v>
      </c>
      <c r="K194" t="str">
        <f t="shared" si="18"/>
        <v>fev/26</v>
      </c>
      <c r="L194" t="str">
        <f t="shared" si="19"/>
        <v>dom</v>
      </c>
      <c r="M194">
        <f>SUMIFS(BASE_MOVEL_TEND!$D:$D,BASE_MOVEL_TEND!$A:$A,$F194,BASE_MOVEL_TEND!$B:$B,$E194,BASE_MOVEL_TEND!$C:$C,$A194)</f>
        <v>64.463831689346662</v>
      </c>
    </row>
    <row r="195" spans="1:13" x14ac:dyDescent="0.3">
      <c r="A195" t="s">
        <v>287</v>
      </c>
      <c r="B195" s="1">
        <v>46054</v>
      </c>
      <c r="C195" t="str">
        <f t="shared" si="15"/>
        <v>02</v>
      </c>
      <c r="D195">
        <f t="shared" si="16"/>
        <v>2026</v>
      </c>
      <c r="E195" t="s">
        <v>54</v>
      </c>
      <c r="F195" t="s">
        <v>665</v>
      </c>
      <c r="G195" t="s">
        <v>647</v>
      </c>
      <c r="H195">
        <v>0</v>
      </c>
      <c r="I195">
        <v>0</v>
      </c>
      <c r="J195" s="1">
        <f t="shared" si="17"/>
        <v>46054</v>
      </c>
      <c r="K195" t="str">
        <f t="shared" si="18"/>
        <v>fev/26</v>
      </c>
      <c r="L195" t="str">
        <f t="shared" si="19"/>
        <v>dom</v>
      </c>
      <c r="M195">
        <f>SUMIFS(BASE_MOVEL_TEND!$D:$D,BASE_MOVEL_TEND!$A:$A,$F195,BASE_MOVEL_TEND!$B:$B,$E195,BASE_MOVEL_TEND!$C:$C,$A195)</f>
        <v>100.77575329808344</v>
      </c>
    </row>
    <row r="196" spans="1:13" x14ac:dyDescent="0.3">
      <c r="A196" t="s">
        <v>340</v>
      </c>
      <c r="B196" s="1">
        <v>46054</v>
      </c>
      <c r="C196" t="str">
        <f t="shared" si="15"/>
        <v>02</v>
      </c>
      <c r="D196">
        <f t="shared" si="16"/>
        <v>2026</v>
      </c>
      <c r="E196" t="s">
        <v>54</v>
      </c>
      <c r="F196" t="s">
        <v>665</v>
      </c>
      <c r="G196" t="s">
        <v>647</v>
      </c>
      <c r="H196">
        <v>0</v>
      </c>
      <c r="I196">
        <v>0</v>
      </c>
      <c r="J196" s="1">
        <f t="shared" si="17"/>
        <v>46054</v>
      </c>
      <c r="K196" t="str">
        <f t="shared" si="18"/>
        <v>fev/26</v>
      </c>
      <c r="L196" t="str">
        <f t="shared" si="19"/>
        <v>dom</v>
      </c>
      <c r="M196">
        <f>SUMIFS(BASE_MOVEL_TEND!$D:$D,BASE_MOVEL_TEND!$A:$A,$F196,BASE_MOVEL_TEND!$B:$B,$E196,BASE_MOVEL_TEND!$C:$C,$A196)</f>
        <v>52.39988471873059</v>
      </c>
    </row>
    <row r="197" spans="1:13" x14ac:dyDescent="0.3">
      <c r="A197" t="s">
        <v>381</v>
      </c>
      <c r="B197" s="1">
        <v>46054</v>
      </c>
      <c r="C197" t="str">
        <f t="shared" si="15"/>
        <v>02</v>
      </c>
      <c r="D197">
        <f t="shared" si="16"/>
        <v>2026</v>
      </c>
      <c r="E197" t="s">
        <v>54</v>
      </c>
      <c r="F197" t="s">
        <v>665</v>
      </c>
      <c r="G197" t="s">
        <v>647</v>
      </c>
      <c r="H197">
        <v>0</v>
      </c>
      <c r="I197">
        <v>0</v>
      </c>
      <c r="J197" s="1">
        <f t="shared" si="17"/>
        <v>46054</v>
      </c>
      <c r="K197" t="str">
        <f t="shared" si="18"/>
        <v>fev/26</v>
      </c>
      <c r="L197" t="str">
        <f t="shared" si="19"/>
        <v>dom</v>
      </c>
      <c r="M197">
        <f>SUMIFS(BASE_MOVEL_TEND!$D:$D,BASE_MOVEL_TEND!$A:$A,$F197,BASE_MOVEL_TEND!$B:$B,$E197,BASE_MOVEL_TEND!$C:$C,$A197)</f>
        <v>113.57971756088993</v>
      </c>
    </row>
    <row r="198" spans="1:13" x14ac:dyDescent="0.3">
      <c r="A198" t="s">
        <v>447</v>
      </c>
      <c r="B198" s="1">
        <v>46054</v>
      </c>
      <c r="C198" t="str">
        <f t="shared" si="15"/>
        <v>02</v>
      </c>
      <c r="D198">
        <f t="shared" si="16"/>
        <v>2026</v>
      </c>
      <c r="E198" t="s">
        <v>54</v>
      </c>
      <c r="F198" t="s">
        <v>665</v>
      </c>
      <c r="G198" t="s">
        <v>647</v>
      </c>
      <c r="H198">
        <v>0</v>
      </c>
      <c r="I198">
        <v>0</v>
      </c>
      <c r="J198" s="1">
        <f t="shared" si="17"/>
        <v>46054</v>
      </c>
      <c r="K198" t="str">
        <f t="shared" si="18"/>
        <v>fev/26</v>
      </c>
      <c r="L198" t="str">
        <f t="shared" si="19"/>
        <v>dom</v>
      </c>
      <c r="M198">
        <f>SUMIFS(BASE_MOVEL_TEND!$D:$D,BASE_MOVEL_TEND!$A:$A,$F198,BASE_MOVEL_TEND!$B:$B,$E198,BASE_MOVEL_TEND!$C:$C,$A198)</f>
        <v>52.227865120914785</v>
      </c>
    </row>
    <row r="199" spans="1:13" x14ac:dyDescent="0.3">
      <c r="A199" t="s">
        <v>517</v>
      </c>
      <c r="B199" s="1">
        <v>46054</v>
      </c>
      <c r="C199" t="str">
        <f t="shared" si="15"/>
        <v>02</v>
      </c>
      <c r="D199">
        <f t="shared" si="16"/>
        <v>2026</v>
      </c>
      <c r="E199" t="s">
        <v>54</v>
      </c>
      <c r="F199" t="s">
        <v>665</v>
      </c>
      <c r="G199" t="s">
        <v>647</v>
      </c>
      <c r="H199">
        <v>0</v>
      </c>
      <c r="I199">
        <v>0</v>
      </c>
      <c r="J199" s="1">
        <f t="shared" si="17"/>
        <v>46054</v>
      </c>
      <c r="K199" t="str">
        <f t="shared" si="18"/>
        <v>fev/26</v>
      </c>
      <c r="L199" t="str">
        <f t="shared" si="19"/>
        <v>dom</v>
      </c>
      <c r="M199">
        <f>SUMIFS(BASE_MOVEL_TEND!$D:$D,BASE_MOVEL_TEND!$A:$A,$F199,BASE_MOVEL_TEND!$B:$B,$E199,BASE_MOVEL_TEND!$C:$C,$A199)</f>
        <v>339.16097943802629</v>
      </c>
    </row>
    <row r="200" spans="1:13" x14ac:dyDescent="0.3">
      <c r="A200" t="s">
        <v>574</v>
      </c>
      <c r="B200" s="1">
        <v>46054</v>
      </c>
      <c r="C200" t="str">
        <f t="shared" si="15"/>
        <v>02</v>
      </c>
      <c r="D200">
        <f t="shared" si="16"/>
        <v>2026</v>
      </c>
      <c r="E200" t="s">
        <v>54</v>
      </c>
      <c r="F200" t="s">
        <v>665</v>
      </c>
      <c r="G200" t="s">
        <v>647</v>
      </c>
      <c r="H200">
        <v>0</v>
      </c>
      <c r="I200">
        <v>0</v>
      </c>
      <c r="J200" s="1">
        <f t="shared" si="17"/>
        <v>46054</v>
      </c>
      <c r="K200" t="str">
        <f t="shared" si="18"/>
        <v>fev/26</v>
      </c>
      <c r="L200" t="str">
        <f t="shared" si="19"/>
        <v>dom</v>
      </c>
      <c r="M200">
        <f>SUMIFS(BASE_MOVEL_TEND!$D:$D,BASE_MOVEL_TEND!$A:$A,$F200,BASE_MOVEL_TEND!$B:$B,$E200,BASE_MOVEL_TEND!$C:$C,$A200)</f>
        <v>29.435908927797161</v>
      </c>
    </row>
    <row r="201" spans="1:13" x14ac:dyDescent="0.3">
      <c r="A201" t="s">
        <v>606</v>
      </c>
      <c r="B201" s="1">
        <v>46054</v>
      </c>
      <c r="C201" t="str">
        <f t="shared" si="15"/>
        <v>02</v>
      </c>
      <c r="D201">
        <f t="shared" si="16"/>
        <v>2026</v>
      </c>
      <c r="E201" t="s">
        <v>54</v>
      </c>
      <c r="F201" t="s">
        <v>665</v>
      </c>
      <c r="G201" t="s">
        <v>647</v>
      </c>
      <c r="H201">
        <v>0</v>
      </c>
      <c r="I201">
        <v>0</v>
      </c>
      <c r="J201" s="1">
        <f t="shared" si="17"/>
        <v>46054</v>
      </c>
      <c r="K201" t="str">
        <f t="shared" si="18"/>
        <v>fev/26</v>
      </c>
      <c r="L201" t="str">
        <f t="shared" si="19"/>
        <v>dom</v>
      </c>
      <c r="M201">
        <f>SUMIFS(BASE_MOVEL_TEND!$D:$D,BASE_MOVEL_TEND!$A:$A,$F201,BASE_MOVEL_TEND!$B:$B,$E201,BASE_MOVEL_TEND!$C:$C,$A201)</f>
        <v>29.743923914362185</v>
      </c>
    </row>
    <row r="202" spans="1:13" x14ac:dyDescent="0.3">
      <c r="A202" t="s">
        <v>8</v>
      </c>
      <c r="B202" s="1">
        <v>46054</v>
      </c>
      <c r="C202" t="str">
        <f t="shared" si="15"/>
        <v>02</v>
      </c>
      <c r="D202">
        <f t="shared" si="16"/>
        <v>2026</v>
      </c>
      <c r="E202" t="s">
        <v>49</v>
      </c>
      <c r="F202" t="s">
        <v>648</v>
      </c>
      <c r="G202" t="s">
        <v>647</v>
      </c>
      <c r="H202">
        <v>0</v>
      </c>
      <c r="I202">
        <v>0</v>
      </c>
      <c r="J202" s="1">
        <f t="shared" si="17"/>
        <v>46054</v>
      </c>
      <c r="K202" t="str">
        <f t="shared" si="18"/>
        <v>fev/26</v>
      </c>
      <c r="L202" t="str">
        <f t="shared" si="19"/>
        <v>dom</v>
      </c>
      <c r="M202">
        <f>SUMIFS(BASE_MOVEL_TEND!$D:$D,BASE_MOVEL_TEND!$A:$A,$F202,BASE_MOVEL_TEND!$B:$B,$E202,BASE_MOVEL_TEND!$C:$C,$A202)</f>
        <v>0</v>
      </c>
    </row>
    <row r="203" spans="1:13" x14ac:dyDescent="0.3">
      <c r="A203" t="s">
        <v>174</v>
      </c>
      <c r="B203" s="1">
        <v>46054</v>
      </c>
      <c r="C203" t="str">
        <f t="shared" si="15"/>
        <v>02</v>
      </c>
      <c r="D203">
        <f t="shared" si="16"/>
        <v>2026</v>
      </c>
      <c r="E203" t="s">
        <v>49</v>
      </c>
      <c r="F203" t="s">
        <v>648</v>
      </c>
      <c r="G203" t="s">
        <v>647</v>
      </c>
      <c r="H203">
        <v>0</v>
      </c>
      <c r="I203">
        <v>0</v>
      </c>
      <c r="J203" s="1">
        <f t="shared" si="17"/>
        <v>46054</v>
      </c>
      <c r="K203" t="str">
        <f t="shared" si="18"/>
        <v>fev/26</v>
      </c>
      <c r="L203" t="str">
        <f t="shared" si="19"/>
        <v>dom</v>
      </c>
      <c r="M203">
        <f>SUMIFS(BASE_MOVEL_TEND!$D:$D,BASE_MOVEL_TEND!$A:$A,$F203,BASE_MOVEL_TEND!$B:$B,$E203,BASE_MOVEL_TEND!$C:$C,$A203)</f>
        <v>0</v>
      </c>
    </row>
    <row r="204" spans="1:13" x14ac:dyDescent="0.3">
      <c r="A204" t="s">
        <v>243</v>
      </c>
      <c r="B204" s="1">
        <v>46054</v>
      </c>
      <c r="C204" t="str">
        <f t="shared" si="15"/>
        <v>02</v>
      </c>
      <c r="D204">
        <f t="shared" si="16"/>
        <v>2026</v>
      </c>
      <c r="E204" t="s">
        <v>49</v>
      </c>
      <c r="F204" t="s">
        <v>648</v>
      </c>
      <c r="G204" t="s">
        <v>647</v>
      </c>
      <c r="H204">
        <v>0</v>
      </c>
      <c r="I204">
        <v>0</v>
      </c>
      <c r="J204" s="1">
        <f t="shared" si="17"/>
        <v>46054</v>
      </c>
      <c r="K204" t="str">
        <f t="shared" si="18"/>
        <v>fev/26</v>
      </c>
      <c r="L204" t="str">
        <f t="shared" si="19"/>
        <v>dom</v>
      </c>
      <c r="M204">
        <f>SUMIFS(BASE_MOVEL_TEND!$D:$D,BASE_MOVEL_TEND!$A:$A,$F204,BASE_MOVEL_TEND!$B:$B,$E204,BASE_MOVEL_TEND!$C:$C,$A204)</f>
        <v>0</v>
      </c>
    </row>
    <row r="205" spans="1:13" x14ac:dyDescent="0.3">
      <c r="A205" t="s">
        <v>287</v>
      </c>
      <c r="B205" s="1">
        <v>46054</v>
      </c>
      <c r="C205" t="str">
        <f t="shared" si="15"/>
        <v>02</v>
      </c>
      <c r="D205">
        <f t="shared" si="16"/>
        <v>2026</v>
      </c>
      <c r="E205" t="s">
        <v>49</v>
      </c>
      <c r="F205" t="s">
        <v>648</v>
      </c>
      <c r="G205" t="s">
        <v>647</v>
      </c>
      <c r="H205">
        <v>0</v>
      </c>
      <c r="I205">
        <v>0</v>
      </c>
      <c r="J205" s="1">
        <f t="shared" si="17"/>
        <v>46054</v>
      </c>
      <c r="K205" t="str">
        <f t="shared" si="18"/>
        <v>fev/26</v>
      </c>
      <c r="L205" t="str">
        <f t="shared" si="19"/>
        <v>dom</v>
      </c>
      <c r="M205">
        <f>SUMIFS(BASE_MOVEL_TEND!$D:$D,BASE_MOVEL_TEND!$A:$A,$F205,BASE_MOVEL_TEND!$B:$B,$E205,BASE_MOVEL_TEND!$C:$C,$A205)</f>
        <v>0</v>
      </c>
    </row>
    <row r="206" spans="1:13" x14ac:dyDescent="0.3">
      <c r="A206" t="s">
        <v>340</v>
      </c>
      <c r="B206" s="1">
        <v>46054</v>
      </c>
      <c r="C206" t="str">
        <f t="shared" si="15"/>
        <v>02</v>
      </c>
      <c r="D206">
        <f t="shared" si="16"/>
        <v>2026</v>
      </c>
      <c r="E206" t="s">
        <v>49</v>
      </c>
      <c r="F206" t="s">
        <v>648</v>
      </c>
      <c r="G206" t="s">
        <v>647</v>
      </c>
      <c r="H206">
        <v>0</v>
      </c>
      <c r="I206">
        <v>0</v>
      </c>
      <c r="J206" s="1">
        <f t="shared" si="17"/>
        <v>46054</v>
      </c>
      <c r="K206" t="str">
        <f t="shared" si="18"/>
        <v>fev/26</v>
      </c>
      <c r="L206" t="str">
        <f t="shared" si="19"/>
        <v>dom</v>
      </c>
      <c r="M206">
        <f>SUMIFS(BASE_MOVEL_TEND!$D:$D,BASE_MOVEL_TEND!$A:$A,$F206,BASE_MOVEL_TEND!$B:$B,$E206,BASE_MOVEL_TEND!$C:$C,$A206)</f>
        <v>0</v>
      </c>
    </row>
    <row r="207" spans="1:13" x14ac:dyDescent="0.3">
      <c r="A207" t="s">
        <v>381</v>
      </c>
      <c r="B207" s="1">
        <v>46054</v>
      </c>
      <c r="C207" t="str">
        <f t="shared" si="15"/>
        <v>02</v>
      </c>
      <c r="D207">
        <f t="shared" si="16"/>
        <v>2026</v>
      </c>
      <c r="E207" t="s">
        <v>49</v>
      </c>
      <c r="F207" t="s">
        <v>648</v>
      </c>
      <c r="G207" t="s">
        <v>647</v>
      </c>
      <c r="H207">
        <v>0</v>
      </c>
      <c r="I207">
        <v>0</v>
      </c>
      <c r="J207" s="1">
        <f t="shared" si="17"/>
        <v>46054</v>
      </c>
      <c r="K207" t="str">
        <f t="shared" si="18"/>
        <v>fev/26</v>
      </c>
      <c r="L207" t="str">
        <f t="shared" si="19"/>
        <v>dom</v>
      </c>
      <c r="M207">
        <f>SUMIFS(BASE_MOVEL_TEND!$D:$D,BASE_MOVEL_TEND!$A:$A,$F207,BASE_MOVEL_TEND!$B:$B,$E207,BASE_MOVEL_TEND!$C:$C,$A207)</f>
        <v>0</v>
      </c>
    </row>
    <row r="208" spans="1:13" x14ac:dyDescent="0.3">
      <c r="A208" t="s">
        <v>447</v>
      </c>
      <c r="B208" s="1">
        <v>46054</v>
      </c>
      <c r="C208" t="str">
        <f t="shared" si="15"/>
        <v>02</v>
      </c>
      <c r="D208">
        <f t="shared" si="16"/>
        <v>2026</v>
      </c>
      <c r="E208" t="s">
        <v>49</v>
      </c>
      <c r="F208" t="s">
        <v>648</v>
      </c>
      <c r="G208" t="s">
        <v>647</v>
      </c>
      <c r="H208">
        <v>0</v>
      </c>
      <c r="I208">
        <v>0</v>
      </c>
      <c r="J208" s="1">
        <f t="shared" si="17"/>
        <v>46054</v>
      </c>
      <c r="K208" t="str">
        <f t="shared" si="18"/>
        <v>fev/26</v>
      </c>
      <c r="L208" t="str">
        <f t="shared" si="19"/>
        <v>dom</v>
      </c>
      <c r="M208">
        <f>SUMIFS(BASE_MOVEL_TEND!$D:$D,BASE_MOVEL_TEND!$A:$A,$F208,BASE_MOVEL_TEND!$B:$B,$E208,BASE_MOVEL_TEND!$C:$C,$A208)</f>
        <v>0</v>
      </c>
    </row>
    <row r="209" spans="1:13" x14ac:dyDescent="0.3">
      <c r="A209" t="s">
        <v>517</v>
      </c>
      <c r="B209" s="1">
        <v>46054</v>
      </c>
      <c r="C209" t="str">
        <f t="shared" si="15"/>
        <v>02</v>
      </c>
      <c r="D209">
        <f t="shared" si="16"/>
        <v>2026</v>
      </c>
      <c r="E209" t="s">
        <v>49</v>
      </c>
      <c r="F209" t="s">
        <v>648</v>
      </c>
      <c r="G209" t="s">
        <v>647</v>
      </c>
      <c r="H209">
        <v>0</v>
      </c>
      <c r="I209">
        <v>0</v>
      </c>
      <c r="J209" s="1">
        <f t="shared" si="17"/>
        <v>46054</v>
      </c>
      <c r="K209" t="str">
        <f t="shared" si="18"/>
        <v>fev/26</v>
      </c>
      <c r="L209" t="str">
        <f t="shared" si="19"/>
        <v>dom</v>
      </c>
      <c r="M209">
        <f>SUMIFS(BASE_MOVEL_TEND!$D:$D,BASE_MOVEL_TEND!$A:$A,$F209,BASE_MOVEL_TEND!$B:$B,$E209,BASE_MOVEL_TEND!$C:$C,$A209)</f>
        <v>0</v>
      </c>
    </row>
    <row r="210" spans="1:13" x14ac:dyDescent="0.3">
      <c r="A210" t="s">
        <v>574</v>
      </c>
      <c r="B210" s="1">
        <v>46054</v>
      </c>
      <c r="C210" t="str">
        <f t="shared" si="15"/>
        <v>02</v>
      </c>
      <c r="D210">
        <f t="shared" si="16"/>
        <v>2026</v>
      </c>
      <c r="E210" t="s">
        <v>49</v>
      </c>
      <c r="F210" t="s">
        <v>648</v>
      </c>
      <c r="G210" t="s">
        <v>647</v>
      </c>
      <c r="H210">
        <v>0</v>
      </c>
      <c r="I210">
        <v>0</v>
      </c>
      <c r="J210" s="1">
        <f t="shared" si="17"/>
        <v>46054</v>
      </c>
      <c r="K210" t="str">
        <f t="shared" si="18"/>
        <v>fev/26</v>
      </c>
      <c r="L210" t="str">
        <f t="shared" si="19"/>
        <v>dom</v>
      </c>
      <c r="M210">
        <f>SUMIFS(BASE_MOVEL_TEND!$D:$D,BASE_MOVEL_TEND!$A:$A,$F210,BASE_MOVEL_TEND!$B:$B,$E210,BASE_MOVEL_TEND!$C:$C,$A210)</f>
        <v>0</v>
      </c>
    </row>
    <row r="211" spans="1:13" x14ac:dyDescent="0.3">
      <c r="A211" t="s">
        <v>606</v>
      </c>
      <c r="B211" s="1">
        <v>46054</v>
      </c>
      <c r="C211" t="str">
        <f t="shared" si="15"/>
        <v>02</v>
      </c>
      <c r="D211">
        <f t="shared" si="16"/>
        <v>2026</v>
      </c>
      <c r="E211" t="s">
        <v>49</v>
      </c>
      <c r="F211" t="s">
        <v>648</v>
      </c>
      <c r="G211" t="s">
        <v>647</v>
      </c>
      <c r="H211">
        <v>0</v>
      </c>
      <c r="I211">
        <v>0</v>
      </c>
      <c r="J211" s="1">
        <f t="shared" si="17"/>
        <v>46054</v>
      </c>
      <c r="K211" t="str">
        <f t="shared" si="18"/>
        <v>fev/26</v>
      </c>
      <c r="L211" t="str">
        <f t="shared" si="19"/>
        <v>dom</v>
      </c>
      <c r="M211">
        <f>SUMIFS(BASE_MOVEL_TEND!$D:$D,BASE_MOVEL_TEND!$A:$A,$F211,BASE_MOVEL_TEND!$B:$B,$E211,BASE_MOVEL_TEND!$C:$C,$A211)</f>
        <v>0</v>
      </c>
    </row>
    <row r="212" spans="1:13" x14ac:dyDescent="0.3">
      <c r="A212" t="s">
        <v>8</v>
      </c>
      <c r="B212" s="1">
        <v>46054</v>
      </c>
      <c r="C212" t="str">
        <f t="shared" si="15"/>
        <v>02</v>
      </c>
      <c r="D212">
        <f t="shared" si="16"/>
        <v>2026</v>
      </c>
      <c r="E212" t="s">
        <v>49</v>
      </c>
      <c r="F212" t="s">
        <v>665</v>
      </c>
      <c r="G212" t="s">
        <v>647</v>
      </c>
      <c r="H212">
        <v>0</v>
      </c>
      <c r="I212">
        <v>0</v>
      </c>
      <c r="J212" s="1">
        <f t="shared" si="17"/>
        <v>46054</v>
      </c>
      <c r="K212" t="str">
        <f t="shared" si="18"/>
        <v>fev/26</v>
      </c>
      <c r="L212" t="str">
        <f t="shared" si="19"/>
        <v>dom</v>
      </c>
      <c r="M212">
        <f>SUMIFS(BASE_MOVEL_TEND!$D:$D,BASE_MOVEL_TEND!$A:$A,$F212,BASE_MOVEL_TEND!$B:$B,$E212,BASE_MOVEL_TEND!$C:$C,$A212)</f>
        <v>0</v>
      </c>
    </row>
    <row r="213" spans="1:13" x14ac:dyDescent="0.3">
      <c r="A213" t="s">
        <v>174</v>
      </c>
      <c r="B213" s="1">
        <v>46054</v>
      </c>
      <c r="C213" t="str">
        <f t="shared" si="15"/>
        <v>02</v>
      </c>
      <c r="D213">
        <f t="shared" si="16"/>
        <v>2026</v>
      </c>
      <c r="E213" t="s">
        <v>49</v>
      </c>
      <c r="F213" t="s">
        <v>665</v>
      </c>
      <c r="G213" t="s">
        <v>647</v>
      </c>
      <c r="H213">
        <v>0</v>
      </c>
      <c r="I213">
        <v>0</v>
      </c>
      <c r="J213" s="1">
        <f t="shared" si="17"/>
        <v>46054</v>
      </c>
      <c r="K213" t="str">
        <f t="shared" si="18"/>
        <v>fev/26</v>
      </c>
      <c r="L213" t="str">
        <f t="shared" si="19"/>
        <v>dom</v>
      </c>
      <c r="M213">
        <f>SUMIFS(BASE_MOVEL_TEND!$D:$D,BASE_MOVEL_TEND!$A:$A,$F213,BASE_MOVEL_TEND!$B:$B,$E213,BASE_MOVEL_TEND!$C:$C,$A213)</f>
        <v>0</v>
      </c>
    </row>
    <row r="214" spans="1:13" x14ac:dyDescent="0.3">
      <c r="A214" t="s">
        <v>243</v>
      </c>
      <c r="B214" s="1">
        <v>46054</v>
      </c>
      <c r="C214" t="str">
        <f t="shared" si="15"/>
        <v>02</v>
      </c>
      <c r="D214">
        <f t="shared" si="16"/>
        <v>2026</v>
      </c>
      <c r="E214" t="s">
        <v>49</v>
      </c>
      <c r="F214" t="s">
        <v>665</v>
      </c>
      <c r="G214" t="s">
        <v>647</v>
      </c>
      <c r="H214">
        <v>0</v>
      </c>
      <c r="I214">
        <v>0</v>
      </c>
      <c r="J214" s="1">
        <f t="shared" si="17"/>
        <v>46054</v>
      </c>
      <c r="K214" t="str">
        <f t="shared" si="18"/>
        <v>fev/26</v>
      </c>
      <c r="L214" t="str">
        <f t="shared" si="19"/>
        <v>dom</v>
      </c>
      <c r="M214">
        <f>SUMIFS(BASE_MOVEL_TEND!$D:$D,BASE_MOVEL_TEND!$A:$A,$F214,BASE_MOVEL_TEND!$B:$B,$E214,BASE_MOVEL_TEND!$C:$C,$A214)</f>
        <v>0</v>
      </c>
    </row>
    <row r="215" spans="1:13" x14ac:dyDescent="0.3">
      <c r="A215" t="s">
        <v>287</v>
      </c>
      <c r="B215" s="1">
        <v>46054</v>
      </c>
      <c r="C215" t="str">
        <f t="shared" ref="C215:C261" si="20">TEXT(B215,"MM")</f>
        <v>02</v>
      </c>
      <c r="D215">
        <f t="shared" ref="D215:D261" si="21">YEAR(B215)</f>
        <v>2026</v>
      </c>
      <c r="E215" t="s">
        <v>49</v>
      </c>
      <c r="F215" t="s">
        <v>665</v>
      </c>
      <c r="G215" t="s">
        <v>647</v>
      </c>
      <c r="H215">
        <v>0</v>
      </c>
      <c r="I215">
        <v>0</v>
      </c>
      <c r="J215" s="1">
        <f t="shared" ref="J215:J261" si="22">B215</f>
        <v>46054</v>
      </c>
      <c r="K215" t="str">
        <f t="shared" ref="K215:K261" si="23">TEXT(J215,"MMM/AA")</f>
        <v>fev/26</v>
      </c>
      <c r="L215" t="str">
        <f t="shared" ref="L215:L261" si="24">TEXT(J215,"DDD")</f>
        <v>dom</v>
      </c>
      <c r="M215">
        <f>SUMIFS(BASE_MOVEL_TEND!$D:$D,BASE_MOVEL_TEND!$A:$A,$F215,BASE_MOVEL_TEND!$B:$B,$E215,BASE_MOVEL_TEND!$C:$C,$A215)</f>
        <v>0</v>
      </c>
    </row>
    <row r="216" spans="1:13" x14ac:dyDescent="0.3">
      <c r="A216" t="s">
        <v>340</v>
      </c>
      <c r="B216" s="1">
        <v>46054</v>
      </c>
      <c r="C216" t="str">
        <f t="shared" si="20"/>
        <v>02</v>
      </c>
      <c r="D216">
        <f t="shared" si="21"/>
        <v>2026</v>
      </c>
      <c r="E216" t="s">
        <v>49</v>
      </c>
      <c r="F216" t="s">
        <v>665</v>
      </c>
      <c r="G216" t="s">
        <v>647</v>
      </c>
      <c r="H216">
        <v>0</v>
      </c>
      <c r="I216">
        <v>0</v>
      </c>
      <c r="J216" s="1">
        <f t="shared" si="22"/>
        <v>46054</v>
      </c>
      <c r="K216" t="str">
        <f t="shared" si="23"/>
        <v>fev/26</v>
      </c>
      <c r="L216" t="str">
        <f t="shared" si="24"/>
        <v>dom</v>
      </c>
      <c r="M216">
        <f>SUMIFS(BASE_MOVEL_TEND!$D:$D,BASE_MOVEL_TEND!$A:$A,$F216,BASE_MOVEL_TEND!$B:$B,$E216,BASE_MOVEL_TEND!$C:$C,$A216)</f>
        <v>0</v>
      </c>
    </row>
    <row r="217" spans="1:13" x14ac:dyDescent="0.3">
      <c r="A217" t="s">
        <v>381</v>
      </c>
      <c r="B217" s="1">
        <v>46054</v>
      </c>
      <c r="C217" t="str">
        <f t="shared" si="20"/>
        <v>02</v>
      </c>
      <c r="D217">
        <f t="shared" si="21"/>
        <v>2026</v>
      </c>
      <c r="E217" t="s">
        <v>49</v>
      </c>
      <c r="F217" t="s">
        <v>665</v>
      </c>
      <c r="G217" t="s">
        <v>647</v>
      </c>
      <c r="H217">
        <v>0</v>
      </c>
      <c r="I217">
        <v>0</v>
      </c>
      <c r="J217" s="1">
        <f t="shared" si="22"/>
        <v>46054</v>
      </c>
      <c r="K217" t="str">
        <f t="shared" si="23"/>
        <v>fev/26</v>
      </c>
      <c r="L217" t="str">
        <f t="shared" si="24"/>
        <v>dom</v>
      </c>
      <c r="M217">
        <f>SUMIFS(BASE_MOVEL_TEND!$D:$D,BASE_MOVEL_TEND!$A:$A,$F217,BASE_MOVEL_TEND!$B:$B,$E217,BASE_MOVEL_TEND!$C:$C,$A217)</f>
        <v>0</v>
      </c>
    </row>
    <row r="218" spans="1:13" x14ac:dyDescent="0.3">
      <c r="A218" t="s">
        <v>447</v>
      </c>
      <c r="B218" s="1">
        <v>46054</v>
      </c>
      <c r="C218" t="str">
        <f t="shared" si="20"/>
        <v>02</v>
      </c>
      <c r="D218">
        <f t="shared" si="21"/>
        <v>2026</v>
      </c>
      <c r="E218" t="s">
        <v>49</v>
      </c>
      <c r="F218" t="s">
        <v>665</v>
      </c>
      <c r="G218" t="s">
        <v>647</v>
      </c>
      <c r="H218">
        <v>0</v>
      </c>
      <c r="I218">
        <v>0</v>
      </c>
      <c r="J218" s="1">
        <f t="shared" si="22"/>
        <v>46054</v>
      </c>
      <c r="K218" t="str">
        <f t="shared" si="23"/>
        <v>fev/26</v>
      </c>
      <c r="L218" t="str">
        <f t="shared" si="24"/>
        <v>dom</v>
      </c>
      <c r="M218">
        <f>SUMIFS(BASE_MOVEL_TEND!$D:$D,BASE_MOVEL_TEND!$A:$A,$F218,BASE_MOVEL_TEND!$B:$B,$E218,BASE_MOVEL_TEND!$C:$C,$A218)</f>
        <v>0</v>
      </c>
    </row>
    <row r="219" spans="1:13" x14ac:dyDescent="0.3">
      <c r="A219" t="s">
        <v>517</v>
      </c>
      <c r="B219" s="1">
        <v>46054</v>
      </c>
      <c r="C219" t="str">
        <f t="shared" si="20"/>
        <v>02</v>
      </c>
      <c r="D219">
        <f t="shared" si="21"/>
        <v>2026</v>
      </c>
      <c r="E219" t="s">
        <v>49</v>
      </c>
      <c r="F219" t="s">
        <v>665</v>
      </c>
      <c r="G219" t="s">
        <v>647</v>
      </c>
      <c r="H219">
        <v>0</v>
      </c>
      <c r="I219">
        <v>0</v>
      </c>
      <c r="J219" s="1">
        <f t="shared" si="22"/>
        <v>46054</v>
      </c>
      <c r="K219" t="str">
        <f t="shared" si="23"/>
        <v>fev/26</v>
      </c>
      <c r="L219" t="str">
        <f t="shared" si="24"/>
        <v>dom</v>
      </c>
      <c r="M219">
        <f>SUMIFS(BASE_MOVEL_TEND!$D:$D,BASE_MOVEL_TEND!$A:$A,$F219,BASE_MOVEL_TEND!$B:$B,$E219,BASE_MOVEL_TEND!$C:$C,$A219)</f>
        <v>0</v>
      </c>
    </row>
    <row r="220" spans="1:13" x14ac:dyDescent="0.3">
      <c r="A220" t="s">
        <v>574</v>
      </c>
      <c r="B220" s="1">
        <v>46054</v>
      </c>
      <c r="C220" t="str">
        <f t="shared" si="20"/>
        <v>02</v>
      </c>
      <c r="D220">
        <f t="shared" si="21"/>
        <v>2026</v>
      </c>
      <c r="E220" t="s">
        <v>49</v>
      </c>
      <c r="F220" t="s">
        <v>665</v>
      </c>
      <c r="G220" t="s">
        <v>647</v>
      </c>
      <c r="H220">
        <v>0</v>
      </c>
      <c r="I220">
        <v>0</v>
      </c>
      <c r="J220" s="1">
        <f t="shared" si="22"/>
        <v>46054</v>
      </c>
      <c r="K220" t="str">
        <f t="shared" si="23"/>
        <v>fev/26</v>
      </c>
      <c r="L220" t="str">
        <f t="shared" si="24"/>
        <v>dom</v>
      </c>
      <c r="M220">
        <f>SUMIFS(BASE_MOVEL_TEND!$D:$D,BASE_MOVEL_TEND!$A:$A,$F220,BASE_MOVEL_TEND!$B:$B,$E220,BASE_MOVEL_TEND!$C:$C,$A220)</f>
        <v>0</v>
      </c>
    </row>
    <row r="221" spans="1:13" x14ac:dyDescent="0.3">
      <c r="A221" t="s">
        <v>606</v>
      </c>
      <c r="B221" s="1">
        <v>46054</v>
      </c>
      <c r="C221" t="str">
        <f t="shared" si="20"/>
        <v>02</v>
      </c>
      <c r="D221">
        <f t="shared" si="21"/>
        <v>2026</v>
      </c>
      <c r="E221" t="s">
        <v>49</v>
      </c>
      <c r="F221" t="s">
        <v>665</v>
      </c>
      <c r="G221" t="s">
        <v>647</v>
      </c>
      <c r="H221">
        <v>0</v>
      </c>
      <c r="I221">
        <v>0</v>
      </c>
      <c r="J221" s="1">
        <f t="shared" si="22"/>
        <v>46054</v>
      </c>
      <c r="K221" t="str">
        <f t="shared" si="23"/>
        <v>fev/26</v>
      </c>
      <c r="L221" t="str">
        <f t="shared" si="24"/>
        <v>dom</v>
      </c>
      <c r="M221">
        <f>SUMIFS(BASE_MOVEL_TEND!$D:$D,BASE_MOVEL_TEND!$A:$A,$F221,BASE_MOVEL_TEND!$B:$B,$E221,BASE_MOVEL_TEND!$C:$C,$A221)</f>
        <v>0</v>
      </c>
    </row>
    <row r="222" spans="1:13" x14ac:dyDescent="0.3">
      <c r="A222" t="s">
        <v>8</v>
      </c>
      <c r="B222" s="1">
        <v>46054</v>
      </c>
      <c r="C222" t="str">
        <f t="shared" si="20"/>
        <v>02</v>
      </c>
      <c r="D222">
        <f t="shared" si="21"/>
        <v>2026</v>
      </c>
      <c r="E222" t="s">
        <v>645</v>
      </c>
      <c r="F222" t="s">
        <v>648</v>
      </c>
      <c r="G222" t="s">
        <v>647</v>
      </c>
      <c r="H222">
        <v>0</v>
      </c>
      <c r="I222">
        <v>0</v>
      </c>
      <c r="J222" s="1">
        <f t="shared" si="22"/>
        <v>46054</v>
      </c>
      <c r="K222" t="str">
        <f t="shared" si="23"/>
        <v>fev/26</v>
      </c>
      <c r="L222" t="str">
        <f t="shared" si="24"/>
        <v>dom</v>
      </c>
      <c r="M222">
        <f>SUMIFS(BASE_MOVEL_TEND!$D:$D,BASE_MOVEL_TEND!$A:$A,$F222,BASE_MOVEL_TEND!$B:$B,$E222,BASE_MOVEL_TEND!$C:$C,$A222)</f>
        <v>235.86314000173016</v>
      </c>
    </row>
    <row r="223" spans="1:13" x14ac:dyDescent="0.3">
      <c r="A223" t="s">
        <v>174</v>
      </c>
      <c r="B223" s="1">
        <v>46054</v>
      </c>
      <c r="C223" t="str">
        <f t="shared" si="20"/>
        <v>02</v>
      </c>
      <c r="D223">
        <f t="shared" si="21"/>
        <v>2026</v>
      </c>
      <c r="E223" t="s">
        <v>645</v>
      </c>
      <c r="F223" t="s">
        <v>648</v>
      </c>
      <c r="G223" t="s">
        <v>647</v>
      </c>
      <c r="H223">
        <v>0</v>
      </c>
      <c r="I223">
        <v>0</v>
      </c>
      <c r="J223" s="1">
        <f t="shared" si="22"/>
        <v>46054</v>
      </c>
      <c r="K223" t="str">
        <f t="shared" si="23"/>
        <v>fev/26</v>
      </c>
      <c r="L223" t="str">
        <f t="shared" si="24"/>
        <v>dom</v>
      </c>
      <c r="M223">
        <f>SUMIFS(BASE_MOVEL_TEND!$D:$D,BASE_MOVEL_TEND!$A:$A,$F223,BASE_MOVEL_TEND!$B:$B,$E223,BASE_MOVEL_TEND!$C:$C,$A223)</f>
        <v>272.35908927797163</v>
      </c>
    </row>
    <row r="224" spans="1:13" x14ac:dyDescent="0.3">
      <c r="A224" t="s">
        <v>243</v>
      </c>
      <c r="B224" s="1">
        <v>46054</v>
      </c>
      <c r="C224" t="str">
        <f t="shared" si="20"/>
        <v>02</v>
      </c>
      <c r="D224">
        <f t="shared" si="21"/>
        <v>2026</v>
      </c>
      <c r="E224" t="s">
        <v>645</v>
      </c>
      <c r="F224" t="s">
        <v>648</v>
      </c>
      <c r="G224" t="s">
        <v>647</v>
      </c>
      <c r="H224">
        <v>0</v>
      </c>
      <c r="I224">
        <v>0</v>
      </c>
      <c r="J224" s="1">
        <f t="shared" si="22"/>
        <v>46054</v>
      </c>
      <c r="K224" t="str">
        <f t="shared" si="23"/>
        <v>fev/26</v>
      </c>
      <c r="L224" t="str">
        <f t="shared" si="24"/>
        <v>dom</v>
      </c>
      <c r="M224">
        <f>SUMIFS(BASE_MOVEL_TEND!$D:$D,BASE_MOVEL_TEND!$A:$A,$F224,BASE_MOVEL_TEND!$B:$B,$E224,BASE_MOVEL_TEND!$C:$C,$A224)</f>
        <v>135.41551120741769</v>
      </c>
    </row>
    <row r="225" spans="1:13" x14ac:dyDescent="0.3">
      <c r="A225" t="s">
        <v>287</v>
      </c>
      <c r="B225" s="1">
        <v>46054</v>
      </c>
      <c r="C225" t="str">
        <f t="shared" si="20"/>
        <v>02</v>
      </c>
      <c r="D225">
        <f t="shared" si="21"/>
        <v>2026</v>
      </c>
      <c r="E225" t="s">
        <v>645</v>
      </c>
      <c r="F225" t="s">
        <v>648</v>
      </c>
      <c r="G225" t="s">
        <v>647</v>
      </c>
      <c r="H225">
        <v>0</v>
      </c>
      <c r="I225">
        <v>0</v>
      </c>
      <c r="J225" s="1">
        <f t="shared" si="22"/>
        <v>46054</v>
      </c>
      <c r="K225" t="str">
        <f t="shared" si="23"/>
        <v>fev/26</v>
      </c>
      <c r="L225" t="str">
        <f t="shared" si="24"/>
        <v>dom</v>
      </c>
      <c r="M225">
        <f>SUMIFS(BASE_MOVEL_TEND!$D:$D,BASE_MOVEL_TEND!$A:$A,$F225,BASE_MOVEL_TEND!$B:$B,$E225,BASE_MOVEL_TEND!$C:$C,$A225)</f>
        <v>109.28371064401377</v>
      </c>
    </row>
    <row r="226" spans="1:13" x14ac:dyDescent="0.3">
      <c r="A226" t="s">
        <v>340</v>
      </c>
      <c r="B226" s="1">
        <v>46054</v>
      </c>
      <c r="C226" t="str">
        <f t="shared" si="20"/>
        <v>02</v>
      </c>
      <c r="D226">
        <f t="shared" si="21"/>
        <v>2026</v>
      </c>
      <c r="E226" t="s">
        <v>645</v>
      </c>
      <c r="F226" t="s">
        <v>648</v>
      </c>
      <c r="G226" t="s">
        <v>647</v>
      </c>
      <c r="H226">
        <v>0</v>
      </c>
      <c r="I226">
        <v>0</v>
      </c>
      <c r="J226" s="1">
        <f t="shared" si="22"/>
        <v>46054</v>
      </c>
      <c r="K226" t="str">
        <f t="shared" si="23"/>
        <v>fev/26</v>
      </c>
      <c r="L226" t="str">
        <f t="shared" si="24"/>
        <v>dom</v>
      </c>
      <c r="M226">
        <f>SUMIFS(BASE_MOVEL_TEND!$D:$D,BASE_MOVEL_TEND!$A:$A,$F226,BASE_MOVEL_TEND!$B:$B,$E226,BASE_MOVEL_TEND!$C:$C,$A226)</f>
        <v>44.759838606222814</v>
      </c>
    </row>
    <row r="227" spans="1:13" x14ac:dyDescent="0.3">
      <c r="A227" t="s">
        <v>381</v>
      </c>
      <c r="B227" s="1">
        <v>46054</v>
      </c>
      <c r="C227" t="str">
        <f t="shared" si="20"/>
        <v>02</v>
      </c>
      <c r="D227">
        <f t="shared" si="21"/>
        <v>2026</v>
      </c>
      <c r="E227" t="s">
        <v>645</v>
      </c>
      <c r="F227" t="s">
        <v>648</v>
      </c>
      <c r="G227" t="s">
        <v>647</v>
      </c>
      <c r="H227">
        <v>0</v>
      </c>
      <c r="I227">
        <v>0</v>
      </c>
      <c r="J227" s="1">
        <f t="shared" si="22"/>
        <v>46054</v>
      </c>
      <c r="K227" t="str">
        <f t="shared" si="23"/>
        <v>fev/26</v>
      </c>
      <c r="L227" t="str">
        <f t="shared" si="24"/>
        <v>dom</v>
      </c>
      <c r="M227">
        <f>SUMIFS(BASE_MOVEL_TEND!$D:$D,BASE_MOVEL_TEND!$A:$A,$F227,BASE_MOVEL_TEND!$B:$B,$E227,BASE_MOVEL_TEND!$C:$C,$A227)</f>
        <v>166.76345702522104</v>
      </c>
    </row>
    <row r="228" spans="1:13" x14ac:dyDescent="0.3">
      <c r="A228" t="s">
        <v>447</v>
      </c>
      <c r="B228" s="1">
        <v>46054</v>
      </c>
      <c r="C228" t="str">
        <f t="shared" si="20"/>
        <v>02</v>
      </c>
      <c r="D228">
        <f t="shared" si="21"/>
        <v>2026</v>
      </c>
      <c r="E228" t="s">
        <v>645</v>
      </c>
      <c r="F228" t="s">
        <v>648</v>
      </c>
      <c r="G228" t="s">
        <v>647</v>
      </c>
      <c r="H228">
        <v>0</v>
      </c>
      <c r="I228">
        <v>0</v>
      </c>
      <c r="J228" s="1">
        <f t="shared" si="22"/>
        <v>46054</v>
      </c>
      <c r="K228" t="str">
        <f t="shared" si="23"/>
        <v>fev/26</v>
      </c>
      <c r="L228" t="str">
        <f t="shared" si="24"/>
        <v>dom</v>
      </c>
      <c r="M228">
        <f>SUMIFS(BASE_MOVEL_TEND!$D:$D,BASE_MOVEL_TEND!$A:$A,$F228,BASE_MOVEL_TEND!$B:$B,$E228,BASE_MOVEL_TEND!$C:$C,$A228)</f>
        <v>128.18764608650289</v>
      </c>
    </row>
    <row r="229" spans="1:13" x14ac:dyDescent="0.3">
      <c r="A229" t="s">
        <v>517</v>
      </c>
      <c r="B229" s="1">
        <v>46054</v>
      </c>
      <c r="C229" t="str">
        <f t="shared" si="20"/>
        <v>02</v>
      </c>
      <c r="D229">
        <f t="shared" si="21"/>
        <v>2026</v>
      </c>
      <c r="E229" t="s">
        <v>645</v>
      </c>
      <c r="F229" t="s">
        <v>648</v>
      </c>
      <c r="G229" t="s">
        <v>647</v>
      </c>
      <c r="H229">
        <v>0</v>
      </c>
      <c r="I229">
        <v>0</v>
      </c>
      <c r="J229" s="1">
        <f t="shared" si="22"/>
        <v>46054</v>
      </c>
      <c r="K229" t="str">
        <f t="shared" si="23"/>
        <v>fev/26</v>
      </c>
      <c r="L229" t="str">
        <f t="shared" si="24"/>
        <v>dom</v>
      </c>
      <c r="M229">
        <f>SUMIFS(BASE_MOVEL_TEND!$D:$D,BASE_MOVEL_TEND!$A:$A,$F229,BASE_MOVEL_TEND!$B:$B,$E229,BASE_MOVEL_TEND!$C:$C,$A229)</f>
        <v>729.71543655215282</v>
      </c>
    </row>
    <row r="230" spans="1:13" x14ac:dyDescent="0.3">
      <c r="A230" t="s">
        <v>574</v>
      </c>
      <c r="B230" s="1">
        <v>46054</v>
      </c>
      <c r="C230" t="str">
        <f t="shared" si="20"/>
        <v>02</v>
      </c>
      <c r="D230">
        <f t="shared" si="21"/>
        <v>2026</v>
      </c>
      <c r="E230" t="s">
        <v>645</v>
      </c>
      <c r="F230" t="s">
        <v>648</v>
      </c>
      <c r="G230" t="s">
        <v>647</v>
      </c>
      <c r="H230">
        <v>0</v>
      </c>
      <c r="I230">
        <v>0</v>
      </c>
      <c r="J230" s="1">
        <f t="shared" si="22"/>
        <v>46054</v>
      </c>
      <c r="K230" t="str">
        <f t="shared" si="23"/>
        <v>fev/26</v>
      </c>
      <c r="L230" t="str">
        <f t="shared" si="24"/>
        <v>dom</v>
      </c>
      <c r="M230">
        <f>SUMIFS(BASE_MOVEL_TEND!$D:$D,BASE_MOVEL_TEND!$A:$A,$F230,BASE_MOVEL_TEND!$B:$B,$E230,BASE_MOVEL_TEND!$C:$C,$A230)</f>
        <v>61.795862815289389</v>
      </c>
    </row>
    <row r="231" spans="1:13" x14ac:dyDescent="0.3">
      <c r="A231" t="s">
        <v>606</v>
      </c>
      <c r="B231" s="1">
        <v>46054</v>
      </c>
      <c r="C231" t="str">
        <f t="shared" si="20"/>
        <v>02</v>
      </c>
      <c r="D231">
        <f t="shared" si="21"/>
        <v>2026</v>
      </c>
      <c r="E231" t="s">
        <v>645</v>
      </c>
      <c r="F231" t="s">
        <v>648</v>
      </c>
      <c r="G231" t="s">
        <v>647</v>
      </c>
      <c r="H231">
        <v>0</v>
      </c>
      <c r="I231">
        <v>0</v>
      </c>
      <c r="J231" s="1">
        <f t="shared" si="22"/>
        <v>46054</v>
      </c>
      <c r="K231" t="str">
        <f t="shared" si="23"/>
        <v>fev/26</v>
      </c>
      <c r="L231" t="str">
        <f t="shared" si="24"/>
        <v>dom</v>
      </c>
      <c r="M231">
        <f>SUMIFS(BASE_MOVEL_TEND!$D:$D,BASE_MOVEL_TEND!$A:$A,$F231,BASE_MOVEL_TEND!$B:$B,$E231,BASE_MOVEL_TEND!$C:$C,$A231)</f>
        <v>101.94777289589925</v>
      </c>
    </row>
    <row r="232" spans="1:13" x14ac:dyDescent="0.3">
      <c r="A232" t="s">
        <v>8</v>
      </c>
      <c r="B232" s="1">
        <v>46054</v>
      </c>
      <c r="C232" t="str">
        <f t="shared" si="20"/>
        <v>02</v>
      </c>
      <c r="D232">
        <f t="shared" si="21"/>
        <v>2026</v>
      </c>
      <c r="E232" t="s">
        <v>645</v>
      </c>
      <c r="F232" t="s">
        <v>665</v>
      </c>
      <c r="G232" t="s">
        <v>647</v>
      </c>
      <c r="H232">
        <v>0</v>
      </c>
      <c r="I232">
        <v>0</v>
      </c>
      <c r="J232" s="1">
        <f t="shared" si="22"/>
        <v>46054</v>
      </c>
      <c r="K232" t="str">
        <f t="shared" si="23"/>
        <v>fev/26</v>
      </c>
      <c r="L232" t="str">
        <f t="shared" si="24"/>
        <v>dom</v>
      </c>
      <c r="M232">
        <f>SUMIFS(BASE_MOVEL_TEND!$D:$D,BASE_MOVEL_TEND!$A:$A,$F232,BASE_MOVEL_TEND!$B:$B,$E232,BASE_MOVEL_TEND!$C:$C,$A232)</f>
        <v>231.73915268266978</v>
      </c>
    </row>
    <row r="233" spans="1:13" x14ac:dyDescent="0.3">
      <c r="A233" t="s">
        <v>174</v>
      </c>
      <c r="B233" s="1">
        <v>46054</v>
      </c>
      <c r="C233" t="str">
        <f t="shared" si="20"/>
        <v>02</v>
      </c>
      <c r="D233">
        <f t="shared" si="21"/>
        <v>2026</v>
      </c>
      <c r="E233" t="s">
        <v>645</v>
      </c>
      <c r="F233" t="s">
        <v>665</v>
      </c>
      <c r="G233" t="s">
        <v>647</v>
      </c>
      <c r="H233">
        <v>0</v>
      </c>
      <c r="I233">
        <v>0</v>
      </c>
      <c r="J233" s="1">
        <f t="shared" si="22"/>
        <v>46054</v>
      </c>
      <c r="K233" t="str">
        <f t="shared" si="23"/>
        <v>fev/26</v>
      </c>
      <c r="L233" t="str">
        <f t="shared" si="24"/>
        <v>dom</v>
      </c>
      <c r="M233">
        <f>SUMIFS(BASE_MOVEL_TEND!$D:$D,BASE_MOVEL_TEND!$A:$A,$F233,BASE_MOVEL_TEND!$B:$B,$E233,BASE_MOVEL_TEND!$C:$C,$A233)</f>
        <v>270.37109734766051</v>
      </c>
    </row>
    <row r="234" spans="1:13" x14ac:dyDescent="0.3">
      <c r="A234" t="s">
        <v>243</v>
      </c>
      <c r="B234" s="1">
        <v>46054</v>
      </c>
      <c r="C234" t="str">
        <f t="shared" si="20"/>
        <v>02</v>
      </c>
      <c r="D234">
        <f t="shared" si="21"/>
        <v>2026</v>
      </c>
      <c r="E234" t="s">
        <v>645</v>
      </c>
      <c r="F234" t="s">
        <v>665</v>
      </c>
      <c r="G234" t="s">
        <v>647</v>
      </c>
      <c r="H234">
        <v>0</v>
      </c>
      <c r="I234">
        <v>0</v>
      </c>
      <c r="J234" s="1">
        <f t="shared" si="22"/>
        <v>46054</v>
      </c>
      <c r="K234" t="str">
        <f t="shared" si="23"/>
        <v>fev/26</v>
      </c>
      <c r="L234" t="str">
        <f t="shared" si="24"/>
        <v>dom</v>
      </c>
      <c r="M234">
        <f>SUMIFS(BASE_MOVEL_TEND!$D:$D,BASE_MOVEL_TEND!$A:$A,$F234,BASE_MOVEL_TEND!$B:$B,$E234,BASE_MOVEL_TEND!$C:$C,$A234)</f>
        <v>131.72352619398271</v>
      </c>
    </row>
    <row r="235" spans="1:13" x14ac:dyDescent="0.3">
      <c r="A235" t="s">
        <v>287</v>
      </c>
      <c r="B235" s="1">
        <v>46054</v>
      </c>
      <c r="C235" t="str">
        <f t="shared" si="20"/>
        <v>02</v>
      </c>
      <c r="D235">
        <f t="shared" si="21"/>
        <v>2026</v>
      </c>
      <c r="E235" t="s">
        <v>645</v>
      </c>
      <c r="F235" t="s">
        <v>665</v>
      </c>
      <c r="G235" t="s">
        <v>647</v>
      </c>
      <c r="H235">
        <v>0</v>
      </c>
      <c r="I235">
        <v>0</v>
      </c>
      <c r="J235" s="1">
        <f t="shared" si="22"/>
        <v>46054</v>
      </c>
      <c r="K235" t="str">
        <f t="shared" si="23"/>
        <v>fev/26</v>
      </c>
      <c r="L235" t="str">
        <f t="shared" si="24"/>
        <v>dom</v>
      </c>
      <c r="M235">
        <f>SUMIFS(BASE_MOVEL_TEND!$D:$D,BASE_MOVEL_TEND!$A:$A,$F235,BASE_MOVEL_TEND!$B:$B,$E235,BASE_MOVEL_TEND!$C:$C,$A235)</f>
        <v>108.28371064401377</v>
      </c>
    </row>
    <row r="236" spans="1:13" x14ac:dyDescent="0.3">
      <c r="A236" t="s">
        <v>340</v>
      </c>
      <c r="B236" s="1">
        <v>46054</v>
      </c>
      <c r="C236" t="str">
        <f t="shared" si="20"/>
        <v>02</v>
      </c>
      <c r="D236">
        <f t="shared" si="21"/>
        <v>2026</v>
      </c>
      <c r="E236" t="s">
        <v>645</v>
      </c>
      <c r="F236" t="s">
        <v>665</v>
      </c>
      <c r="G236" t="s">
        <v>647</v>
      </c>
      <c r="H236">
        <v>0</v>
      </c>
      <c r="I236">
        <v>0</v>
      </c>
      <c r="J236" s="1">
        <f t="shared" si="22"/>
        <v>46054</v>
      </c>
      <c r="K236" t="str">
        <f t="shared" si="23"/>
        <v>fev/26</v>
      </c>
      <c r="L236" t="str">
        <f t="shared" si="24"/>
        <v>dom</v>
      </c>
      <c r="M236">
        <f>SUMIFS(BASE_MOVEL_TEND!$D:$D,BASE_MOVEL_TEND!$A:$A,$F236,BASE_MOVEL_TEND!$B:$B,$E236,BASE_MOVEL_TEND!$C:$C,$A236)</f>
        <v>29.475839759035509</v>
      </c>
    </row>
    <row r="237" spans="1:13" x14ac:dyDescent="0.3">
      <c r="A237" t="s">
        <v>381</v>
      </c>
      <c r="B237" s="1">
        <v>46054</v>
      </c>
      <c r="C237" t="str">
        <f t="shared" si="20"/>
        <v>02</v>
      </c>
      <c r="D237">
        <f t="shared" si="21"/>
        <v>2026</v>
      </c>
      <c r="E237" t="s">
        <v>645</v>
      </c>
      <c r="F237" t="s">
        <v>665</v>
      </c>
      <c r="G237" t="s">
        <v>647</v>
      </c>
      <c r="H237">
        <v>0</v>
      </c>
      <c r="I237">
        <v>0</v>
      </c>
      <c r="J237" s="1">
        <f t="shared" si="22"/>
        <v>46054</v>
      </c>
      <c r="K237" t="str">
        <f t="shared" si="23"/>
        <v>fev/26</v>
      </c>
      <c r="L237" t="str">
        <f t="shared" si="24"/>
        <v>dom</v>
      </c>
      <c r="M237">
        <f>SUMIFS(BASE_MOVEL_TEND!$D:$D,BASE_MOVEL_TEND!$A:$A,$F237,BASE_MOVEL_TEND!$B:$B,$E237,BASE_MOVEL_TEND!$C:$C,$A237)</f>
        <v>158.93547662303683</v>
      </c>
    </row>
    <row r="238" spans="1:13" x14ac:dyDescent="0.3">
      <c r="A238" t="s">
        <v>447</v>
      </c>
      <c r="B238" s="1">
        <v>46054</v>
      </c>
      <c r="C238" t="str">
        <f t="shared" si="20"/>
        <v>02</v>
      </c>
      <c r="D238">
        <f t="shared" si="21"/>
        <v>2026</v>
      </c>
      <c r="E238" t="s">
        <v>645</v>
      </c>
      <c r="F238" t="s">
        <v>665</v>
      </c>
      <c r="G238" t="s">
        <v>647</v>
      </c>
      <c r="H238">
        <v>0</v>
      </c>
      <c r="I238">
        <v>0</v>
      </c>
      <c r="J238" s="1">
        <f t="shared" si="22"/>
        <v>46054</v>
      </c>
      <c r="K238" t="str">
        <f t="shared" si="23"/>
        <v>fev/26</v>
      </c>
      <c r="L238" t="str">
        <f t="shared" si="24"/>
        <v>dom</v>
      </c>
      <c r="M238">
        <f>SUMIFS(BASE_MOVEL_TEND!$D:$D,BASE_MOVEL_TEND!$A:$A,$F238,BASE_MOVEL_TEND!$B:$B,$E238,BASE_MOVEL_TEND!$C:$C,$A238)</f>
        <v>124.49566107306792</v>
      </c>
    </row>
    <row r="239" spans="1:13" x14ac:dyDescent="0.3">
      <c r="A239" t="s">
        <v>517</v>
      </c>
      <c r="B239" s="1">
        <v>46054</v>
      </c>
      <c r="C239" t="str">
        <f t="shared" si="20"/>
        <v>02</v>
      </c>
      <c r="D239">
        <f t="shared" si="21"/>
        <v>2026</v>
      </c>
      <c r="E239" t="s">
        <v>645</v>
      </c>
      <c r="F239" t="s">
        <v>665</v>
      </c>
      <c r="G239" t="s">
        <v>647</v>
      </c>
      <c r="H239">
        <v>0</v>
      </c>
      <c r="I239">
        <v>0</v>
      </c>
      <c r="J239" s="1">
        <f t="shared" si="22"/>
        <v>46054</v>
      </c>
      <c r="K239" t="str">
        <f t="shared" si="23"/>
        <v>fev/26</v>
      </c>
      <c r="L239" t="str">
        <f t="shared" si="24"/>
        <v>dom</v>
      </c>
      <c r="M239">
        <f>SUMIFS(BASE_MOVEL_TEND!$D:$D,BASE_MOVEL_TEND!$A:$A,$F239,BASE_MOVEL_TEND!$B:$B,$E239,BASE_MOVEL_TEND!$C:$C,$A239)</f>
        <v>714.05093139551661</v>
      </c>
    </row>
    <row r="240" spans="1:13" x14ac:dyDescent="0.3">
      <c r="A240" t="s">
        <v>574</v>
      </c>
      <c r="B240" s="1">
        <v>46054</v>
      </c>
      <c r="C240" t="str">
        <f t="shared" si="20"/>
        <v>02</v>
      </c>
      <c r="D240">
        <f t="shared" si="21"/>
        <v>2026</v>
      </c>
      <c r="E240" t="s">
        <v>645</v>
      </c>
      <c r="F240" t="s">
        <v>665</v>
      </c>
      <c r="G240" t="s">
        <v>647</v>
      </c>
      <c r="H240">
        <v>0</v>
      </c>
      <c r="I240">
        <v>0</v>
      </c>
      <c r="J240" s="1">
        <f t="shared" si="22"/>
        <v>46054</v>
      </c>
      <c r="K240" t="str">
        <f t="shared" si="23"/>
        <v>fev/26</v>
      </c>
      <c r="L240" t="str">
        <f t="shared" si="24"/>
        <v>dom</v>
      </c>
      <c r="M240">
        <f>SUMIFS(BASE_MOVEL_TEND!$D:$D,BASE_MOVEL_TEND!$A:$A,$F240,BASE_MOVEL_TEND!$B:$B,$E240,BASE_MOVEL_TEND!$C:$C,$A240)</f>
        <v>46.227865120914778</v>
      </c>
    </row>
    <row r="241" spans="1:13" x14ac:dyDescent="0.3">
      <c r="A241" t="s">
        <v>606</v>
      </c>
      <c r="B241" s="1">
        <v>46054</v>
      </c>
      <c r="C241" t="str">
        <f t="shared" si="20"/>
        <v>02</v>
      </c>
      <c r="D241">
        <f t="shared" si="21"/>
        <v>2026</v>
      </c>
      <c r="E241" t="s">
        <v>645</v>
      </c>
      <c r="F241" t="s">
        <v>665</v>
      </c>
      <c r="G241" t="s">
        <v>647</v>
      </c>
      <c r="H241">
        <v>0</v>
      </c>
      <c r="I241">
        <v>0</v>
      </c>
      <c r="J241" s="1">
        <f t="shared" si="22"/>
        <v>46054</v>
      </c>
      <c r="K241" t="str">
        <f t="shared" si="23"/>
        <v>fev/26</v>
      </c>
      <c r="L241" t="str">
        <f t="shared" si="24"/>
        <v>dom</v>
      </c>
      <c r="M241">
        <f>SUMIFS(BASE_MOVEL_TEND!$D:$D,BASE_MOVEL_TEND!$A:$A,$F241,BASE_MOVEL_TEND!$B:$B,$E241,BASE_MOVEL_TEND!$C:$C,$A241)</f>
        <v>101.09577635433733</v>
      </c>
    </row>
    <row r="242" spans="1:13" x14ac:dyDescent="0.3">
      <c r="A242" t="s">
        <v>8</v>
      </c>
      <c r="B242" s="1">
        <v>46054</v>
      </c>
      <c r="C242" t="str">
        <f t="shared" si="20"/>
        <v>02</v>
      </c>
      <c r="D242">
        <f t="shared" si="21"/>
        <v>2026</v>
      </c>
      <c r="E242" t="s">
        <v>170</v>
      </c>
      <c r="F242" t="s">
        <v>648</v>
      </c>
      <c r="G242" t="s">
        <v>647</v>
      </c>
      <c r="H242">
        <v>0</v>
      </c>
      <c r="I242">
        <v>0</v>
      </c>
      <c r="J242" s="1">
        <f t="shared" si="22"/>
        <v>46054</v>
      </c>
      <c r="K242" t="str">
        <f t="shared" si="23"/>
        <v>fev/26</v>
      </c>
      <c r="L242" t="str">
        <f t="shared" si="24"/>
        <v>dom</v>
      </c>
      <c r="M242">
        <f>SUMIFS(BASE_MOVEL_TEND!$D:$D,BASE_MOVEL_TEND!$A:$A,$F242,BASE_MOVEL_TEND!$B:$B,$E242,BASE_MOVEL_TEND!$C:$C,$A242)</f>
        <v>16</v>
      </c>
    </row>
    <row r="243" spans="1:13" x14ac:dyDescent="0.3">
      <c r="A243" t="s">
        <v>174</v>
      </c>
      <c r="B243" s="1">
        <v>46054</v>
      </c>
      <c r="C243" t="str">
        <f t="shared" si="20"/>
        <v>02</v>
      </c>
      <c r="D243">
        <f t="shared" si="21"/>
        <v>2026</v>
      </c>
      <c r="E243" t="s">
        <v>170</v>
      </c>
      <c r="F243" t="s">
        <v>648</v>
      </c>
      <c r="G243" t="s">
        <v>647</v>
      </c>
      <c r="H243">
        <v>0</v>
      </c>
      <c r="I243">
        <v>0</v>
      </c>
      <c r="J243" s="1">
        <f t="shared" si="22"/>
        <v>46054</v>
      </c>
      <c r="K243" t="str">
        <f t="shared" si="23"/>
        <v>fev/26</v>
      </c>
      <c r="L243" t="str">
        <f t="shared" si="24"/>
        <v>dom</v>
      </c>
      <c r="M243">
        <f>SUMIFS(BASE_MOVEL_TEND!$D:$D,BASE_MOVEL_TEND!$A:$A,$F243,BASE_MOVEL_TEND!$B:$B,$E243,BASE_MOVEL_TEND!$C:$C,$A243)</f>
        <v>30</v>
      </c>
    </row>
    <row r="244" spans="1:13" x14ac:dyDescent="0.3">
      <c r="A244" t="s">
        <v>243</v>
      </c>
      <c r="B244" s="1">
        <v>46054</v>
      </c>
      <c r="C244" t="str">
        <f t="shared" si="20"/>
        <v>02</v>
      </c>
      <c r="D244">
        <f t="shared" si="21"/>
        <v>2026</v>
      </c>
      <c r="E244" t="s">
        <v>170</v>
      </c>
      <c r="F244" t="s">
        <v>648</v>
      </c>
      <c r="G244" t="s">
        <v>647</v>
      </c>
      <c r="H244">
        <v>0</v>
      </c>
      <c r="I244">
        <v>0</v>
      </c>
      <c r="J244" s="1">
        <f t="shared" si="22"/>
        <v>46054</v>
      </c>
      <c r="K244" t="str">
        <f t="shared" si="23"/>
        <v>fev/26</v>
      </c>
      <c r="L244" t="str">
        <f t="shared" si="24"/>
        <v>dom</v>
      </c>
      <c r="M244">
        <f>SUMIFS(BASE_MOVEL_TEND!$D:$D,BASE_MOVEL_TEND!$A:$A,$F244,BASE_MOVEL_TEND!$B:$B,$E244,BASE_MOVEL_TEND!$C:$C,$A244)</f>
        <v>5</v>
      </c>
    </row>
    <row r="245" spans="1:13" x14ac:dyDescent="0.3">
      <c r="A245" t="s">
        <v>287</v>
      </c>
      <c r="B245" s="1">
        <v>46054</v>
      </c>
      <c r="C245" t="str">
        <f t="shared" si="20"/>
        <v>02</v>
      </c>
      <c r="D245">
        <f t="shared" si="21"/>
        <v>2026</v>
      </c>
      <c r="E245" t="s">
        <v>170</v>
      </c>
      <c r="F245" t="s">
        <v>648</v>
      </c>
      <c r="G245" t="s">
        <v>647</v>
      </c>
      <c r="H245">
        <v>0</v>
      </c>
      <c r="I245">
        <v>0</v>
      </c>
      <c r="J245" s="1">
        <f t="shared" si="22"/>
        <v>46054</v>
      </c>
      <c r="K245" t="str">
        <f t="shared" si="23"/>
        <v>fev/26</v>
      </c>
      <c r="L245" t="str">
        <f t="shared" si="24"/>
        <v>dom</v>
      </c>
      <c r="M245">
        <f>SUMIFS(BASE_MOVEL_TEND!$D:$D,BASE_MOVEL_TEND!$A:$A,$F245,BASE_MOVEL_TEND!$B:$B,$E245,BASE_MOVEL_TEND!$C:$C,$A245)</f>
        <v>9</v>
      </c>
    </row>
    <row r="246" spans="1:13" x14ac:dyDescent="0.3">
      <c r="A246" t="s">
        <v>340</v>
      </c>
      <c r="B246" s="1">
        <v>46054</v>
      </c>
      <c r="C246" t="str">
        <f t="shared" si="20"/>
        <v>02</v>
      </c>
      <c r="D246">
        <f t="shared" si="21"/>
        <v>2026</v>
      </c>
      <c r="E246" t="s">
        <v>170</v>
      </c>
      <c r="F246" t="s">
        <v>648</v>
      </c>
      <c r="G246" t="s">
        <v>647</v>
      </c>
      <c r="H246">
        <v>0</v>
      </c>
      <c r="I246">
        <v>0</v>
      </c>
      <c r="J246" s="1">
        <f t="shared" si="22"/>
        <v>46054</v>
      </c>
      <c r="K246" t="str">
        <f t="shared" si="23"/>
        <v>fev/26</v>
      </c>
      <c r="L246" t="str">
        <f t="shared" si="24"/>
        <v>dom</v>
      </c>
      <c r="M246">
        <f>SUMIFS(BASE_MOVEL_TEND!$D:$D,BASE_MOVEL_TEND!$A:$A,$F246,BASE_MOVEL_TEND!$B:$B,$E246,BASE_MOVEL_TEND!$C:$C,$A246)</f>
        <v>4</v>
      </c>
    </row>
    <row r="247" spans="1:13" x14ac:dyDescent="0.3">
      <c r="A247" t="s">
        <v>381</v>
      </c>
      <c r="B247" s="1">
        <v>46054</v>
      </c>
      <c r="C247" t="str">
        <f t="shared" si="20"/>
        <v>02</v>
      </c>
      <c r="D247">
        <f t="shared" si="21"/>
        <v>2026</v>
      </c>
      <c r="E247" t="s">
        <v>170</v>
      </c>
      <c r="F247" t="s">
        <v>648</v>
      </c>
      <c r="G247" t="s">
        <v>647</v>
      </c>
      <c r="H247">
        <v>0</v>
      </c>
      <c r="I247">
        <v>0</v>
      </c>
      <c r="J247" s="1">
        <f t="shared" si="22"/>
        <v>46054</v>
      </c>
      <c r="K247" t="str">
        <f t="shared" si="23"/>
        <v>fev/26</v>
      </c>
      <c r="L247" t="str">
        <f t="shared" si="24"/>
        <v>dom</v>
      </c>
      <c r="M247">
        <f>SUMIFS(BASE_MOVEL_TEND!$D:$D,BASE_MOVEL_TEND!$A:$A,$F247,BASE_MOVEL_TEND!$B:$B,$E247,BASE_MOVEL_TEND!$C:$C,$A247)</f>
        <v>6</v>
      </c>
    </row>
    <row r="248" spans="1:13" x14ac:dyDescent="0.3">
      <c r="A248" t="s">
        <v>447</v>
      </c>
      <c r="B248" s="1">
        <v>46054</v>
      </c>
      <c r="C248" t="str">
        <f t="shared" si="20"/>
        <v>02</v>
      </c>
      <c r="D248">
        <f t="shared" si="21"/>
        <v>2026</v>
      </c>
      <c r="E248" t="s">
        <v>170</v>
      </c>
      <c r="F248" t="s">
        <v>648</v>
      </c>
      <c r="G248" t="s">
        <v>647</v>
      </c>
      <c r="H248">
        <v>0</v>
      </c>
      <c r="I248">
        <v>0</v>
      </c>
      <c r="J248" s="1">
        <f t="shared" si="22"/>
        <v>46054</v>
      </c>
      <c r="K248" t="str">
        <f t="shared" si="23"/>
        <v>fev/26</v>
      </c>
      <c r="L248" t="str">
        <f t="shared" si="24"/>
        <v>dom</v>
      </c>
      <c r="M248">
        <f>SUMIFS(BASE_MOVEL_TEND!$D:$D,BASE_MOVEL_TEND!$A:$A,$F248,BASE_MOVEL_TEND!$B:$B,$E248,BASE_MOVEL_TEND!$C:$C,$A248)</f>
        <v>17</v>
      </c>
    </row>
    <row r="249" spans="1:13" x14ac:dyDescent="0.3">
      <c r="A249" t="s">
        <v>517</v>
      </c>
      <c r="B249" s="1">
        <v>46054</v>
      </c>
      <c r="C249" t="str">
        <f t="shared" si="20"/>
        <v>02</v>
      </c>
      <c r="D249">
        <f t="shared" si="21"/>
        <v>2026</v>
      </c>
      <c r="E249" t="s">
        <v>170</v>
      </c>
      <c r="F249" t="s">
        <v>648</v>
      </c>
      <c r="G249" t="s">
        <v>647</v>
      </c>
      <c r="H249">
        <v>0</v>
      </c>
      <c r="I249">
        <v>0</v>
      </c>
      <c r="J249" s="1">
        <f t="shared" si="22"/>
        <v>46054</v>
      </c>
      <c r="K249" t="str">
        <f t="shared" si="23"/>
        <v>fev/26</v>
      </c>
      <c r="L249" t="str">
        <f t="shared" si="24"/>
        <v>dom</v>
      </c>
      <c r="M249">
        <f>SUMIFS(BASE_MOVEL_TEND!$D:$D,BASE_MOVEL_TEND!$A:$A,$F249,BASE_MOVEL_TEND!$B:$B,$E249,BASE_MOVEL_TEND!$C:$C,$A249)</f>
        <v>37</v>
      </c>
    </row>
    <row r="250" spans="1:13" x14ac:dyDescent="0.3">
      <c r="A250" t="s">
        <v>574</v>
      </c>
      <c r="B250" s="1">
        <v>46054</v>
      </c>
      <c r="C250" t="str">
        <f t="shared" si="20"/>
        <v>02</v>
      </c>
      <c r="D250">
        <f t="shared" si="21"/>
        <v>2026</v>
      </c>
      <c r="E250" t="s">
        <v>170</v>
      </c>
      <c r="F250" t="s">
        <v>648</v>
      </c>
      <c r="G250" t="s">
        <v>647</v>
      </c>
      <c r="H250">
        <v>0</v>
      </c>
      <c r="I250">
        <v>0</v>
      </c>
      <c r="J250" s="1">
        <f t="shared" si="22"/>
        <v>46054</v>
      </c>
      <c r="K250" t="str">
        <f t="shared" si="23"/>
        <v>fev/26</v>
      </c>
      <c r="L250" t="str">
        <f t="shared" si="24"/>
        <v>dom</v>
      </c>
      <c r="M250">
        <f>SUMIFS(BASE_MOVEL_TEND!$D:$D,BASE_MOVEL_TEND!$A:$A,$F250,BASE_MOVEL_TEND!$B:$B,$E250,BASE_MOVEL_TEND!$C:$C,$A250)</f>
        <v>12</v>
      </c>
    </row>
    <row r="251" spans="1:13" x14ac:dyDescent="0.3">
      <c r="A251" t="s">
        <v>606</v>
      </c>
      <c r="B251" s="1">
        <v>46054</v>
      </c>
      <c r="C251" t="str">
        <f t="shared" si="20"/>
        <v>02</v>
      </c>
      <c r="D251">
        <f t="shared" si="21"/>
        <v>2026</v>
      </c>
      <c r="E251" t="s">
        <v>170</v>
      </c>
      <c r="F251" t="s">
        <v>648</v>
      </c>
      <c r="G251" t="s">
        <v>647</v>
      </c>
      <c r="H251">
        <v>0</v>
      </c>
      <c r="I251">
        <v>0</v>
      </c>
      <c r="J251" s="1">
        <f t="shared" si="22"/>
        <v>46054</v>
      </c>
      <c r="K251" t="str">
        <f t="shared" si="23"/>
        <v>fev/26</v>
      </c>
      <c r="L251" t="str">
        <f t="shared" si="24"/>
        <v>dom</v>
      </c>
      <c r="M251">
        <f>SUMIFS(BASE_MOVEL_TEND!$D:$D,BASE_MOVEL_TEND!$A:$A,$F251,BASE_MOVEL_TEND!$B:$B,$E251,BASE_MOVEL_TEND!$C:$C,$A251)</f>
        <v>4</v>
      </c>
    </row>
    <row r="252" spans="1:13" x14ac:dyDescent="0.3">
      <c r="A252" t="s">
        <v>8</v>
      </c>
      <c r="B252" s="1">
        <v>46054</v>
      </c>
      <c r="C252" t="str">
        <f t="shared" si="20"/>
        <v>02</v>
      </c>
      <c r="D252">
        <f t="shared" si="21"/>
        <v>2026</v>
      </c>
      <c r="E252" t="s">
        <v>170</v>
      </c>
      <c r="F252" t="s">
        <v>665</v>
      </c>
      <c r="G252" t="s">
        <v>647</v>
      </c>
      <c r="H252">
        <v>0</v>
      </c>
      <c r="I252">
        <v>0</v>
      </c>
      <c r="J252" s="1">
        <f t="shared" si="22"/>
        <v>46054</v>
      </c>
      <c r="K252" t="str">
        <f t="shared" si="23"/>
        <v>fev/26</v>
      </c>
      <c r="L252" t="str">
        <f t="shared" si="24"/>
        <v>dom</v>
      </c>
      <c r="M252">
        <f>SUMIFS(BASE_MOVEL_TEND!$D:$D,BASE_MOVEL_TEND!$A:$A,$F252,BASE_MOVEL_TEND!$B:$B,$E252,BASE_MOVEL_TEND!$C:$C,$A252)</f>
        <v>16</v>
      </c>
    </row>
    <row r="253" spans="1:13" x14ac:dyDescent="0.3">
      <c r="A253" t="s">
        <v>174</v>
      </c>
      <c r="B253" s="1">
        <v>46054</v>
      </c>
      <c r="C253" t="str">
        <f t="shared" si="20"/>
        <v>02</v>
      </c>
      <c r="D253">
        <f t="shared" si="21"/>
        <v>2026</v>
      </c>
      <c r="E253" t="s">
        <v>170</v>
      </c>
      <c r="F253" t="s">
        <v>665</v>
      </c>
      <c r="G253" t="s">
        <v>647</v>
      </c>
      <c r="H253">
        <v>0</v>
      </c>
      <c r="I253">
        <v>0</v>
      </c>
      <c r="J253" s="1">
        <f t="shared" si="22"/>
        <v>46054</v>
      </c>
      <c r="K253" t="str">
        <f t="shared" si="23"/>
        <v>fev/26</v>
      </c>
      <c r="L253" t="str">
        <f t="shared" si="24"/>
        <v>dom</v>
      </c>
      <c r="M253">
        <f>SUMIFS(BASE_MOVEL_TEND!$D:$D,BASE_MOVEL_TEND!$A:$A,$F253,BASE_MOVEL_TEND!$B:$B,$E253,BASE_MOVEL_TEND!$C:$C,$A253)</f>
        <v>28</v>
      </c>
    </row>
    <row r="254" spans="1:13" x14ac:dyDescent="0.3">
      <c r="A254" t="s">
        <v>243</v>
      </c>
      <c r="B254" s="1">
        <v>46054</v>
      </c>
      <c r="C254" t="str">
        <f t="shared" si="20"/>
        <v>02</v>
      </c>
      <c r="D254">
        <f t="shared" si="21"/>
        <v>2026</v>
      </c>
      <c r="E254" t="s">
        <v>170</v>
      </c>
      <c r="F254" t="s">
        <v>665</v>
      </c>
      <c r="G254" t="s">
        <v>647</v>
      </c>
      <c r="H254">
        <v>0</v>
      </c>
      <c r="I254">
        <v>0</v>
      </c>
      <c r="J254" s="1">
        <f t="shared" si="22"/>
        <v>46054</v>
      </c>
      <c r="K254" t="str">
        <f t="shared" si="23"/>
        <v>fev/26</v>
      </c>
      <c r="L254" t="str">
        <f t="shared" si="24"/>
        <v>dom</v>
      </c>
      <c r="M254">
        <f>SUMIFS(BASE_MOVEL_TEND!$D:$D,BASE_MOVEL_TEND!$A:$A,$F254,BASE_MOVEL_TEND!$B:$B,$E254,BASE_MOVEL_TEND!$C:$C,$A254)</f>
        <v>4</v>
      </c>
    </row>
    <row r="255" spans="1:13" x14ac:dyDescent="0.3">
      <c r="A255" t="s">
        <v>287</v>
      </c>
      <c r="B255" s="1">
        <v>46054</v>
      </c>
      <c r="C255" t="str">
        <f t="shared" si="20"/>
        <v>02</v>
      </c>
      <c r="D255">
        <f t="shared" si="21"/>
        <v>2026</v>
      </c>
      <c r="E255" t="s">
        <v>170</v>
      </c>
      <c r="F255" t="s">
        <v>665</v>
      </c>
      <c r="G255" t="s">
        <v>647</v>
      </c>
      <c r="H255">
        <v>0</v>
      </c>
      <c r="I255">
        <v>0</v>
      </c>
      <c r="J255" s="1">
        <f t="shared" si="22"/>
        <v>46054</v>
      </c>
      <c r="K255" t="str">
        <f t="shared" si="23"/>
        <v>fev/26</v>
      </c>
      <c r="L255" t="str">
        <f t="shared" si="24"/>
        <v>dom</v>
      </c>
      <c r="M255">
        <f>SUMIFS(BASE_MOVEL_TEND!$D:$D,BASE_MOVEL_TEND!$A:$A,$F255,BASE_MOVEL_TEND!$B:$B,$E255,BASE_MOVEL_TEND!$C:$C,$A255)</f>
        <v>8</v>
      </c>
    </row>
    <row r="256" spans="1:13" x14ac:dyDescent="0.3">
      <c r="A256" t="s">
        <v>340</v>
      </c>
      <c r="B256" s="1">
        <v>46054</v>
      </c>
      <c r="C256" t="str">
        <f t="shared" si="20"/>
        <v>02</v>
      </c>
      <c r="D256">
        <f t="shared" si="21"/>
        <v>2026</v>
      </c>
      <c r="E256" t="s">
        <v>170</v>
      </c>
      <c r="F256" t="s">
        <v>665</v>
      </c>
      <c r="G256" t="s">
        <v>647</v>
      </c>
      <c r="H256">
        <v>0</v>
      </c>
      <c r="I256">
        <v>0</v>
      </c>
      <c r="J256" s="1">
        <f t="shared" si="22"/>
        <v>46054</v>
      </c>
      <c r="K256" t="str">
        <f t="shared" si="23"/>
        <v>fev/26</v>
      </c>
      <c r="L256" t="str">
        <f t="shared" si="24"/>
        <v>dom</v>
      </c>
      <c r="M256">
        <f>SUMIFS(BASE_MOVEL_TEND!$D:$D,BASE_MOVEL_TEND!$A:$A,$F256,BASE_MOVEL_TEND!$B:$B,$E256,BASE_MOVEL_TEND!$C:$C,$A256)</f>
        <v>4</v>
      </c>
    </row>
    <row r="257" spans="1:13" x14ac:dyDescent="0.3">
      <c r="A257" t="s">
        <v>381</v>
      </c>
      <c r="B257" s="1">
        <v>46054</v>
      </c>
      <c r="C257" t="str">
        <f t="shared" si="20"/>
        <v>02</v>
      </c>
      <c r="D257">
        <f t="shared" si="21"/>
        <v>2026</v>
      </c>
      <c r="E257" t="s">
        <v>170</v>
      </c>
      <c r="F257" t="s">
        <v>665</v>
      </c>
      <c r="G257" t="s">
        <v>647</v>
      </c>
      <c r="H257">
        <v>0</v>
      </c>
      <c r="I257">
        <v>0</v>
      </c>
      <c r="J257" s="1">
        <f t="shared" si="22"/>
        <v>46054</v>
      </c>
      <c r="K257" t="str">
        <f t="shared" si="23"/>
        <v>fev/26</v>
      </c>
      <c r="L257" t="str">
        <f t="shared" si="24"/>
        <v>dom</v>
      </c>
      <c r="M257">
        <f>SUMIFS(BASE_MOVEL_TEND!$D:$D,BASE_MOVEL_TEND!$A:$A,$F257,BASE_MOVEL_TEND!$B:$B,$E257,BASE_MOVEL_TEND!$C:$C,$A257)</f>
        <v>3</v>
      </c>
    </row>
    <row r="258" spans="1:13" x14ac:dyDescent="0.3">
      <c r="A258" t="s">
        <v>447</v>
      </c>
      <c r="B258" s="1">
        <v>46054</v>
      </c>
      <c r="C258" t="str">
        <f t="shared" si="20"/>
        <v>02</v>
      </c>
      <c r="D258">
        <f t="shared" si="21"/>
        <v>2026</v>
      </c>
      <c r="E258" t="s">
        <v>170</v>
      </c>
      <c r="F258" t="s">
        <v>665</v>
      </c>
      <c r="G258" t="s">
        <v>647</v>
      </c>
      <c r="H258">
        <v>0</v>
      </c>
      <c r="I258">
        <v>0</v>
      </c>
      <c r="J258" s="1">
        <f t="shared" si="22"/>
        <v>46054</v>
      </c>
      <c r="K258" t="str">
        <f t="shared" si="23"/>
        <v>fev/26</v>
      </c>
      <c r="L258" t="str">
        <f t="shared" si="24"/>
        <v>dom</v>
      </c>
      <c r="M258">
        <f>SUMIFS(BASE_MOVEL_TEND!$D:$D,BASE_MOVEL_TEND!$A:$A,$F258,BASE_MOVEL_TEND!$B:$B,$E258,BASE_MOVEL_TEND!$C:$C,$A258)</f>
        <v>16</v>
      </c>
    </row>
    <row r="259" spans="1:13" x14ac:dyDescent="0.3">
      <c r="A259" t="s">
        <v>517</v>
      </c>
      <c r="B259" s="1">
        <v>46054</v>
      </c>
      <c r="C259" t="str">
        <f t="shared" si="20"/>
        <v>02</v>
      </c>
      <c r="D259">
        <f t="shared" si="21"/>
        <v>2026</v>
      </c>
      <c r="E259" t="s">
        <v>170</v>
      </c>
      <c r="F259" t="s">
        <v>665</v>
      </c>
      <c r="G259" t="s">
        <v>647</v>
      </c>
      <c r="H259">
        <v>0</v>
      </c>
      <c r="I259">
        <v>0</v>
      </c>
      <c r="J259" s="1">
        <f t="shared" si="22"/>
        <v>46054</v>
      </c>
      <c r="K259" t="str">
        <f t="shared" si="23"/>
        <v>fev/26</v>
      </c>
      <c r="L259" t="str">
        <f t="shared" si="24"/>
        <v>dom</v>
      </c>
      <c r="M259">
        <f>SUMIFS(BASE_MOVEL_TEND!$D:$D,BASE_MOVEL_TEND!$A:$A,$F259,BASE_MOVEL_TEND!$B:$B,$E259,BASE_MOVEL_TEND!$C:$C,$A259)</f>
        <v>29</v>
      </c>
    </row>
    <row r="260" spans="1:13" x14ac:dyDescent="0.3">
      <c r="A260" t="s">
        <v>574</v>
      </c>
      <c r="B260" s="1">
        <v>46054</v>
      </c>
      <c r="C260" t="str">
        <f t="shared" si="20"/>
        <v>02</v>
      </c>
      <c r="D260">
        <f t="shared" si="21"/>
        <v>2026</v>
      </c>
      <c r="E260" t="s">
        <v>170</v>
      </c>
      <c r="F260" t="s">
        <v>665</v>
      </c>
      <c r="G260" t="s">
        <v>647</v>
      </c>
      <c r="H260">
        <v>0</v>
      </c>
      <c r="I260">
        <v>0</v>
      </c>
      <c r="J260" s="1">
        <f t="shared" si="22"/>
        <v>46054</v>
      </c>
      <c r="K260" t="str">
        <f t="shared" si="23"/>
        <v>fev/26</v>
      </c>
      <c r="L260" t="str">
        <f t="shared" si="24"/>
        <v>dom</v>
      </c>
      <c r="M260">
        <f>SUMIFS(BASE_MOVEL_TEND!$D:$D,BASE_MOVEL_TEND!$A:$A,$F260,BASE_MOVEL_TEND!$B:$B,$E260,BASE_MOVEL_TEND!$C:$C,$A260)</f>
        <v>12</v>
      </c>
    </row>
    <row r="261" spans="1:13" x14ac:dyDescent="0.3">
      <c r="A261" t="s">
        <v>606</v>
      </c>
      <c r="B261" s="1">
        <v>46054</v>
      </c>
      <c r="C261" t="str">
        <f t="shared" si="20"/>
        <v>02</v>
      </c>
      <c r="D261">
        <f t="shared" si="21"/>
        <v>2026</v>
      </c>
      <c r="E261" t="s">
        <v>170</v>
      </c>
      <c r="F261" t="s">
        <v>665</v>
      </c>
      <c r="G261" t="s">
        <v>647</v>
      </c>
      <c r="H261">
        <v>0</v>
      </c>
      <c r="I261">
        <v>0</v>
      </c>
      <c r="J261" s="1">
        <f t="shared" si="22"/>
        <v>46054</v>
      </c>
      <c r="K261" t="str">
        <f t="shared" si="23"/>
        <v>fev/26</v>
      </c>
      <c r="L261" t="str">
        <f t="shared" si="24"/>
        <v>dom</v>
      </c>
      <c r="M261">
        <f>SUMIFS(BASE_MOVEL_TEND!$D:$D,BASE_MOVEL_TEND!$A:$A,$F261,BASE_MOVEL_TEND!$B:$B,$E261,BASE_MOVEL_TEND!$C:$C,$A261)</f>
        <v>4</v>
      </c>
    </row>
    <row r="262" spans="1:13" x14ac:dyDescent="0.3">
      <c r="A262" t="s">
        <v>8</v>
      </c>
      <c r="B262" s="1">
        <v>46054</v>
      </c>
      <c r="C262" t="str">
        <f>TEXT(B262,"MM")</f>
        <v>02</v>
      </c>
      <c r="D262">
        <f>YEAR(B262)</f>
        <v>2026</v>
      </c>
      <c r="E262" t="s">
        <v>164</v>
      </c>
      <c r="F262" t="s">
        <v>681</v>
      </c>
      <c r="G262" t="s">
        <v>647</v>
      </c>
      <c r="H262">
        <v>0</v>
      </c>
      <c r="I262">
        <v>0</v>
      </c>
      <c r="J262" s="1">
        <f>B262</f>
        <v>46054</v>
      </c>
      <c r="K262" t="str">
        <f>TEXT(J262,"MMM/AA")</f>
        <v>fev/26</v>
      </c>
      <c r="L262" t="str">
        <f>TEXT(J262,"DDD")</f>
        <v>dom</v>
      </c>
      <c r="M262">
        <f>SUMIFS(PEDIDOS_MÓVEL!$D:$D,PEDIDOS_MÓVEL!$A:$A,A262)</f>
        <v>764</v>
      </c>
    </row>
    <row r="263" spans="1:13" x14ac:dyDescent="0.3">
      <c r="A263" t="s">
        <v>174</v>
      </c>
      <c r="B263" s="1">
        <v>46054</v>
      </c>
      <c r="C263" t="str">
        <f t="shared" ref="C263:C291" si="25">TEXT(B263,"MM")</f>
        <v>02</v>
      </c>
      <c r="D263">
        <f t="shared" ref="D263:D291" si="26">YEAR(B263)</f>
        <v>2026</v>
      </c>
      <c r="E263" t="s">
        <v>164</v>
      </c>
      <c r="F263" t="s">
        <v>681</v>
      </c>
      <c r="G263" t="s">
        <v>647</v>
      </c>
      <c r="H263">
        <v>0</v>
      </c>
      <c r="I263">
        <v>0</v>
      </c>
      <c r="J263" s="1">
        <f t="shared" ref="J263:J291" si="27">B263</f>
        <v>46054</v>
      </c>
      <c r="K263" t="str">
        <f t="shared" ref="K263:K291" si="28">TEXT(J263,"MMM/AA")</f>
        <v>fev/26</v>
      </c>
      <c r="L263" t="str">
        <f t="shared" ref="L263:L291" si="29">TEXT(J263,"DDD")</f>
        <v>dom</v>
      </c>
      <c r="M263">
        <f>SUMIFS(PEDIDOS_MÓVEL!$D:$D,PEDIDOS_MÓVEL!$A:$A,A263)</f>
        <v>1038.1774193548388</v>
      </c>
    </row>
    <row r="264" spans="1:13" x14ac:dyDescent="0.3">
      <c r="A264" t="s">
        <v>243</v>
      </c>
      <c r="B264" s="1">
        <v>46054</v>
      </c>
      <c r="C264" t="str">
        <f t="shared" si="25"/>
        <v>02</v>
      </c>
      <c r="D264">
        <f t="shared" si="26"/>
        <v>2026</v>
      </c>
      <c r="E264" t="s">
        <v>164</v>
      </c>
      <c r="F264" t="s">
        <v>681</v>
      </c>
      <c r="G264" t="s">
        <v>647</v>
      </c>
      <c r="H264">
        <v>0</v>
      </c>
      <c r="I264">
        <v>0</v>
      </c>
      <c r="J264" s="1">
        <f t="shared" si="27"/>
        <v>46054</v>
      </c>
      <c r="K264" t="str">
        <f t="shared" si="28"/>
        <v>fev/26</v>
      </c>
      <c r="L264" t="str">
        <f t="shared" si="29"/>
        <v>dom</v>
      </c>
      <c r="M264">
        <f>SUMIFS(PEDIDOS_MÓVEL!$D:$D,PEDIDOS_MÓVEL!$A:$A,A264)</f>
        <v>400.48387096774201</v>
      </c>
    </row>
    <row r="265" spans="1:13" x14ac:dyDescent="0.3">
      <c r="A265" t="s">
        <v>287</v>
      </c>
      <c r="B265" s="1">
        <v>46054</v>
      </c>
      <c r="C265" t="str">
        <f t="shared" si="25"/>
        <v>02</v>
      </c>
      <c r="D265">
        <f t="shared" si="26"/>
        <v>2026</v>
      </c>
      <c r="E265" t="s">
        <v>164</v>
      </c>
      <c r="F265" t="s">
        <v>681</v>
      </c>
      <c r="G265" t="s">
        <v>647</v>
      </c>
      <c r="H265">
        <v>0</v>
      </c>
      <c r="I265">
        <v>0</v>
      </c>
      <c r="J265" s="1">
        <f t="shared" si="27"/>
        <v>46054</v>
      </c>
      <c r="K265" t="str">
        <f t="shared" si="28"/>
        <v>fev/26</v>
      </c>
      <c r="L265" t="str">
        <f t="shared" si="29"/>
        <v>dom</v>
      </c>
      <c r="M265">
        <f>SUMIFS(PEDIDOS_MÓVEL!$D:$D,PEDIDOS_MÓVEL!$A:$A,A265)</f>
        <v>699.30645161290329</v>
      </c>
    </row>
    <row r="266" spans="1:13" x14ac:dyDescent="0.3">
      <c r="A266" t="s">
        <v>340</v>
      </c>
      <c r="B266" s="1">
        <v>46054</v>
      </c>
      <c r="C266" t="str">
        <f t="shared" si="25"/>
        <v>02</v>
      </c>
      <c r="D266">
        <f t="shared" si="26"/>
        <v>2026</v>
      </c>
      <c r="E266" t="s">
        <v>164</v>
      </c>
      <c r="F266" t="s">
        <v>681</v>
      </c>
      <c r="G266" t="s">
        <v>647</v>
      </c>
      <c r="H266">
        <v>0</v>
      </c>
      <c r="I266">
        <v>0</v>
      </c>
      <c r="J266" s="1">
        <f t="shared" si="27"/>
        <v>46054</v>
      </c>
      <c r="K266" t="str">
        <f t="shared" si="28"/>
        <v>fev/26</v>
      </c>
      <c r="L266" t="str">
        <f t="shared" si="29"/>
        <v>dom</v>
      </c>
      <c r="M266">
        <f>SUMIFS(PEDIDOS_MÓVEL!$D:$D,PEDIDOS_MÓVEL!$A:$A,A266)</f>
        <v>268.01612903225811</v>
      </c>
    </row>
    <row r="267" spans="1:13" x14ac:dyDescent="0.3">
      <c r="A267" t="s">
        <v>381</v>
      </c>
      <c r="B267" s="1">
        <v>46054</v>
      </c>
      <c r="C267" t="str">
        <f t="shared" si="25"/>
        <v>02</v>
      </c>
      <c r="D267">
        <f t="shared" si="26"/>
        <v>2026</v>
      </c>
      <c r="E267" t="s">
        <v>164</v>
      </c>
      <c r="F267" t="s">
        <v>681</v>
      </c>
      <c r="G267" t="s">
        <v>647</v>
      </c>
      <c r="H267">
        <v>0</v>
      </c>
      <c r="I267">
        <v>0</v>
      </c>
      <c r="J267" s="1">
        <f t="shared" si="27"/>
        <v>46054</v>
      </c>
      <c r="K267" t="str">
        <f t="shared" si="28"/>
        <v>fev/26</v>
      </c>
      <c r="L267" t="str">
        <f t="shared" si="29"/>
        <v>dom</v>
      </c>
      <c r="M267">
        <f>SUMIFS(PEDIDOS_MÓVEL!$D:$D,PEDIDOS_MÓVEL!$A:$A,A267)</f>
        <v>671.58064516129048</v>
      </c>
    </row>
    <row r="268" spans="1:13" x14ac:dyDescent="0.3">
      <c r="A268" t="s">
        <v>447</v>
      </c>
      <c r="B268" s="1">
        <v>46054</v>
      </c>
      <c r="C268" t="str">
        <f t="shared" si="25"/>
        <v>02</v>
      </c>
      <c r="D268">
        <f t="shared" si="26"/>
        <v>2026</v>
      </c>
      <c r="E268" t="s">
        <v>164</v>
      </c>
      <c r="F268" t="s">
        <v>681</v>
      </c>
      <c r="G268" t="s">
        <v>647</v>
      </c>
      <c r="H268">
        <v>0</v>
      </c>
      <c r="I268">
        <v>0</v>
      </c>
      <c r="J268" s="1">
        <f t="shared" si="27"/>
        <v>46054</v>
      </c>
      <c r="K268" t="str">
        <f t="shared" si="28"/>
        <v>fev/26</v>
      </c>
      <c r="L268" t="str">
        <f t="shared" si="29"/>
        <v>dom</v>
      </c>
      <c r="M268">
        <f>SUMIFS(PEDIDOS_MÓVEL!$D:$D,PEDIDOS_MÓVEL!$A:$A,A268)</f>
        <v>597.64516129032268</v>
      </c>
    </row>
    <row r="269" spans="1:13" x14ac:dyDescent="0.3">
      <c r="A269" t="s">
        <v>517</v>
      </c>
      <c r="B269" s="1">
        <v>46054</v>
      </c>
      <c r="C269" t="str">
        <f t="shared" si="25"/>
        <v>02</v>
      </c>
      <c r="D269">
        <f t="shared" si="26"/>
        <v>2026</v>
      </c>
      <c r="E269" t="s">
        <v>164</v>
      </c>
      <c r="F269" t="s">
        <v>681</v>
      </c>
      <c r="G269" t="s">
        <v>647</v>
      </c>
      <c r="H269">
        <v>0</v>
      </c>
      <c r="I269">
        <v>0</v>
      </c>
      <c r="J269" s="1">
        <f t="shared" si="27"/>
        <v>46054</v>
      </c>
      <c r="K269" t="str">
        <f t="shared" si="28"/>
        <v>fev/26</v>
      </c>
      <c r="L269" t="str">
        <f t="shared" si="29"/>
        <v>dom</v>
      </c>
      <c r="M269">
        <f>SUMIFS(PEDIDOS_MÓVEL!$D:$D,PEDIDOS_MÓVEL!$A:$A,A269)</f>
        <v>1543.4032258064519</v>
      </c>
    </row>
    <row r="270" spans="1:13" x14ac:dyDescent="0.3">
      <c r="A270" t="s">
        <v>574</v>
      </c>
      <c r="B270" s="1">
        <v>46054</v>
      </c>
      <c r="C270" t="str">
        <f t="shared" si="25"/>
        <v>02</v>
      </c>
      <c r="D270">
        <f t="shared" si="26"/>
        <v>2026</v>
      </c>
      <c r="E270" t="s">
        <v>164</v>
      </c>
      <c r="F270" t="s">
        <v>681</v>
      </c>
      <c r="G270" t="s">
        <v>647</v>
      </c>
      <c r="H270">
        <v>0</v>
      </c>
      <c r="I270">
        <v>0</v>
      </c>
      <c r="J270" s="1">
        <f t="shared" si="27"/>
        <v>46054</v>
      </c>
      <c r="K270" t="str">
        <f t="shared" si="28"/>
        <v>fev/26</v>
      </c>
      <c r="L270" t="str">
        <f t="shared" si="29"/>
        <v>dom</v>
      </c>
      <c r="M270">
        <f>SUMIFS(PEDIDOS_MÓVEL!$D:$D,PEDIDOS_MÓVEL!$A:$A,A270)</f>
        <v>280.33870967741939</v>
      </c>
    </row>
    <row r="271" spans="1:13" x14ac:dyDescent="0.3">
      <c r="A271" t="s">
        <v>606</v>
      </c>
      <c r="B271" s="1">
        <v>46054</v>
      </c>
      <c r="C271" t="str">
        <f t="shared" si="25"/>
        <v>02</v>
      </c>
      <c r="D271">
        <f t="shared" si="26"/>
        <v>2026</v>
      </c>
      <c r="E271" t="s">
        <v>164</v>
      </c>
      <c r="F271" t="s">
        <v>681</v>
      </c>
      <c r="G271" t="s">
        <v>647</v>
      </c>
      <c r="H271">
        <v>0</v>
      </c>
      <c r="I271">
        <v>0</v>
      </c>
      <c r="J271" s="1">
        <f t="shared" si="27"/>
        <v>46054</v>
      </c>
      <c r="K271" t="str">
        <f t="shared" si="28"/>
        <v>fev/26</v>
      </c>
      <c r="L271" t="str">
        <f t="shared" si="29"/>
        <v>dom</v>
      </c>
      <c r="M271">
        <f>SUMIFS(PEDIDOS_MÓVEL!$D:$D,PEDIDOS_MÓVEL!$A:$A,A271)</f>
        <v>231.04838709677423</v>
      </c>
    </row>
    <row r="272" spans="1:13" x14ac:dyDescent="0.3">
      <c r="A272" t="s">
        <v>8</v>
      </c>
      <c r="B272" s="1">
        <v>46054</v>
      </c>
      <c r="C272" t="str">
        <f t="shared" si="25"/>
        <v>02</v>
      </c>
      <c r="D272">
        <f t="shared" si="26"/>
        <v>2026</v>
      </c>
      <c r="E272" t="s">
        <v>164</v>
      </c>
      <c r="F272" t="s">
        <v>681</v>
      </c>
      <c r="G272" t="s">
        <v>643</v>
      </c>
      <c r="H272">
        <v>0</v>
      </c>
      <c r="I272">
        <v>0</v>
      </c>
      <c r="J272" s="1">
        <f t="shared" si="27"/>
        <v>46054</v>
      </c>
      <c r="K272" t="str">
        <f t="shared" si="28"/>
        <v>fev/26</v>
      </c>
      <c r="L272" t="str">
        <f t="shared" si="29"/>
        <v>dom</v>
      </c>
      <c r="M272">
        <f>SUMIFS(PEDIDOS_FIXA!B:B,PEDIDOS_FIXA!A:A,A272)</f>
        <v>637.0261115031758</v>
      </c>
    </row>
    <row r="273" spans="1:13" x14ac:dyDescent="0.3">
      <c r="A273" t="s">
        <v>174</v>
      </c>
      <c r="B273" s="1">
        <v>46054</v>
      </c>
      <c r="C273" t="str">
        <f t="shared" si="25"/>
        <v>02</v>
      </c>
      <c r="D273">
        <f t="shared" si="26"/>
        <v>2026</v>
      </c>
      <c r="E273" t="s">
        <v>164</v>
      </c>
      <c r="F273" t="s">
        <v>681</v>
      </c>
      <c r="G273" t="s">
        <v>643</v>
      </c>
      <c r="H273">
        <v>0</v>
      </c>
      <c r="I273">
        <v>0</v>
      </c>
      <c r="J273" s="1">
        <f t="shared" si="27"/>
        <v>46054</v>
      </c>
      <c r="K273" t="str">
        <f t="shared" si="28"/>
        <v>fev/26</v>
      </c>
      <c r="L273" t="str">
        <f t="shared" si="29"/>
        <v>dom</v>
      </c>
      <c r="M273">
        <f>SUMIFS(PEDIDOS_FIXA!B:B,PEDIDOS_FIXA!A:A,A273)</f>
        <v>852.42342978122804</v>
      </c>
    </row>
    <row r="274" spans="1:13" x14ac:dyDescent="0.3">
      <c r="A274" t="s">
        <v>243</v>
      </c>
      <c r="B274" s="1">
        <v>46054</v>
      </c>
      <c r="C274" t="str">
        <f t="shared" si="25"/>
        <v>02</v>
      </c>
      <c r="D274">
        <f t="shared" si="26"/>
        <v>2026</v>
      </c>
      <c r="E274" t="s">
        <v>164</v>
      </c>
      <c r="F274" t="s">
        <v>681</v>
      </c>
      <c r="G274" t="s">
        <v>643</v>
      </c>
      <c r="H274">
        <v>0</v>
      </c>
      <c r="I274">
        <v>0</v>
      </c>
      <c r="J274" s="1">
        <f t="shared" si="27"/>
        <v>46054</v>
      </c>
      <c r="K274" t="str">
        <f t="shared" si="28"/>
        <v>fev/26</v>
      </c>
      <c r="L274" t="str">
        <f t="shared" si="29"/>
        <v>dom</v>
      </c>
      <c r="M274">
        <f>SUMIFS(PEDIDOS_FIXA!B:B,PEDIDOS_FIXA!A:A,A274)</f>
        <v>336.84474241354974</v>
      </c>
    </row>
    <row r="275" spans="1:13" x14ac:dyDescent="0.3">
      <c r="A275" t="s">
        <v>287</v>
      </c>
      <c r="B275" s="1">
        <v>46054</v>
      </c>
      <c r="C275" t="str">
        <f t="shared" si="25"/>
        <v>02</v>
      </c>
      <c r="D275">
        <f t="shared" si="26"/>
        <v>2026</v>
      </c>
      <c r="E275" t="s">
        <v>164</v>
      </c>
      <c r="F275" t="s">
        <v>681</v>
      </c>
      <c r="G275" t="s">
        <v>643</v>
      </c>
      <c r="H275">
        <v>0</v>
      </c>
      <c r="I275">
        <v>0</v>
      </c>
      <c r="J275" s="1">
        <f t="shared" si="27"/>
        <v>46054</v>
      </c>
      <c r="K275" t="str">
        <f t="shared" si="28"/>
        <v>fev/26</v>
      </c>
      <c r="L275" t="str">
        <f t="shared" si="29"/>
        <v>dom</v>
      </c>
      <c r="M275">
        <f>SUMIFS(PEDIDOS_FIXA!B:B,PEDIDOS_FIXA!A:A,A275)</f>
        <v>600.36273817925189</v>
      </c>
    </row>
    <row r="276" spans="1:13" x14ac:dyDescent="0.3">
      <c r="A276" t="s">
        <v>340</v>
      </c>
      <c r="B276" s="1">
        <v>46054</v>
      </c>
      <c r="C276" t="str">
        <f t="shared" si="25"/>
        <v>02</v>
      </c>
      <c r="D276">
        <f t="shared" si="26"/>
        <v>2026</v>
      </c>
      <c r="E276" t="s">
        <v>164</v>
      </c>
      <c r="F276" t="s">
        <v>681</v>
      </c>
      <c r="G276" t="s">
        <v>643</v>
      </c>
      <c r="H276">
        <v>0</v>
      </c>
      <c r="I276">
        <v>0</v>
      </c>
      <c r="J276" s="1">
        <f t="shared" si="27"/>
        <v>46054</v>
      </c>
      <c r="K276" t="str">
        <f t="shared" si="28"/>
        <v>fev/26</v>
      </c>
      <c r="L276" t="str">
        <f t="shared" si="29"/>
        <v>dom</v>
      </c>
      <c r="M276">
        <f>SUMIFS(PEDIDOS_FIXA!B:B,PEDIDOS_FIXA!A:A,A276)</f>
        <v>224.56316160903319</v>
      </c>
    </row>
    <row r="277" spans="1:13" x14ac:dyDescent="0.3">
      <c r="A277" t="s">
        <v>381</v>
      </c>
      <c r="B277" s="1">
        <v>46054</v>
      </c>
      <c r="C277" t="str">
        <f t="shared" si="25"/>
        <v>02</v>
      </c>
      <c r="D277">
        <f t="shared" si="26"/>
        <v>2026</v>
      </c>
      <c r="E277" t="s">
        <v>164</v>
      </c>
      <c r="F277" t="s">
        <v>681</v>
      </c>
      <c r="G277" t="s">
        <v>643</v>
      </c>
      <c r="H277">
        <v>0</v>
      </c>
      <c r="I277">
        <v>0</v>
      </c>
      <c r="J277" s="1">
        <f t="shared" si="27"/>
        <v>46054</v>
      </c>
      <c r="K277" t="str">
        <f t="shared" si="28"/>
        <v>fev/26</v>
      </c>
      <c r="L277" t="str">
        <f t="shared" si="29"/>
        <v>dom</v>
      </c>
      <c r="M277">
        <f>SUMIFS(PEDIDOS_FIXA!B:B,PEDIDOS_FIXA!A:A,A277)</f>
        <v>575.15666901905433</v>
      </c>
    </row>
    <row r="278" spans="1:13" x14ac:dyDescent="0.3">
      <c r="A278" t="s">
        <v>447</v>
      </c>
      <c r="B278" s="1">
        <v>46054</v>
      </c>
      <c r="C278" t="str">
        <f t="shared" si="25"/>
        <v>02</v>
      </c>
      <c r="D278">
        <f t="shared" si="26"/>
        <v>2026</v>
      </c>
      <c r="E278" t="s">
        <v>164</v>
      </c>
      <c r="F278" t="s">
        <v>681</v>
      </c>
      <c r="G278" t="s">
        <v>643</v>
      </c>
      <c r="H278">
        <v>0</v>
      </c>
      <c r="I278">
        <v>0</v>
      </c>
      <c r="J278" s="1">
        <f t="shared" si="27"/>
        <v>46054</v>
      </c>
      <c r="K278" t="str">
        <f t="shared" si="28"/>
        <v>fev/26</v>
      </c>
      <c r="L278" t="str">
        <f t="shared" si="29"/>
        <v>dom</v>
      </c>
      <c r="M278">
        <f>SUMIFS(PEDIDOS_FIXA!B:B,PEDIDOS_FIXA!A:A,A278)</f>
        <v>488.08115737473531</v>
      </c>
    </row>
    <row r="279" spans="1:13" x14ac:dyDescent="0.3">
      <c r="A279" t="s">
        <v>517</v>
      </c>
      <c r="B279" s="1">
        <v>46054</v>
      </c>
      <c r="C279" t="str">
        <f t="shared" si="25"/>
        <v>02</v>
      </c>
      <c r="D279">
        <f t="shared" si="26"/>
        <v>2026</v>
      </c>
      <c r="E279" t="s">
        <v>164</v>
      </c>
      <c r="F279" t="s">
        <v>681</v>
      </c>
      <c r="G279" t="s">
        <v>643</v>
      </c>
      <c r="H279">
        <v>0</v>
      </c>
      <c r="I279">
        <v>0</v>
      </c>
      <c r="J279" s="1">
        <f t="shared" si="27"/>
        <v>46054</v>
      </c>
      <c r="K279" t="str">
        <f t="shared" si="28"/>
        <v>fev/26</v>
      </c>
      <c r="L279" t="str">
        <f t="shared" si="29"/>
        <v>dom</v>
      </c>
      <c r="M279">
        <f>SUMIFS(PEDIDOS_FIXA!B:B,PEDIDOS_FIXA!A:A,A279)</f>
        <v>1319.8814396612561</v>
      </c>
    </row>
    <row r="280" spans="1:13" x14ac:dyDescent="0.3">
      <c r="A280" t="s">
        <v>574</v>
      </c>
      <c r="B280" s="1">
        <v>46054</v>
      </c>
      <c r="C280" t="str">
        <f t="shared" si="25"/>
        <v>02</v>
      </c>
      <c r="D280">
        <f t="shared" si="26"/>
        <v>2026</v>
      </c>
      <c r="E280" t="s">
        <v>164</v>
      </c>
      <c r="F280" t="s">
        <v>681</v>
      </c>
      <c r="G280" t="s">
        <v>643</v>
      </c>
      <c r="H280">
        <v>0</v>
      </c>
      <c r="I280">
        <v>0</v>
      </c>
      <c r="J280" s="1">
        <f t="shared" si="27"/>
        <v>46054</v>
      </c>
      <c r="K280" t="str">
        <f t="shared" si="28"/>
        <v>fev/26</v>
      </c>
      <c r="L280" t="str">
        <f t="shared" si="29"/>
        <v>dom</v>
      </c>
      <c r="M280">
        <f>SUMIFS(PEDIDOS_FIXA!B:B,PEDIDOS_FIXA!A:A,A280)</f>
        <v>224.56316160903319</v>
      </c>
    </row>
    <row r="281" spans="1:13" x14ac:dyDescent="0.3">
      <c r="A281" t="s">
        <v>606</v>
      </c>
      <c r="B281" s="1">
        <v>46054</v>
      </c>
      <c r="C281" t="str">
        <f t="shared" si="25"/>
        <v>02</v>
      </c>
      <c r="D281">
        <f t="shared" si="26"/>
        <v>2026</v>
      </c>
      <c r="E281" t="s">
        <v>164</v>
      </c>
      <c r="F281" t="s">
        <v>681</v>
      </c>
      <c r="G281" t="s">
        <v>643</v>
      </c>
      <c r="H281">
        <v>0</v>
      </c>
      <c r="I281">
        <v>0</v>
      </c>
      <c r="J281" s="1">
        <f t="shared" si="27"/>
        <v>46054</v>
      </c>
      <c r="K281" t="str">
        <f t="shared" si="28"/>
        <v>fev/26</v>
      </c>
      <c r="L281" t="str">
        <f t="shared" si="29"/>
        <v>dom</v>
      </c>
      <c r="M281">
        <f>SUMIFS(PEDIDOS_FIXA!B:B,PEDIDOS_FIXA!A:A,A281)</f>
        <v>183.31686661961893</v>
      </c>
    </row>
    <row r="282" spans="1:13" x14ac:dyDescent="0.3">
      <c r="A282" t="s">
        <v>8</v>
      </c>
      <c r="B282" s="1">
        <v>46054</v>
      </c>
      <c r="C282" t="str">
        <f t="shared" si="25"/>
        <v>02</v>
      </c>
      <c r="D282">
        <f t="shared" si="26"/>
        <v>2026</v>
      </c>
      <c r="E282" t="s">
        <v>54</v>
      </c>
      <c r="F282" t="s">
        <v>702</v>
      </c>
      <c r="G282" t="s">
        <v>643</v>
      </c>
      <c r="H282">
        <v>0</v>
      </c>
      <c r="I282">
        <v>0</v>
      </c>
      <c r="J282" s="1">
        <f t="shared" si="27"/>
        <v>46054</v>
      </c>
      <c r="K282" t="str">
        <f t="shared" si="28"/>
        <v>fev/26</v>
      </c>
      <c r="L282" t="str">
        <f t="shared" si="29"/>
        <v>dom</v>
      </c>
      <c r="M282">
        <f>SUMIFS(LIGACOE_FIXA!B:B,LIGACOE_FIXA!A:A,A282)</f>
        <v>1050.7528258817586</v>
      </c>
    </row>
    <row r="283" spans="1:13" x14ac:dyDescent="0.3">
      <c r="A283" t="s">
        <v>174</v>
      </c>
      <c r="B283" s="1">
        <v>46054</v>
      </c>
      <c r="C283" t="str">
        <f t="shared" si="25"/>
        <v>02</v>
      </c>
      <c r="D283">
        <f t="shared" si="26"/>
        <v>2026</v>
      </c>
      <c r="E283" t="s">
        <v>54</v>
      </c>
      <c r="F283" t="s">
        <v>702</v>
      </c>
      <c r="G283" t="s">
        <v>643</v>
      </c>
      <c r="H283">
        <v>0</v>
      </c>
      <c r="I283">
        <v>0</v>
      </c>
      <c r="J283" s="1">
        <f t="shared" si="27"/>
        <v>46054</v>
      </c>
      <c r="K283" t="str">
        <f t="shared" si="28"/>
        <v>fev/26</v>
      </c>
      <c r="L283" t="str">
        <f t="shared" si="29"/>
        <v>dom</v>
      </c>
      <c r="M283">
        <f>SUMIFS(LIGACOE_FIXA!B:B,LIGACOE_FIXA!A:A,A283)</f>
        <v>1396.0909434528</v>
      </c>
    </row>
    <row r="284" spans="1:13" x14ac:dyDescent="0.3">
      <c r="A284" t="s">
        <v>243</v>
      </c>
      <c r="B284" s="1">
        <v>46054</v>
      </c>
      <c r="C284" t="str">
        <f t="shared" si="25"/>
        <v>02</v>
      </c>
      <c r="D284">
        <f t="shared" si="26"/>
        <v>2026</v>
      </c>
      <c r="E284" t="s">
        <v>54</v>
      </c>
      <c r="F284" t="s">
        <v>702</v>
      </c>
      <c r="G284" t="s">
        <v>643</v>
      </c>
      <c r="H284">
        <v>0</v>
      </c>
      <c r="I284">
        <v>0</v>
      </c>
      <c r="J284" s="1">
        <f t="shared" si="27"/>
        <v>46054</v>
      </c>
      <c r="K284" t="str">
        <f t="shared" si="28"/>
        <v>fev/26</v>
      </c>
      <c r="L284" t="str">
        <f t="shared" si="29"/>
        <v>dom</v>
      </c>
      <c r="M284">
        <f>SUMIFS(LIGACOE_FIXA!B:B,LIGACOE_FIXA!A:A,A284)</f>
        <v>613.29201235722746</v>
      </c>
    </row>
    <row r="285" spans="1:13" x14ac:dyDescent="0.3">
      <c r="A285" t="s">
        <v>287</v>
      </c>
      <c r="B285" s="1">
        <v>46054</v>
      </c>
      <c r="C285" t="str">
        <f t="shared" si="25"/>
        <v>02</v>
      </c>
      <c r="D285">
        <f t="shared" si="26"/>
        <v>2026</v>
      </c>
      <c r="E285" t="s">
        <v>54</v>
      </c>
      <c r="F285" t="s">
        <v>702</v>
      </c>
      <c r="G285" t="s">
        <v>643</v>
      </c>
      <c r="H285">
        <v>0</v>
      </c>
      <c r="I285">
        <v>0</v>
      </c>
      <c r="J285" s="1">
        <f t="shared" si="27"/>
        <v>46054</v>
      </c>
      <c r="K285" t="str">
        <f t="shared" si="28"/>
        <v>fev/26</v>
      </c>
      <c r="L285" t="str">
        <f t="shared" si="29"/>
        <v>dom</v>
      </c>
      <c r="M285">
        <f>SUMIFS(LIGACOE_FIXA!B:B,LIGACOE_FIXA!A:A,A285)</f>
        <v>702.07969482799706</v>
      </c>
    </row>
    <row r="286" spans="1:13" x14ac:dyDescent="0.3">
      <c r="A286" t="s">
        <v>340</v>
      </c>
      <c r="B286" s="1">
        <v>46054</v>
      </c>
      <c r="C286" t="str">
        <f t="shared" si="25"/>
        <v>02</v>
      </c>
      <c r="D286">
        <f t="shared" si="26"/>
        <v>2026</v>
      </c>
      <c r="E286" t="s">
        <v>54</v>
      </c>
      <c r="F286" t="s">
        <v>702</v>
      </c>
      <c r="G286" t="s">
        <v>643</v>
      </c>
      <c r="H286">
        <v>0</v>
      </c>
      <c r="I286">
        <v>0</v>
      </c>
      <c r="J286" s="1">
        <f t="shared" si="27"/>
        <v>46054</v>
      </c>
      <c r="K286" t="str">
        <f t="shared" si="28"/>
        <v>fev/26</v>
      </c>
      <c r="L286" t="str">
        <f t="shared" si="29"/>
        <v>dom</v>
      </c>
      <c r="M286">
        <f>SUMIFS(LIGACOE_FIXA!B:B,LIGACOE_FIXA!A:A,A286)</f>
        <v>334.45641712189803</v>
      </c>
    </row>
    <row r="287" spans="1:13" x14ac:dyDescent="0.3">
      <c r="A287" t="s">
        <v>381</v>
      </c>
      <c r="B287" s="1">
        <v>46054</v>
      </c>
      <c r="C287" t="str">
        <f t="shared" si="25"/>
        <v>02</v>
      </c>
      <c r="D287">
        <f t="shared" si="26"/>
        <v>2026</v>
      </c>
      <c r="E287" t="s">
        <v>54</v>
      </c>
      <c r="F287" t="s">
        <v>702</v>
      </c>
      <c r="G287" t="s">
        <v>643</v>
      </c>
      <c r="H287">
        <v>0</v>
      </c>
      <c r="I287">
        <v>0</v>
      </c>
      <c r="J287" s="1">
        <f t="shared" si="27"/>
        <v>46054</v>
      </c>
      <c r="K287" t="str">
        <f t="shared" si="28"/>
        <v>fev/26</v>
      </c>
      <c r="L287" t="str">
        <f t="shared" si="29"/>
        <v>dom</v>
      </c>
      <c r="M287">
        <f>SUMIFS(LIGACOE_FIXA!B:B,LIGACOE_FIXA!A:A,A287)</f>
        <v>728.75269073777963</v>
      </c>
    </row>
    <row r="288" spans="1:13" x14ac:dyDescent="0.3">
      <c r="A288" t="s">
        <v>447</v>
      </c>
      <c r="B288" s="1">
        <v>46054</v>
      </c>
      <c r="C288" t="str">
        <f t="shared" si="25"/>
        <v>02</v>
      </c>
      <c r="D288">
        <f t="shared" si="26"/>
        <v>2026</v>
      </c>
      <c r="E288" t="s">
        <v>54</v>
      </c>
      <c r="F288" t="s">
        <v>702</v>
      </c>
      <c r="G288" t="s">
        <v>643</v>
      </c>
      <c r="H288">
        <v>0</v>
      </c>
      <c r="I288">
        <v>0</v>
      </c>
      <c r="J288" s="1">
        <f t="shared" si="27"/>
        <v>46054</v>
      </c>
      <c r="K288" t="str">
        <f t="shared" si="28"/>
        <v>fev/26</v>
      </c>
      <c r="L288" t="str">
        <f t="shared" si="29"/>
        <v>dom</v>
      </c>
      <c r="M288">
        <f>SUMIFS(LIGACOE_FIXA!B:B,LIGACOE_FIXA!A:A,A288)</f>
        <v>426.58066089630051</v>
      </c>
    </row>
    <row r="289" spans="1:13" x14ac:dyDescent="0.3">
      <c r="A289" t="s">
        <v>517</v>
      </c>
      <c r="B289" s="1">
        <v>46054</v>
      </c>
      <c r="C289" t="str">
        <f t="shared" si="25"/>
        <v>02</v>
      </c>
      <c r="D289">
        <f t="shared" si="26"/>
        <v>2026</v>
      </c>
      <c r="E289" t="s">
        <v>54</v>
      </c>
      <c r="F289" t="s">
        <v>702</v>
      </c>
      <c r="G289" t="s">
        <v>643</v>
      </c>
      <c r="H289">
        <v>0</v>
      </c>
      <c r="I289">
        <v>0</v>
      </c>
      <c r="J289" s="1">
        <f t="shared" si="27"/>
        <v>46054</v>
      </c>
      <c r="K289" t="str">
        <f t="shared" si="28"/>
        <v>fev/26</v>
      </c>
      <c r="L289" t="str">
        <f t="shared" si="29"/>
        <v>dom</v>
      </c>
      <c r="M289">
        <f>SUMIFS(LIGACOE_FIXA!B:B,LIGACOE_FIXA!A:A,A289)</f>
        <v>2330.0174779176868</v>
      </c>
    </row>
    <row r="290" spans="1:13" x14ac:dyDescent="0.3">
      <c r="A290" t="s">
        <v>574</v>
      </c>
      <c r="B290" s="1">
        <v>46054</v>
      </c>
      <c r="C290" t="str">
        <f t="shared" si="25"/>
        <v>02</v>
      </c>
      <c r="D290">
        <f t="shared" si="26"/>
        <v>2026</v>
      </c>
      <c r="E290" t="s">
        <v>54</v>
      </c>
      <c r="F290" t="s">
        <v>702</v>
      </c>
      <c r="G290" t="s">
        <v>643</v>
      </c>
      <c r="H290">
        <v>0</v>
      </c>
      <c r="I290">
        <v>0</v>
      </c>
      <c r="J290" s="1">
        <f t="shared" si="27"/>
        <v>46054</v>
      </c>
      <c r="K290" t="str">
        <f t="shared" si="28"/>
        <v>fev/26</v>
      </c>
      <c r="L290" t="str">
        <f t="shared" si="29"/>
        <v>dom</v>
      </c>
      <c r="M290">
        <f>SUMIFS(LIGACOE_FIXA!B:B,LIGACOE_FIXA!A:A,A290)</f>
        <v>229.59008507735936</v>
      </c>
    </row>
    <row r="291" spans="1:13" x14ac:dyDescent="0.3">
      <c r="A291" t="s">
        <v>606</v>
      </c>
      <c r="B291" s="1">
        <v>46054</v>
      </c>
      <c r="C291" t="str">
        <f t="shared" si="25"/>
        <v>02</v>
      </c>
      <c r="D291">
        <f t="shared" si="26"/>
        <v>2026</v>
      </c>
      <c r="E291" t="s">
        <v>54</v>
      </c>
      <c r="F291" t="s">
        <v>702</v>
      </c>
      <c r="G291" t="s">
        <v>643</v>
      </c>
      <c r="H291">
        <v>0</v>
      </c>
      <c r="I291">
        <v>0</v>
      </c>
      <c r="J291" s="1">
        <f t="shared" si="27"/>
        <v>46054</v>
      </c>
      <c r="K291" t="str">
        <f t="shared" si="28"/>
        <v>fev/26</v>
      </c>
      <c r="L291" t="str">
        <f t="shared" si="29"/>
        <v>dom</v>
      </c>
      <c r="M291">
        <f>SUMIFS(LIGACOE_FIXA!B:B,LIGACOE_FIXA!A:A,A291)</f>
        <v>251.38719172918817</v>
      </c>
    </row>
    <row r="292" spans="1:13" x14ac:dyDescent="0.3">
      <c r="A292" t="s">
        <v>8</v>
      </c>
      <c r="B292" s="1">
        <v>46054</v>
      </c>
      <c r="C292" t="str">
        <f t="shared" ref="C292:C301" si="30">TEXT(B292,"MM")</f>
        <v>02</v>
      </c>
      <c r="D292">
        <f t="shared" ref="D292:D301" si="31">YEAR(B292)</f>
        <v>2026</v>
      </c>
      <c r="E292" t="s">
        <v>54</v>
      </c>
      <c r="F292" t="s">
        <v>702</v>
      </c>
      <c r="G292" t="s">
        <v>647</v>
      </c>
      <c r="H292">
        <v>0</v>
      </c>
      <c r="I292">
        <v>0</v>
      </c>
      <c r="J292" s="1">
        <f t="shared" ref="J292:J301" si="32">B292</f>
        <v>46054</v>
      </c>
      <c r="K292" t="str">
        <f t="shared" ref="K292:K301" si="33">TEXT(J292,"MMM/AA")</f>
        <v>fev/26</v>
      </c>
      <c r="L292" t="str">
        <f t="shared" ref="L292:L301" si="34">TEXT(J292,"DDD")</f>
        <v>dom</v>
      </c>
      <c r="M292">
        <f>SUMIFS(LIGACOE_FIXA!B:B,LIGACOE_FIXA!A:A,A292)*1.04133001</f>
        <v>1094.1804506829799</v>
      </c>
    </row>
    <row r="293" spans="1:13" x14ac:dyDescent="0.3">
      <c r="A293" t="s">
        <v>174</v>
      </c>
      <c r="B293" s="1">
        <v>46054</v>
      </c>
      <c r="C293" t="str">
        <f t="shared" si="30"/>
        <v>02</v>
      </c>
      <c r="D293">
        <f t="shared" si="31"/>
        <v>2026</v>
      </c>
      <c r="E293" t="s">
        <v>54</v>
      </c>
      <c r="F293" t="s">
        <v>702</v>
      </c>
      <c r="G293" t="s">
        <v>647</v>
      </c>
      <c r="H293">
        <v>0</v>
      </c>
      <c r="I293">
        <v>0</v>
      </c>
      <c r="J293" s="1">
        <f t="shared" si="32"/>
        <v>46054</v>
      </c>
      <c r="K293" t="str">
        <f t="shared" si="33"/>
        <v>fev/26</v>
      </c>
      <c r="L293" t="str">
        <f t="shared" si="34"/>
        <v>dom</v>
      </c>
      <c r="M293">
        <f>SUMIFS(LIGACOE_FIXA!B:B,LIGACOE_FIXA!A:A,A293)*1.04133001</f>
        <v>1453.7913961066138</v>
      </c>
    </row>
    <row r="294" spans="1:13" x14ac:dyDescent="0.3">
      <c r="A294" t="s">
        <v>243</v>
      </c>
      <c r="B294" s="1">
        <v>46054</v>
      </c>
      <c r="C294" t="str">
        <f t="shared" si="30"/>
        <v>02</v>
      </c>
      <c r="D294">
        <f t="shared" si="31"/>
        <v>2026</v>
      </c>
      <c r="E294" t="s">
        <v>54</v>
      </c>
      <c r="F294" t="s">
        <v>702</v>
      </c>
      <c r="G294" t="s">
        <v>647</v>
      </c>
      <c r="H294">
        <v>0</v>
      </c>
      <c r="I294">
        <v>0</v>
      </c>
      <c r="J294" s="1">
        <f t="shared" si="32"/>
        <v>46054</v>
      </c>
      <c r="K294" t="str">
        <f t="shared" si="33"/>
        <v>fev/26</v>
      </c>
      <c r="L294" t="str">
        <f t="shared" si="34"/>
        <v>dom</v>
      </c>
      <c r="M294">
        <f>SUMIFS(LIGACOE_FIXA!B:B,LIGACOE_FIXA!A:A,A294)*1.04133001</f>
        <v>638.63937736087178</v>
      </c>
    </row>
    <row r="295" spans="1:13" x14ac:dyDescent="0.3">
      <c r="A295" t="s">
        <v>287</v>
      </c>
      <c r="B295" s="1">
        <v>46054</v>
      </c>
      <c r="C295" t="str">
        <f t="shared" si="30"/>
        <v>02</v>
      </c>
      <c r="D295">
        <f t="shared" si="31"/>
        <v>2026</v>
      </c>
      <c r="E295" t="s">
        <v>54</v>
      </c>
      <c r="F295" t="s">
        <v>702</v>
      </c>
      <c r="G295" t="s">
        <v>647</v>
      </c>
      <c r="H295">
        <v>0</v>
      </c>
      <c r="I295">
        <v>0</v>
      </c>
      <c r="J295" s="1">
        <f t="shared" si="32"/>
        <v>46054</v>
      </c>
      <c r="K295" t="str">
        <f t="shared" si="33"/>
        <v>fev/26</v>
      </c>
      <c r="L295" t="str">
        <f t="shared" si="34"/>
        <v>dom</v>
      </c>
      <c r="M295">
        <f>SUMIFS(LIGACOE_FIXA!B:B,LIGACOE_FIXA!A:A,A295)*1.04133001</f>
        <v>731.09665563603517</v>
      </c>
    </row>
    <row r="296" spans="1:13" x14ac:dyDescent="0.3">
      <c r="A296" t="s">
        <v>340</v>
      </c>
      <c r="B296" s="1">
        <v>46054</v>
      </c>
      <c r="C296" t="str">
        <f t="shared" si="30"/>
        <v>02</v>
      </c>
      <c r="D296">
        <f t="shared" si="31"/>
        <v>2026</v>
      </c>
      <c r="E296" t="s">
        <v>54</v>
      </c>
      <c r="F296" t="s">
        <v>702</v>
      </c>
      <c r="G296" t="s">
        <v>647</v>
      </c>
      <c r="H296">
        <v>0</v>
      </c>
      <c r="I296">
        <v>0</v>
      </c>
      <c r="J296" s="1">
        <f t="shared" si="32"/>
        <v>46054</v>
      </c>
      <c r="K296" t="str">
        <f t="shared" si="33"/>
        <v>fev/26</v>
      </c>
      <c r="L296" t="str">
        <f t="shared" si="34"/>
        <v>dom</v>
      </c>
      <c r="M296">
        <f>SUMIFS(LIGACOE_FIXA!B:B,LIGACOE_FIXA!A:A,A296)*1.04133001</f>
        <v>348.27950418611027</v>
      </c>
    </row>
    <row r="297" spans="1:13" x14ac:dyDescent="0.3">
      <c r="A297" t="s">
        <v>381</v>
      </c>
      <c r="B297" s="1">
        <v>46054</v>
      </c>
      <c r="C297" t="str">
        <f t="shared" si="30"/>
        <v>02</v>
      </c>
      <c r="D297">
        <f t="shared" si="31"/>
        <v>2026</v>
      </c>
      <c r="E297" t="s">
        <v>54</v>
      </c>
      <c r="F297" t="s">
        <v>702</v>
      </c>
      <c r="G297" t="s">
        <v>647</v>
      </c>
      <c r="H297">
        <v>0</v>
      </c>
      <c r="I297">
        <v>0</v>
      </c>
      <c r="J297" s="1">
        <f t="shared" si="32"/>
        <v>46054</v>
      </c>
      <c r="K297" t="str">
        <f t="shared" si="33"/>
        <v>fev/26</v>
      </c>
      <c r="L297" t="str">
        <f t="shared" si="34"/>
        <v>dom</v>
      </c>
      <c r="M297">
        <f>SUMIFS(LIGACOE_FIXA!B:B,LIGACOE_FIXA!A:A,A297)*1.04133001</f>
        <v>758.87204673349902</v>
      </c>
    </row>
    <row r="298" spans="1:13" x14ac:dyDescent="0.3">
      <c r="A298" t="s">
        <v>447</v>
      </c>
      <c r="B298" s="1">
        <v>46054</v>
      </c>
      <c r="C298" t="str">
        <f t="shared" si="30"/>
        <v>02</v>
      </c>
      <c r="D298">
        <f t="shared" si="31"/>
        <v>2026</v>
      </c>
      <c r="E298" t="s">
        <v>54</v>
      </c>
      <c r="F298" t="s">
        <v>702</v>
      </c>
      <c r="G298" t="s">
        <v>647</v>
      </c>
      <c r="H298">
        <v>0</v>
      </c>
      <c r="I298">
        <v>0</v>
      </c>
      <c r="J298" s="1">
        <f t="shared" si="32"/>
        <v>46054</v>
      </c>
      <c r="K298" t="str">
        <f t="shared" si="33"/>
        <v>fev/26</v>
      </c>
      <c r="L298" t="str">
        <f t="shared" si="34"/>
        <v>dom</v>
      </c>
      <c r="M298">
        <f>SUMIFS(LIGACOE_FIXA!B:B,LIGACOE_FIXA!A:A,A298)*1.04133001</f>
        <v>444.21124387695124</v>
      </c>
    </row>
    <row r="299" spans="1:13" x14ac:dyDescent="0.3">
      <c r="A299" t="s">
        <v>517</v>
      </c>
      <c r="B299" s="1">
        <v>46054</v>
      </c>
      <c r="C299" t="str">
        <f t="shared" si="30"/>
        <v>02</v>
      </c>
      <c r="D299">
        <f t="shared" si="31"/>
        <v>2026</v>
      </c>
      <c r="E299" t="s">
        <v>54</v>
      </c>
      <c r="F299" t="s">
        <v>702</v>
      </c>
      <c r="G299" t="s">
        <v>647</v>
      </c>
      <c r="H299">
        <v>0</v>
      </c>
      <c r="I299">
        <v>0</v>
      </c>
      <c r="J299" s="1">
        <f t="shared" si="32"/>
        <v>46054</v>
      </c>
      <c r="K299" t="str">
        <f t="shared" si="33"/>
        <v>fev/26</v>
      </c>
      <c r="L299" t="str">
        <f t="shared" si="34"/>
        <v>dom</v>
      </c>
      <c r="M299">
        <f>SUMIFS(LIGACOE_FIXA!B:B,LIGACOE_FIXA!A:A,A299)*1.04133001</f>
        <v>2426.3171235801997</v>
      </c>
    </row>
    <row r="300" spans="1:13" x14ac:dyDescent="0.3">
      <c r="A300" t="s">
        <v>574</v>
      </c>
      <c r="B300" s="1">
        <v>46054</v>
      </c>
      <c r="C300" t="str">
        <f t="shared" si="30"/>
        <v>02</v>
      </c>
      <c r="D300">
        <f t="shared" si="31"/>
        <v>2026</v>
      </c>
      <c r="E300" t="s">
        <v>54</v>
      </c>
      <c r="F300" t="s">
        <v>702</v>
      </c>
      <c r="G300" t="s">
        <v>647</v>
      </c>
      <c r="H300">
        <v>0</v>
      </c>
      <c r="I300">
        <v>0</v>
      </c>
      <c r="J300" s="1">
        <f t="shared" si="32"/>
        <v>46054</v>
      </c>
      <c r="K300" t="str">
        <f t="shared" si="33"/>
        <v>fev/26</v>
      </c>
      <c r="L300" t="str">
        <f t="shared" si="34"/>
        <v>dom</v>
      </c>
      <c r="M300">
        <f>SUMIFS(LIGACOE_FIXA!B:B,LIGACOE_FIXA!A:A,A300)*1.04133001</f>
        <v>239.07904558950747</v>
      </c>
    </row>
    <row r="301" spans="1:13" x14ac:dyDescent="0.3">
      <c r="A301" t="s">
        <v>606</v>
      </c>
      <c r="B301" s="1">
        <v>46054</v>
      </c>
      <c r="C301" t="str">
        <f t="shared" si="30"/>
        <v>02</v>
      </c>
      <c r="D301">
        <f t="shared" si="31"/>
        <v>2026</v>
      </c>
      <c r="E301" t="s">
        <v>54</v>
      </c>
      <c r="F301" t="s">
        <v>702</v>
      </c>
      <c r="G301" t="s">
        <v>647</v>
      </c>
      <c r="H301">
        <v>0</v>
      </c>
      <c r="I301">
        <v>0</v>
      </c>
      <c r="J301" s="1">
        <f t="shared" si="32"/>
        <v>46054</v>
      </c>
      <c r="K301" t="str">
        <f t="shared" si="33"/>
        <v>fev/26</v>
      </c>
      <c r="L301" t="str">
        <f t="shared" si="34"/>
        <v>dom</v>
      </c>
      <c r="M301">
        <f>SUMIFS(LIGACOE_FIXA!B:B,LIGACOE_FIXA!A:A,A301)*1.04133001</f>
        <v>261.77702687722746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3975B-C74F-48C2-A652-E60BEB506B7F}">
  <dimension ref="A2:B11"/>
  <sheetViews>
    <sheetView workbookViewId="0">
      <selection activeCell="B3" sqref="B3"/>
    </sheetView>
  </sheetViews>
  <sheetFormatPr defaultRowHeight="14.4" x14ac:dyDescent="0.3"/>
  <sheetData>
    <row r="2" spans="1:2" x14ac:dyDescent="0.3">
      <c r="A2" t="s">
        <v>517</v>
      </c>
      <c r="B2">
        <v>2330.0174779176868</v>
      </c>
    </row>
    <row r="3" spans="1:2" x14ac:dyDescent="0.3">
      <c r="A3" t="s">
        <v>8</v>
      </c>
      <c r="B3">
        <v>1050.7528258817586</v>
      </c>
    </row>
    <row r="4" spans="1:2" x14ac:dyDescent="0.3">
      <c r="A4" t="s">
        <v>606</v>
      </c>
      <c r="B4">
        <v>251.38719172918817</v>
      </c>
    </row>
    <row r="5" spans="1:2" x14ac:dyDescent="0.3">
      <c r="A5" t="s">
        <v>381</v>
      </c>
      <c r="B5">
        <v>728.75269073777963</v>
      </c>
    </row>
    <row r="6" spans="1:2" x14ac:dyDescent="0.3">
      <c r="A6" t="s">
        <v>243</v>
      </c>
      <c r="B6">
        <v>613.29201235722746</v>
      </c>
    </row>
    <row r="7" spans="1:2" x14ac:dyDescent="0.3">
      <c r="A7" t="s">
        <v>447</v>
      </c>
      <c r="B7">
        <v>426.58066089630051</v>
      </c>
    </row>
    <row r="8" spans="1:2" x14ac:dyDescent="0.3">
      <c r="A8" t="s">
        <v>574</v>
      </c>
      <c r="B8">
        <v>229.59008507735936</v>
      </c>
    </row>
    <row r="9" spans="1:2" x14ac:dyDescent="0.3">
      <c r="A9" t="s">
        <v>287</v>
      </c>
      <c r="B9">
        <v>702.07969482799706</v>
      </c>
    </row>
    <row r="10" spans="1:2" x14ac:dyDescent="0.3">
      <c r="A10" t="s">
        <v>174</v>
      </c>
      <c r="B10">
        <v>1396.0909434528</v>
      </c>
    </row>
    <row r="11" spans="1:2" x14ac:dyDescent="0.3">
      <c r="A11" t="s">
        <v>340</v>
      </c>
      <c r="B11">
        <v>334.45641712189803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0E2CF-EF28-49E5-8B18-C76902114389}">
  <dimension ref="A2:B11"/>
  <sheetViews>
    <sheetView workbookViewId="0">
      <selection activeCell="E18" sqref="E18"/>
    </sheetView>
  </sheetViews>
  <sheetFormatPr defaultRowHeight="14.4" x14ac:dyDescent="0.3"/>
  <sheetData>
    <row r="2" spans="1:2" ht="15.6" x14ac:dyDescent="0.3">
      <c r="A2" s="4" t="s">
        <v>517</v>
      </c>
      <c r="B2" s="5">
        <v>1319.8814396612561</v>
      </c>
    </row>
    <row r="3" spans="1:2" ht="15.6" x14ac:dyDescent="0.3">
      <c r="A3" s="4" t="s">
        <v>8</v>
      </c>
      <c r="B3" s="5">
        <v>637.0261115031758</v>
      </c>
    </row>
    <row r="4" spans="1:2" ht="15.6" x14ac:dyDescent="0.3">
      <c r="A4" s="4" t="s">
        <v>174</v>
      </c>
      <c r="B4" s="5">
        <v>852.42342978122804</v>
      </c>
    </row>
    <row r="5" spans="1:2" ht="15.6" x14ac:dyDescent="0.3">
      <c r="A5" s="4" t="s">
        <v>243</v>
      </c>
      <c r="B5" s="5">
        <v>336.84474241354974</v>
      </c>
    </row>
    <row r="6" spans="1:2" ht="15.6" x14ac:dyDescent="0.3">
      <c r="A6" s="4" t="s">
        <v>287</v>
      </c>
      <c r="B6" s="5">
        <v>600.36273817925189</v>
      </c>
    </row>
    <row r="7" spans="1:2" ht="15.6" x14ac:dyDescent="0.3">
      <c r="A7" s="4" t="s">
        <v>340</v>
      </c>
      <c r="B7" s="5">
        <v>224.56316160903319</v>
      </c>
    </row>
    <row r="8" spans="1:2" ht="15.6" x14ac:dyDescent="0.3">
      <c r="A8" s="4" t="s">
        <v>381</v>
      </c>
      <c r="B8" s="5">
        <v>575.15666901905433</v>
      </c>
    </row>
    <row r="9" spans="1:2" ht="15.6" x14ac:dyDescent="0.3">
      <c r="A9" s="4" t="s">
        <v>606</v>
      </c>
      <c r="B9" s="5">
        <v>183.31686661961893</v>
      </c>
    </row>
    <row r="10" spans="1:2" ht="15.6" x14ac:dyDescent="0.3">
      <c r="A10" s="4" t="s">
        <v>447</v>
      </c>
      <c r="B10" s="5">
        <v>488.08115737473531</v>
      </c>
    </row>
    <row r="11" spans="1:2" ht="15.6" x14ac:dyDescent="0.3">
      <c r="A11" s="4" t="s">
        <v>574</v>
      </c>
      <c r="B11" s="5">
        <v>224.56316160903319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7BE9B-6AED-489E-B168-3FEF5E0AC2DE}">
  <dimension ref="A1:E12"/>
  <sheetViews>
    <sheetView workbookViewId="0">
      <selection activeCell="H8" sqref="H8"/>
    </sheetView>
  </sheetViews>
  <sheetFormatPr defaultRowHeight="14.4" x14ac:dyDescent="0.3"/>
  <sheetData>
    <row r="1" spans="1:5" x14ac:dyDescent="0.3">
      <c r="B1" t="s">
        <v>678</v>
      </c>
      <c r="D1" t="s">
        <v>679</v>
      </c>
      <c r="E1" s="6">
        <v>6494</v>
      </c>
    </row>
    <row r="2" spans="1:5" x14ac:dyDescent="0.3">
      <c r="A2" t="s">
        <v>677</v>
      </c>
      <c r="B2">
        <v>5540.2454286875245</v>
      </c>
      <c r="D2" s="2" t="s">
        <v>680</v>
      </c>
    </row>
    <row r="3" spans="1:5" x14ac:dyDescent="0.3">
      <c r="A3" t="s">
        <v>517</v>
      </c>
      <c r="B3">
        <v>1316.7281592848435</v>
      </c>
      <c r="C3">
        <f>B3/$B$2</f>
        <v>0.23766603415559776</v>
      </c>
      <c r="D3">
        <f>$E$1*C3</f>
        <v>1543.4032258064519</v>
      </c>
      <c r="E3" t="s">
        <v>647</v>
      </c>
    </row>
    <row r="4" spans="1:5" x14ac:dyDescent="0.3">
      <c r="A4" t="s">
        <v>8</v>
      </c>
      <c r="B4">
        <v>651.79357984559113</v>
      </c>
      <c r="C4">
        <f t="shared" ref="C4:C12" si="0">B4/$B$2</f>
        <v>0.11764705882352941</v>
      </c>
      <c r="D4">
        <f t="shared" ref="D4:D12" si="1">$E$1*C4</f>
        <v>764</v>
      </c>
      <c r="E4" t="s">
        <v>647</v>
      </c>
    </row>
    <row r="5" spans="1:5" x14ac:dyDescent="0.3">
      <c r="A5" t="s">
        <v>174</v>
      </c>
      <c r="B5">
        <v>885.70337261275904</v>
      </c>
      <c r="C5">
        <f t="shared" si="0"/>
        <v>0.15986717267552183</v>
      </c>
      <c r="D5">
        <f t="shared" si="1"/>
        <v>1038.1774193548388</v>
      </c>
      <c r="E5" t="s">
        <v>647</v>
      </c>
    </row>
    <row r="6" spans="1:5" x14ac:dyDescent="0.3">
      <c r="A6" t="s">
        <v>243</v>
      </c>
      <c r="B6">
        <v>341.66598943518898</v>
      </c>
      <c r="C6">
        <f t="shared" si="0"/>
        <v>6.1669829222011398E-2</v>
      </c>
      <c r="D6">
        <f t="shared" si="1"/>
        <v>400.48387096774201</v>
      </c>
      <c r="E6" t="s">
        <v>647</v>
      </c>
    </row>
    <row r="7" spans="1:5" x14ac:dyDescent="0.3">
      <c r="A7" t="s">
        <v>287</v>
      </c>
      <c r="B7">
        <v>596.60138155221455</v>
      </c>
      <c r="C7">
        <f t="shared" si="0"/>
        <v>0.10768500948766604</v>
      </c>
      <c r="D7">
        <f t="shared" si="1"/>
        <v>699.30645161290329</v>
      </c>
      <c r="E7" t="s">
        <v>647</v>
      </c>
    </row>
    <row r="8" spans="1:5" x14ac:dyDescent="0.3">
      <c r="A8" t="s">
        <v>340</v>
      </c>
      <c r="B8">
        <v>228.65339292970339</v>
      </c>
      <c r="C8">
        <f t="shared" si="0"/>
        <v>4.127134724857686E-2</v>
      </c>
      <c r="D8">
        <f t="shared" si="1"/>
        <v>268.01612903225811</v>
      </c>
      <c r="E8" t="s">
        <v>647</v>
      </c>
    </row>
    <row r="9" spans="1:5" x14ac:dyDescent="0.3">
      <c r="A9" t="s">
        <v>381</v>
      </c>
      <c r="B9">
        <v>572.94758228362457</v>
      </c>
      <c r="C9">
        <f t="shared" si="0"/>
        <v>0.10341555977229604</v>
      </c>
      <c r="D9">
        <f t="shared" si="1"/>
        <v>671.58064516129048</v>
      </c>
      <c r="E9" t="s">
        <v>647</v>
      </c>
    </row>
    <row r="10" spans="1:5" x14ac:dyDescent="0.3">
      <c r="A10" t="s">
        <v>606</v>
      </c>
      <c r="B10">
        <v>197.1149939049167</v>
      </c>
      <c r="C10">
        <f t="shared" si="0"/>
        <v>3.5578747628083496E-2</v>
      </c>
      <c r="D10">
        <f t="shared" si="1"/>
        <v>231.04838709677423</v>
      </c>
      <c r="E10" t="s">
        <v>647</v>
      </c>
    </row>
    <row r="11" spans="1:5" x14ac:dyDescent="0.3">
      <c r="A11" t="s">
        <v>447</v>
      </c>
      <c r="B11">
        <v>509.8707842340512</v>
      </c>
      <c r="C11">
        <f t="shared" si="0"/>
        <v>9.2030360531309308E-2</v>
      </c>
      <c r="D11">
        <f t="shared" si="1"/>
        <v>597.64516129032268</v>
      </c>
      <c r="E11" t="s">
        <v>647</v>
      </c>
    </row>
    <row r="12" spans="1:5" x14ac:dyDescent="0.3">
      <c r="A12" t="s">
        <v>574</v>
      </c>
      <c r="B12">
        <v>239.16619260463227</v>
      </c>
      <c r="C12">
        <f t="shared" si="0"/>
        <v>4.3168880455407975E-2</v>
      </c>
      <c r="D12">
        <f t="shared" si="1"/>
        <v>280.33870967741939</v>
      </c>
      <c r="E12" t="s">
        <v>647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9D736-AF94-4EE7-8AC6-F292844E86B1}">
  <dimension ref="A1:AN2322"/>
  <sheetViews>
    <sheetView workbookViewId="0">
      <selection activeCell="B3" sqref="B3"/>
    </sheetView>
  </sheetViews>
  <sheetFormatPr defaultRowHeight="14.4" x14ac:dyDescent="0.3"/>
  <sheetData>
    <row r="1" spans="1:4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>
        <v>1</v>
      </c>
      <c r="H1">
        <v>2</v>
      </c>
      <c r="I1">
        <v>3</v>
      </c>
      <c r="J1">
        <v>4</v>
      </c>
      <c r="K1">
        <v>5</v>
      </c>
      <c r="L1">
        <v>6</v>
      </c>
      <c r="M1">
        <v>7</v>
      </c>
      <c r="N1">
        <v>8</v>
      </c>
      <c r="O1">
        <v>9</v>
      </c>
      <c r="P1">
        <v>10</v>
      </c>
      <c r="Q1">
        <v>11</v>
      </c>
      <c r="R1">
        <v>12</v>
      </c>
      <c r="S1">
        <v>13</v>
      </c>
      <c r="T1">
        <v>14</v>
      </c>
      <c r="U1">
        <v>15</v>
      </c>
      <c r="V1">
        <v>16</v>
      </c>
      <c r="W1">
        <v>17</v>
      </c>
      <c r="X1">
        <v>18</v>
      </c>
      <c r="Y1">
        <v>19</v>
      </c>
      <c r="Z1">
        <v>20</v>
      </c>
      <c r="AA1">
        <v>21</v>
      </c>
      <c r="AB1">
        <v>22</v>
      </c>
      <c r="AC1">
        <v>23</v>
      </c>
      <c r="AD1">
        <v>24</v>
      </c>
      <c r="AE1">
        <v>25</v>
      </c>
      <c r="AF1">
        <v>26</v>
      </c>
      <c r="AG1">
        <v>27</v>
      </c>
      <c r="AH1">
        <v>28</v>
      </c>
      <c r="AI1">
        <v>29</v>
      </c>
      <c r="AJ1">
        <v>30</v>
      </c>
      <c r="AK1">
        <v>31</v>
      </c>
      <c r="AL1" t="s">
        <v>6</v>
      </c>
      <c r="AM1">
        <v>10</v>
      </c>
      <c r="AN1" t="s">
        <v>7</v>
      </c>
    </row>
    <row r="2" spans="1:40" x14ac:dyDescent="0.3">
      <c r="A2" t="s">
        <v>8</v>
      </c>
      <c r="B2" t="s">
        <v>9</v>
      </c>
      <c r="C2" t="s">
        <v>10</v>
      </c>
      <c r="D2" t="s">
        <v>11</v>
      </c>
      <c r="E2">
        <v>202602</v>
      </c>
      <c r="F2" t="s">
        <v>12</v>
      </c>
      <c r="G2">
        <v>0</v>
      </c>
      <c r="H2">
        <v>4</v>
      </c>
      <c r="I2">
        <v>0</v>
      </c>
      <c r="J2">
        <v>0</v>
      </c>
      <c r="K2">
        <v>1</v>
      </c>
      <c r="L2">
        <v>1</v>
      </c>
      <c r="M2">
        <v>2</v>
      </c>
      <c r="N2">
        <v>0</v>
      </c>
      <c r="O2">
        <v>0</v>
      </c>
      <c r="P2">
        <v>0</v>
      </c>
      <c r="Q2">
        <v>2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10</v>
      </c>
      <c r="AM2">
        <v>0.66666666666666663</v>
      </c>
      <c r="AN2">
        <v>19.209250279746222</v>
      </c>
    </row>
    <row r="3" spans="1:40" x14ac:dyDescent="0.3">
      <c r="A3" t="s">
        <v>8</v>
      </c>
      <c r="B3" t="s">
        <v>9</v>
      </c>
      <c r="C3" t="s">
        <v>10</v>
      </c>
      <c r="D3" t="s">
        <v>11</v>
      </c>
      <c r="E3">
        <v>202602</v>
      </c>
      <c r="F3" t="s">
        <v>13</v>
      </c>
      <c r="G3">
        <v>0</v>
      </c>
      <c r="H3">
        <v>1</v>
      </c>
      <c r="I3">
        <v>0</v>
      </c>
      <c r="J3">
        <v>1</v>
      </c>
      <c r="K3">
        <v>4</v>
      </c>
      <c r="L3">
        <v>1</v>
      </c>
      <c r="M3">
        <v>1</v>
      </c>
      <c r="N3">
        <v>0</v>
      </c>
      <c r="O3">
        <v>1</v>
      </c>
      <c r="P3">
        <v>1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10</v>
      </c>
      <c r="AM3">
        <v>0.66666666666666663</v>
      </c>
      <c r="AN3">
        <v>19.209250279746222</v>
      </c>
    </row>
    <row r="4" spans="1:40" x14ac:dyDescent="0.3">
      <c r="A4" t="s">
        <v>8</v>
      </c>
      <c r="B4" t="s">
        <v>9</v>
      </c>
      <c r="C4" t="s">
        <v>10</v>
      </c>
      <c r="D4" t="s">
        <v>14</v>
      </c>
      <c r="E4">
        <v>202602</v>
      </c>
      <c r="F4" t="s">
        <v>12</v>
      </c>
      <c r="G4">
        <v>0</v>
      </c>
      <c r="H4">
        <v>3</v>
      </c>
      <c r="I4">
        <v>2</v>
      </c>
      <c r="J4">
        <v>0</v>
      </c>
      <c r="K4">
        <v>1</v>
      </c>
      <c r="L4">
        <v>1</v>
      </c>
      <c r="M4">
        <v>0</v>
      </c>
      <c r="N4">
        <v>0</v>
      </c>
      <c r="O4">
        <v>1</v>
      </c>
      <c r="P4">
        <v>1</v>
      </c>
      <c r="Q4">
        <v>2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11</v>
      </c>
      <c r="AM4">
        <v>1.3333333333333333</v>
      </c>
      <c r="AN4">
        <v>27.166964285714453</v>
      </c>
    </row>
    <row r="5" spans="1:40" x14ac:dyDescent="0.3">
      <c r="A5" t="s">
        <v>8</v>
      </c>
      <c r="B5" t="s">
        <v>9</v>
      </c>
      <c r="C5" t="s">
        <v>10</v>
      </c>
      <c r="D5" t="s">
        <v>14</v>
      </c>
      <c r="E5">
        <v>202602</v>
      </c>
      <c r="F5" t="s">
        <v>13</v>
      </c>
      <c r="G5">
        <v>0</v>
      </c>
      <c r="H5">
        <v>3</v>
      </c>
      <c r="I5">
        <v>1</v>
      </c>
      <c r="J5">
        <v>2</v>
      </c>
      <c r="K5">
        <v>0</v>
      </c>
      <c r="L5">
        <v>1</v>
      </c>
      <c r="M5">
        <v>0</v>
      </c>
      <c r="N5">
        <v>1</v>
      </c>
      <c r="O5">
        <v>0</v>
      </c>
      <c r="P5">
        <v>1</v>
      </c>
      <c r="Q5">
        <v>2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11</v>
      </c>
      <c r="AM5">
        <v>1</v>
      </c>
      <c r="AN5">
        <v>23.125223214285839</v>
      </c>
    </row>
    <row r="6" spans="1:40" x14ac:dyDescent="0.3">
      <c r="A6" t="s">
        <v>8</v>
      </c>
      <c r="B6" t="s">
        <v>9</v>
      </c>
      <c r="C6" t="s">
        <v>10</v>
      </c>
      <c r="D6" t="s">
        <v>14</v>
      </c>
      <c r="E6">
        <v>202602</v>
      </c>
      <c r="F6" t="s">
        <v>341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1</v>
      </c>
      <c r="AM6">
        <v>0.33333333333333331</v>
      </c>
      <c r="AN6">
        <v>5.0417410714286133</v>
      </c>
    </row>
    <row r="7" spans="1:40" x14ac:dyDescent="0.3">
      <c r="A7" t="s">
        <v>8</v>
      </c>
      <c r="B7" t="s">
        <v>9</v>
      </c>
      <c r="C7" t="s">
        <v>10</v>
      </c>
      <c r="D7" t="s">
        <v>14</v>
      </c>
      <c r="E7">
        <v>202602</v>
      </c>
      <c r="F7" t="s">
        <v>15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1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1</v>
      </c>
      <c r="AM7">
        <v>0.33333333333333331</v>
      </c>
      <c r="AN7">
        <v>5.0417410714286133</v>
      </c>
    </row>
    <row r="8" spans="1:40" x14ac:dyDescent="0.3">
      <c r="A8" t="s">
        <v>8</v>
      </c>
      <c r="B8" t="s">
        <v>9</v>
      </c>
      <c r="C8" t="s">
        <v>16</v>
      </c>
      <c r="D8" t="s">
        <v>11</v>
      </c>
      <c r="E8">
        <v>202602</v>
      </c>
      <c r="F8" t="s">
        <v>12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1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1</v>
      </c>
      <c r="AM8">
        <v>0.33333333333333331</v>
      </c>
      <c r="AN8">
        <v>5.6046251398731117</v>
      </c>
    </row>
    <row r="9" spans="1:40" x14ac:dyDescent="0.3">
      <c r="A9" t="s">
        <v>8</v>
      </c>
      <c r="B9" t="s">
        <v>9</v>
      </c>
      <c r="C9" t="s">
        <v>16</v>
      </c>
      <c r="D9" t="s">
        <v>11</v>
      </c>
      <c r="E9">
        <v>202602</v>
      </c>
      <c r="F9" t="s">
        <v>13</v>
      </c>
      <c r="G9">
        <v>0</v>
      </c>
      <c r="H9">
        <v>0</v>
      </c>
      <c r="I9">
        <v>0</v>
      </c>
      <c r="J9">
        <v>0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1</v>
      </c>
      <c r="AM9">
        <v>0</v>
      </c>
      <c r="AN9">
        <v>1</v>
      </c>
    </row>
    <row r="10" spans="1:40" x14ac:dyDescent="0.3">
      <c r="A10" t="s">
        <v>8</v>
      </c>
      <c r="B10" t="s">
        <v>9</v>
      </c>
      <c r="C10" t="s">
        <v>16</v>
      </c>
      <c r="D10" t="s">
        <v>14</v>
      </c>
      <c r="E10">
        <v>202602</v>
      </c>
      <c r="F10" t="s">
        <v>12</v>
      </c>
      <c r="G10">
        <v>0</v>
      </c>
      <c r="H10">
        <v>0</v>
      </c>
      <c r="I10">
        <v>0</v>
      </c>
      <c r="J10">
        <v>0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1</v>
      </c>
      <c r="AM10">
        <v>0</v>
      </c>
      <c r="AN10">
        <v>1</v>
      </c>
    </row>
    <row r="11" spans="1:40" x14ac:dyDescent="0.3">
      <c r="A11" t="s">
        <v>8</v>
      </c>
      <c r="B11" t="s">
        <v>9</v>
      </c>
      <c r="C11" t="s">
        <v>16</v>
      </c>
      <c r="D11" t="s">
        <v>14</v>
      </c>
      <c r="E11">
        <v>202602</v>
      </c>
      <c r="F11" t="s">
        <v>13</v>
      </c>
      <c r="G11">
        <v>0</v>
      </c>
      <c r="H11">
        <v>1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1</v>
      </c>
      <c r="AM11">
        <v>0</v>
      </c>
      <c r="AN11">
        <v>1</v>
      </c>
    </row>
    <row r="12" spans="1:40" x14ac:dyDescent="0.3">
      <c r="A12" t="s">
        <v>8</v>
      </c>
      <c r="B12" t="s">
        <v>17</v>
      </c>
      <c r="C12" t="s">
        <v>10</v>
      </c>
      <c r="D12" t="s">
        <v>11</v>
      </c>
      <c r="E12">
        <v>202602</v>
      </c>
      <c r="F12" t="s">
        <v>18</v>
      </c>
      <c r="G12">
        <v>0</v>
      </c>
      <c r="H12">
        <v>1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1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2</v>
      </c>
      <c r="AM12">
        <v>0.33333333333333331</v>
      </c>
      <c r="AN12">
        <v>6.6046251398731117</v>
      </c>
    </row>
    <row r="13" spans="1:40" x14ac:dyDescent="0.3">
      <c r="A13" t="s">
        <v>8</v>
      </c>
      <c r="B13" t="s">
        <v>17</v>
      </c>
      <c r="C13" t="s">
        <v>10</v>
      </c>
      <c r="D13" t="s">
        <v>11</v>
      </c>
      <c r="E13">
        <v>202602</v>
      </c>
      <c r="F13" t="s">
        <v>19</v>
      </c>
      <c r="G13">
        <v>0</v>
      </c>
      <c r="H13">
        <v>0</v>
      </c>
      <c r="I13">
        <v>0</v>
      </c>
      <c r="J13">
        <v>0</v>
      </c>
      <c r="K13">
        <v>0</v>
      </c>
      <c r="L13">
        <v>1</v>
      </c>
      <c r="M13">
        <v>0</v>
      </c>
      <c r="N13">
        <v>0</v>
      </c>
      <c r="O13">
        <v>0</v>
      </c>
      <c r="P13">
        <v>1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2</v>
      </c>
      <c r="AM13">
        <v>0.33333333333333331</v>
      </c>
      <c r="AN13">
        <v>6.6046251398731117</v>
      </c>
    </row>
    <row r="14" spans="1:40" x14ac:dyDescent="0.3">
      <c r="A14" t="s">
        <v>8</v>
      </c>
      <c r="B14" t="s">
        <v>17</v>
      </c>
      <c r="C14" t="s">
        <v>10</v>
      </c>
      <c r="D14" t="s">
        <v>11</v>
      </c>
      <c r="E14">
        <v>202602</v>
      </c>
      <c r="F14" t="s">
        <v>20</v>
      </c>
      <c r="G14">
        <v>0</v>
      </c>
      <c r="H14">
        <v>0</v>
      </c>
      <c r="I14">
        <v>0</v>
      </c>
      <c r="J14">
        <v>1</v>
      </c>
      <c r="K14">
        <v>0</v>
      </c>
      <c r="L14">
        <v>2</v>
      </c>
      <c r="M14">
        <v>0</v>
      </c>
      <c r="N14">
        <v>0</v>
      </c>
      <c r="O14">
        <v>0</v>
      </c>
      <c r="P14">
        <v>0</v>
      </c>
      <c r="Q14">
        <v>2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5</v>
      </c>
      <c r="AM14">
        <v>0.66666666666666663</v>
      </c>
      <c r="AN14">
        <v>14.209250279746223</v>
      </c>
    </row>
    <row r="15" spans="1:40" x14ac:dyDescent="0.3">
      <c r="A15" t="s">
        <v>8</v>
      </c>
      <c r="B15" t="s">
        <v>17</v>
      </c>
      <c r="C15" t="s">
        <v>10</v>
      </c>
      <c r="D15" t="s">
        <v>11</v>
      </c>
      <c r="E15">
        <v>202602</v>
      </c>
      <c r="F15" t="s">
        <v>21</v>
      </c>
      <c r="G15">
        <v>1</v>
      </c>
      <c r="H15">
        <v>1</v>
      </c>
      <c r="I15">
        <v>1</v>
      </c>
      <c r="J15">
        <v>1</v>
      </c>
      <c r="K15">
        <v>0</v>
      </c>
      <c r="L15">
        <v>1</v>
      </c>
      <c r="M15">
        <v>0</v>
      </c>
      <c r="N15">
        <v>0</v>
      </c>
      <c r="O15">
        <v>1</v>
      </c>
      <c r="P15">
        <v>4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10</v>
      </c>
      <c r="AM15">
        <v>1.6666666666666667</v>
      </c>
      <c r="AN15">
        <v>33.023125699365558</v>
      </c>
    </row>
    <row r="16" spans="1:40" x14ac:dyDescent="0.3">
      <c r="A16" t="s">
        <v>8</v>
      </c>
      <c r="B16" t="s">
        <v>17</v>
      </c>
      <c r="C16" t="s">
        <v>10</v>
      </c>
      <c r="D16" t="s">
        <v>11</v>
      </c>
      <c r="E16">
        <v>202602</v>
      </c>
      <c r="F16" t="s">
        <v>43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1</v>
      </c>
      <c r="AM16">
        <v>0.33333333333333331</v>
      </c>
      <c r="AN16">
        <v>5.6046251398731117</v>
      </c>
    </row>
    <row r="17" spans="1:40" x14ac:dyDescent="0.3">
      <c r="A17" t="s">
        <v>8</v>
      </c>
      <c r="B17" t="s">
        <v>17</v>
      </c>
      <c r="C17" t="s">
        <v>10</v>
      </c>
      <c r="D17" t="s">
        <v>11</v>
      </c>
      <c r="E17">
        <v>202602</v>
      </c>
      <c r="F17" t="s">
        <v>22</v>
      </c>
      <c r="G17">
        <v>0</v>
      </c>
      <c r="H17">
        <v>1</v>
      </c>
      <c r="I17">
        <v>0</v>
      </c>
      <c r="J17">
        <v>1</v>
      </c>
      <c r="K17">
        <v>0</v>
      </c>
      <c r="L17">
        <v>2</v>
      </c>
      <c r="M17">
        <v>0</v>
      </c>
      <c r="N17">
        <v>0</v>
      </c>
      <c r="O17">
        <v>4</v>
      </c>
      <c r="P17">
        <v>0</v>
      </c>
      <c r="Q17">
        <v>1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9</v>
      </c>
      <c r="AM17">
        <v>1.6666666666666667</v>
      </c>
      <c r="AN17">
        <v>32.023125699365558</v>
      </c>
    </row>
    <row r="18" spans="1:40" x14ac:dyDescent="0.3">
      <c r="A18" t="s">
        <v>8</v>
      </c>
      <c r="B18" t="s">
        <v>17</v>
      </c>
      <c r="C18" t="s">
        <v>10</v>
      </c>
      <c r="D18" t="s">
        <v>11</v>
      </c>
      <c r="E18">
        <v>202602</v>
      </c>
      <c r="F18" t="s">
        <v>44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1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1</v>
      </c>
      <c r="AM18">
        <v>0.33333333333333331</v>
      </c>
      <c r="AN18">
        <v>5.6046251398731117</v>
      </c>
    </row>
    <row r="19" spans="1:40" x14ac:dyDescent="0.3">
      <c r="A19" t="s">
        <v>8</v>
      </c>
      <c r="B19" t="s">
        <v>17</v>
      </c>
      <c r="C19" t="s">
        <v>10</v>
      </c>
      <c r="D19" t="s">
        <v>11</v>
      </c>
      <c r="E19">
        <v>202602</v>
      </c>
      <c r="F19" t="s">
        <v>23</v>
      </c>
      <c r="G19">
        <v>0</v>
      </c>
      <c r="H19">
        <v>0</v>
      </c>
      <c r="I19">
        <v>0</v>
      </c>
      <c r="J19">
        <v>1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1</v>
      </c>
      <c r="AM19">
        <v>0</v>
      </c>
      <c r="AN19">
        <v>1</v>
      </c>
    </row>
    <row r="20" spans="1:40" x14ac:dyDescent="0.3">
      <c r="A20" t="s">
        <v>8</v>
      </c>
      <c r="B20" t="s">
        <v>17</v>
      </c>
      <c r="C20" t="s">
        <v>10</v>
      </c>
      <c r="D20" t="s">
        <v>11</v>
      </c>
      <c r="E20">
        <v>202602</v>
      </c>
      <c r="F20" t="s">
        <v>24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1</v>
      </c>
      <c r="AM20">
        <v>0.33333333333333331</v>
      </c>
      <c r="AN20">
        <v>5.6046251398731117</v>
      </c>
    </row>
    <row r="21" spans="1:40" x14ac:dyDescent="0.3">
      <c r="A21" t="s">
        <v>8</v>
      </c>
      <c r="B21" t="s">
        <v>17</v>
      </c>
      <c r="C21" t="s">
        <v>10</v>
      </c>
      <c r="D21" t="s">
        <v>11</v>
      </c>
      <c r="E21">
        <v>202602</v>
      </c>
      <c r="F21" t="s">
        <v>25</v>
      </c>
      <c r="G21">
        <v>0</v>
      </c>
      <c r="H21">
        <v>1</v>
      </c>
      <c r="I21">
        <v>1</v>
      </c>
      <c r="J21">
        <v>1</v>
      </c>
      <c r="K21">
        <v>3</v>
      </c>
      <c r="L21">
        <v>2</v>
      </c>
      <c r="M21">
        <v>1</v>
      </c>
      <c r="N21">
        <v>0</v>
      </c>
      <c r="O21">
        <v>0</v>
      </c>
      <c r="P21">
        <v>2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11</v>
      </c>
      <c r="AM21">
        <v>0.66666666666666663</v>
      </c>
      <c r="AN21">
        <v>20.209250279746222</v>
      </c>
    </row>
    <row r="22" spans="1:40" x14ac:dyDescent="0.3">
      <c r="A22" t="s">
        <v>8</v>
      </c>
      <c r="B22" t="s">
        <v>17</v>
      </c>
      <c r="C22" t="s">
        <v>10</v>
      </c>
      <c r="D22" t="s">
        <v>11</v>
      </c>
      <c r="E22">
        <v>202602</v>
      </c>
      <c r="F22" t="s">
        <v>26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1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2</v>
      </c>
      <c r="AM22">
        <v>0.66666666666666663</v>
      </c>
      <c r="AN22">
        <v>11.209250279746223</v>
      </c>
    </row>
    <row r="23" spans="1:40" x14ac:dyDescent="0.3">
      <c r="A23" t="s">
        <v>8</v>
      </c>
      <c r="B23" t="s">
        <v>17</v>
      </c>
      <c r="C23" t="s">
        <v>10</v>
      </c>
      <c r="D23" t="s">
        <v>11</v>
      </c>
      <c r="E23">
        <v>202602</v>
      </c>
      <c r="F23" t="s">
        <v>27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1</v>
      </c>
      <c r="N23">
        <v>0</v>
      </c>
      <c r="O23">
        <v>1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2</v>
      </c>
      <c r="AM23">
        <v>0.33333333333333331</v>
      </c>
      <c r="AN23">
        <v>6.6046251398731117</v>
      </c>
    </row>
    <row r="24" spans="1:40" x14ac:dyDescent="0.3">
      <c r="A24" t="s">
        <v>8</v>
      </c>
      <c r="B24" t="s">
        <v>17</v>
      </c>
      <c r="C24" t="s">
        <v>10</v>
      </c>
      <c r="D24" t="s">
        <v>11</v>
      </c>
      <c r="E24">
        <v>202602</v>
      </c>
      <c r="F24" t="s">
        <v>28</v>
      </c>
      <c r="G24">
        <v>0</v>
      </c>
      <c r="H24">
        <v>0</v>
      </c>
      <c r="I24">
        <v>0</v>
      </c>
      <c r="J24">
        <v>1</v>
      </c>
      <c r="K24">
        <v>1</v>
      </c>
      <c r="L24">
        <v>2</v>
      </c>
      <c r="M24">
        <v>1</v>
      </c>
      <c r="N24">
        <v>0</v>
      </c>
      <c r="O24">
        <v>0</v>
      </c>
      <c r="P24">
        <v>0</v>
      </c>
      <c r="Q24">
        <v>1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6</v>
      </c>
      <c r="AM24">
        <v>0.33333333333333331</v>
      </c>
      <c r="AN24">
        <v>10.604625139873111</v>
      </c>
    </row>
    <row r="25" spans="1:40" x14ac:dyDescent="0.3">
      <c r="A25" t="s">
        <v>8</v>
      </c>
      <c r="B25" t="s">
        <v>17</v>
      </c>
      <c r="C25" t="s">
        <v>10</v>
      </c>
      <c r="D25" t="s">
        <v>11</v>
      </c>
      <c r="E25">
        <v>202602</v>
      </c>
      <c r="F25" t="s">
        <v>29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1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2</v>
      </c>
      <c r="AM25">
        <v>0.66666666666666663</v>
      </c>
      <c r="AN25">
        <v>11.209250279746223</v>
      </c>
    </row>
    <row r="26" spans="1:40" x14ac:dyDescent="0.3">
      <c r="A26" t="s">
        <v>8</v>
      </c>
      <c r="B26" t="s">
        <v>17</v>
      </c>
      <c r="C26" t="s">
        <v>10</v>
      </c>
      <c r="D26" t="s">
        <v>11</v>
      </c>
      <c r="E26">
        <v>202602</v>
      </c>
      <c r="F26" t="s">
        <v>30</v>
      </c>
      <c r="G26">
        <v>0</v>
      </c>
      <c r="H26">
        <v>0</v>
      </c>
      <c r="I26">
        <v>0</v>
      </c>
      <c r="J26">
        <v>0</v>
      </c>
      <c r="K26">
        <v>1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1</v>
      </c>
      <c r="AM26">
        <v>0</v>
      </c>
      <c r="AN26">
        <v>1</v>
      </c>
    </row>
    <row r="27" spans="1:40" x14ac:dyDescent="0.3">
      <c r="A27" t="s">
        <v>8</v>
      </c>
      <c r="B27" t="s">
        <v>17</v>
      </c>
      <c r="C27" t="s">
        <v>10</v>
      </c>
      <c r="D27" t="s">
        <v>11</v>
      </c>
      <c r="E27">
        <v>202602</v>
      </c>
      <c r="F27" t="s">
        <v>31</v>
      </c>
      <c r="G27">
        <v>0</v>
      </c>
      <c r="H27">
        <v>0</v>
      </c>
      <c r="I27">
        <v>0</v>
      </c>
      <c r="J27">
        <v>1</v>
      </c>
      <c r="K27">
        <v>0</v>
      </c>
      <c r="L27">
        <v>0</v>
      </c>
      <c r="M27">
        <v>1</v>
      </c>
      <c r="N27">
        <v>0</v>
      </c>
      <c r="O27">
        <v>1</v>
      </c>
      <c r="P27">
        <v>1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4</v>
      </c>
      <c r="AM27">
        <v>0.66666666666666663</v>
      </c>
      <c r="AN27">
        <v>13.209250279746223</v>
      </c>
    </row>
    <row r="28" spans="1:40" x14ac:dyDescent="0.3">
      <c r="A28" t="s">
        <v>8</v>
      </c>
      <c r="B28" t="s">
        <v>17</v>
      </c>
      <c r="C28" t="s">
        <v>10</v>
      </c>
      <c r="D28" t="s">
        <v>11</v>
      </c>
      <c r="E28">
        <v>202602</v>
      </c>
      <c r="F28" t="s">
        <v>32</v>
      </c>
      <c r="G28">
        <v>0</v>
      </c>
      <c r="H28">
        <v>1</v>
      </c>
      <c r="I28">
        <v>0</v>
      </c>
      <c r="J28">
        <v>1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2</v>
      </c>
      <c r="AM28">
        <v>0</v>
      </c>
      <c r="AN28">
        <v>2</v>
      </c>
    </row>
    <row r="29" spans="1:40" x14ac:dyDescent="0.3">
      <c r="A29" t="s">
        <v>8</v>
      </c>
      <c r="B29" t="s">
        <v>17</v>
      </c>
      <c r="C29" t="s">
        <v>10</v>
      </c>
      <c r="D29" t="s">
        <v>11</v>
      </c>
      <c r="E29">
        <v>202602</v>
      </c>
      <c r="F29" t="s">
        <v>33</v>
      </c>
      <c r="G29">
        <v>0</v>
      </c>
      <c r="H29">
        <v>0</v>
      </c>
      <c r="I29">
        <v>0</v>
      </c>
      <c r="J29">
        <v>0</v>
      </c>
      <c r="K29">
        <v>1</v>
      </c>
      <c r="L29">
        <v>0</v>
      </c>
      <c r="M29">
        <v>0</v>
      </c>
      <c r="N29">
        <v>0</v>
      </c>
      <c r="O29">
        <v>0</v>
      </c>
      <c r="P29">
        <v>1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3</v>
      </c>
      <c r="AM29">
        <v>0.66666666666666663</v>
      </c>
      <c r="AN29">
        <v>12.209250279746223</v>
      </c>
    </row>
    <row r="30" spans="1:40" x14ac:dyDescent="0.3">
      <c r="A30" t="s">
        <v>8</v>
      </c>
      <c r="B30" t="s">
        <v>17</v>
      </c>
      <c r="C30" t="s">
        <v>10</v>
      </c>
      <c r="D30" t="s">
        <v>11</v>
      </c>
      <c r="E30">
        <v>202602</v>
      </c>
      <c r="F30" t="s">
        <v>34</v>
      </c>
      <c r="G30">
        <v>0</v>
      </c>
      <c r="H30">
        <v>0</v>
      </c>
      <c r="I30">
        <v>0</v>
      </c>
      <c r="J30">
        <v>0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2</v>
      </c>
      <c r="AM30">
        <v>0.33333333333333331</v>
      </c>
      <c r="AN30">
        <v>6.6046251398731117</v>
      </c>
    </row>
    <row r="31" spans="1:40" x14ac:dyDescent="0.3">
      <c r="A31" t="s">
        <v>8</v>
      </c>
      <c r="B31" t="s">
        <v>17</v>
      </c>
      <c r="C31" t="s">
        <v>10</v>
      </c>
      <c r="D31" t="s">
        <v>11</v>
      </c>
      <c r="E31">
        <v>202602</v>
      </c>
      <c r="F31" t="s">
        <v>35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1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1</v>
      </c>
      <c r="AM31">
        <v>0.33333333333333331</v>
      </c>
      <c r="AN31">
        <v>5.6046251398731117</v>
      </c>
    </row>
    <row r="32" spans="1:40" x14ac:dyDescent="0.3">
      <c r="A32" t="s">
        <v>8</v>
      </c>
      <c r="B32" t="s">
        <v>17</v>
      </c>
      <c r="C32" t="s">
        <v>10</v>
      </c>
      <c r="D32" t="s">
        <v>11</v>
      </c>
      <c r="E32">
        <v>202602</v>
      </c>
      <c r="F32" t="s">
        <v>36</v>
      </c>
      <c r="G32">
        <v>0</v>
      </c>
      <c r="H32">
        <v>0</v>
      </c>
      <c r="I32">
        <v>0</v>
      </c>
      <c r="J32">
        <v>1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1</v>
      </c>
      <c r="AM32">
        <v>0</v>
      </c>
      <c r="AN32">
        <v>1</v>
      </c>
    </row>
    <row r="33" spans="1:40" x14ac:dyDescent="0.3">
      <c r="A33" t="s">
        <v>8</v>
      </c>
      <c r="B33" t="s">
        <v>17</v>
      </c>
      <c r="C33" t="s">
        <v>10</v>
      </c>
      <c r="D33" t="s">
        <v>11</v>
      </c>
      <c r="E33">
        <v>202602</v>
      </c>
      <c r="F33" t="s">
        <v>37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1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1</v>
      </c>
      <c r="AM33">
        <v>0.33333333333333331</v>
      </c>
      <c r="AN33">
        <v>5.6046251398731117</v>
      </c>
    </row>
    <row r="34" spans="1:40" x14ac:dyDescent="0.3">
      <c r="A34" t="s">
        <v>8</v>
      </c>
      <c r="B34" t="s">
        <v>17</v>
      </c>
      <c r="C34" t="s">
        <v>10</v>
      </c>
      <c r="D34" t="s">
        <v>11</v>
      </c>
      <c r="E34">
        <v>202602</v>
      </c>
      <c r="F34" t="s">
        <v>38</v>
      </c>
      <c r="G34">
        <v>0</v>
      </c>
      <c r="H34">
        <v>0</v>
      </c>
      <c r="I34">
        <v>1</v>
      </c>
      <c r="J34">
        <v>1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3</v>
      </c>
      <c r="AM34">
        <v>0</v>
      </c>
      <c r="AN34">
        <v>3</v>
      </c>
    </row>
    <row r="35" spans="1:40" x14ac:dyDescent="0.3">
      <c r="A35" t="s">
        <v>8</v>
      </c>
      <c r="B35" t="s">
        <v>17</v>
      </c>
      <c r="C35" t="s">
        <v>10</v>
      </c>
      <c r="D35" t="s">
        <v>11</v>
      </c>
      <c r="E35">
        <v>202602</v>
      </c>
      <c r="F35" t="s">
        <v>39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1</v>
      </c>
      <c r="Q35">
        <v>1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2</v>
      </c>
      <c r="AM35">
        <v>0.66666666666666663</v>
      </c>
      <c r="AN35">
        <v>11.209250279746223</v>
      </c>
    </row>
    <row r="36" spans="1:40" x14ac:dyDescent="0.3">
      <c r="A36" t="s">
        <v>8</v>
      </c>
      <c r="B36" t="s">
        <v>17</v>
      </c>
      <c r="C36" t="s">
        <v>10</v>
      </c>
      <c r="D36" t="s">
        <v>11</v>
      </c>
      <c r="E36">
        <v>202602</v>
      </c>
      <c r="F36" t="s">
        <v>46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1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1</v>
      </c>
      <c r="AM36">
        <v>0.33333333333333331</v>
      </c>
      <c r="AN36">
        <v>5.6046251398731117</v>
      </c>
    </row>
    <row r="37" spans="1:40" x14ac:dyDescent="0.3">
      <c r="A37" t="s">
        <v>8</v>
      </c>
      <c r="B37" t="s">
        <v>17</v>
      </c>
      <c r="C37" t="s">
        <v>10</v>
      </c>
      <c r="D37" t="s">
        <v>11</v>
      </c>
      <c r="E37">
        <v>202602</v>
      </c>
      <c r="F37" t="s">
        <v>40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1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1</v>
      </c>
      <c r="AM37">
        <v>0.33333333333333331</v>
      </c>
      <c r="AN37">
        <v>5.6046251398731117</v>
      </c>
    </row>
    <row r="38" spans="1:40" x14ac:dyDescent="0.3">
      <c r="A38" t="s">
        <v>8</v>
      </c>
      <c r="B38" t="s">
        <v>17</v>
      </c>
      <c r="C38" t="s">
        <v>10</v>
      </c>
      <c r="D38" t="s">
        <v>11</v>
      </c>
      <c r="E38">
        <v>202602</v>
      </c>
      <c r="F38" t="s">
        <v>41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1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1</v>
      </c>
      <c r="AM38">
        <v>0.33333333333333331</v>
      </c>
      <c r="AN38">
        <v>5.6046251398731117</v>
      </c>
    </row>
    <row r="39" spans="1:40" x14ac:dyDescent="0.3">
      <c r="A39" t="s">
        <v>8</v>
      </c>
      <c r="B39" t="s">
        <v>17</v>
      </c>
      <c r="C39" t="s">
        <v>10</v>
      </c>
      <c r="D39" t="s">
        <v>14</v>
      </c>
      <c r="E39">
        <v>202602</v>
      </c>
      <c r="F39" t="s">
        <v>42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1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1</v>
      </c>
      <c r="AM39">
        <v>0.33333333333333331</v>
      </c>
      <c r="AN39">
        <v>5.0417410714286133</v>
      </c>
    </row>
    <row r="40" spans="1:40" x14ac:dyDescent="0.3">
      <c r="A40" t="s">
        <v>8</v>
      </c>
      <c r="B40" t="s">
        <v>17</v>
      </c>
      <c r="C40" t="s">
        <v>10</v>
      </c>
      <c r="D40" t="s">
        <v>14</v>
      </c>
      <c r="E40">
        <v>202602</v>
      </c>
      <c r="F40" t="s">
        <v>18</v>
      </c>
      <c r="G40">
        <v>0</v>
      </c>
      <c r="H40">
        <v>2</v>
      </c>
      <c r="I40">
        <v>2</v>
      </c>
      <c r="J40">
        <v>0</v>
      </c>
      <c r="K40">
        <v>0</v>
      </c>
      <c r="L40">
        <v>1</v>
      </c>
      <c r="M40">
        <v>0</v>
      </c>
      <c r="N40">
        <v>0</v>
      </c>
      <c r="O40">
        <v>0</v>
      </c>
      <c r="P40">
        <v>1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6</v>
      </c>
      <c r="AM40">
        <v>0.33333333333333331</v>
      </c>
      <c r="AN40">
        <v>10.041741071428614</v>
      </c>
    </row>
    <row r="41" spans="1:40" x14ac:dyDescent="0.3">
      <c r="A41" t="s">
        <v>8</v>
      </c>
      <c r="B41" t="s">
        <v>17</v>
      </c>
      <c r="C41" t="s">
        <v>10</v>
      </c>
      <c r="D41" t="s">
        <v>14</v>
      </c>
      <c r="E41">
        <v>202602</v>
      </c>
      <c r="F41" t="s">
        <v>19</v>
      </c>
      <c r="G41">
        <v>0</v>
      </c>
      <c r="H41">
        <v>0</v>
      </c>
      <c r="I41">
        <v>0</v>
      </c>
      <c r="J41">
        <v>1</v>
      </c>
      <c r="K41">
        <v>0</v>
      </c>
      <c r="L41">
        <v>0</v>
      </c>
      <c r="M41">
        <v>0</v>
      </c>
      <c r="N41">
        <v>0</v>
      </c>
      <c r="O41">
        <v>1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2</v>
      </c>
      <c r="AM41">
        <v>0.33333333333333331</v>
      </c>
      <c r="AN41">
        <v>6.0417410714286133</v>
      </c>
    </row>
    <row r="42" spans="1:40" x14ac:dyDescent="0.3">
      <c r="A42" t="s">
        <v>8</v>
      </c>
      <c r="B42" t="s">
        <v>17</v>
      </c>
      <c r="C42" t="s">
        <v>10</v>
      </c>
      <c r="D42" t="s">
        <v>14</v>
      </c>
      <c r="E42">
        <v>202602</v>
      </c>
      <c r="F42" t="s">
        <v>20</v>
      </c>
      <c r="G42">
        <v>1</v>
      </c>
      <c r="H42">
        <v>2</v>
      </c>
      <c r="I42">
        <v>1</v>
      </c>
      <c r="J42">
        <v>2</v>
      </c>
      <c r="K42">
        <v>0</v>
      </c>
      <c r="L42">
        <v>0</v>
      </c>
      <c r="M42">
        <v>1</v>
      </c>
      <c r="N42">
        <v>0</v>
      </c>
      <c r="O42">
        <v>1</v>
      </c>
      <c r="P42">
        <v>0</v>
      </c>
      <c r="Q42">
        <v>1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9</v>
      </c>
      <c r="AM42">
        <v>0.66666666666666663</v>
      </c>
      <c r="AN42">
        <v>17.083482142857228</v>
      </c>
    </row>
    <row r="43" spans="1:40" x14ac:dyDescent="0.3">
      <c r="A43" t="s">
        <v>8</v>
      </c>
      <c r="B43" t="s">
        <v>17</v>
      </c>
      <c r="C43" t="s">
        <v>10</v>
      </c>
      <c r="D43" t="s">
        <v>14</v>
      </c>
      <c r="E43">
        <v>202602</v>
      </c>
      <c r="F43" t="s">
        <v>21</v>
      </c>
      <c r="G43">
        <v>1</v>
      </c>
      <c r="H43">
        <v>1</v>
      </c>
      <c r="I43">
        <v>2</v>
      </c>
      <c r="J43">
        <v>0</v>
      </c>
      <c r="K43">
        <v>0</v>
      </c>
      <c r="L43">
        <v>2</v>
      </c>
      <c r="M43">
        <v>1</v>
      </c>
      <c r="N43">
        <v>1</v>
      </c>
      <c r="O43">
        <v>1</v>
      </c>
      <c r="P43">
        <v>1</v>
      </c>
      <c r="Q43">
        <v>1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11</v>
      </c>
      <c r="AM43">
        <v>1</v>
      </c>
      <c r="AN43">
        <v>23.125223214285839</v>
      </c>
    </row>
    <row r="44" spans="1:40" x14ac:dyDescent="0.3">
      <c r="A44" t="s">
        <v>8</v>
      </c>
      <c r="B44" t="s">
        <v>17</v>
      </c>
      <c r="C44" t="s">
        <v>10</v>
      </c>
      <c r="D44" t="s">
        <v>14</v>
      </c>
      <c r="E44">
        <v>202602</v>
      </c>
      <c r="F44" t="s">
        <v>43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1</v>
      </c>
      <c r="AM44">
        <v>0.33333333333333331</v>
      </c>
      <c r="AN44">
        <v>5.0417410714286133</v>
      </c>
    </row>
    <row r="45" spans="1:40" x14ac:dyDescent="0.3">
      <c r="A45" t="s">
        <v>8</v>
      </c>
      <c r="B45" t="s">
        <v>17</v>
      </c>
      <c r="C45" t="s">
        <v>10</v>
      </c>
      <c r="D45" t="s">
        <v>14</v>
      </c>
      <c r="E45">
        <v>202602</v>
      </c>
      <c r="F45" t="s">
        <v>22</v>
      </c>
      <c r="G45">
        <v>0</v>
      </c>
      <c r="H45">
        <v>2</v>
      </c>
      <c r="I45">
        <v>2</v>
      </c>
      <c r="J45">
        <v>3</v>
      </c>
      <c r="K45">
        <v>0</v>
      </c>
      <c r="L45">
        <v>0</v>
      </c>
      <c r="M45">
        <v>0</v>
      </c>
      <c r="N45">
        <v>0</v>
      </c>
      <c r="O45">
        <v>1</v>
      </c>
      <c r="P45">
        <v>0</v>
      </c>
      <c r="Q45">
        <v>1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9</v>
      </c>
      <c r="AM45">
        <v>0.66666666666666663</v>
      </c>
      <c r="AN45">
        <v>17.083482142857228</v>
      </c>
    </row>
    <row r="46" spans="1:40" x14ac:dyDescent="0.3">
      <c r="A46" t="s">
        <v>8</v>
      </c>
      <c r="B46" t="s">
        <v>17</v>
      </c>
      <c r="C46" t="s">
        <v>10</v>
      </c>
      <c r="D46" t="s">
        <v>14</v>
      </c>
      <c r="E46">
        <v>202602</v>
      </c>
      <c r="F46" t="s">
        <v>44</v>
      </c>
      <c r="G46">
        <v>0</v>
      </c>
      <c r="H46">
        <v>0</v>
      </c>
      <c r="I46">
        <v>0</v>
      </c>
      <c r="J46">
        <v>0</v>
      </c>
      <c r="K46">
        <v>1</v>
      </c>
      <c r="L46">
        <v>1</v>
      </c>
      <c r="M46">
        <v>0</v>
      </c>
      <c r="N46">
        <v>0</v>
      </c>
      <c r="O46">
        <v>1</v>
      </c>
      <c r="P46">
        <v>0</v>
      </c>
      <c r="Q46">
        <v>1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4</v>
      </c>
      <c r="AM46">
        <v>0.66666666666666663</v>
      </c>
      <c r="AN46">
        <v>12.083482142857227</v>
      </c>
    </row>
    <row r="47" spans="1:40" x14ac:dyDescent="0.3">
      <c r="A47" t="s">
        <v>8</v>
      </c>
      <c r="B47" t="s">
        <v>17</v>
      </c>
      <c r="C47" t="s">
        <v>10</v>
      </c>
      <c r="D47" t="s">
        <v>14</v>
      </c>
      <c r="E47">
        <v>202602</v>
      </c>
      <c r="F47" t="s">
        <v>23</v>
      </c>
      <c r="G47">
        <v>0</v>
      </c>
      <c r="H47">
        <v>0</v>
      </c>
      <c r="I47">
        <v>1</v>
      </c>
      <c r="J47">
        <v>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2</v>
      </c>
      <c r="AM47">
        <v>0</v>
      </c>
      <c r="AN47">
        <v>2</v>
      </c>
    </row>
    <row r="48" spans="1:40" x14ac:dyDescent="0.3">
      <c r="A48" t="s">
        <v>8</v>
      </c>
      <c r="B48" t="s">
        <v>17</v>
      </c>
      <c r="C48" t="s">
        <v>10</v>
      </c>
      <c r="D48" t="s">
        <v>14</v>
      </c>
      <c r="E48">
        <v>202602</v>
      </c>
      <c r="F48" t="s">
        <v>24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1</v>
      </c>
      <c r="O48">
        <v>1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2</v>
      </c>
      <c r="AM48">
        <v>0.33333333333333331</v>
      </c>
      <c r="AN48">
        <v>6.0417410714286133</v>
      </c>
    </row>
    <row r="49" spans="1:40" x14ac:dyDescent="0.3">
      <c r="A49" t="s">
        <v>8</v>
      </c>
      <c r="B49" t="s">
        <v>17</v>
      </c>
      <c r="C49" t="s">
        <v>10</v>
      </c>
      <c r="D49" t="s">
        <v>14</v>
      </c>
      <c r="E49">
        <v>202602</v>
      </c>
      <c r="F49" t="s">
        <v>25</v>
      </c>
      <c r="G49">
        <v>0</v>
      </c>
      <c r="H49">
        <v>0</v>
      </c>
      <c r="I49">
        <v>3</v>
      </c>
      <c r="J49">
        <v>3</v>
      </c>
      <c r="K49">
        <v>1</v>
      </c>
      <c r="L49">
        <v>1</v>
      </c>
      <c r="M49">
        <v>0</v>
      </c>
      <c r="N49">
        <v>1</v>
      </c>
      <c r="O49">
        <v>0</v>
      </c>
      <c r="P49">
        <v>0</v>
      </c>
      <c r="Q49">
        <v>2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11</v>
      </c>
      <c r="AM49">
        <v>0.66666666666666663</v>
      </c>
      <c r="AN49">
        <v>19.083482142857228</v>
      </c>
    </row>
    <row r="50" spans="1:40" x14ac:dyDescent="0.3">
      <c r="A50" t="s">
        <v>8</v>
      </c>
      <c r="B50" t="s">
        <v>17</v>
      </c>
      <c r="C50" t="s">
        <v>10</v>
      </c>
      <c r="D50" t="s">
        <v>14</v>
      </c>
      <c r="E50">
        <v>202602</v>
      </c>
      <c r="F50" t="s">
        <v>26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2</v>
      </c>
      <c r="P50">
        <v>2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4</v>
      </c>
      <c r="AM50">
        <v>1.3333333333333333</v>
      </c>
      <c r="AN50">
        <v>20.166964285714453</v>
      </c>
    </row>
    <row r="51" spans="1:40" x14ac:dyDescent="0.3">
      <c r="A51" t="s">
        <v>8</v>
      </c>
      <c r="B51" t="s">
        <v>17</v>
      </c>
      <c r="C51" t="s">
        <v>10</v>
      </c>
      <c r="D51" t="s">
        <v>14</v>
      </c>
      <c r="E51">
        <v>202602</v>
      </c>
      <c r="F51" t="s">
        <v>27</v>
      </c>
      <c r="G51">
        <v>0</v>
      </c>
      <c r="H51">
        <v>1</v>
      </c>
      <c r="I51">
        <v>0</v>
      </c>
      <c r="J51">
        <v>0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1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3</v>
      </c>
      <c r="AM51">
        <v>0.33333333333333331</v>
      </c>
      <c r="AN51">
        <v>7.0417410714286133</v>
      </c>
    </row>
    <row r="52" spans="1:40" x14ac:dyDescent="0.3">
      <c r="A52" t="s">
        <v>8</v>
      </c>
      <c r="B52" t="s">
        <v>17</v>
      </c>
      <c r="C52" t="s">
        <v>10</v>
      </c>
      <c r="D52" t="s">
        <v>14</v>
      </c>
      <c r="E52">
        <v>202602</v>
      </c>
      <c r="F52" t="s">
        <v>683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2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2</v>
      </c>
      <c r="AM52">
        <v>0.66666666666666663</v>
      </c>
      <c r="AN52">
        <v>10.083482142857227</v>
      </c>
    </row>
    <row r="53" spans="1:40" x14ac:dyDescent="0.3">
      <c r="A53" t="s">
        <v>8</v>
      </c>
      <c r="B53" t="s">
        <v>17</v>
      </c>
      <c r="C53" t="s">
        <v>10</v>
      </c>
      <c r="D53" t="s">
        <v>14</v>
      </c>
      <c r="E53">
        <v>202602</v>
      </c>
      <c r="F53" t="s">
        <v>28</v>
      </c>
      <c r="G53">
        <v>4</v>
      </c>
      <c r="H53">
        <v>5</v>
      </c>
      <c r="I53">
        <v>2</v>
      </c>
      <c r="J53">
        <v>2</v>
      </c>
      <c r="K53">
        <v>1</v>
      </c>
      <c r="L53">
        <v>1</v>
      </c>
      <c r="M53">
        <v>0</v>
      </c>
      <c r="N53">
        <v>0</v>
      </c>
      <c r="O53">
        <v>0</v>
      </c>
      <c r="P53">
        <v>3</v>
      </c>
      <c r="Q53">
        <v>1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19</v>
      </c>
      <c r="AM53">
        <v>1.3333333333333333</v>
      </c>
      <c r="AN53">
        <v>35.166964285714457</v>
      </c>
    </row>
    <row r="54" spans="1:40" x14ac:dyDescent="0.3">
      <c r="A54" t="s">
        <v>8</v>
      </c>
      <c r="B54" t="s">
        <v>17</v>
      </c>
      <c r="C54" t="s">
        <v>10</v>
      </c>
      <c r="D54" t="s">
        <v>14</v>
      </c>
      <c r="E54">
        <v>202602</v>
      </c>
      <c r="F54" t="s">
        <v>29</v>
      </c>
      <c r="G54">
        <v>0</v>
      </c>
      <c r="H54">
        <v>0</v>
      </c>
      <c r="I54">
        <v>1</v>
      </c>
      <c r="J54">
        <v>0</v>
      </c>
      <c r="K54">
        <v>1</v>
      </c>
      <c r="L54">
        <v>0</v>
      </c>
      <c r="M54">
        <v>1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3</v>
      </c>
      <c r="AM54">
        <v>0</v>
      </c>
      <c r="AN54">
        <v>3</v>
      </c>
    </row>
    <row r="55" spans="1:40" x14ac:dyDescent="0.3">
      <c r="A55" t="s">
        <v>8</v>
      </c>
      <c r="B55" t="s">
        <v>17</v>
      </c>
      <c r="C55" t="s">
        <v>10</v>
      </c>
      <c r="D55" t="s">
        <v>14</v>
      </c>
      <c r="E55">
        <v>202602</v>
      </c>
      <c r="F55" t="s">
        <v>30</v>
      </c>
      <c r="G55">
        <v>0</v>
      </c>
      <c r="H55">
        <v>0</v>
      </c>
      <c r="I55">
        <v>2</v>
      </c>
      <c r="J55">
        <v>0</v>
      </c>
      <c r="K55">
        <v>1</v>
      </c>
      <c r="L55">
        <v>0</v>
      </c>
      <c r="M55">
        <v>0</v>
      </c>
      <c r="N55">
        <v>0</v>
      </c>
      <c r="O55">
        <v>0</v>
      </c>
      <c r="P55">
        <v>2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5</v>
      </c>
      <c r="AM55">
        <v>0.66666666666666663</v>
      </c>
      <c r="AN55">
        <v>13.083482142857227</v>
      </c>
    </row>
    <row r="56" spans="1:40" x14ac:dyDescent="0.3">
      <c r="A56" t="s">
        <v>8</v>
      </c>
      <c r="B56" t="s">
        <v>17</v>
      </c>
      <c r="C56" t="s">
        <v>10</v>
      </c>
      <c r="D56" t="s">
        <v>14</v>
      </c>
      <c r="E56">
        <v>202602</v>
      </c>
      <c r="F56" t="s">
        <v>31</v>
      </c>
      <c r="G56">
        <v>0</v>
      </c>
      <c r="H56">
        <v>2</v>
      </c>
      <c r="I56">
        <v>0</v>
      </c>
      <c r="J56">
        <v>0</v>
      </c>
      <c r="K56">
        <v>2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4</v>
      </c>
      <c r="AM56">
        <v>0</v>
      </c>
      <c r="AN56">
        <v>4</v>
      </c>
    </row>
    <row r="57" spans="1:40" x14ac:dyDescent="0.3">
      <c r="A57" t="s">
        <v>8</v>
      </c>
      <c r="B57" t="s">
        <v>17</v>
      </c>
      <c r="C57" t="s">
        <v>10</v>
      </c>
      <c r="D57" t="s">
        <v>14</v>
      </c>
      <c r="E57">
        <v>202602</v>
      </c>
      <c r="F57" t="s">
        <v>45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1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1</v>
      </c>
      <c r="AM57">
        <v>0.33333333333333331</v>
      </c>
      <c r="AN57">
        <v>5.0417410714286133</v>
      </c>
    </row>
    <row r="58" spans="1:40" x14ac:dyDescent="0.3">
      <c r="A58" t="s">
        <v>8</v>
      </c>
      <c r="B58" t="s">
        <v>17</v>
      </c>
      <c r="C58" t="s">
        <v>10</v>
      </c>
      <c r="D58" t="s">
        <v>14</v>
      </c>
      <c r="E58">
        <v>202602</v>
      </c>
      <c r="F58" t="s">
        <v>32</v>
      </c>
      <c r="G58">
        <v>0</v>
      </c>
      <c r="H58">
        <v>0</v>
      </c>
      <c r="I58">
        <v>0</v>
      </c>
      <c r="J58">
        <v>0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1</v>
      </c>
      <c r="AM58">
        <v>0</v>
      </c>
      <c r="AN58">
        <v>1</v>
      </c>
    </row>
    <row r="59" spans="1:40" x14ac:dyDescent="0.3">
      <c r="A59" t="s">
        <v>8</v>
      </c>
      <c r="B59" t="s">
        <v>17</v>
      </c>
      <c r="C59" t="s">
        <v>10</v>
      </c>
      <c r="D59" t="s">
        <v>14</v>
      </c>
      <c r="E59">
        <v>202602</v>
      </c>
      <c r="F59" t="s">
        <v>33</v>
      </c>
      <c r="G59">
        <v>0</v>
      </c>
      <c r="H59">
        <v>0</v>
      </c>
      <c r="I59">
        <v>1</v>
      </c>
      <c r="J59">
        <v>0</v>
      </c>
      <c r="K59">
        <v>0</v>
      </c>
      <c r="L59">
        <v>0</v>
      </c>
      <c r="M59">
        <v>0</v>
      </c>
      <c r="N59">
        <v>1</v>
      </c>
      <c r="O59">
        <v>1</v>
      </c>
      <c r="P59">
        <v>1</v>
      </c>
      <c r="Q59">
        <v>2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6</v>
      </c>
      <c r="AM59">
        <v>1.3333333333333333</v>
      </c>
      <c r="AN59">
        <v>22.166964285714453</v>
      </c>
    </row>
    <row r="60" spans="1:40" x14ac:dyDescent="0.3">
      <c r="A60" t="s">
        <v>8</v>
      </c>
      <c r="B60" t="s">
        <v>17</v>
      </c>
      <c r="C60" t="s">
        <v>10</v>
      </c>
      <c r="D60" t="s">
        <v>14</v>
      </c>
      <c r="E60">
        <v>202602</v>
      </c>
      <c r="F60" t="s">
        <v>34</v>
      </c>
      <c r="G60">
        <v>0</v>
      </c>
      <c r="H60">
        <v>0</v>
      </c>
      <c r="I60">
        <v>0</v>
      </c>
      <c r="J60">
        <v>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1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3</v>
      </c>
      <c r="AM60">
        <v>0.66666666666666663</v>
      </c>
      <c r="AN60">
        <v>11.083482142857227</v>
      </c>
    </row>
    <row r="61" spans="1:40" x14ac:dyDescent="0.3">
      <c r="A61" t="s">
        <v>8</v>
      </c>
      <c r="B61" t="s">
        <v>17</v>
      </c>
      <c r="C61" t="s">
        <v>10</v>
      </c>
      <c r="D61" t="s">
        <v>14</v>
      </c>
      <c r="E61">
        <v>202602</v>
      </c>
      <c r="F61" t="s">
        <v>35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1</v>
      </c>
      <c r="AM61">
        <v>0.33333333333333331</v>
      </c>
      <c r="AN61">
        <v>5.0417410714286133</v>
      </c>
    </row>
    <row r="62" spans="1:40" x14ac:dyDescent="0.3">
      <c r="A62" t="s">
        <v>8</v>
      </c>
      <c r="B62" t="s">
        <v>17</v>
      </c>
      <c r="C62" t="s">
        <v>10</v>
      </c>
      <c r="D62" t="s">
        <v>14</v>
      </c>
      <c r="E62">
        <v>202602</v>
      </c>
      <c r="F62" t="s">
        <v>36</v>
      </c>
      <c r="G62">
        <v>0</v>
      </c>
      <c r="H62">
        <v>1</v>
      </c>
      <c r="I62">
        <v>0</v>
      </c>
      <c r="J62">
        <v>0</v>
      </c>
      <c r="K62">
        <v>0</v>
      </c>
      <c r="L62">
        <v>1</v>
      </c>
      <c r="M62">
        <v>0</v>
      </c>
      <c r="N62">
        <v>0</v>
      </c>
      <c r="O62">
        <v>1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3</v>
      </c>
      <c r="AM62">
        <v>0.33333333333333331</v>
      </c>
      <c r="AN62">
        <v>7.0417410714286133</v>
      </c>
    </row>
    <row r="63" spans="1:40" x14ac:dyDescent="0.3">
      <c r="A63" t="s">
        <v>8</v>
      </c>
      <c r="B63" t="s">
        <v>17</v>
      </c>
      <c r="C63" t="s">
        <v>10</v>
      </c>
      <c r="D63" t="s">
        <v>14</v>
      </c>
      <c r="E63">
        <v>202602</v>
      </c>
      <c r="F63" t="s">
        <v>37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1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1</v>
      </c>
      <c r="AM63">
        <v>0.33333333333333331</v>
      </c>
      <c r="AN63">
        <v>5.0417410714286133</v>
      </c>
    </row>
    <row r="64" spans="1:40" x14ac:dyDescent="0.3">
      <c r="A64" t="s">
        <v>8</v>
      </c>
      <c r="B64" t="s">
        <v>17</v>
      </c>
      <c r="C64" t="s">
        <v>10</v>
      </c>
      <c r="D64" t="s">
        <v>14</v>
      </c>
      <c r="E64">
        <v>202602</v>
      </c>
      <c r="F64" t="s">
        <v>38</v>
      </c>
      <c r="G64">
        <v>0</v>
      </c>
      <c r="H64">
        <v>2</v>
      </c>
      <c r="I64">
        <v>0</v>
      </c>
      <c r="J64">
        <v>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4</v>
      </c>
      <c r="AM64">
        <v>0.33333333333333331</v>
      </c>
      <c r="AN64">
        <v>8.0417410714286142</v>
      </c>
    </row>
    <row r="65" spans="1:40" x14ac:dyDescent="0.3">
      <c r="A65" t="s">
        <v>8</v>
      </c>
      <c r="B65" t="s">
        <v>17</v>
      </c>
      <c r="C65" t="s">
        <v>10</v>
      </c>
      <c r="D65" t="s">
        <v>14</v>
      </c>
      <c r="E65">
        <v>202602</v>
      </c>
      <c r="F65" t="s">
        <v>39</v>
      </c>
      <c r="G65">
        <v>0</v>
      </c>
      <c r="H65">
        <v>0</v>
      </c>
      <c r="I65">
        <v>0</v>
      </c>
      <c r="J65">
        <v>0</v>
      </c>
      <c r="K65">
        <v>0</v>
      </c>
      <c r="L65">
        <v>1</v>
      </c>
      <c r="M65">
        <v>0</v>
      </c>
      <c r="N65">
        <v>2</v>
      </c>
      <c r="O65">
        <v>0</v>
      </c>
      <c r="P65">
        <v>2</v>
      </c>
      <c r="Q65">
        <v>1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6</v>
      </c>
      <c r="AM65">
        <v>1</v>
      </c>
      <c r="AN65">
        <v>18.125223214285839</v>
      </c>
    </row>
    <row r="66" spans="1:40" x14ac:dyDescent="0.3">
      <c r="A66" t="s">
        <v>8</v>
      </c>
      <c r="B66" t="s">
        <v>17</v>
      </c>
      <c r="C66" t="s">
        <v>10</v>
      </c>
      <c r="D66" t="s">
        <v>14</v>
      </c>
      <c r="E66">
        <v>202602</v>
      </c>
      <c r="F66" t="s">
        <v>46</v>
      </c>
      <c r="G66">
        <v>0</v>
      </c>
      <c r="H66">
        <v>1</v>
      </c>
      <c r="I66">
        <v>0</v>
      </c>
      <c r="J66">
        <v>0</v>
      </c>
      <c r="K66">
        <v>0</v>
      </c>
      <c r="L66">
        <v>0</v>
      </c>
      <c r="M66">
        <v>0</v>
      </c>
      <c r="N66">
        <v>1</v>
      </c>
      <c r="O66">
        <v>1</v>
      </c>
      <c r="P66">
        <v>2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5</v>
      </c>
      <c r="AM66">
        <v>1</v>
      </c>
      <c r="AN66">
        <v>17.125223214285839</v>
      </c>
    </row>
    <row r="67" spans="1:40" x14ac:dyDescent="0.3">
      <c r="A67" t="s">
        <v>8</v>
      </c>
      <c r="B67" t="s">
        <v>17</v>
      </c>
      <c r="C67" t="s">
        <v>10</v>
      </c>
      <c r="D67" t="s">
        <v>14</v>
      </c>
      <c r="E67">
        <v>202602</v>
      </c>
      <c r="F67" t="s">
        <v>40</v>
      </c>
      <c r="G67">
        <v>0</v>
      </c>
      <c r="H67">
        <v>0</v>
      </c>
      <c r="I67">
        <v>0</v>
      </c>
      <c r="J67">
        <v>0</v>
      </c>
      <c r="K67">
        <v>0</v>
      </c>
      <c r="L67">
        <v>1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1</v>
      </c>
      <c r="AM67">
        <v>0</v>
      </c>
      <c r="AN67">
        <v>1</v>
      </c>
    </row>
    <row r="68" spans="1:40" x14ac:dyDescent="0.3">
      <c r="A68" t="s">
        <v>8</v>
      </c>
      <c r="B68" t="s">
        <v>17</v>
      </c>
      <c r="C68" t="s">
        <v>10</v>
      </c>
      <c r="D68" t="s">
        <v>14</v>
      </c>
      <c r="E68">
        <v>202602</v>
      </c>
      <c r="F68" t="s">
        <v>41</v>
      </c>
      <c r="G68">
        <v>0</v>
      </c>
      <c r="H68">
        <v>0</v>
      </c>
      <c r="I68">
        <v>0</v>
      </c>
      <c r="J68">
        <v>0</v>
      </c>
      <c r="K68">
        <v>0</v>
      </c>
      <c r="L68">
        <v>1</v>
      </c>
      <c r="M68">
        <v>0</v>
      </c>
      <c r="N68">
        <v>0</v>
      </c>
      <c r="O68">
        <v>0</v>
      </c>
      <c r="P68">
        <v>0</v>
      </c>
      <c r="Q68">
        <v>2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3</v>
      </c>
      <c r="AM68">
        <v>0.66666666666666663</v>
      </c>
      <c r="AN68">
        <v>11.083482142857227</v>
      </c>
    </row>
    <row r="69" spans="1:40" x14ac:dyDescent="0.3">
      <c r="A69" t="s">
        <v>8</v>
      </c>
      <c r="B69" t="s">
        <v>17</v>
      </c>
      <c r="C69" t="s">
        <v>16</v>
      </c>
      <c r="D69" t="s">
        <v>11</v>
      </c>
      <c r="E69">
        <v>202602</v>
      </c>
      <c r="F69" t="s">
        <v>44</v>
      </c>
      <c r="G69">
        <v>0</v>
      </c>
      <c r="H69">
        <v>1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1</v>
      </c>
      <c r="AM69">
        <v>0</v>
      </c>
      <c r="AN69">
        <v>1</v>
      </c>
    </row>
    <row r="70" spans="1:40" x14ac:dyDescent="0.3">
      <c r="A70" t="s">
        <v>8</v>
      </c>
      <c r="B70" t="s">
        <v>17</v>
      </c>
      <c r="C70" t="s">
        <v>16</v>
      </c>
      <c r="D70" t="s">
        <v>11</v>
      </c>
      <c r="E70">
        <v>202602</v>
      </c>
      <c r="F70" t="s">
        <v>34</v>
      </c>
      <c r="G70">
        <v>0</v>
      </c>
      <c r="H70">
        <v>1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1</v>
      </c>
      <c r="AM70">
        <v>0</v>
      </c>
      <c r="AN70">
        <v>1</v>
      </c>
    </row>
    <row r="71" spans="1:40" x14ac:dyDescent="0.3">
      <c r="A71" t="s">
        <v>8</v>
      </c>
      <c r="B71" t="s">
        <v>17</v>
      </c>
      <c r="C71" t="s">
        <v>16</v>
      </c>
      <c r="D71" t="s">
        <v>11</v>
      </c>
      <c r="E71">
        <v>202602</v>
      </c>
      <c r="F71" t="s">
        <v>35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1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1</v>
      </c>
      <c r="AM71">
        <v>0.33333333333333331</v>
      </c>
      <c r="AN71">
        <v>5.6046251398731117</v>
      </c>
    </row>
    <row r="72" spans="1:40" x14ac:dyDescent="0.3">
      <c r="A72" t="s">
        <v>8</v>
      </c>
      <c r="B72" t="s">
        <v>17</v>
      </c>
      <c r="C72" t="s">
        <v>16</v>
      </c>
      <c r="D72" t="s">
        <v>11</v>
      </c>
      <c r="E72">
        <v>202602</v>
      </c>
      <c r="F72" t="s">
        <v>46</v>
      </c>
      <c r="G72">
        <v>0</v>
      </c>
      <c r="H72">
        <v>0</v>
      </c>
      <c r="I72">
        <v>0</v>
      </c>
      <c r="J72">
        <v>1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1</v>
      </c>
      <c r="AM72">
        <v>0</v>
      </c>
      <c r="AN72">
        <v>1</v>
      </c>
    </row>
    <row r="73" spans="1:40" x14ac:dyDescent="0.3">
      <c r="A73" t="s">
        <v>8</v>
      </c>
      <c r="B73" t="s">
        <v>17</v>
      </c>
      <c r="C73" t="s">
        <v>16</v>
      </c>
      <c r="D73" t="s">
        <v>14</v>
      </c>
      <c r="E73">
        <v>202602</v>
      </c>
      <c r="F73" t="s">
        <v>22</v>
      </c>
      <c r="G73">
        <v>0</v>
      </c>
      <c r="H73">
        <v>1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1</v>
      </c>
      <c r="AM73">
        <v>0</v>
      </c>
      <c r="AN73">
        <v>1</v>
      </c>
    </row>
    <row r="74" spans="1:40" x14ac:dyDescent="0.3">
      <c r="A74" t="s">
        <v>8</v>
      </c>
      <c r="B74" t="s">
        <v>17</v>
      </c>
      <c r="C74" t="s">
        <v>16</v>
      </c>
      <c r="D74" t="s">
        <v>14</v>
      </c>
      <c r="E74">
        <v>202602</v>
      </c>
      <c r="F74" t="s">
        <v>25</v>
      </c>
      <c r="G74">
        <v>0</v>
      </c>
      <c r="H74">
        <v>1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1</v>
      </c>
      <c r="AM74">
        <v>0</v>
      </c>
      <c r="AN74">
        <v>1</v>
      </c>
    </row>
    <row r="75" spans="1:40" x14ac:dyDescent="0.3">
      <c r="A75" t="s">
        <v>8</v>
      </c>
      <c r="B75" t="s">
        <v>17</v>
      </c>
      <c r="C75" t="s">
        <v>16</v>
      </c>
      <c r="D75" t="s">
        <v>14</v>
      </c>
      <c r="E75">
        <v>202602</v>
      </c>
      <c r="F75" t="s">
        <v>683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1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1</v>
      </c>
      <c r="AM75">
        <v>0.33333333333333331</v>
      </c>
      <c r="AN75">
        <v>5.0417410714286133</v>
      </c>
    </row>
    <row r="76" spans="1:40" x14ac:dyDescent="0.3">
      <c r="A76" t="s">
        <v>8</v>
      </c>
      <c r="B76" t="s">
        <v>17</v>
      </c>
      <c r="C76" t="s">
        <v>16</v>
      </c>
      <c r="D76" t="s">
        <v>14</v>
      </c>
      <c r="E76">
        <v>202602</v>
      </c>
      <c r="F76" t="s">
        <v>29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1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1</v>
      </c>
      <c r="AM76">
        <v>0.33333333333333331</v>
      </c>
      <c r="AN76">
        <v>5.0417410714286133</v>
      </c>
    </row>
    <row r="77" spans="1:40" x14ac:dyDescent="0.3">
      <c r="A77" t="s">
        <v>8</v>
      </c>
      <c r="B77" t="s">
        <v>17</v>
      </c>
      <c r="C77" t="s">
        <v>16</v>
      </c>
      <c r="D77" t="s">
        <v>14</v>
      </c>
      <c r="E77">
        <v>202602</v>
      </c>
      <c r="F77" t="s">
        <v>31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1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1</v>
      </c>
      <c r="AM77">
        <v>0.33333333333333331</v>
      </c>
      <c r="AN77">
        <v>5.0417410714286133</v>
      </c>
    </row>
    <row r="78" spans="1:40" x14ac:dyDescent="0.3">
      <c r="A78" t="s">
        <v>8</v>
      </c>
      <c r="B78" t="s">
        <v>17</v>
      </c>
      <c r="C78" t="s">
        <v>16</v>
      </c>
      <c r="D78" t="s">
        <v>14</v>
      </c>
      <c r="E78">
        <v>202602</v>
      </c>
      <c r="F78" t="s">
        <v>35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1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1</v>
      </c>
      <c r="AM78">
        <v>0.33333333333333331</v>
      </c>
      <c r="AN78">
        <v>5.0417410714286133</v>
      </c>
    </row>
    <row r="79" spans="1:40" x14ac:dyDescent="0.3">
      <c r="A79" t="s">
        <v>8</v>
      </c>
      <c r="B79" t="s">
        <v>17</v>
      </c>
      <c r="C79" t="s">
        <v>16</v>
      </c>
      <c r="D79" t="s">
        <v>14</v>
      </c>
      <c r="E79">
        <v>202602</v>
      </c>
      <c r="F79" t="s">
        <v>46</v>
      </c>
      <c r="G79">
        <v>0</v>
      </c>
      <c r="H79">
        <v>1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1</v>
      </c>
      <c r="AM79">
        <v>0</v>
      </c>
      <c r="AN79">
        <v>1</v>
      </c>
    </row>
    <row r="80" spans="1:40" x14ac:dyDescent="0.3">
      <c r="A80" t="s">
        <v>8</v>
      </c>
      <c r="B80" t="s">
        <v>17</v>
      </c>
      <c r="C80" t="s">
        <v>16</v>
      </c>
      <c r="D80" t="s">
        <v>14</v>
      </c>
      <c r="E80">
        <v>202602</v>
      </c>
      <c r="F80" t="s">
        <v>41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1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1</v>
      </c>
      <c r="AM80">
        <v>0.33333333333333331</v>
      </c>
      <c r="AN80">
        <v>5.0417410714286133</v>
      </c>
    </row>
    <row r="81" spans="1:40" x14ac:dyDescent="0.3">
      <c r="A81" t="s">
        <v>8</v>
      </c>
      <c r="B81" t="s">
        <v>47</v>
      </c>
      <c r="C81" t="s">
        <v>10</v>
      </c>
      <c r="D81" t="s">
        <v>14</v>
      </c>
      <c r="E81">
        <v>202602</v>
      </c>
      <c r="F81" t="s">
        <v>48</v>
      </c>
      <c r="G81">
        <v>0</v>
      </c>
      <c r="H81">
        <v>0</v>
      </c>
      <c r="I81">
        <v>0</v>
      </c>
      <c r="J81">
        <v>0</v>
      </c>
      <c r="K81">
        <v>0</v>
      </c>
      <c r="L81">
        <v>1</v>
      </c>
      <c r="M81">
        <v>0</v>
      </c>
      <c r="N81">
        <v>0</v>
      </c>
      <c r="O81">
        <v>0</v>
      </c>
      <c r="P81">
        <v>4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5</v>
      </c>
      <c r="AM81">
        <v>1.3333333333333333</v>
      </c>
      <c r="AN81">
        <v>21.166964285714453</v>
      </c>
    </row>
    <row r="82" spans="1:40" x14ac:dyDescent="0.3">
      <c r="A82" t="s">
        <v>8</v>
      </c>
      <c r="B82" t="s">
        <v>49</v>
      </c>
      <c r="C82" t="s">
        <v>10</v>
      </c>
      <c r="D82" t="s">
        <v>11</v>
      </c>
      <c r="E82">
        <v>202602</v>
      </c>
      <c r="F82" t="s">
        <v>50</v>
      </c>
      <c r="G82">
        <v>0</v>
      </c>
      <c r="H82">
        <v>0</v>
      </c>
      <c r="I82">
        <v>0</v>
      </c>
      <c r="J82">
        <v>1</v>
      </c>
      <c r="K82">
        <v>0</v>
      </c>
      <c r="L82">
        <v>0</v>
      </c>
      <c r="M82">
        <v>0</v>
      </c>
      <c r="N82">
        <v>0</v>
      </c>
      <c r="O82">
        <v>0</v>
      </c>
      <c r="P82">
        <v>1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2</v>
      </c>
      <c r="AM82">
        <v>0.33333333333333331</v>
      </c>
      <c r="AN82">
        <v>6.6046251398731117</v>
      </c>
    </row>
    <row r="83" spans="1:40" x14ac:dyDescent="0.3">
      <c r="A83" t="s">
        <v>8</v>
      </c>
      <c r="B83" t="s">
        <v>49</v>
      </c>
      <c r="C83" t="s">
        <v>10</v>
      </c>
      <c r="D83" t="s">
        <v>11</v>
      </c>
      <c r="E83">
        <v>202602</v>
      </c>
      <c r="F83" t="s">
        <v>51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1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1</v>
      </c>
      <c r="AM83">
        <v>0</v>
      </c>
      <c r="AN83">
        <v>1</v>
      </c>
    </row>
    <row r="84" spans="1:40" x14ac:dyDescent="0.3">
      <c r="A84" t="s">
        <v>8</v>
      </c>
      <c r="B84" t="s">
        <v>49</v>
      </c>
      <c r="C84" t="s">
        <v>10</v>
      </c>
      <c r="D84" t="s">
        <v>14</v>
      </c>
      <c r="E84">
        <v>202602</v>
      </c>
      <c r="F84" t="s">
        <v>50</v>
      </c>
      <c r="G84">
        <v>0</v>
      </c>
      <c r="H84">
        <v>1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1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2</v>
      </c>
      <c r="AM84">
        <v>0.33333333333333331</v>
      </c>
      <c r="AN84">
        <v>6.0417410714286133</v>
      </c>
    </row>
    <row r="85" spans="1:40" x14ac:dyDescent="0.3">
      <c r="A85" t="s">
        <v>8</v>
      </c>
      <c r="B85" t="s">
        <v>49</v>
      </c>
      <c r="C85" t="s">
        <v>10</v>
      </c>
      <c r="D85" t="s">
        <v>14</v>
      </c>
      <c r="E85">
        <v>202602</v>
      </c>
      <c r="F85" t="s">
        <v>51</v>
      </c>
      <c r="G85">
        <v>0</v>
      </c>
      <c r="H85">
        <v>0</v>
      </c>
      <c r="I85">
        <v>0</v>
      </c>
      <c r="J85">
        <v>0</v>
      </c>
      <c r="K85">
        <v>0</v>
      </c>
      <c r="L85">
        <v>1</v>
      </c>
      <c r="M85">
        <v>0</v>
      </c>
      <c r="N85">
        <v>0</v>
      </c>
      <c r="O85">
        <v>1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2</v>
      </c>
      <c r="AM85">
        <v>0.33333333333333331</v>
      </c>
      <c r="AN85">
        <v>6.0417410714286133</v>
      </c>
    </row>
    <row r="86" spans="1:40" x14ac:dyDescent="0.3">
      <c r="A86" t="s">
        <v>8</v>
      </c>
      <c r="B86" t="s">
        <v>49</v>
      </c>
      <c r="C86" t="s">
        <v>16</v>
      </c>
      <c r="D86" t="s">
        <v>11</v>
      </c>
      <c r="E86">
        <v>202602</v>
      </c>
      <c r="F86" t="s">
        <v>50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1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1</v>
      </c>
      <c r="AM86">
        <v>0.33333333333333331</v>
      </c>
      <c r="AN86">
        <v>5.6046251398731117</v>
      </c>
    </row>
    <row r="87" spans="1:40" x14ac:dyDescent="0.3">
      <c r="A87" t="s">
        <v>8</v>
      </c>
      <c r="B87" t="s">
        <v>49</v>
      </c>
      <c r="C87" t="s">
        <v>16</v>
      </c>
      <c r="D87" t="s">
        <v>11</v>
      </c>
      <c r="E87">
        <v>202602</v>
      </c>
      <c r="F87" t="s">
        <v>51</v>
      </c>
      <c r="G87">
        <v>0</v>
      </c>
      <c r="H87">
        <v>0</v>
      </c>
      <c r="I87">
        <v>1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2</v>
      </c>
      <c r="AM87">
        <v>0.33333333333333331</v>
      </c>
      <c r="AN87">
        <v>6.6046251398731117</v>
      </c>
    </row>
    <row r="88" spans="1:40" x14ac:dyDescent="0.3">
      <c r="A88" t="s">
        <v>8</v>
      </c>
      <c r="B88" t="s">
        <v>49</v>
      </c>
      <c r="C88" t="s">
        <v>16</v>
      </c>
      <c r="D88" t="s">
        <v>11</v>
      </c>
      <c r="E88">
        <v>202602</v>
      </c>
      <c r="F88" t="s">
        <v>52</v>
      </c>
      <c r="G88">
        <v>0</v>
      </c>
      <c r="H88">
        <v>0</v>
      </c>
      <c r="I88">
        <v>0</v>
      </c>
      <c r="J88">
        <v>0</v>
      </c>
      <c r="K88">
        <v>1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1</v>
      </c>
      <c r="AM88">
        <v>0</v>
      </c>
      <c r="AN88">
        <v>1</v>
      </c>
    </row>
    <row r="89" spans="1:40" x14ac:dyDescent="0.3">
      <c r="A89" t="s">
        <v>8</v>
      </c>
      <c r="B89" t="s">
        <v>49</v>
      </c>
      <c r="C89" t="s">
        <v>16</v>
      </c>
      <c r="D89" t="s">
        <v>14</v>
      </c>
      <c r="E89">
        <v>202602</v>
      </c>
      <c r="F89" t="s">
        <v>50</v>
      </c>
      <c r="G89">
        <v>0</v>
      </c>
      <c r="H89">
        <v>0</v>
      </c>
      <c r="I89">
        <v>0</v>
      </c>
      <c r="J89">
        <v>1</v>
      </c>
      <c r="K89">
        <v>0</v>
      </c>
      <c r="L89">
        <v>0</v>
      </c>
      <c r="M89">
        <v>0</v>
      </c>
      <c r="N89">
        <v>0</v>
      </c>
      <c r="O89">
        <v>1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2</v>
      </c>
      <c r="AM89">
        <v>0.33333333333333331</v>
      </c>
      <c r="AN89">
        <v>6.0417410714286133</v>
      </c>
    </row>
    <row r="90" spans="1:40" x14ac:dyDescent="0.3">
      <c r="A90" t="s">
        <v>8</v>
      </c>
      <c r="B90" t="s">
        <v>49</v>
      </c>
      <c r="C90" t="s">
        <v>16</v>
      </c>
      <c r="D90" t="s">
        <v>14</v>
      </c>
      <c r="E90">
        <v>202602</v>
      </c>
      <c r="F90" t="s">
        <v>204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1</v>
      </c>
      <c r="AM90">
        <v>0.33333333333333331</v>
      </c>
      <c r="AN90">
        <v>5.0417410714286133</v>
      </c>
    </row>
    <row r="91" spans="1:40" x14ac:dyDescent="0.3">
      <c r="A91" t="s">
        <v>8</v>
      </c>
      <c r="B91" t="s">
        <v>49</v>
      </c>
      <c r="C91" t="s">
        <v>16</v>
      </c>
      <c r="D91" t="s">
        <v>14</v>
      </c>
      <c r="E91">
        <v>202602</v>
      </c>
      <c r="F91" t="s">
        <v>51</v>
      </c>
      <c r="G91">
        <v>0</v>
      </c>
      <c r="H91">
        <v>2</v>
      </c>
      <c r="I91">
        <v>0</v>
      </c>
      <c r="J91">
        <v>1</v>
      </c>
      <c r="K91">
        <v>0</v>
      </c>
      <c r="L91">
        <v>0</v>
      </c>
      <c r="M91">
        <v>0</v>
      </c>
      <c r="N91">
        <v>0</v>
      </c>
      <c r="O91">
        <v>0</v>
      </c>
      <c r="P91">
        <v>1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4</v>
      </c>
      <c r="AM91">
        <v>0.33333333333333331</v>
      </c>
      <c r="AN91">
        <v>8.0417410714286142</v>
      </c>
    </row>
    <row r="92" spans="1:40" x14ac:dyDescent="0.3">
      <c r="A92" t="s">
        <v>8</v>
      </c>
      <c r="B92" t="s">
        <v>49</v>
      </c>
      <c r="C92" t="s">
        <v>16</v>
      </c>
      <c r="D92" t="s">
        <v>14</v>
      </c>
      <c r="E92">
        <v>202602</v>
      </c>
      <c r="F92" t="s">
        <v>52</v>
      </c>
      <c r="G92">
        <v>0</v>
      </c>
      <c r="H92">
        <v>0</v>
      </c>
      <c r="I92">
        <v>1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1</v>
      </c>
      <c r="AM92">
        <v>0</v>
      </c>
      <c r="AN92">
        <v>1</v>
      </c>
    </row>
    <row r="93" spans="1:40" x14ac:dyDescent="0.3">
      <c r="A93" t="s">
        <v>8</v>
      </c>
      <c r="B93" t="s">
        <v>49</v>
      </c>
      <c r="C93" t="s">
        <v>16</v>
      </c>
      <c r="D93" t="s">
        <v>14</v>
      </c>
      <c r="E93">
        <v>202602</v>
      </c>
      <c r="F93" t="s">
        <v>53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1</v>
      </c>
      <c r="AM93">
        <v>0.33333333333333331</v>
      </c>
      <c r="AN93">
        <v>5.0417410714286133</v>
      </c>
    </row>
    <row r="94" spans="1:40" x14ac:dyDescent="0.3">
      <c r="A94" t="s">
        <v>8</v>
      </c>
      <c r="B94" t="s">
        <v>54</v>
      </c>
      <c r="C94" t="s">
        <v>10</v>
      </c>
      <c r="D94" t="s">
        <v>11</v>
      </c>
      <c r="E94">
        <v>202602</v>
      </c>
      <c r="F94" t="s">
        <v>55</v>
      </c>
      <c r="G94">
        <v>0</v>
      </c>
      <c r="H94">
        <v>2</v>
      </c>
      <c r="I94">
        <v>3</v>
      </c>
      <c r="J94">
        <v>1</v>
      </c>
      <c r="K94">
        <v>0</v>
      </c>
      <c r="L94">
        <v>3</v>
      </c>
      <c r="M94">
        <v>1</v>
      </c>
      <c r="N94">
        <v>0</v>
      </c>
      <c r="O94">
        <v>0</v>
      </c>
      <c r="P94">
        <v>1</v>
      </c>
      <c r="Q94">
        <v>4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15</v>
      </c>
      <c r="AM94">
        <v>1.6666666666666667</v>
      </c>
      <c r="AN94">
        <v>38.023125699365558</v>
      </c>
    </row>
    <row r="95" spans="1:40" x14ac:dyDescent="0.3">
      <c r="A95" t="s">
        <v>8</v>
      </c>
      <c r="B95" t="s">
        <v>54</v>
      </c>
      <c r="C95" t="s">
        <v>10</v>
      </c>
      <c r="D95" t="s">
        <v>11</v>
      </c>
      <c r="E95">
        <v>202602</v>
      </c>
      <c r="F95" t="s">
        <v>56</v>
      </c>
      <c r="G95">
        <v>0</v>
      </c>
      <c r="H95">
        <v>9</v>
      </c>
      <c r="I95">
        <v>11</v>
      </c>
      <c r="J95">
        <v>19</v>
      </c>
      <c r="K95">
        <v>9</v>
      </c>
      <c r="L95">
        <v>9</v>
      </c>
      <c r="M95">
        <v>5</v>
      </c>
      <c r="N95">
        <v>0</v>
      </c>
      <c r="O95">
        <v>11</v>
      </c>
      <c r="P95">
        <v>6</v>
      </c>
      <c r="Q95">
        <v>15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94</v>
      </c>
      <c r="AM95">
        <v>10.666666666666666</v>
      </c>
      <c r="AN95">
        <v>241.34800447593958</v>
      </c>
    </row>
    <row r="96" spans="1:40" x14ac:dyDescent="0.3">
      <c r="A96" t="s">
        <v>8</v>
      </c>
      <c r="B96" t="s">
        <v>54</v>
      </c>
      <c r="C96" t="s">
        <v>10</v>
      </c>
      <c r="D96" t="s">
        <v>11</v>
      </c>
      <c r="E96">
        <v>202602</v>
      </c>
      <c r="F96" t="s">
        <v>52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1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1</v>
      </c>
      <c r="AM96">
        <v>0.33333333333333331</v>
      </c>
      <c r="AN96">
        <v>5.6046251398731117</v>
      </c>
    </row>
    <row r="97" spans="1:40" x14ac:dyDescent="0.3">
      <c r="A97" t="s">
        <v>8</v>
      </c>
      <c r="B97" t="s">
        <v>54</v>
      </c>
      <c r="C97" t="s">
        <v>10</v>
      </c>
      <c r="D97" t="s">
        <v>11</v>
      </c>
      <c r="E97">
        <v>202602</v>
      </c>
      <c r="F97" t="s">
        <v>57</v>
      </c>
      <c r="G97">
        <v>0</v>
      </c>
      <c r="H97">
        <v>0</v>
      </c>
      <c r="I97">
        <v>1</v>
      </c>
      <c r="J97">
        <v>4</v>
      </c>
      <c r="K97">
        <v>2</v>
      </c>
      <c r="L97">
        <v>1</v>
      </c>
      <c r="M97">
        <v>0</v>
      </c>
      <c r="N97">
        <v>0</v>
      </c>
      <c r="O97">
        <v>1</v>
      </c>
      <c r="P97">
        <v>0</v>
      </c>
      <c r="Q97">
        <v>5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14</v>
      </c>
      <c r="AM97">
        <v>2</v>
      </c>
      <c r="AN97">
        <v>41.627750839238672</v>
      </c>
    </row>
    <row r="98" spans="1:40" x14ac:dyDescent="0.3">
      <c r="A98" t="s">
        <v>8</v>
      </c>
      <c r="B98" t="s">
        <v>54</v>
      </c>
      <c r="C98" t="s">
        <v>10</v>
      </c>
      <c r="D98" t="s">
        <v>11</v>
      </c>
      <c r="E98">
        <v>202602</v>
      </c>
      <c r="F98" t="s">
        <v>58</v>
      </c>
      <c r="G98">
        <v>0</v>
      </c>
      <c r="H98">
        <v>0</v>
      </c>
      <c r="I98">
        <v>0</v>
      </c>
      <c r="J98">
        <v>1</v>
      </c>
      <c r="K98">
        <v>1</v>
      </c>
      <c r="L98">
        <v>2</v>
      </c>
      <c r="M98">
        <v>0</v>
      </c>
      <c r="N98">
        <v>0</v>
      </c>
      <c r="O98">
        <v>1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5</v>
      </c>
      <c r="AM98">
        <v>0.33333333333333331</v>
      </c>
      <c r="AN98">
        <v>9.6046251398731108</v>
      </c>
    </row>
    <row r="99" spans="1:40" x14ac:dyDescent="0.3">
      <c r="A99" t="s">
        <v>8</v>
      </c>
      <c r="B99" t="s">
        <v>54</v>
      </c>
      <c r="C99" t="s">
        <v>10</v>
      </c>
      <c r="D99" t="s">
        <v>14</v>
      </c>
      <c r="E99">
        <v>202602</v>
      </c>
      <c r="F99" t="s">
        <v>55</v>
      </c>
      <c r="G99">
        <v>0</v>
      </c>
      <c r="H99">
        <v>2</v>
      </c>
      <c r="I99">
        <v>2</v>
      </c>
      <c r="J99">
        <v>2</v>
      </c>
      <c r="K99">
        <v>1</v>
      </c>
      <c r="L99">
        <v>2</v>
      </c>
      <c r="M99">
        <v>1</v>
      </c>
      <c r="N99">
        <v>0</v>
      </c>
      <c r="O99">
        <v>5</v>
      </c>
      <c r="P99">
        <v>4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19</v>
      </c>
      <c r="AM99">
        <v>3</v>
      </c>
      <c r="AN99">
        <v>55.375669642857517</v>
      </c>
    </row>
    <row r="100" spans="1:40" x14ac:dyDescent="0.3">
      <c r="A100" t="s">
        <v>8</v>
      </c>
      <c r="B100" t="s">
        <v>54</v>
      </c>
      <c r="C100" t="s">
        <v>10</v>
      </c>
      <c r="D100" t="s">
        <v>14</v>
      </c>
      <c r="E100">
        <v>202602</v>
      </c>
      <c r="F100" t="s">
        <v>56</v>
      </c>
      <c r="G100">
        <v>4</v>
      </c>
      <c r="H100">
        <v>16</v>
      </c>
      <c r="I100">
        <v>24</v>
      </c>
      <c r="J100">
        <v>9</v>
      </c>
      <c r="K100">
        <v>13</v>
      </c>
      <c r="L100">
        <v>18</v>
      </c>
      <c r="M100">
        <v>3</v>
      </c>
      <c r="N100">
        <v>2</v>
      </c>
      <c r="O100">
        <v>15</v>
      </c>
      <c r="P100">
        <v>14</v>
      </c>
      <c r="Q100">
        <v>12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130</v>
      </c>
      <c r="AM100">
        <v>13.666666666666666</v>
      </c>
      <c r="AN100">
        <v>295.71138392857313</v>
      </c>
    </row>
    <row r="101" spans="1:40" x14ac:dyDescent="0.3">
      <c r="A101" t="s">
        <v>8</v>
      </c>
      <c r="B101" t="s">
        <v>54</v>
      </c>
      <c r="C101" t="s">
        <v>10</v>
      </c>
      <c r="D101" t="s">
        <v>14</v>
      </c>
      <c r="E101">
        <v>202602</v>
      </c>
      <c r="F101" t="s">
        <v>52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1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1</v>
      </c>
      <c r="AM101">
        <v>0.33333333333333331</v>
      </c>
      <c r="AN101">
        <v>5.0417410714286133</v>
      </c>
    </row>
    <row r="102" spans="1:40" x14ac:dyDescent="0.3">
      <c r="A102" t="s">
        <v>8</v>
      </c>
      <c r="B102" t="s">
        <v>54</v>
      </c>
      <c r="C102" t="s">
        <v>10</v>
      </c>
      <c r="D102" t="s">
        <v>14</v>
      </c>
      <c r="E102">
        <v>202602</v>
      </c>
      <c r="F102" t="s">
        <v>57</v>
      </c>
      <c r="G102">
        <v>1</v>
      </c>
      <c r="H102">
        <v>2</v>
      </c>
      <c r="I102">
        <v>4</v>
      </c>
      <c r="J102">
        <v>1</v>
      </c>
      <c r="K102">
        <v>1</v>
      </c>
      <c r="L102">
        <v>1</v>
      </c>
      <c r="M102">
        <v>0</v>
      </c>
      <c r="N102">
        <v>0</v>
      </c>
      <c r="O102">
        <v>2</v>
      </c>
      <c r="P102">
        <v>3</v>
      </c>
      <c r="Q102">
        <v>4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19</v>
      </c>
      <c r="AM102">
        <v>3</v>
      </c>
      <c r="AN102">
        <v>55.375669642857517</v>
      </c>
    </row>
    <row r="103" spans="1:40" x14ac:dyDescent="0.3">
      <c r="A103" t="s">
        <v>8</v>
      </c>
      <c r="B103" t="s">
        <v>54</v>
      </c>
      <c r="C103" t="s">
        <v>10</v>
      </c>
      <c r="D103" t="s">
        <v>14</v>
      </c>
      <c r="E103">
        <v>202602</v>
      </c>
      <c r="F103" t="s">
        <v>58</v>
      </c>
      <c r="G103">
        <v>0</v>
      </c>
      <c r="H103">
        <v>1</v>
      </c>
      <c r="I103">
        <v>0</v>
      </c>
      <c r="J103">
        <v>2</v>
      </c>
      <c r="K103">
        <v>1</v>
      </c>
      <c r="L103">
        <v>1</v>
      </c>
      <c r="M103">
        <v>1</v>
      </c>
      <c r="N103">
        <v>0</v>
      </c>
      <c r="O103">
        <v>1</v>
      </c>
      <c r="P103">
        <v>1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8</v>
      </c>
      <c r="AM103">
        <v>0.66666666666666663</v>
      </c>
      <c r="AN103">
        <v>16.083482142857228</v>
      </c>
    </row>
    <row r="104" spans="1:40" x14ac:dyDescent="0.3">
      <c r="A104" t="s">
        <v>8</v>
      </c>
      <c r="B104" t="s">
        <v>54</v>
      </c>
      <c r="C104" t="s">
        <v>16</v>
      </c>
      <c r="D104" t="s">
        <v>11</v>
      </c>
      <c r="E104">
        <v>202602</v>
      </c>
      <c r="F104" t="s">
        <v>57</v>
      </c>
      <c r="G104">
        <v>0</v>
      </c>
      <c r="H104">
        <v>0</v>
      </c>
      <c r="I104">
        <v>0</v>
      </c>
      <c r="J104">
        <v>1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1</v>
      </c>
      <c r="AM104">
        <v>0</v>
      </c>
      <c r="AN104">
        <v>1</v>
      </c>
    </row>
    <row r="105" spans="1:40" x14ac:dyDescent="0.3">
      <c r="A105" t="s">
        <v>8</v>
      </c>
      <c r="B105" t="s">
        <v>54</v>
      </c>
      <c r="C105" t="s">
        <v>16</v>
      </c>
      <c r="D105" t="s">
        <v>14</v>
      </c>
      <c r="E105">
        <v>202602</v>
      </c>
      <c r="F105" t="s">
        <v>56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1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1</v>
      </c>
      <c r="AM105">
        <v>0.33333333333333331</v>
      </c>
      <c r="AN105">
        <v>5.0417410714286133</v>
      </c>
    </row>
    <row r="106" spans="1:40" x14ac:dyDescent="0.3">
      <c r="A106" t="s">
        <v>8</v>
      </c>
      <c r="B106" t="s">
        <v>54</v>
      </c>
      <c r="C106" t="s">
        <v>16</v>
      </c>
      <c r="D106" t="s">
        <v>14</v>
      </c>
      <c r="E106">
        <v>202602</v>
      </c>
      <c r="F106" t="s">
        <v>57</v>
      </c>
      <c r="G106">
        <v>0</v>
      </c>
      <c r="H106">
        <v>1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1</v>
      </c>
      <c r="AM106">
        <v>0</v>
      </c>
      <c r="AN106">
        <v>1</v>
      </c>
    </row>
    <row r="107" spans="1:40" x14ac:dyDescent="0.3">
      <c r="A107" t="s">
        <v>8</v>
      </c>
      <c r="B107" t="s">
        <v>54</v>
      </c>
      <c r="C107" t="s">
        <v>16</v>
      </c>
      <c r="D107" t="s">
        <v>14</v>
      </c>
      <c r="E107">
        <v>202602</v>
      </c>
      <c r="F107" t="s">
        <v>58</v>
      </c>
      <c r="G107">
        <v>0</v>
      </c>
      <c r="H107">
        <v>0</v>
      </c>
      <c r="I107">
        <v>1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1</v>
      </c>
      <c r="AM107">
        <v>0</v>
      </c>
      <c r="AN107">
        <v>1</v>
      </c>
    </row>
    <row r="108" spans="1:40" x14ac:dyDescent="0.3">
      <c r="A108" t="s">
        <v>8</v>
      </c>
      <c r="B108" t="s">
        <v>59</v>
      </c>
      <c r="C108" t="s">
        <v>10</v>
      </c>
      <c r="D108" t="s">
        <v>11</v>
      </c>
      <c r="E108">
        <v>202602</v>
      </c>
      <c r="F108" t="s">
        <v>60</v>
      </c>
      <c r="G108">
        <v>0</v>
      </c>
      <c r="H108">
        <v>3</v>
      </c>
      <c r="I108">
        <v>5</v>
      </c>
      <c r="J108">
        <v>4</v>
      </c>
      <c r="K108">
        <v>5</v>
      </c>
      <c r="L108">
        <v>7</v>
      </c>
      <c r="M108">
        <v>5</v>
      </c>
      <c r="N108">
        <v>0</v>
      </c>
      <c r="O108">
        <v>5</v>
      </c>
      <c r="P108">
        <v>2</v>
      </c>
      <c r="Q108">
        <v>2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38</v>
      </c>
      <c r="AM108">
        <v>3</v>
      </c>
      <c r="AN108">
        <v>79.441626258858008</v>
      </c>
    </row>
    <row r="109" spans="1:40" x14ac:dyDescent="0.3">
      <c r="A109" t="s">
        <v>8</v>
      </c>
      <c r="B109" t="s">
        <v>59</v>
      </c>
      <c r="C109" t="s">
        <v>10</v>
      </c>
      <c r="D109" t="s">
        <v>11</v>
      </c>
      <c r="E109">
        <v>202602</v>
      </c>
      <c r="F109" t="s">
        <v>61</v>
      </c>
      <c r="G109">
        <v>0</v>
      </c>
      <c r="H109">
        <v>2</v>
      </c>
      <c r="I109">
        <v>3</v>
      </c>
      <c r="J109">
        <v>1</v>
      </c>
      <c r="K109">
        <v>7</v>
      </c>
      <c r="L109">
        <v>3</v>
      </c>
      <c r="M109">
        <v>1</v>
      </c>
      <c r="N109">
        <v>0</v>
      </c>
      <c r="O109">
        <v>1</v>
      </c>
      <c r="P109">
        <v>2</v>
      </c>
      <c r="Q109">
        <v>7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  <c r="AL109">
        <v>27</v>
      </c>
      <c r="AM109">
        <v>3.3333333333333335</v>
      </c>
      <c r="AN109">
        <v>73.046251398731116</v>
      </c>
    </row>
    <row r="110" spans="1:40" x14ac:dyDescent="0.3">
      <c r="A110" t="s">
        <v>8</v>
      </c>
      <c r="B110" t="s">
        <v>59</v>
      </c>
      <c r="C110" t="s">
        <v>10</v>
      </c>
      <c r="D110" t="s">
        <v>11</v>
      </c>
      <c r="E110">
        <v>202602</v>
      </c>
      <c r="F110" t="s">
        <v>62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1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  <c r="AL110">
        <v>1</v>
      </c>
      <c r="AM110">
        <v>0.33333333333333331</v>
      </c>
      <c r="AN110">
        <v>5.6046251398731117</v>
      </c>
    </row>
    <row r="111" spans="1:40" x14ac:dyDescent="0.3">
      <c r="A111" t="s">
        <v>8</v>
      </c>
      <c r="B111" t="s">
        <v>59</v>
      </c>
      <c r="C111" t="s">
        <v>10</v>
      </c>
      <c r="D111" t="s">
        <v>11</v>
      </c>
      <c r="E111">
        <v>202602</v>
      </c>
      <c r="F111" t="s">
        <v>63</v>
      </c>
      <c r="G111">
        <v>0</v>
      </c>
      <c r="H111">
        <v>2</v>
      </c>
      <c r="I111">
        <v>2</v>
      </c>
      <c r="J111">
        <v>0</v>
      </c>
      <c r="K111">
        <v>3</v>
      </c>
      <c r="L111">
        <v>0</v>
      </c>
      <c r="M111">
        <v>2</v>
      </c>
      <c r="N111">
        <v>0</v>
      </c>
      <c r="O111">
        <v>1</v>
      </c>
      <c r="P111">
        <v>0</v>
      </c>
      <c r="Q111">
        <v>2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  <c r="AL111">
        <v>12</v>
      </c>
      <c r="AM111">
        <v>1</v>
      </c>
      <c r="AN111">
        <v>25.813875419619336</v>
      </c>
    </row>
    <row r="112" spans="1:40" x14ac:dyDescent="0.3">
      <c r="A112" t="s">
        <v>8</v>
      </c>
      <c r="B112" t="s">
        <v>59</v>
      </c>
      <c r="C112" t="s">
        <v>10</v>
      </c>
      <c r="D112" t="s">
        <v>11</v>
      </c>
      <c r="E112">
        <v>202602</v>
      </c>
      <c r="F112" t="s">
        <v>64</v>
      </c>
      <c r="G112">
        <v>0</v>
      </c>
      <c r="H112">
        <v>2</v>
      </c>
      <c r="I112">
        <v>1</v>
      </c>
      <c r="J112">
        <v>1</v>
      </c>
      <c r="K112">
        <v>0</v>
      </c>
      <c r="L112">
        <v>0</v>
      </c>
      <c r="M112">
        <v>1</v>
      </c>
      <c r="N112">
        <v>0</v>
      </c>
      <c r="O112">
        <v>2</v>
      </c>
      <c r="P112">
        <v>0</v>
      </c>
      <c r="Q112">
        <v>2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9</v>
      </c>
      <c r="AM112">
        <v>1.3333333333333333</v>
      </c>
      <c r="AN112">
        <v>27.418500559492447</v>
      </c>
    </row>
    <row r="113" spans="1:40" x14ac:dyDescent="0.3">
      <c r="A113" t="s">
        <v>8</v>
      </c>
      <c r="B113" t="s">
        <v>59</v>
      </c>
      <c r="C113" t="s">
        <v>10</v>
      </c>
      <c r="D113" t="s">
        <v>11</v>
      </c>
      <c r="E113">
        <v>202602</v>
      </c>
      <c r="F113" t="s">
        <v>65</v>
      </c>
      <c r="G113">
        <v>0</v>
      </c>
      <c r="H113">
        <v>1</v>
      </c>
      <c r="I113">
        <v>0</v>
      </c>
      <c r="J113">
        <v>0</v>
      </c>
      <c r="K113">
        <v>0</v>
      </c>
      <c r="L113">
        <v>1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2</v>
      </c>
      <c r="AM113">
        <v>0</v>
      </c>
      <c r="AN113">
        <v>2</v>
      </c>
    </row>
    <row r="114" spans="1:40" x14ac:dyDescent="0.3">
      <c r="A114" t="s">
        <v>8</v>
      </c>
      <c r="B114" t="s">
        <v>59</v>
      </c>
      <c r="C114" t="s">
        <v>10</v>
      </c>
      <c r="D114" t="s">
        <v>11</v>
      </c>
      <c r="E114">
        <v>202602</v>
      </c>
      <c r="F114" t="s">
        <v>66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1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1</v>
      </c>
      <c r="AM114">
        <v>0</v>
      </c>
      <c r="AN114">
        <v>1</v>
      </c>
    </row>
    <row r="115" spans="1:40" x14ac:dyDescent="0.3">
      <c r="A115" t="s">
        <v>8</v>
      </c>
      <c r="B115" t="s">
        <v>59</v>
      </c>
      <c r="C115" t="s">
        <v>10</v>
      </c>
      <c r="D115" t="s">
        <v>11</v>
      </c>
      <c r="E115">
        <v>202602</v>
      </c>
      <c r="F115" t="s">
        <v>67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1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1</v>
      </c>
      <c r="AM115">
        <v>0</v>
      </c>
      <c r="AN115">
        <v>1</v>
      </c>
    </row>
    <row r="116" spans="1:40" x14ac:dyDescent="0.3">
      <c r="A116" t="s">
        <v>8</v>
      </c>
      <c r="B116" t="s">
        <v>59</v>
      </c>
      <c r="C116" t="s">
        <v>10</v>
      </c>
      <c r="D116" t="s">
        <v>11</v>
      </c>
      <c r="E116">
        <v>202602</v>
      </c>
      <c r="F116" t="s">
        <v>68</v>
      </c>
      <c r="G116">
        <v>0</v>
      </c>
      <c r="H116">
        <v>5</v>
      </c>
      <c r="I116">
        <v>0</v>
      </c>
      <c r="J116">
        <v>2</v>
      </c>
      <c r="K116">
        <v>3</v>
      </c>
      <c r="L116">
        <v>1</v>
      </c>
      <c r="M116">
        <v>0</v>
      </c>
      <c r="N116">
        <v>0</v>
      </c>
      <c r="O116">
        <v>1</v>
      </c>
      <c r="P116">
        <v>1</v>
      </c>
      <c r="Q116">
        <v>2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15</v>
      </c>
      <c r="AM116">
        <v>1.3333333333333333</v>
      </c>
      <c r="AN116">
        <v>33.418500559492443</v>
      </c>
    </row>
    <row r="117" spans="1:40" x14ac:dyDescent="0.3">
      <c r="A117" t="s">
        <v>8</v>
      </c>
      <c r="B117" t="s">
        <v>59</v>
      </c>
      <c r="C117" t="s">
        <v>10</v>
      </c>
      <c r="D117" t="s">
        <v>11</v>
      </c>
      <c r="E117">
        <v>202602</v>
      </c>
      <c r="F117" t="s">
        <v>69</v>
      </c>
      <c r="G117">
        <v>0</v>
      </c>
      <c r="H117">
        <v>1</v>
      </c>
      <c r="I117">
        <v>0</v>
      </c>
      <c r="J117">
        <v>5</v>
      </c>
      <c r="K117">
        <v>4</v>
      </c>
      <c r="L117">
        <v>4</v>
      </c>
      <c r="M117">
        <v>3</v>
      </c>
      <c r="N117">
        <v>0</v>
      </c>
      <c r="O117">
        <v>5</v>
      </c>
      <c r="P117">
        <v>4</v>
      </c>
      <c r="Q117">
        <v>3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29</v>
      </c>
      <c r="AM117">
        <v>4</v>
      </c>
      <c r="AN117">
        <v>84.255501678477344</v>
      </c>
    </row>
    <row r="118" spans="1:40" x14ac:dyDescent="0.3">
      <c r="A118" t="s">
        <v>8</v>
      </c>
      <c r="B118" t="s">
        <v>59</v>
      </c>
      <c r="C118" t="s">
        <v>10</v>
      </c>
      <c r="D118" t="s">
        <v>11</v>
      </c>
      <c r="E118">
        <v>202602</v>
      </c>
      <c r="F118" t="s">
        <v>70</v>
      </c>
      <c r="G118">
        <v>0</v>
      </c>
      <c r="H118">
        <v>0</v>
      </c>
      <c r="I118">
        <v>0</v>
      </c>
      <c r="J118">
        <v>0</v>
      </c>
      <c r="K118">
        <v>1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>
        <v>1</v>
      </c>
      <c r="AM118">
        <v>0</v>
      </c>
      <c r="AN118">
        <v>1</v>
      </c>
    </row>
    <row r="119" spans="1:40" x14ac:dyDescent="0.3">
      <c r="A119" t="s">
        <v>8</v>
      </c>
      <c r="B119" t="s">
        <v>59</v>
      </c>
      <c r="C119" t="s">
        <v>10</v>
      </c>
      <c r="D119" t="s">
        <v>11</v>
      </c>
      <c r="E119">
        <v>202602</v>
      </c>
      <c r="F119" t="s">
        <v>71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2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>
        <v>2</v>
      </c>
      <c r="AM119">
        <v>0</v>
      </c>
      <c r="AN119">
        <v>2</v>
      </c>
    </row>
    <row r="120" spans="1:40" x14ac:dyDescent="0.3">
      <c r="A120" t="s">
        <v>8</v>
      </c>
      <c r="B120" t="s">
        <v>59</v>
      </c>
      <c r="C120" t="s">
        <v>10</v>
      </c>
      <c r="D120" t="s">
        <v>11</v>
      </c>
      <c r="E120">
        <v>202602</v>
      </c>
      <c r="F120" t="s">
        <v>72</v>
      </c>
      <c r="G120">
        <v>0</v>
      </c>
      <c r="H120">
        <v>1</v>
      </c>
      <c r="I120">
        <v>0</v>
      </c>
      <c r="J120">
        <v>1</v>
      </c>
      <c r="K120">
        <v>0</v>
      </c>
      <c r="L120">
        <v>0</v>
      </c>
      <c r="M120">
        <v>0</v>
      </c>
      <c r="N120">
        <v>0</v>
      </c>
      <c r="O120">
        <v>1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>
        <v>3</v>
      </c>
      <c r="AM120">
        <v>0.33333333333333331</v>
      </c>
      <c r="AN120">
        <v>7.6046251398731117</v>
      </c>
    </row>
    <row r="121" spans="1:40" x14ac:dyDescent="0.3">
      <c r="A121" t="s">
        <v>8</v>
      </c>
      <c r="B121" t="s">
        <v>59</v>
      </c>
      <c r="C121" t="s">
        <v>10</v>
      </c>
      <c r="D121" t="s">
        <v>11</v>
      </c>
      <c r="E121">
        <v>202602</v>
      </c>
      <c r="F121" t="s">
        <v>73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2</v>
      </c>
      <c r="Q121">
        <v>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3</v>
      </c>
      <c r="AM121">
        <v>1</v>
      </c>
      <c r="AN121">
        <v>16.813875419619336</v>
      </c>
    </row>
    <row r="122" spans="1:40" x14ac:dyDescent="0.3">
      <c r="A122" t="s">
        <v>8</v>
      </c>
      <c r="B122" t="s">
        <v>59</v>
      </c>
      <c r="C122" t="s">
        <v>10</v>
      </c>
      <c r="D122" t="s">
        <v>11</v>
      </c>
      <c r="E122">
        <v>202602</v>
      </c>
      <c r="F122" t="s">
        <v>74</v>
      </c>
      <c r="G122">
        <v>0</v>
      </c>
      <c r="H122">
        <v>1</v>
      </c>
      <c r="I122">
        <v>0</v>
      </c>
      <c r="J122">
        <v>0</v>
      </c>
      <c r="K122">
        <v>0</v>
      </c>
      <c r="L122">
        <v>2</v>
      </c>
      <c r="M122">
        <v>0</v>
      </c>
      <c r="N122">
        <v>0</v>
      </c>
      <c r="O122">
        <v>0</v>
      </c>
      <c r="P122">
        <v>2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5</v>
      </c>
      <c r="AM122">
        <v>0.66666666666666663</v>
      </c>
      <c r="AN122">
        <v>14.209250279746223</v>
      </c>
    </row>
    <row r="123" spans="1:40" x14ac:dyDescent="0.3">
      <c r="A123" t="s">
        <v>8</v>
      </c>
      <c r="B123" t="s">
        <v>59</v>
      </c>
      <c r="C123" t="s">
        <v>10</v>
      </c>
      <c r="D123" t="s">
        <v>14</v>
      </c>
      <c r="E123">
        <v>202602</v>
      </c>
      <c r="F123" t="s">
        <v>60</v>
      </c>
      <c r="G123">
        <v>0</v>
      </c>
      <c r="H123">
        <v>6</v>
      </c>
      <c r="I123">
        <v>8</v>
      </c>
      <c r="J123">
        <v>13</v>
      </c>
      <c r="K123">
        <v>5</v>
      </c>
      <c r="L123">
        <v>2</v>
      </c>
      <c r="M123">
        <v>0</v>
      </c>
      <c r="N123">
        <v>0</v>
      </c>
      <c r="O123">
        <v>3</v>
      </c>
      <c r="P123">
        <v>3</v>
      </c>
      <c r="Q123">
        <v>10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50</v>
      </c>
      <c r="AM123">
        <v>5.333333333333333</v>
      </c>
      <c r="AN123">
        <v>114.66785714285781</v>
      </c>
    </row>
    <row r="124" spans="1:40" x14ac:dyDescent="0.3">
      <c r="A124" t="s">
        <v>8</v>
      </c>
      <c r="B124" t="s">
        <v>59</v>
      </c>
      <c r="C124" t="s">
        <v>10</v>
      </c>
      <c r="D124" t="s">
        <v>14</v>
      </c>
      <c r="E124">
        <v>202602</v>
      </c>
      <c r="F124" t="s">
        <v>61</v>
      </c>
      <c r="G124">
        <v>0</v>
      </c>
      <c r="H124">
        <v>9</v>
      </c>
      <c r="I124">
        <v>4</v>
      </c>
      <c r="J124">
        <v>14</v>
      </c>
      <c r="K124">
        <v>3</v>
      </c>
      <c r="L124">
        <v>3</v>
      </c>
      <c r="M124">
        <v>0</v>
      </c>
      <c r="N124">
        <v>0</v>
      </c>
      <c r="O124">
        <v>5</v>
      </c>
      <c r="P124">
        <v>5</v>
      </c>
      <c r="Q124">
        <v>6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49</v>
      </c>
      <c r="AM124">
        <v>5.333333333333333</v>
      </c>
      <c r="AN124">
        <v>113.66785714285781</v>
      </c>
    </row>
    <row r="125" spans="1:40" x14ac:dyDescent="0.3">
      <c r="A125" t="s">
        <v>8</v>
      </c>
      <c r="B125" t="s">
        <v>59</v>
      </c>
      <c r="C125" t="s">
        <v>10</v>
      </c>
      <c r="D125" t="s">
        <v>14</v>
      </c>
      <c r="E125">
        <v>202602</v>
      </c>
      <c r="F125" t="s">
        <v>62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1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1</v>
      </c>
      <c r="AM125">
        <v>0.33333333333333331</v>
      </c>
      <c r="AN125">
        <v>5.0417410714286133</v>
      </c>
    </row>
    <row r="126" spans="1:40" x14ac:dyDescent="0.3">
      <c r="A126" t="s">
        <v>8</v>
      </c>
      <c r="B126" t="s">
        <v>59</v>
      </c>
      <c r="C126" t="s">
        <v>10</v>
      </c>
      <c r="D126" t="s">
        <v>14</v>
      </c>
      <c r="E126">
        <v>202602</v>
      </c>
      <c r="F126" t="s">
        <v>63</v>
      </c>
      <c r="G126">
        <v>0</v>
      </c>
      <c r="H126">
        <v>1</v>
      </c>
      <c r="I126">
        <v>3</v>
      </c>
      <c r="J126">
        <v>3</v>
      </c>
      <c r="K126">
        <v>5</v>
      </c>
      <c r="L126">
        <v>2</v>
      </c>
      <c r="M126">
        <v>0</v>
      </c>
      <c r="N126">
        <v>0</v>
      </c>
      <c r="O126">
        <v>1</v>
      </c>
      <c r="P126">
        <v>2</v>
      </c>
      <c r="Q126">
        <v>4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21</v>
      </c>
      <c r="AM126">
        <v>2.3333333333333335</v>
      </c>
      <c r="AN126">
        <v>49.292187500000296</v>
      </c>
    </row>
    <row r="127" spans="1:40" x14ac:dyDescent="0.3">
      <c r="A127" t="s">
        <v>8</v>
      </c>
      <c r="B127" t="s">
        <v>59</v>
      </c>
      <c r="C127" t="s">
        <v>10</v>
      </c>
      <c r="D127" t="s">
        <v>14</v>
      </c>
      <c r="E127">
        <v>202602</v>
      </c>
      <c r="F127" t="s">
        <v>75</v>
      </c>
      <c r="G127">
        <v>0</v>
      </c>
      <c r="H127">
        <v>0</v>
      </c>
      <c r="I127">
        <v>0</v>
      </c>
      <c r="J127">
        <v>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1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2</v>
      </c>
      <c r="AM127">
        <v>0.33333333333333331</v>
      </c>
      <c r="AN127">
        <v>6.0417410714286133</v>
      </c>
    </row>
    <row r="128" spans="1:40" x14ac:dyDescent="0.3">
      <c r="A128" t="s">
        <v>8</v>
      </c>
      <c r="B128" t="s">
        <v>59</v>
      </c>
      <c r="C128" t="s">
        <v>10</v>
      </c>
      <c r="D128" t="s">
        <v>14</v>
      </c>
      <c r="E128">
        <v>202602</v>
      </c>
      <c r="F128" t="s">
        <v>76</v>
      </c>
      <c r="G128">
        <v>0</v>
      </c>
      <c r="H128">
        <v>0</v>
      </c>
      <c r="I128">
        <v>0</v>
      </c>
      <c r="J128">
        <v>0</v>
      </c>
      <c r="K128">
        <v>1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1</v>
      </c>
      <c r="AM128">
        <v>0</v>
      </c>
      <c r="AN128">
        <v>1</v>
      </c>
    </row>
    <row r="129" spans="1:40" x14ac:dyDescent="0.3">
      <c r="A129" t="s">
        <v>8</v>
      </c>
      <c r="B129" t="s">
        <v>59</v>
      </c>
      <c r="C129" t="s">
        <v>10</v>
      </c>
      <c r="D129" t="s">
        <v>14</v>
      </c>
      <c r="E129">
        <v>202602</v>
      </c>
      <c r="F129" t="s">
        <v>64</v>
      </c>
      <c r="G129">
        <v>0</v>
      </c>
      <c r="H129">
        <v>2</v>
      </c>
      <c r="I129">
        <v>0</v>
      </c>
      <c r="J129">
        <v>0</v>
      </c>
      <c r="K129">
        <v>2</v>
      </c>
      <c r="L129">
        <v>2</v>
      </c>
      <c r="M129">
        <v>0</v>
      </c>
      <c r="N129">
        <v>0</v>
      </c>
      <c r="O129">
        <v>0</v>
      </c>
      <c r="P129">
        <v>4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10</v>
      </c>
      <c r="AM129">
        <v>1.3333333333333333</v>
      </c>
      <c r="AN129">
        <v>26.166964285714453</v>
      </c>
    </row>
    <row r="130" spans="1:40" x14ac:dyDescent="0.3">
      <c r="A130" t="s">
        <v>8</v>
      </c>
      <c r="B130" t="s">
        <v>59</v>
      </c>
      <c r="C130" t="s">
        <v>10</v>
      </c>
      <c r="D130" t="s">
        <v>14</v>
      </c>
      <c r="E130">
        <v>202602</v>
      </c>
      <c r="F130" t="s">
        <v>65</v>
      </c>
      <c r="G130">
        <v>0</v>
      </c>
      <c r="H130">
        <v>1</v>
      </c>
      <c r="I130">
        <v>0</v>
      </c>
      <c r="J130">
        <v>0</v>
      </c>
      <c r="K130">
        <v>1</v>
      </c>
      <c r="L130">
        <v>1</v>
      </c>
      <c r="M130">
        <v>0</v>
      </c>
      <c r="N130">
        <v>0</v>
      </c>
      <c r="O130">
        <v>0</v>
      </c>
      <c r="P130">
        <v>1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  <c r="AL130">
        <v>4</v>
      </c>
      <c r="AM130">
        <v>0.33333333333333331</v>
      </c>
      <c r="AN130">
        <v>8.0417410714286142</v>
      </c>
    </row>
    <row r="131" spans="1:40" x14ac:dyDescent="0.3">
      <c r="A131" t="s">
        <v>8</v>
      </c>
      <c r="B131" t="s">
        <v>59</v>
      </c>
      <c r="C131" t="s">
        <v>10</v>
      </c>
      <c r="D131" t="s">
        <v>14</v>
      </c>
      <c r="E131">
        <v>202602</v>
      </c>
      <c r="F131" t="s">
        <v>66</v>
      </c>
      <c r="G131">
        <v>0</v>
      </c>
      <c r="H131">
        <v>2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2</v>
      </c>
      <c r="AM131">
        <v>0</v>
      </c>
      <c r="AN131">
        <v>2</v>
      </c>
    </row>
    <row r="132" spans="1:40" x14ac:dyDescent="0.3">
      <c r="A132" t="s">
        <v>8</v>
      </c>
      <c r="B132" t="s">
        <v>59</v>
      </c>
      <c r="C132" t="s">
        <v>10</v>
      </c>
      <c r="D132" t="s">
        <v>14</v>
      </c>
      <c r="E132">
        <v>202602</v>
      </c>
      <c r="F132" t="s">
        <v>67</v>
      </c>
      <c r="G132">
        <v>0</v>
      </c>
      <c r="H132">
        <v>1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1</v>
      </c>
      <c r="AM132">
        <v>0</v>
      </c>
      <c r="AN132">
        <v>1</v>
      </c>
    </row>
    <row r="133" spans="1:40" x14ac:dyDescent="0.3">
      <c r="A133" t="s">
        <v>8</v>
      </c>
      <c r="B133" t="s">
        <v>59</v>
      </c>
      <c r="C133" t="s">
        <v>10</v>
      </c>
      <c r="D133" t="s">
        <v>14</v>
      </c>
      <c r="E133">
        <v>202602</v>
      </c>
      <c r="F133" t="s">
        <v>68</v>
      </c>
      <c r="G133">
        <v>0</v>
      </c>
      <c r="H133">
        <v>2</v>
      </c>
      <c r="I133">
        <v>9</v>
      </c>
      <c r="J133">
        <v>2</v>
      </c>
      <c r="K133">
        <v>1</v>
      </c>
      <c r="L133">
        <v>0</v>
      </c>
      <c r="M133">
        <v>1</v>
      </c>
      <c r="N133">
        <v>0</v>
      </c>
      <c r="O133">
        <v>1</v>
      </c>
      <c r="P133">
        <v>3</v>
      </c>
      <c r="Q133">
        <v>2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21</v>
      </c>
      <c r="AM133">
        <v>2</v>
      </c>
      <c r="AN133">
        <v>45.250446428571678</v>
      </c>
    </row>
    <row r="134" spans="1:40" x14ac:dyDescent="0.3">
      <c r="A134" t="s">
        <v>8</v>
      </c>
      <c r="B134" t="s">
        <v>59</v>
      </c>
      <c r="C134" t="s">
        <v>10</v>
      </c>
      <c r="D134" t="s">
        <v>14</v>
      </c>
      <c r="E134">
        <v>202602</v>
      </c>
      <c r="F134" t="s">
        <v>69</v>
      </c>
      <c r="G134">
        <v>0</v>
      </c>
      <c r="H134">
        <v>9</v>
      </c>
      <c r="I134">
        <v>8</v>
      </c>
      <c r="J134">
        <v>4</v>
      </c>
      <c r="K134">
        <v>4</v>
      </c>
      <c r="L134">
        <v>11</v>
      </c>
      <c r="M134">
        <v>0</v>
      </c>
      <c r="N134">
        <v>0</v>
      </c>
      <c r="O134">
        <v>5</v>
      </c>
      <c r="P134">
        <v>4</v>
      </c>
      <c r="Q134">
        <v>2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47</v>
      </c>
      <c r="AM134">
        <v>3.6666666666666665</v>
      </c>
      <c r="AN134">
        <v>91.459151785714738</v>
      </c>
    </row>
    <row r="135" spans="1:40" x14ac:dyDescent="0.3">
      <c r="A135" t="s">
        <v>8</v>
      </c>
      <c r="B135" t="s">
        <v>59</v>
      </c>
      <c r="C135" t="s">
        <v>10</v>
      </c>
      <c r="D135" t="s">
        <v>14</v>
      </c>
      <c r="E135">
        <v>202602</v>
      </c>
      <c r="F135" t="s">
        <v>70</v>
      </c>
      <c r="G135">
        <v>0</v>
      </c>
      <c r="H135">
        <v>0</v>
      </c>
      <c r="I135">
        <v>1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2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3</v>
      </c>
      <c r="AM135">
        <v>0.66666666666666663</v>
      </c>
      <c r="AN135">
        <v>11.083482142857227</v>
      </c>
    </row>
    <row r="136" spans="1:40" x14ac:dyDescent="0.3">
      <c r="A136" t="s">
        <v>8</v>
      </c>
      <c r="B136" t="s">
        <v>59</v>
      </c>
      <c r="C136" t="s">
        <v>10</v>
      </c>
      <c r="D136" t="s">
        <v>14</v>
      </c>
      <c r="E136">
        <v>202602</v>
      </c>
      <c r="F136" t="s">
        <v>71</v>
      </c>
      <c r="G136">
        <v>0</v>
      </c>
      <c r="H136">
        <v>0</v>
      </c>
      <c r="I136">
        <v>1</v>
      </c>
      <c r="J136">
        <v>1</v>
      </c>
      <c r="K136">
        <v>1</v>
      </c>
      <c r="L136">
        <v>0</v>
      </c>
      <c r="M136">
        <v>0</v>
      </c>
      <c r="N136">
        <v>0</v>
      </c>
      <c r="O136">
        <v>0</v>
      </c>
      <c r="P136">
        <v>4</v>
      </c>
      <c r="Q136">
        <v>3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10</v>
      </c>
      <c r="AM136">
        <v>2.3333333333333335</v>
      </c>
      <c r="AN136">
        <v>38.292187500000296</v>
      </c>
    </row>
    <row r="137" spans="1:40" x14ac:dyDescent="0.3">
      <c r="A137" t="s">
        <v>8</v>
      </c>
      <c r="B137" t="s">
        <v>59</v>
      </c>
      <c r="C137" t="s">
        <v>10</v>
      </c>
      <c r="D137" t="s">
        <v>14</v>
      </c>
      <c r="E137">
        <v>202602</v>
      </c>
      <c r="F137" t="s">
        <v>72</v>
      </c>
      <c r="G137">
        <v>0</v>
      </c>
      <c r="H137">
        <v>1</v>
      </c>
      <c r="I137">
        <v>0</v>
      </c>
      <c r="J137">
        <v>2</v>
      </c>
      <c r="K137">
        <v>0</v>
      </c>
      <c r="L137">
        <v>1</v>
      </c>
      <c r="M137">
        <v>0</v>
      </c>
      <c r="N137">
        <v>0</v>
      </c>
      <c r="O137">
        <v>1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5</v>
      </c>
      <c r="AM137">
        <v>0.33333333333333331</v>
      </c>
      <c r="AN137">
        <v>9.0417410714286142</v>
      </c>
    </row>
    <row r="138" spans="1:40" x14ac:dyDescent="0.3">
      <c r="A138" t="s">
        <v>8</v>
      </c>
      <c r="B138" t="s">
        <v>59</v>
      </c>
      <c r="C138" t="s">
        <v>10</v>
      </c>
      <c r="D138" t="s">
        <v>14</v>
      </c>
      <c r="E138">
        <v>202602</v>
      </c>
      <c r="F138" t="s">
        <v>73</v>
      </c>
      <c r="G138">
        <v>0</v>
      </c>
      <c r="H138">
        <v>0</v>
      </c>
      <c r="I138">
        <v>1</v>
      </c>
      <c r="J138">
        <v>0</v>
      </c>
      <c r="K138">
        <v>1</v>
      </c>
      <c r="L138">
        <v>1</v>
      </c>
      <c r="M138">
        <v>0</v>
      </c>
      <c r="N138">
        <v>0</v>
      </c>
      <c r="O138">
        <v>2</v>
      </c>
      <c r="P138">
        <v>1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>
        <v>6</v>
      </c>
      <c r="AM138">
        <v>1</v>
      </c>
      <c r="AN138">
        <v>18.125223214285839</v>
      </c>
    </row>
    <row r="139" spans="1:40" x14ac:dyDescent="0.3">
      <c r="A139" t="s">
        <v>8</v>
      </c>
      <c r="B139" t="s">
        <v>59</v>
      </c>
      <c r="C139" t="s">
        <v>10</v>
      </c>
      <c r="D139" t="s">
        <v>14</v>
      </c>
      <c r="E139">
        <v>202602</v>
      </c>
      <c r="F139" t="s">
        <v>77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1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1</v>
      </c>
      <c r="AM139">
        <v>0.33333333333333331</v>
      </c>
      <c r="AN139">
        <v>5.0417410714286133</v>
      </c>
    </row>
    <row r="140" spans="1:40" x14ac:dyDescent="0.3">
      <c r="A140" t="s">
        <v>8</v>
      </c>
      <c r="B140" t="s">
        <v>59</v>
      </c>
      <c r="C140" t="s">
        <v>10</v>
      </c>
      <c r="D140" t="s">
        <v>14</v>
      </c>
      <c r="E140">
        <v>202602</v>
      </c>
      <c r="F140" t="s">
        <v>74</v>
      </c>
      <c r="G140">
        <v>0</v>
      </c>
      <c r="H140">
        <v>1</v>
      </c>
      <c r="I140">
        <v>1</v>
      </c>
      <c r="J140">
        <v>1</v>
      </c>
      <c r="K140">
        <v>1</v>
      </c>
      <c r="L140">
        <v>0</v>
      </c>
      <c r="M140">
        <v>1</v>
      </c>
      <c r="N140">
        <v>0</v>
      </c>
      <c r="O140">
        <v>6</v>
      </c>
      <c r="P140">
        <v>0</v>
      </c>
      <c r="Q140">
        <v>2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>
        <v>13</v>
      </c>
      <c r="AM140">
        <v>2.6666666666666665</v>
      </c>
      <c r="AN140">
        <v>45.333928571428906</v>
      </c>
    </row>
    <row r="141" spans="1:40" x14ac:dyDescent="0.3">
      <c r="A141" t="s">
        <v>8</v>
      </c>
      <c r="B141" t="s">
        <v>59</v>
      </c>
      <c r="C141" t="s">
        <v>10</v>
      </c>
      <c r="D141" t="s">
        <v>14</v>
      </c>
      <c r="E141">
        <v>202602</v>
      </c>
      <c r="F141" t="s">
        <v>552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2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2</v>
      </c>
      <c r="AM141">
        <v>0.66666666666666663</v>
      </c>
      <c r="AN141">
        <v>10.083482142857227</v>
      </c>
    </row>
    <row r="142" spans="1:40" x14ac:dyDescent="0.3">
      <c r="A142" t="s">
        <v>8</v>
      </c>
      <c r="B142" t="s">
        <v>59</v>
      </c>
      <c r="C142" t="s">
        <v>10</v>
      </c>
      <c r="D142" t="s">
        <v>14</v>
      </c>
      <c r="E142">
        <v>202602</v>
      </c>
      <c r="F142" t="s">
        <v>78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1</v>
      </c>
      <c r="AM142">
        <v>0</v>
      </c>
      <c r="AN142">
        <v>1</v>
      </c>
    </row>
    <row r="143" spans="1:40" x14ac:dyDescent="0.3">
      <c r="A143" t="s">
        <v>8</v>
      </c>
      <c r="B143" t="s">
        <v>59</v>
      </c>
      <c r="C143" t="s">
        <v>10</v>
      </c>
      <c r="D143" t="s">
        <v>14</v>
      </c>
      <c r="E143">
        <v>202602</v>
      </c>
      <c r="F143" t="s">
        <v>79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1</v>
      </c>
      <c r="AM143">
        <v>0.33333333333333331</v>
      </c>
      <c r="AN143">
        <v>5.0417410714286133</v>
      </c>
    </row>
    <row r="144" spans="1:40" x14ac:dyDescent="0.3">
      <c r="A144" t="s">
        <v>8</v>
      </c>
      <c r="B144" t="s">
        <v>59</v>
      </c>
      <c r="C144" t="s">
        <v>10</v>
      </c>
      <c r="D144" t="s">
        <v>14</v>
      </c>
      <c r="E144">
        <v>202602</v>
      </c>
      <c r="F144" t="s">
        <v>80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1</v>
      </c>
      <c r="M144">
        <v>0</v>
      </c>
      <c r="N144">
        <v>0</v>
      </c>
      <c r="O144">
        <v>1</v>
      </c>
      <c r="P144">
        <v>0</v>
      </c>
      <c r="Q144">
        <v>1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>
        <v>3</v>
      </c>
      <c r="AM144">
        <v>0.66666666666666663</v>
      </c>
      <c r="AN144">
        <v>11.083482142857227</v>
      </c>
    </row>
    <row r="145" spans="1:40" x14ac:dyDescent="0.3">
      <c r="A145" t="s">
        <v>8</v>
      </c>
      <c r="B145" t="s">
        <v>81</v>
      </c>
      <c r="C145" t="s">
        <v>10</v>
      </c>
      <c r="D145" t="s">
        <v>11</v>
      </c>
      <c r="E145">
        <v>202602</v>
      </c>
      <c r="F145" t="s">
        <v>50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1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1</v>
      </c>
      <c r="AM145">
        <v>0.33333333333333331</v>
      </c>
      <c r="AN145">
        <v>5.6046251398731117</v>
      </c>
    </row>
    <row r="146" spans="1:40" x14ac:dyDescent="0.3">
      <c r="A146" t="s">
        <v>8</v>
      </c>
      <c r="B146" t="s">
        <v>81</v>
      </c>
      <c r="C146" t="s">
        <v>10</v>
      </c>
      <c r="D146" t="s">
        <v>11</v>
      </c>
      <c r="E146">
        <v>202602</v>
      </c>
      <c r="F146" t="s">
        <v>82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5</v>
      </c>
      <c r="M146">
        <v>1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6</v>
      </c>
      <c r="AM146">
        <v>0</v>
      </c>
      <c r="AN146">
        <v>6</v>
      </c>
    </row>
    <row r="147" spans="1:40" x14ac:dyDescent="0.3">
      <c r="A147" t="s">
        <v>8</v>
      </c>
      <c r="B147" t="s">
        <v>81</v>
      </c>
      <c r="C147" t="s">
        <v>10</v>
      </c>
      <c r="D147" t="s">
        <v>11</v>
      </c>
      <c r="E147">
        <v>202602</v>
      </c>
      <c r="F147" t="s">
        <v>83</v>
      </c>
      <c r="G147">
        <v>0</v>
      </c>
      <c r="H147">
        <v>1</v>
      </c>
      <c r="I147">
        <v>2</v>
      </c>
      <c r="J147">
        <v>2</v>
      </c>
      <c r="K147">
        <v>5</v>
      </c>
      <c r="L147">
        <v>3</v>
      </c>
      <c r="M147">
        <v>1</v>
      </c>
      <c r="N147">
        <v>0</v>
      </c>
      <c r="O147">
        <v>1</v>
      </c>
      <c r="P147">
        <v>2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>
        <v>17</v>
      </c>
      <c r="AM147">
        <v>1</v>
      </c>
      <c r="AN147">
        <v>30.813875419619336</v>
      </c>
    </row>
    <row r="148" spans="1:40" x14ac:dyDescent="0.3">
      <c r="A148" t="s">
        <v>8</v>
      </c>
      <c r="B148" t="s">
        <v>81</v>
      </c>
      <c r="C148" t="s">
        <v>10</v>
      </c>
      <c r="D148" t="s">
        <v>11</v>
      </c>
      <c r="E148">
        <v>202602</v>
      </c>
      <c r="F148" t="s">
        <v>84</v>
      </c>
      <c r="G148">
        <v>0</v>
      </c>
      <c r="H148">
        <v>4</v>
      </c>
      <c r="I148">
        <v>5</v>
      </c>
      <c r="J148">
        <v>6</v>
      </c>
      <c r="K148">
        <v>6</v>
      </c>
      <c r="L148">
        <v>5</v>
      </c>
      <c r="M148">
        <v>3</v>
      </c>
      <c r="N148">
        <v>0</v>
      </c>
      <c r="O148">
        <v>1</v>
      </c>
      <c r="P148">
        <v>3</v>
      </c>
      <c r="Q148">
        <v>3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36</v>
      </c>
      <c r="AM148">
        <v>2.3333333333333335</v>
      </c>
      <c r="AN148">
        <v>68.232375979111779</v>
      </c>
    </row>
    <row r="149" spans="1:40" x14ac:dyDescent="0.3">
      <c r="A149" t="s">
        <v>8</v>
      </c>
      <c r="B149" t="s">
        <v>81</v>
      </c>
      <c r="C149" t="s">
        <v>10</v>
      </c>
      <c r="D149" t="s">
        <v>11</v>
      </c>
      <c r="E149">
        <v>202602</v>
      </c>
      <c r="F149" t="s">
        <v>85</v>
      </c>
      <c r="G149">
        <v>0</v>
      </c>
      <c r="H149">
        <v>0</v>
      </c>
      <c r="I149">
        <v>2</v>
      </c>
      <c r="J149">
        <v>1</v>
      </c>
      <c r="K149">
        <v>0</v>
      </c>
      <c r="L149">
        <v>0</v>
      </c>
      <c r="M149">
        <v>0</v>
      </c>
      <c r="N149">
        <v>0</v>
      </c>
      <c r="O149">
        <v>1</v>
      </c>
      <c r="P149">
        <v>1</v>
      </c>
      <c r="Q149">
        <v>1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6</v>
      </c>
      <c r="AM149">
        <v>1</v>
      </c>
      <c r="AN149">
        <v>19.813875419619336</v>
      </c>
    </row>
    <row r="150" spans="1:40" x14ac:dyDescent="0.3">
      <c r="A150" t="s">
        <v>8</v>
      </c>
      <c r="B150" t="s">
        <v>81</v>
      </c>
      <c r="C150" t="s">
        <v>10</v>
      </c>
      <c r="D150" t="s">
        <v>11</v>
      </c>
      <c r="E150">
        <v>202602</v>
      </c>
      <c r="F150" t="s">
        <v>86</v>
      </c>
      <c r="G150">
        <v>0</v>
      </c>
      <c r="H150">
        <v>0</v>
      </c>
      <c r="I150">
        <v>0</v>
      </c>
      <c r="J150">
        <v>1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1</v>
      </c>
      <c r="AM150">
        <v>0</v>
      </c>
      <c r="AN150">
        <v>1</v>
      </c>
    </row>
    <row r="151" spans="1:40" x14ac:dyDescent="0.3">
      <c r="A151" t="s">
        <v>8</v>
      </c>
      <c r="B151" t="s">
        <v>81</v>
      </c>
      <c r="C151" t="s">
        <v>10</v>
      </c>
      <c r="D151" t="s">
        <v>11</v>
      </c>
      <c r="E151">
        <v>202602</v>
      </c>
      <c r="F151" t="s">
        <v>87</v>
      </c>
      <c r="G151">
        <v>0</v>
      </c>
      <c r="H151">
        <v>1</v>
      </c>
      <c r="I151">
        <v>0</v>
      </c>
      <c r="J151">
        <v>0</v>
      </c>
      <c r="K151">
        <v>0</v>
      </c>
      <c r="L151">
        <v>2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3</v>
      </c>
      <c r="AM151">
        <v>0</v>
      </c>
      <c r="AN151">
        <v>3</v>
      </c>
    </row>
    <row r="152" spans="1:40" x14ac:dyDescent="0.3">
      <c r="A152" t="s">
        <v>8</v>
      </c>
      <c r="B152" t="s">
        <v>81</v>
      </c>
      <c r="C152" t="s">
        <v>10</v>
      </c>
      <c r="D152" t="s">
        <v>11</v>
      </c>
      <c r="E152">
        <v>202602</v>
      </c>
      <c r="F152" t="s">
        <v>88</v>
      </c>
      <c r="G152">
        <v>0</v>
      </c>
      <c r="H152">
        <v>0</v>
      </c>
      <c r="I152">
        <v>0</v>
      </c>
      <c r="J152">
        <v>0</v>
      </c>
      <c r="K152">
        <v>1</v>
      </c>
      <c r="L152">
        <v>1</v>
      </c>
      <c r="M152">
        <v>0</v>
      </c>
      <c r="N152">
        <v>0</v>
      </c>
      <c r="O152">
        <v>1</v>
      </c>
      <c r="P152">
        <v>0</v>
      </c>
      <c r="Q152">
        <v>1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4</v>
      </c>
      <c r="AM152">
        <v>0.66666666666666663</v>
      </c>
      <c r="AN152">
        <v>13.209250279746223</v>
      </c>
    </row>
    <row r="153" spans="1:40" x14ac:dyDescent="0.3">
      <c r="A153" t="s">
        <v>8</v>
      </c>
      <c r="B153" t="s">
        <v>81</v>
      </c>
      <c r="C153" t="s">
        <v>10</v>
      </c>
      <c r="D153" t="s">
        <v>11</v>
      </c>
      <c r="E153">
        <v>202602</v>
      </c>
      <c r="F153" t="s">
        <v>89</v>
      </c>
      <c r="G153">
        <v>0</v>
      </c>
      <c r="H153">
        <v>0</v>
      </c>
      <c r="I153">
        <v>0</v>
      </c>
      <c r="J153">
        <v>1</v>
      </c>
      <c r="K153">
        <v>1</v>
      </c>
      <c r="L153">
        <v>2</v>
      </c>
      <c r="M153">
        <v>0</v>
      </c>
      <c r="N153">
        <v>0</v>
      </c>
      <c r="O153">
        <v>0</v>
      </c>
      <c r="P153">
        <v>0</v>
      </c>
      <c r="Q153">
        <v>1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5</v>
      </c>
      <c r="AM153">
        <v>0.33333333333333331</v>
      </c>
      <c r="AN153">
        <v>9.6046251398731108</v>
      </c>
    </row>
    <row r="154" spans="1:40" x14ac:dyDescent="0.3">
      <c r="A154" t="s">
        <v>8</v>
      </c>
      <c r="B154" t="s">
        <v>81</v>
      </c>
      <c r="C154" t="s">
        <v>10</v>
      </c>
      <c r="D154" t="s">
        <v>11</v>
      </c>
      <c r="E154">
        <v>202602</v>
      </c>
      <c r="F154" t="s">
        <v>90</v>
      </c>
      <c r="G154">
        <v>0</v>
      </c>
      <c r="H154">
        <v>1</v>
      </c>
      <c r="I154">
        <v>1</v>
      </c>
      <c r="J154">
        <v>1</v>
      </c>
      <c r="K154">
        <v>0</v>
      </c>
      <c r="L154">
        <v>2</v>
      </c>
      <c r="M154">
        <v>0</v>
      </c>
      <c r="N154">
        <v>0</v>
      </c>
      <c r="O154">
        <v>0</v>
      </c>
      <c r="P154">
        <v>1</v>
      </c>
      <c r="Q154">
        <v>1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7</v>
      </c>
      <c r="AM154">
        <v>0.66666666666666663</v>
      </c>
      <c r="AN154">
        <v>16.209250279746222</v>
      </c>
    </row>
    <row r="155" spans="1:40" x14ac:dyDescent="0.3">
      <c r="A155" t="s">
        <v>8</v>
      </c>
      <c r="B155" t="s">
        <v>81</v>
      </c>
      <c r="C155" t="s">
        <v>10</v>
      </c>
      <c r="D155" t="s">
        <v>11</v>
      </c>
      <c r="E155">
        <v>202602</v>
      </c>
      <c r="F155" t="s">
        <v>91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2</v>
      </c>
      <c r="P155">
        <v>0</v>
      </c>
      <c r="Q155">
        <v>1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3</v>
      </c>
      <c r="AM155">
        <v>1</v>
      </c>
      <c r="AN155">
        <v>16.813875419619336</v>
      </c>
    </row>
    <row r="156" spans="1:40" x14ac:dyDescent="0.3">
      <c r="A156" t="s">
        <v>8</v>
      </c>
      <c r="B156" t="s">
        <v>81</v>
      </c>
      <c r="C156" t="s">
        <v>10</v>
      </c>
      <c r="D156" t="s">
        <v>11</v>
      </c>
      <c r="E156">
        <v>202602</v>
      </c>
      <c r="F156" t="s">
        <v>92</v>
      </c>
      <c r="G156">
        <v>0</v>
      </c>
      <c r="H156">
        <v>0</v>
      </c>
      <c r="I156">
        <v>1</v>
      </c>
      <c r="J156">
        <v>2</v>
      </c>
      <c r="K156">
        <v>2</v>
      </c>
      <c r="L156">
        <v>0</v>
      </c>
      <c r="M156">
        <v>1</v>
      </c>
      <c r="N156">
        <v>0</v>
      </c>
      <c r="O156">
        <v>1</v>
      </c>
      <c r="P156">
        <v>0</v>
      </c>
      <c r="Q156">
        <v>1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8</v>
      </c>
      <c r="AM156">
        <v>0.66666666666666663</v>
      </c>
      <c r="AN156">
        <v>17.209250279746222</v>
      </c>
    </row>
    <row r="157" spans="1:40" x14ac:dyDescent="0.3">
      <c r="A157" t="s">
        <v>8</v>
      </c>
      <c r="B157" t="s">
        <v>81</v>
      </c>
      <c r="C157" t="s">
        <v>10</v>
      </c>
      <c r="D157" t="s">
        <v>11</v>
      </c>
      <c r="E157">
        <v>202602</v>
      </c>
      <c r="F157" t="s">
        <v>93</v>
      </c>
      <c r="G157">
        <v>0</v>
      </c>
      <c r="H157">
        <v>0</v>
      </c>
      <c r="I157">
        <v>0</v>
      </c>
      <c r="J157">
        <v>0</v>
      </c>
      <c r="K157">
        <v>1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1</v>
      </c>
      <c r="AM157">
        <v>0</v>
      </c>
      <c r="AN157">
        <v>1</v>
      </c>
    </row>
    <row r="158" spans="1:40" x14ac:dyDescent="0.3">
      <c r="A158" t="s">
        <v>8</v>
      </c>
      <c r="B158" t="s">
        <v>81</v>
      </c>
      <c r="C158" t="s">
        <v>10</v>
      </c>
      <c r="D158" t="s">
        <v>11</v>
      </c>
      <c r="E158">
        <v>202602</v>
      </c>
      <c r="F158" t="s">
        <v>94</v>
      </c>
      <c r="G158">
        <v>0</v>
      </c>
      <c r="H158">
        <v>0</v>
      </c>
      <c r="I158">
        <v>0</v>
      </c>
      <c r="J158">
        <v>1</v>
      </c>
      <c r="K158">
        <v>0</v>
      </c>
      <c r="L158">
        <v>1</v>
      </c>
      <c r="M158">
        <v>0</v>
      </c>
      <c r="N158">
        <v>0</v>
      </c>
      <c r="O158">
        <v>0</v>
      </c>
      <c r="P158">
        <v>1</v>
      </c>
      <c r="Q158">
        <v>1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4</v>
      </c>
      <c r="AM158">
        <v>0.66666666666666663</v>
      </c>
      <c r="AN158">
        <v>13.209250279746223</v>
      </c>
    </row>
    <row r="159" spans="1:40" x14ac:dyDescent="0.3">
      <c r="A159" t="s">
        <v>8</v>
      </c>
      <c r="B159" t="s">
        <v>81</v>
      </c>
      <c r="C159" t="s">
        <v>10</v>
      </c>
      <c r="D159" t="s">
        <v>11</v>
      </c>
      <c r="E159">
        <v>202602</v>
      </c>
      <c r="F159" t="s">
        <v>95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1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1</v>
      </c>
      <c r="AM159">
        <v>0</v>
      </c>
      <c r="AN159">
        <v>1</v>
      </c>
    </row>
    <row r="160" spans="1:40" x14ac:dyDescent="0.3">
      <c r="A160" t="s">
        <v>8</v>
      </c>
      <c r="B160" t="s">
        <v>81</v>
      </c>
      <c r="C160" t="s">
        <v>10</v>
      </c>
      <c r="D160" t="s">
        <v>11</v>
      </c>
      <c r="E160">
        <v>202602</v>
      </c>
      <c r="F160" t="s">
        <v>96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1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1</v>
      </c>
      <c r="AM160">
        <v>0</v>
      </c>
      <c r="AN160">
        <v>1</v>
      </c>
    </row>
    <row r="161" spans="1:40" x14ac:dyDescent="0.3">
      <c r="A161" t="s">
        <v>8</v>
      </c>
      <c r="B161" t="s">
        <v>81</v>
      </c>
      <c r="C161" t="s">
        <v>10</v>
      </c>
      <c r="D161" t="s">
        <v>11</v>
      </c>
      <c r="E161">
        <v>202602</v>
      </c>
      <c r="F161" t="s">
        <v>97</v>
      </c>
      <c r="G161">
        <v>0</v>
      </c>
      <c r="H161">
        <v>1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1</v>
      </c>
      <c r="AM161">
        <v>0</v>
      </c>
      <c r="AN161">
        <v>1</v>
      </c>
    </row>
    <row r="162" spans="1:40" x14ac:dyDescent="0.3">
      <c r="A162" t="s">
        <v>8</v>
      </c>
      <c r="B162" t="s">
        <v>81</v>
      </c>
      <c r="C162" t="s">
        <v>10</v>
      </c>
      <c r="D162" t="s">
        <v>14</v>
      </c>
      <c r="E162">
        <v>202602</v>
      </c>
      <c r="F162" t="s">
        <v>50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1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1</v>
      </c>
      <c r="AM162">
        <v>0.33333333333333331</v>
      </c>
      <c r="AN162">
        <v>5.0417410714286133</v>
      </c>
    </row>
    <row r="163" spans="1:40" x14ac:dyDescent="0.3">
      <c r="A163" t="s">
        <v>8</v>
      </c>
      <c r="B163" t="s">
        <v>81</v>
      </c>
      <c r="C163" t="s">
        <v>10</v>
      </c>
      <c r="D163" t="s">
        <v>14</v>
      </c>
      <c r="E163">
        <v>202602</v>
      </c>
      <c r="F163" t="s">
        <v>82</v>
      </c>
      <c r="G163">
        <v>0</v>
      </c>
      <c r="H163">
        <v>1</v>
      </c>
      <c r="I163">
        <v>1</v>
      </c>
      <c r="J163">
        <v>1</v>
      </c>
      <c r="K163">
        <v>3</v>
      </c>
      <c r="L163">
        <v>0</v>
      </c>
      <c r="M163">
        <v>0</v>
      </c>
      <c r="N163">
        <v>0</v>
      </c>
      <c r="O163">
        <v>3</v>
      </c>
      <c r="P163">
        <v>2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  <c r="AL163">
        <v>11</v>
      </c>
      <c r="AM163">
        <v>1.6666666666666667</v>
      </c>
      <c r="AN163">
        <v>31.208705357143064</v>
      </c>
    </row>
    <row r="164" spans="1:40" x14ac:dyDescent="0.3">
      <c r="A164" t="s">
        <v>8</v>
      </c>
      <c r="B164" t="s">
        <v>81</v>
      </c>
      <c r="C164" t="s">
        <v>10</v>
      </c>
      <c r="D164" t="s">
        <v>14</v>
      </c>
      <c r="E164">
        <v>202602</v>
      </c>
      <c r="F164" t="s">
        <v>83</v>
      </c>
      <c r="G164">
        <v>0</v>
      </c>
      <c r="H164">
        <v>4</v>
      </c>
      <c r="I164">
        <v>4</v>
      </c>
      <c r="J164">
        <v>6</v>
      </c>
      <c r="K164">
        <v>2</v>
      </c>
      <c r="L164">
        <v>3</v>
      </c>
      <c r="M164">
        <v>0</v>
      </c>
      <c r="N164">
        <v>0</v>
      </c>
      <c r="O164">
        <v>3</v>
      </c>
      <c r="P164">
        <v>4</v>
      </c>
      <c r="Q164">
        <v>3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29</v>
      </c>
      <c r="AM164">
        <v>3.3333333333333335</v>
      </c>
      <c r="AN164">
        <v>69.41741071428612</v>
      </c>
    </row>
    <row r="165" spans="1:40" x14ac:dyDescent="0.3">
      <c r="A165" t="s">
        <v>8</v>
      </c>
      <c r="B165" t="s">
        <v>81</v>
      </c>
      <c r="C165" t="s">
        <v>10</v>
      </c>
      <c r="D165" t="s">
        <v>14</v>
      </c>
      <c r="E165">
        <v>202602</v>
      </c>
      <c r="F165" t="s">
        <v>84</v>
      </c>
      <c r="G165">
        <v>0</v>
      </c>
      <c r="H165">
        <v>11</v>
      </c>
      <c r="I165">
        <v>7</v>
      </c>
      <c r="J165">
        <v>8</v>
      </c>
      <c r="K165">
        <v>10</v>
      </c>
      <c r="L165">
        <v>5</v>
      </c>
      <c r="M165">
        <v>3</v>
      </c>
      <c r="N165">
        <v>0</v>
      </c>
      <c r="O165">
        <v>2</v>
      </c>
      <c r="P165">
        <v>8</v>
      </c>
      <c r="Q165">
        <v>12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66</v>
      </c>
      <c r="AM165">
        <v>7.333333333333333</v>
      </c>
      <c r="AN165">
        <v>154.91830357142948</v>
      </c>
    </row>
    <row r="166" spans="1:40" x14ac:dyDescent="0.3">
      <c r="A166" t="s">
        <v>8</v>
      </c>
      <c r="B166" t="s">
        <v>81</v>
      </c>
      <c r="C166" t="s">
        <v>10</v>
      </c>
      <c r="D166" t="s">
        <v>14</v>
      </c>
      <c r="E166">
        <v>202602</v>
      </c>
      <c r="F166" t="s">
        <v>85</v>
      </c>
      <c r="G166">
        <v>0</v>
      </c>
      <c r="H166">
        <v>3</v>
      </c>
      <c r="I166">
        <v>0</v>
      </c>
      <c r="J166">
        <v>0</v>
      </c>
      <c r="K166">
        <v>0</v>
      </c>
      <c r="L166">
        <v>2</v>
      </c>
      <c r="M166">
        <v>1</v>
      </c>
      <c r="N166">
        <v>0</v>
      </c>
      <c r="O166">
        <v>1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>
        <v>7</v>
      </c>
      <c r="AM166">
        <v>0.33333333333333331</v>
      </c>
      <c r="AN166">
        <v>11.041741071428614</v>
      </c>
    </row>
    <row r="167" spans="1:40" x14ac:dyDescent="0.3">
      <c r="A167" t="s">
        <v>8</v>
      </c>
      <c r="B167" t="s">
        <v>81</v>
      </c>
      <c r="C167" t="s">
        <v>10</v>
      </c>
      <c r="D167" t="s">
        <v>14</v>
      </c>
      <c r="E167">
        <v>202602</v>
      </c>
      <c r="F167" t="s">
        <v>86</v>
      </c>
      <c r="G167">
        <v>0</v>
      </c>
      <c r="H167">
        <v>2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>
        <v>2</v>
      </c>
      <c r="AM167">
        <v>0</v>
      </c>
      <c r="AN167">
        <v>2</v>
      </c>
    </row>
    <row r="168" spans="1:40" x14ac:dyDescent="0.3">
      <c r="A168" t="s">
        <v>8</v>
      </c>
      <c r="B168" t="s">
        <v>81</v>
      </c>
      <c r="C168" t="s">
        <v>10</v>
      </c>
      <c r="D168" t="s">
        <v>14</v>
      </c>
      <c r="E168">
        <v>202602</v>
      </c>
      <c r="F168" t="s">
        <v>87</v>
      </c>
      <c r="G168">
        <v>0</v>
      </c>
      <c r="H168">
        <v>0</v>
      </c>
      <c r="I168">
        <v>0</v>
      </c>
      <c r="J168">
        <v>2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1</v>
      </c>
      <c r="Q168">
        <v>3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6</v>
      </c>
      <c r="AM168">
        <v>1.3333333333333333</v>
      </c>
      <c r="AN168">
        <v>22.166964285714453</v>
      </c>
    </row>
    <row r="169" spans="1:40" x14ac:dyDescent="0.3">
      <c r="A169" t="s">
        <v>8</v>
      </c>
      <c r="B169" t="s">
        <v>81</v>
      </c>
      <c r="C169" t="s">
        <v>10</v>
      </c>
      <c r="D169" t="s">
        <v>14</v>
      </c>
      <c r="E169">
        <v>202602</v>
      </c>
      <c r="F169" t="s">
        <v>88</v>
      </c>
      <c r="G169">
        <v>0</v>
      </c>
      <c r="H169">
        <v>0</v>
      </c>
      <c r="I169">
        <v>1</v>
      </c>
      <c r="J169">
        <v>1</v>
      </c>
      <c r="K169">
        <v>1</v>
      </c>
      <c r="L169">
        <v>0</v>
      </c>
      <c r="M169">
        <v>1</v>
      </c>
      <c r="N169">
        <v>0</v>
      </c>
      <c r="O169">
        <v>1</v>
      </c>
      <c r="P169">
        <v>0</v>
      </c>
      <c r="Q169">
        <v>1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6</v>
      </c>
      <c r="AM169">
        <v>0.66666666666666663</v>
      </c>
      <c r="AN169">
        <v>14.083482142857227</v>
      </c>
    </row>
    <row r="170" spans="1:40" x14ac:dyDescent="0.3">
      <c r="A170" t="s">
        <v>8</v>
      </c>
      <c r="B170" t="s">
        <v>81</v>
      </c>
      <c r="C170" t="s">
        <v>10</v>
      </c>
      <c r="D170" t="s">
        <v>14</v>
      </c>
      <c r="E170">
        <v>202602</v>
      </c>
      <c r="F170" t="s">
        <v>89</v>
      </c>
      <c r="G170">
        <v>0</v>
      </c>
      <c r="H170">
        <v>0</v>
      </c>
      <c r="I170">
        <v>4</v>
      </c>
      <c r="J170">
        <v>0</v>
      </c>
      <c r="K170">
        <v>1</v>
      </c>
      <c r="L170">
        <v>0</v>
      </c>
      <c r="M170">
        <v>0</v>
      </c>
      <c r="N170">
        <v>0</v>
      </c>
      <c r="O170">
        <v>2</v>
      </c>
      <c r="P170">
        <v>0</v>
      </c>
      <c r="Q170">
        <v>1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8</v>
      </c>
      <c r="AM170">
        <v>1</v>
      </c>
      <c r="AN170">
        <v>20.125223214285839</v>
      </c>
    </row>
    <row r="171" spans="1:40" x14ac:dyDescent="0.3">
      <c r="A171" t="s">
        <v>8</v>
      </c>
      <c r="B171" t="s">
        <v>81</v>
      </c>
      <c r="C171" t="s">
        <v>10</v>
      </c>
      <c r="D171" t="s">
        <v>14</v>
      </c>
      <c r="E171">
        <v>202602</v>
      </c>
      <c r="F171" t="s">
        <v>98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1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1</v>
      </c>
      <c r="AM171">
        <v>0.33333333333333331</v>
      </c>
      <c r="AN171">
        <v>5.0417410714286133</v>
      </c>
    </row>
    <row r="172" spans="1:40" x14ac:dyDescent="0.3">
      <c r="A172" t="s">
        <v>8</v>
      </c>
      <c r="B172" t="s">
        <v>81</v>
      </c>
      <c r="C172" t="s">
        <v>10</v>
      </c>
      <c r="D172" t="s">
        <v>14</v>
      </c>
      <c r="E172">
        <v>202602</v>
      </c>
      <c r="F172" t="s">
        <v>90</v>
      </c>
      <c r="G172">
        <v>0</v>
      </c>
      <c r="H172">
        <v>2</v>
      </c>
      <c r="I172">
        <v>0</v>
      </c>
      <c r="J172">
        <v>2</v>
      </c>
      <c r="K172">
        <v>1</v>
      </c>
      <c r="L172">
        <v>0</v>
      </c>
      <c r="M172">
        <v>0</v>
      </c>
      <c r="N172">
        <v>0</v>
      </c>
      <c r="O172">
        <v>1</v>
      </c>
      <c r="P172">
        <v>3</v>
      </c>
      <c r="Q172">
        <v>1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>
        <v>10</v>
      </c>
      <c r="AM172">
        <v>1.6666666666666667</v>
      </c>
      <c r="AN172">
        <v>30.208705357143064</v>
      </c>
    </row>
    <row r="173" spans="1:40" x14ac:dyDescent="0.3">
      <c r="A173" t="s">
        <v>8</v>
      </c>
      <c r="B173" t="s">
        <v>81</v>
      </c>
      <c r="C173" t="s">
        <v>10</v>
      </c>
      <c r="D173" t="s">
        <v>14</v>
      </c>
      <c r="E173">
        <v>202602</v>
      </c>
      <c r="F173" t="s">
        <v>91</v>
      </c>
      <c r="G173">
        <v>0</v>
      </c>
      <c r="H173">
        <v>0</v>
      </c>
      <c r="I173">
        <v>0</v>
      </c>
      <c r="J173">
        <v>1</v>
      </c>
      <c r="K173">
        <v>0</v>
      </c>
      <c r="L173">
        <v>1</v>
      </c>
      <c r="M173">
        <v>0</v>
      </c>
      <c r="N173">
        <v>0</v>
      </c>
      <c r="O173">
        <v>1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  <c r="AL173">
        <v>3</v>
      </c>
      <c r="AM173">
        <v>0.33333333333333331</v>
      </c>
      <c r="AN173">
        <v>7.0417410714286133</v>
      </c>
    </row>
    <row r="174" spans="1:40" x14ac:dyDescent="0.3">
      <c r="A174" t="s">
        <v>8</v>
      </c>
      <c r="B174" t="s">
        <v>81</v>
      </c>
      <c r="C174" t="s">
        <v>10</v>
      </c>
      <c r="D174" t="s">
        <v>14</v>
      </c>
      <c r="E174">
        <v>202602</v>
      </c>
      <c r="F174" t="s">
        <v>92</v>
      </c>
      <c r="G174">
        <v>0</v>
      </c>
      <c r="H174">
        <v>2</v>
      </c>
      <c r="I174">
        <v>2</v>
      </c>
      <c r="J174">
        <v>0</v>
      </c>
      <c r="K174">
        <v>2</v>
      </c>
      <c r="L174">
        <v>1</v>
      </c>
      <c r="M174">
        <v>1</v>
      </c>
      <c r="N174">
        <v>0</v>
      </c>
      <c r="O174">
        <v>1</v>
      </c>
      <c r="P174">
        <v>0</v>
      </c>
      <c r="Q174">
        <v>2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>
        <v>11</v>
      </c>
      <c r="AM174">
        <v>1</v>
      </c>
      <c r="AN174">
        <v>23.125223214285839</v>
      </c>
    </row>
    <row r="175" spans="1:40" x14ac:dyDescent="0.3">
      <c r="A175" t="s">
        <v>8</v>
      </c>
      <c r="B175" t="s">
        <v>81</v>
      </c>
      <c r="C175" t="s">
        <v>10</v>
      </c>
      <c r="D175" t="s">
        <v>14</v>
      </c>
      <c r="E175">
        <v>202602</v>
      </c>
      <c r="F175" t="s">
        <v>99</v>
      </c>
      <c r="G175">
        <v>0</v>
      </c>
      <c r="H175">
        <v>0</v>
      </c>
      <c r="I175">
        <v>1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2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</v>
      </c>
      <c r="AL175">
        <v>3</v>
      </c>
      <c r="AM175">
        <v>0.66666666666666663</v>
      </c>
      <c r="AN175">
        <v>11.083482142857227</v>
      </c>
    </row>
    <row r="176" spans="1:40" x14ac:dyDescent="0.3">
      <c r="A176" t="s">
        <v>8</v>
      </c>
      <c r="B176" t="s">
        <v>81</v>
      </c>
      <c r="C176" t="s">
        <v>10</v>
      </c>
      <c r="D176" t="s">
        <v>14</v>
      </c>
      <c r="E176">
        <v>202602</v>
      </c>
      <c r="F176" t="s">
        <v>93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2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0</v>
      </c>
      <c r="AL176">
        <v>2</v>
      </c>
      <c r="AM176">
        <v>0.66666666666666663</v>
      </c>
      <c r="AN176">
        <v>10.083482142857227</v>
      </c>
    </row>
    <row r="177" spans="1:40" x14ac:dyDescent="0.3">
      <c r="A177" t="s">
        <v>8</v>
      </c>
      <c r="B177" t="s">
        <v>81</v>
      </c>
      <c r="C177" t="s">
        <v>10</v>
      </c>
      <c r="D177" t="s">
        <v>14</v>
      </c>
      <c r="E177">
        <v>202602</v>
      </c>
      <c r="F177" t="s">
        <v>94</v>
      </c>
      <c r="G177">
        <v>0</v>
      </c>
      <c r="H177">
        <v>1</v>
      </c>
      <c r="I177">
        <v>1</v>
      </c>
      <c r="J177">
        <v>2</v>
      </c>
      <c r="K177">
        <v>0</v>
      </c>
      <c r="L177">
        <v>2</v>
      </c>
      <c r="M177">
        <v>0</v>
      </c>
      <c r="N177">
        <v>0</v>
      </c>
      <c r="O177">
        <v>1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  <c r="AL177">
        <v>7</v>
      </c>
      <c r="AM177">
        <v>0.33333333333333331</v>
      </c>
      <c r="AN177">
        <v>11.041741071428614</v>
      </c>
    </row>
    <row r="178" spans="1:40" x14ac:dyDescent="0.3">
      <c r="A178" t="s">
        <v>8</v>
      </c>
      <c r="B178" t="s">
        <v>81</v>
      </c>
      <c r="C178" t="s">
        <v>10</v>
      </c>
      <c r="D178" t="s">
        <v>14</v>
      </c>
      <c r="E178">
        <v>202602</v>
      </c>
      <c r="F178" t="s">
        <v>95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1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>
        <v>1</v>
      </c>
      <c r="AM178">
        <v>0</v>
      </c>
      <c r="AN178">
        <v>1</v>
      </c>
    </row>
    <row r="179" spans="1:40" x14ac:dyDescent="0.3">
      <c r="A179" t="s">
        <v>8</v>
      </c>
      <c r="B179" t="s">
        <v>81</v>
      </c>
      <c r="C179" t="s">
        <v>10</v>
      </c>
      <c r="D179" t="s">
        <v>14</v>
      </c>
      <c r="E179">
        <v>202602</v>
      </c>
      <c r="F179" t="s">
        <v>96</v>
      </c>
      <c r="G179">
        <v>0</v>
      </c>
      <c r="H179">
        <v>0</v>
      </c>
      <c r="I179">
        <v>1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1</v>
      </c>
      <c r="AM179">
        <v>0</v>
      </c>
      <c r="AN179">
        <v>1</v>
      </c>
    </row>
    <row r="180" spans="1:40" x14ac:dyDescent="0.3">
      <c r="A180" t="s">
        <v>8</v>
      </c>
      <c r="B180" t="s">
        <v>81</v>
      </c>
      <c r="C180" t="s">
        <v>10</v>
      </c>
      <c r="D180" t="s">
        <v>14</v>
      </c>
      <c r="E180">
        <v>202602</v>
      </c>
      <c r="F180" t="s">
        <v>97</v>
      </c>
      <c r="G180">
        <v>0</v>
      </c>
      <c r="H180">
        <v>1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>
        <v>1</v>
      </c>
      <c r="AM180">
        <v>0</v>
      </c>
      <c r="AN180">
        <v>1</v>
      </c>
    </row>
    <row r="181" spans="1:40" x14ac:dyDescent="0.3">
      <c r="A181" t="s">
        <v>8</v>
      </c>
      <c r="B181" t="s">
        <v>81</v>
      </c>
      <c r="C181" t="s">
        <v>16</v>
      </c>
      <c r="D181" t="s">
        <v>11</v>
      </c>
      <c r="E181">
        <v>202602</v>
      </c>
      <c r="F181" t="s">
        <v>87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1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</v>
      </c>
      <c r="AL181">
        <v>1</v>
      </c>
      <c r="AM181">
        <v>0</v>
      </c>
      <c r="AN181">
        <v>1</v>
      </c>
    </row>
    <row r="182" spans="1:40" x14ac:dyDescent="0.3">
      <c r="A182" t="s">
        <v>8</v>
      </c>
      <c r="B182" t="s">
        <v>81</v>
      </c>
      <c r="C182" t="s">
        <v>16</v>
      </c>
      <c r="D182" t="s">
        <v>14</v>
      </c>
      <c r="E182">
        <v>202602</v>
      </c>
      <c r="F182" t="s">
        <v>83</v>
      </c>
      <c r="G182">
        <v>0</v>
      </c>
      <c r="H182">
        <v>0</v>
      </c>
      <c r="I182">
        <v>0</v>
      </c>
      <c r="J182">
        <v>1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  <c r="AL182">
        <v>1</v>
      </c>
      <c r="AM182">
        <v>0</v>
      </c>
      <c r="AN182">
        <v>1</v>
      </c>
    </row>
    <row r="183" spans="1:40" x14ac:dyDescent="0.3">
      <c r="A183" t="s">
        <v>8</v>
      </c>
      <c r="B183" t="s">
        <v>100</v>
      </c>
      <c r="C183" t="s">
        <v>10</v>
      </c>
      <c r="D183" t="s">
        <v>14</v>
      </c>
      <c r="E183">
        <v>202602</v>
      </c>
      <c r="F183" t="s">
        <v>101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1</v>
      </c>
      <c r="M183">
        <v>0</v>
      </c>
      <c r="N183">
        <v>0</v>
      </c>
      <c r="O183">
        <v>0</v>
      </c>
      <c r="P183">
        <v>2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>
        <v>3</v>
      </c>
      <c r="AM183">
        <v>0.66666666666666663</v>
      </c>
      <c r="AN183">
        <v>11.083482142857227</v>
      </c>
    </row>
    <row r="184" spans="1:40" x14ac:dyDescent="0.3">
      <c r="A184" t="s">
        <v>8</v>
      </c>
      <c r="B184" t="s">
        <v>100</v>
      </c>
      <c r="C184" t="s">
        <v>16</v>
      </c>
      <c r="D184" t="s">
        <v>11</v>
      </c>
      <c r="E184">
        <v>202602</v>
      </c>
      <c r="F184" t="s">
        <v>102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1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0</v>
      </c>
      <c r="AL184">
        <v>1</v>
      </c>
      <c r="AM184">
        <v>0.33333333333333331</v>
      </c>
      <c r="AN184">
        <v>5.6046251398731117</v>
      </c>
    </row>
    <row r="185" spans="1:40" x14ac:dyDescent="0.3">
      <c r="A185" t="s">
        <v>8</v>
      </c>
      <c r="B185" t="s">
        <v>100</v>
      </c>
      <c r="C185" t="s">
        <v>16</v>
      </c>
      <c r="D185" t="s">
        <v>14</v>
      </c>
      <c r="E185">
        <v>202602</v>
      </c>
      <c r="F185" t="s">
        <v>102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1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  <c r="AL185">
        <v>1</v>
      </c>
      <c r="AM185">
        <v>0.33333333333333331</v>
      </c>
      <c r="AN185">
        <v>5.0417410714286133</v>
      </c>
    </row>
    <row r="186" spans="1:40" x14ac:dyDescent="0.3">
      <c r="A186" t="s">
        <v>8</v>
      </c>
      <c r="B186" t="s">
        <v>103</v>
      </c>
      <c r="C186" t="s">
        <v>10</v>
      </c>
      <c r="D186" t="s">
        <v>11</v>
      </c>
      <c r="E186">
        <v>202602</v>
      </c>
      <c r="F186" t="s">
        <v>104</v>
      </c>
      <c r="G186">
        <v>0</v>
      </c>
      <c r="H186">
        <v>1</v>
      </c>
      <c r="I186">
        <v>2</v>
      </c>
      <c r="J186">
        <v>1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>
        <v>6</v>
      </c>
      <c r="AM186">
        <v>0.33333333333333331</v>
      </c>
      <c r="AN186">
        <v>10.604625139873111</v>
      </c>
    </row>
    <row r="187" spans="1:40" x14ac:dyDescent="0.3">
      <c r="A187" t="s">
        <v>8</v>
      </c>
      <c r="B187" t="s">
        <v>103</v>
      </c>
      <c r="C187" t="s">
        <v>10</v>
      </c>
      <c r="D187" t="s">
        <v>11</v>
      </c>
      <c r="E187">
        <v>202602</v>
      </c>
      <c r="F187" t="s">
        <v>105</v>
      </c>
      <c r="G187">
        <v>0</v>
      </c>
      <c r="H187">
        <v>0</v>
      </c>
      <c r="I187">
        <v>1</v>
      </c>
      <c r="J187">
        <v>2</v>
      </c>
      <c r="K187">
        <v>1</v>
      </c>
      <c r="L187">
        <v>1</v>
      </c>
      <c r="M187">
        <v>0</v>
      </c>
      <c r="N187">
        <v>0</v>
      </c>
      <c r="O187">
        <v>0</v>
      </c>
      <c r="P187">
        <v>4</v>
      </c>
      <c r="Q187">
        <v>1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10</v>
      </c>
      <c r="AM187">
        <v>1.6666666666666667</v>
      </c>
      <c r="AN187">
        <v>33.023125699365558</v>
      </c>
    </row>
    <row r="188" spans="1:40" x14ac:dyDescent="0.3">
      <c r="A188" t="s">
        <v>8</v>
      </c>
      <c r="B188" t="s">
        <v>103</v>
      </c>
      <c r="C188" t="s">
        <v>10</v>
      </c>
      <c r="D188" t="s">
        <v>11</v>
      </c>
      <c r="E188">
        <v>202602</v>
      </c>
      <c r="F188" t="s">
        <v>106</v>
      </c>
      <c r="G188">
        <v>0</v>
      </c>
      <c r="H188">
        <v>0</v>
      </c>
      <c r="I188">
        <v>0</v>
      </c>
      <c r="J188">
        <v>1</v>
      </c>
      <c r="K188">
        <v>1</v>
      </c>
      <c r="L188">
        <v>1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3</v>
      </c>
      <c r="AM188">
        <v>0</v>
      </c>
      <c r="AN188">
        <v>3</v>
      </c>
    </row>
    <row r="189" spans="1:40" x14ac:dyDescent="0.3">
      <c r="A189" t="s">
        <v>8</v>
      </c>
      <c r="B189" t="s">
        <v>103</v>
      </c>
      <c r="C189" t="s">
        <v>10</v>
      </c>
      <c r="D189" t="s">
        <v>11</v>
      </c>
      <c r="E189">
        <v>202602</v>
      </c>
      <c r="F189" t="s">
        <v>107</v>
      </c>
      <c r="G189">
        <v>0</v>
      </c>
      <c r="H189">
        <v>0</v>
      </c>
      <c r="I189">
        <v>0</v>
      </c>
      <c r="J189">
        <v>0</v>
      </c>
      <c r="K189">
        <v>1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>
        <v>1</v>
      </c>
      <c r="AM189">
        <v>0</v>
      </c>
      <c r="AN189">
        <v>1</v>
      </c>
    </row>
    <row r="190" spans="1:40" x14ac:dyDescent="0.3">
      <c r="A190" t="s">
        <v>8</v>
      </c>
      <c r="B190" t="s">
        <v>103</v>
      </c>
      <c r="C190" t="s">
        <v>10</v>
      </c>
      <c r="D190" t="s">
        <v>11</v>
      </c>
      <c r="E190">
        <v>202602</v>
      </c>
      <c r="F190" t="s">
        <v>108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2</v>
      </c>
      <c r="M190">
        <v>0</v>
      </c>
      <c r="N190">
        <v>0</v>
      </c>
      <c r="O190">
        <v>0</v>
      </c>
      <c r="P190">
        <v>0</v>
      </c>
      <c r="Q190">
        <v>1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>
        <v>3</v>
      </c>
      <c r="AM190">
        <v>0.33333333333333331</v>
      </c>
      <c r="AN190">
        <v>7.6046251398731117</v>
      </c>
    </row>
    <row r="191" spans="1:40" x14ac:dyDescent="0.3">
      <c r="A191" t="s">
        <v>8</v>
      </c>
      <c r="B191" t="s">
        <v>103</v>
      </c>
      <c r="C191" t="s">
        <v>10</v>
      </c>
      <c r="D191" t="s">
        <v>11</v>
      </c>
      <c r="E191">
        <v>202602</v>
      </c>
      <c r="F191" t="s">
        <v>109</v>
      </c>
      <c r="G191">
        <v>0</v>
      </c>
      <c r="H191">
        <v>0</v>
      </c>
      <c r="I191">
        <v>1</v>
      </c>
      <c r="J191">
        <v>0</v>
      </c>
      <c r="K191">
        <v>1</v>
      </c>
      <c r="L191">
        <v>1</v>
      </c>
      <c r="M191">
        <v>0</v>
      </c>
      <c r="N191">
        <v>0</v>
      </c>
      <c r="O191">
        <v>1</v>
      </c>
      <c r="P191">
        <v>1</v>
      </c>
      <c r="Q191">
        <v>2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  <c r="AL191">
        <v>7</v>
      </c>
      <c r="AM191">
        <v>1.3333333333333333</v>
      </c>
      <c r="AN191">
        <v>25.418500559492447</v>
      </c>
    </row>
    <row r="192" spans="1:40" x14ac:dyDescent="0.3">
      <c r="A192" t="s">
        <v>8</v>
      </c>
      <c r="B192" t="s">
        <v>103</v>
      </c>
      <c r="C192" t="s">
        <v>10</v>
      </c>
      <c r="D192" t="s">
        <v>14</v>
      </c>
      <c r="E192">
        <v>202602</v>
      </c>
      <c r="F192" t="s">
        <v>104</v>
      </c>
      <c r="G192">
        <v>1</v>
      </c>
      <c r="H192">
        <v>1</v>
      </c>
      <c r="I192">
        <v>1</v>
      </c>
      <c r="J192">
        <v>0</v>
      </c>
      <c r="K192">
        <v>0</v>
      </c>
      <c r="L192">
        <v>1</v>
      </c>
      <c r="M192">
        <v>0</v>
      </c>
      <c r="N192">
        <v>0</v>
      </c>
      <c r="O192">
        <v>2</v>
      </c>
      <c r="P192">
        <v>0</v>
      </c>
      <c r="Q192">
        <v>2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8</v>
      </c>
      <c r="AM192">
        <v>1.3333333333333333</v>
      </c>
      <c r="AN192">
        <v>24.166964285714453</v>
      </c>
    </row>
    <row r="193" spans="1:40" x14ac:dyDescent="0.3">
      <c r="A193" t="s">
        <v>8</v>
      </c>
      <c r="B193" t="s">
        <v>103</v>
      </c>
      <c r="C193" t="s">
        <v>10</v>
      </c>
      <c r="D193" t="s">
        <v>14</v>
      </c>
      <c r="E193">
        <v>202602</v>
      </c>
      <c r="F193" t="s">
        <v>105</v>
      </c>
      <c r="G193">
        <v>0</v>
      </c>
      <c r="H193">
        <v>3</v>
      </c>
      <c r="I193">
        <v>3</v>
      </c>
      <c r="J193">
        <v>0</v>
      </c>
      <c r="K193">
        <v>1</v>
      </c>
      <c r="L193">
        <v>1</v>
      </c>
      <c r="M193">
        <v>0</v>
      </c>
      <c r="N193">
        <v>0</v>
      </c>
      <c r="O193">
        <v>4</v>
      </c>
      <c r="P193">
        <v>1</v>
      </c>
      <c r="Q193">
        <v>1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  <c r="AL193">
        <v>14</v>
      </c>
      <c r="AM193">
        <v>2</v>
      </c>
      <c r="AN193">
        <v>38.250446428571678</v>
      </c>
    </row>
    <row r="194" spans="1:40" x14ac:dyDescent="0.3">
      <c r="A194" t="s">
        <v>8</v>
      </c>
      <c r="B194" t="s">
        <v>103</v>
      </c>
      <c r="C194" t="s">
        <v>10</v>
      </c>
      <c r="D194" t="s">
        <v>14</v>
      </c>
      <c r="E194">
        <v>202602</v>
      </c>
      <c r="F194" t="s">
        <v>106</v>
      </c>
      <c r="G194">
        <v>0</v>
      </c>
      <c r="H194">
        <v>0</v>
      </c>
      <c r="I194">
        <v>1</v>
      </c>
      <c r="J194">
        <v>1</v>
      </c>
      <c r="K194">
        <v>1</v>
      </c>
      <c r="L194">
        <v>1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4</v>
      </c>
      <c r="AM194">
        <v>0</v>
      </c>
      <c r="AN194">
        <v>4</v>
      </c>
    </row>
    <row r="195" spans="1:40" x14ac:dyDescent="0.3">
      <c r="A195" t="s">
        <v>8</v>
      </c>
      <c r="B195" t="s">
        <v>103</v>
      </c>
      <c r="C195" t="s">
        <v>10</v>
      </c>
      <c r="D195" t="s">
        <v>14</v>
      </c>
      <c r="E195">
        <v>202602</v>
      </c>
      <c r="F195" t="s">
        <v>107</v>
      </c>
      <c r="G195">
        <v>0</v>
      </c>
      <c r="H195">
        <v>0</v>
      </c>
      <c r="I195">
        <v>1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</v>
      </c>
      <c r="AL195">
        <v>1</v>
      </c>
      <c r="AM195">
        <v>0</v>
      </c>
      <c r="AN195">
        <v>1</v>
      </c>
    </row>
    <row r="196" spans="1:40" x14ac:dyDescent="0.3">
      <c r="A196" t="s">
        <v>8</v>
      </c>
      <c r="B196" t="s">
        <v>103</v>
      </c>
      <c r="C196" t="s">
        <v>10</v>
      </c>
      <c r="D196" t="s">
        <v>14</v>
      </c>
      <c r="E196">
        <v>202602</v>
      </c>
      <c r="F196" t="s">
        <v>108</v>
      </c>
      <c r="G196">
        <v>0</v>
      </c>
      <c r="H196">
        <v>0</v>
      </c>
      <c r="I196">
        <v>0</v>
      </c>
      <c r="J196">
        <v>1</v>
      </c>
      <c r="K196">
        <v>1</v>
      </c>
      <c r="L196">
        <v>1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>
        <v>4</v>
      </c>
      <c r="AM196">
        <v>0.33333333333333331</v>
      </c>
      <c r="AN196">
        <v>8.0417410714286142</v>
      </c>
    </row>
    <row r="197" spans="1:40" x14ac:dyDescent="0.3">
      <c r="A197" t="s">
        <v>8</v>
      </c>
      <c r="B197" t="s">
        <v>103</v>
      </c>
      <c r="C197" t="s">
        <v>10</v>
      </c>
      <c r="D197" t="s">
        <v>14</v>
      </c>
      <c r="E197">
        <v>202602</v>
      </c>
      <c r="F197" t="s">
        <v>109</v>
      </c>
      <c r="G197">
        <v>0</v>
      </c>
      <c r="H197">
        <v>0</v>
      </c>
      <c r="I197">
        <v>0</v>
      </c>
      <c r="J197">
        <v>3</v>
      </c>
      <c r="K197">
        <v>1</v>
      </c>
      <c r="L197">
        <v>1</v>
      </c>
      <c r="M197">
        <v>1</v>
      </c>
      <c r="N197">
        <v>0</v>
      </c>
      <c r="O197">
        <v>0</v>
      </c>
      <c r="P197">
        <v>1</v>
      </c>
      <c r="Q197">
        <v>1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  <c r="AL197">
        <v>8</v>
      </c>
      <c r="AM197">
        <v>0.66666666666666663</v>
      </c>
      <c r="AN197">
        <v>16.083482142857228</v>
      </c>
    </row>
    <row r="198" spans="1:40" x14ac:dyDescent="0.3">
      <c r="A198" t="s">
        <v>8</v>
      </c>
      <c r="B198" t="s">
        <v>103</v>
      </c>
      <c r="C198" t="s">
        <v>16</v>
      </c>
      <c r="D198" t="s">
        <v>11</v>
      </c>
      <c r="E198">
        <v>202602</v>
      </c>
      <c r="F198" t="s">
        <v>109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1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  <c r="AL198">
        <v>1</v>
      </c>
      <c r="AM198">
        <v>0</v>
      </c>
      <c r="AN198">
        <v>1</v>
      </c>
    </row>
    <row r="199" spans="1:40" x14ac:dyDescent="0.3">
      <c r="A199" t="s">
        <v>8</v>
      </c>
      <c r="B199" t="s">
        <v>103</v>
      </c>
      <c r="C199" t="s">
        <v>16</v>
      </c>
      <c r="D199" t="s">
        <v>14</v>
      </c>
      <c r="E199">
        <v>202602</v>
      </c>
      <c r="F199" t="s">
        <v>109</v>
      </c>
      <c r="G199">
        <v>0</v>
      </c>
      <c r="H199">
        <v>0</v>
      </c>
      <c r="I199">
        <v>0</v>
      </c>
      <c r="J199">
        <v>0</v>
      </c>
      <c r="K199">
        <v>1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>
        <v>1</v>
      </c>
      <c r="AM199">
        <v>0</v>
      </c>
      <c r="AN199">
        <v>1</v>
      </c>
    </row>
    <row r="200" spans="1:40" x14ac:dyDescent="0.3">
      <c r="A200" t="s">
        <v>8</v>
      </c>
      <c r="B200" t="s">
        <v>644</v>
      </c>
      <c r="C200" t="s">
        <v>10</v>
      </c>
      <c r="D200" t="s">
        <v>11</v>
      </c>
      <c r="E200">
        <v>202602</v>
      </c>
      <c r="F200" t="s">
        <v>56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1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>
        <v>1</v>
      </c>
      <c r="AM200">
        <v>0.33333333333333331</v>
      </c>
      <c r="AN200">
        <v>5.6046251398731117</v>
      </c>
    </row>
    <row r="201" spans="1:40" x14ac:dyDescent="0.3">
      <c r="A201" t="s">
        <v>8</v>
      </c>
      <c r="B201" t="s">
        <v>644</v>
      </c>
      <c r="C201" t="s">
        <v>10</v>
      </c>
      <c r="D201" t="s">
        <v>11</v>
      </c>
      <c r="E201">
        <v>202602</v>
      </c>
      <c r="F201" t="s">
        <v>110</v>
      </c>
      <c r="G201">
        <v>0</v>
      </c>
      <c r="H201">
        <v>1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1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  <c r="AL201">
        <v>2</v>
      </c>
      <c r="AM201">
        <v>0.33333333333333331</v>
      </c>
      <c r="AN201">
        <v>6.6046251398731117</v>
      </c>
    </row>
    <row r="202" spans="1:40" x14ac:dyDescent="0.3">
      <c r="A202" t="s">
        <v>8</v>
      </c>
      <c r="B202" t="s">
        <v>644</v>
      </c>
      <c r="C202" t="s">
        <v>10</v>
      </c>
      <c r="D202" t="s">
        <v>11</v>
      </c>
      <c r="E202">
        <v>202602</v>
      </c>
      <c r="F202" t="s">
        <v>111</v>
      </c>
      <c r="G202">
        <v>0</v>
      </c>
      <c r="H202">
        <v>0</v>
      </c>
      <c r="I202">
        <v>0</v>
      </c>
      <c r="J202">
        <v>0</v>
      </c>
      <c r="K202">
        <v>1</v>
      </c>
      <c r="L202">
        <v>0</v>
      </c>
      <c r="M202">
        <v>0</v>
      </c>
      <c r="N202">
        <v>0</v>
      </c>
      <c r="O202">
        <v>1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L202">
        <v>2</v>
      </c>
      <c r="AM202">
        <v>0.33333333333333331</v>
      </c>
      <c r="AN202">
        <v>6.6046251398731117</v>
      </c>
    </row>
    <row r="203" spans="1:40" x14ac:dyDescent="0.3">
      <c r="A203" t="s">
        <v>8</v>
      </c>
      <c r="B203" t="s">
        <v>644</v>
      </c>
      <c r="C203" t="s">
        <v>10</v>
      </c>
      <c r="D203" t="s">
        <v>11</v>
      </c>
      <c r="E203">
        <v>202602</v>
      </c>
      <c r="F203" t="s">
        <v>112</v>
      </c>
      <c r="G203">
        <v>0</v>
      </c>
      <c r="H203">
        <v>1</v>
      </c>
      <c r="I203">
        <v>0</v>
      </c>
      <c r="J203">
        <v>0</v>
      </c>
      <c r="K203">
        <v>0</v>
      </c>
      <c r="L203">
        <v>1</v>
      </c>
      <c r="M203">
        <v>0</v>
      </c>
      <c r="N203">
        <v>0</v>
      </c>
      <c r="O203">
        <v>0</v>
      </c>
      <c r="P203">
        <v>0</v>
      </c>
      <c r="Q203">
        <v>1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>
        <v>3</v>
      </c>
      <c r="AM203">
        <v>0.33333333333333331</v>
      </c>
      <c r="AN203">
        <v>7.6046251398731117</v>
      </c>
    </row>
    <row r="204" spans="1:40" x14ac:dyDescent="0.3">
      <c r="A204" t="s">
        <v>8</v>
      </c>
      <c r="B204" t="s">
        <v>644</v>
      </c>
      <c r="C204" t="s">
        <v>10</v>
      </c>
      <c r="D204" t="s">
        <v>11</v>
      </c>
      <c r="E204">
        <v>202602</v>
      </c>
      <c r="F204" t="s">
        <v>113</v>
      </c>
      <c r="G204">
        <v>0</v>
      </c>
      <c r="H204">
        <v>0</v>
      </c>
      <c r="I204">
        <v>1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1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2</v>
      </c>
      <c r="AM204">
        <v>0.33333333333333331</v>
      </c>
      <c r="AN204">
        <v>6.6046251398731117</v>
      </c>
    </row>
    <row r="205" spans="1:40" x14ac:dyDescent="0.3">
      <c r="A205" t="s">
        <v>8</v>
      </c>
      <c r="B205" t="s">
        <v>644</v>
      </c>
      <c r="C205" t="s">
        <v>10</v>
      </c>
      <c r="D205" t="s">
        <v>11</v>
      </c>
      <c r="E205">
        <v>202602</v>
      </c>
      <c r="F205" t="s">
        <v>114</v>
      </c>
      <c r="G205">
        <v>0</v>
      </c>
      <c r="H205">
        <v>0</v>
      </c>
      <c r="I205">
        <v>1</v>
      </c>
      <c r="J205">
        <v>2</v>
      </c>
      <c r="K205">
        <v>3</v>
      </c>
      <c r="L205">
        <v>3</v>
      </c>
      <c r="M205">
        <v>2</v>
      </c>
      <c r="N205">
        <v>0</v>
      </c>
      <c r="O205">
        <v>2</v>
      </c>
      <c r="P205">
        <v>1</v>
      </c>
      <c r="Q205">
        <v>5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19</v>
      </c>
      <c r="AM205">
        <v>2.6666666666666665</v>
      </c>
      <c r="AN205">
        <v>55.837001118984894</v>
      </c>
    </row>
    <row r="206" spans="1:40" x14ac:dyDescent="0.3">
      <c r="A206" t="s">
        <v>8</v>
      </c>
      <c r="B206" t="s">
        <v>644</v>
      </c>
      <c r="C206" t="s">
        <v>10</v>
      </c>
      <c r="D206" t="s">
        <v>11</v>
      </c>
      <c r="E206">
        <v>202602</v>
      </c>
      <c r="F206" t="s">
        <v>115</v>
      </c>
      <c r="G206">
        <v>0</v>
      </c>
      <c r="H206">
        <v>0</v>
      </c>
      <c r="I206">
        <v>0</v>
      </c>
      <c r="J206">
        <v>0</v>
      </c>
      <c r="K206">
        <v>1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</v>
      </c>
      <c r="AL206">
        <v>1</v>
      </c>
      <c r="AM206">
        <v>0</v>
      </c>
      <c r="AN206">
        <v>1</v>
      </c>
    </row>
    <row r="207" spans="1:40" x14ac:dyDescent="0.3">
      <c r="A207" t="s">
        <v>8</v>
      </c>
      <c r="B207" t="s">
        <v>644</v>
      </c>
      <c r="C207" t="s">
        <v>10</v>
      </c>
      <c r="D207" t="s">
        <v>11</v>
      </c>
      <c r="E207">
        <v>202602</v>
      </c>
      <c r="F207" t="s">
        <v>116</v>
      </c>
      <c r="G207">
        <v>0</v>
      </c>
      <c r="H207">
        <v>0</v>
      </c>
      <c r="I207">
        <v>0</v>
      </c>
      <c r="J207">
        <v>0</v>
      </c>
      <c r="K207">
        <v>1</v>
      </c>
      <c r="L207">
        <v>0</v>
      </c>
      <c r="M207">
        <v>1</v>
      </c>
      <c r="N207">
        <v>0</v>
      </c>
      <c r="O207">
        <v>1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0</v>
      </c>
      <c r="AL207">
        <v>3</v>
      </c>
      <c r="AM207">
        <v>0.33333333333333331</v>
      </c>
      <c r="AN207">
        <v>7.6046251398731117</v>
      </c>
    </row>
    <row r="208" spans="1:40" x14ac:dyDescent="0.3">
      <c r="A208" t="s">
        <v>8</v>
      </c>
      <c r="B208" t="s">
        <v>644</v>
      </c>
      <c r="C208" t="s">
        <v>10</v>
      </c>
      <c r="D208" t="s">
        <v>11</v>
      </c>
      <c r="E208">
        <v>202602</v>
      </c>
      <c r="F208" t="s">
        <v>117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1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0</v>
      </c>
      <c r="AL208">
        <v>1</v>
      </c>
      <c r="AM208">
        <v>0</v>
      </c>
      <c r="AN208">
        <v>1</v>
      </c>
    </row>
    <row r="209" spans="1:40" x14ac:dyDescent="0.3">
      <c r="A209" t="s">
        <v>8</v>
      </c>
      <c r="B209" t="s">
        <v>644</v>
      </c>
      <c r="C209" t="s">
        <v>10</v>
      </c>
      <c r="D209" t="s">
        <v>11</v>
      </c>
      <c r="E209">
        <v>202602</v>
      </c>
      <c r="F209" t="s">
        <v>118</v>
      </c>
      <c r="G209">
        <v>0</v>
      </c>
      <c r="H209">
        <v>1</v>
      </c>
      <c r="I209">
        <v>0</v>
      </c>
      <c r="J209">
        <v>0</v>
      </c>
      <c r="K209">
        <v>0</v>
      </c>
      <c r="L209">
        <v>1</v>
      </c>
      <c r="M209">
        <v>1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0</v>
      </c>
      <c r="AJ209">
        <v>0</v>
      </c>
      <c r="AK209">
        <v>0</v>
      </c>
      <c r="AL209">
        <v>3</v>
      </c>
      <c r="AM209">
        <v>0</v>
      </c>
      <c r="AN209">
        <v>3</v>
      </c>
    </row>
    <row r="210" spans="1:40" x14ac:dyDescent="0.3">
      <c r="A210" t="s">
        <v>8</v>
      </c>
      <c r="B210" t="s">
        <v>644</v>
      </c>
      <c r="C210" t="s">
        <v>10</v>
      </c>
      <c r="D210" t="s">
        <v>11</v>
      </c>
      <c r="E210">
        <v>202602</v>
      </c>
      <c r="F210" t="s">
        <v>119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2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  <c r="AL210">
        <v>2</v>
      </c>
      <c r="AM210">
        <v>0</v>
      </c>
      <c r="AN210">
        <v>2</v>
      </c>
    </row>
    <row r="211" spans="1:40" x14ac:dyDescent="0.3">
      <c r="A211" t="s">
        <v>8</v>
      </c>
      <c r="B211" t="s">
        <v>644</v>
      </c>
      <c r="C211" t="s">
        <v>10</v>
      </c>
      <c r="D211" t="s">
        <v>11</v>
      </c>
      <c r="E211">
        <v>202602</v>
      </c>
      <c r="F211" t="s">
        <v>120</v>
      </c>
      <c r="G211">
        <v>0</v>
      </c>
      <c r="H211">
        <v>0</v>
      </c>
      <c r="I211">
        <v>0</v>
      </c>
      <c r="J211">
        <v>0</v>
      </c>
      <c r="K211">
        <v>1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  <c r="AL211">
        <v>1</v>
      </c>
      <c r="AM211">
        <v>0</v>
      </c>
      <c r="AN211">
        <v>1</v>
      </c>
    </row>
    <row r="212" spans="1:40" x14ac:dyDescent="0.3">
      <c r="A212" t="s">
        <v>8</v>
      </c>
      <c r="B212" t="s">
        <v>644</v>
      </c>
      <c r="C212" t="s">
        <v>10</v>
      </c>
      <c r="D212" t="s">
        <v>11</v>
      </c>
      <c r="E212">
        <v>202602</v>
      </c>
      <c r="F212" t="s">
        <v>121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2</v>
      </c>
      <c r="M212">
        <v>1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L212">
        <v>3</v>
      </c>
      <c r="AM212">
        <v>0</v>
      </c>
      <c r="AN212">
        <v>3</v>
      </c>
    </row>
    <row r="213" spans="1:40" x14ac:dyDescent="0.3">
      <c r="A213" t="s">
        <v>8</v>
      </c>
      <c r="B213" t="s">
        <v>644</v>
      </c>
      <c r="C213" t="s">
        <v>10</v>
      </c>
      <c r="D213" t="s">
        <v>11</v>
      </c>
      <c r="E213">
        <v>202602</v>
      </c>
      <c r="F213" t="s">
        <v>122</v>
      </c>
      <c r="G213">
        <v>0</v>
      </c>
      <c r="H213">
        <v>0</v>
      </c>
      <c r="I213">
        <v>0</v>
      </c>
      <c r="J213">
        <v>1</v>
      </c>
      <c r="K213">
        <v>1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  <c r="AL213">
        <v>2</v>
      </c>
      <c r="AM213">
        <v>0</v>
      </c>
      <c r="AN213">
        <v>2</v>
      </c>
    </row>
    <row r="214" spans="1:40" x14ac:dyDescent="0.3">
      <c r="A214" t="s">
        <v>8</v>
      </c>
      <c r="B214" t="s">
        <v>644</v>
      </c>
      <c r="C214" t="s">
        <v>10</v>
      </c>
      <c r="D214" t="s">
        <v>11</v>
      </c>
      <c r="E214">
        <v>202602</v>
      </c>
      <c r="F214" t="s">
        <v>123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1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>
        <v>1</v>
      </c>
      <c r="AM214">
        <v>0</v>
      </c>
      <c r="AN214">
        <v>1</v>
      </c>
    </row>
    <row r="215" spans="1:40" x14ac:dyDescent="0.3">
      <c r="A215" t="s">
        <v>8</v>
      </c>
      <c r="B215" t="s">
        <v>644</v>
      </c>
      <c r="C215" t="s">
        <v>10</v>
      </c>
      <c r="D215" t="s">
        <v>11</v>
      </c>
      <c r="E215">
        <v>202602</v>
      </c>
      <c r="F215" t="s">
        <v>124</v>
      </c>
      <c r="G215">
        <v>0</v>
      </c>
      <c r="H215">
        <v>0</v>
      </c>
      <c r="I215">
        <v>0</v>
      </c>
      <c r="J215">
        <v>0</v>
      </c>
      <c r="K215">
        <v>1</v>
      </c>
      <c r="L215">
        <v>1</v>
      </c>
      <c r="M215">
        <v>0</v>
      </c>
      <c r="N215">
        <v>0</v>
      </c>
      <c r="O215">
        <v>2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0</v>
      </c>
      <c r="AL215">
        <v>4</v>
      </c>
      <c r="AM215">
        <v>0.66666666666666663</v>
      </c>
      <c r="AN215">
        <v>13.209250279746223</v>
      </c>
    </row>
    <row r="216" spans="1:40" x14ac:dyDescent="0.3">
      <c r="A216" t="s">
        <v>8</v>
      </c>
      <c r="B216" t="s">
        <v>644</v>
      </c>
      <c r="C216" t="s">
        <v>10</v>
      </c>
      <c r="D216" t="s">
        <v>11</v>
      </c>
      <c r="E216">
        <v>202602</v>
      </c>
      <c r="F216" t="s">
        <v>125</v>
      </c>
      <c r="G216">
        <v>0</v>
      </c>
      <c r="H216">
        <v>0</v>
      </c>
      <c r="I216">
        <v>0</v>
      </c>
      <c r="J216">
        <v>0</v>
      </c>
      <c r="K216">
        <v>1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>
        <v>1</v>
      </c>
      <c r="AM216">
        <v>0</v>
      </c>
      <c r="AN216">
        <v>1</v>
      </c>
    </row>
    <row r="217" spans="1:40" x14ac:dyDescent="0.3">
      <c r="A217" t="s">
        <v>8</v>
      </c>
      <c r="B217" t="s">
        <v>644</v>
      </c>
      <c r="C217" t="s">
        <v>10</v>
      </c>
      <c r="D217" t="s">
        <v>11</v>
      </c>
      <c r="E217">
        <v>202602</v>
      </c>
      <c r="F217" t="s">
        <v>126</v>
      </c>
      <c r="G217">
        <v>0</v>
      </c>
      <c r="H217">
        <v>1</v>
      </c>
      <c r="I217">
        <v>0</v>
      </c>
      <c r="J217">
        <v>1</v>
      </c>
      <c r="K217">
        <v>1</v>
      </c>
      <c r="L217">
        <v>0</v>
      </c>
      <c r="M217">
        <v>1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0</v>
      </c>
      <c r="AI217">
        <v>0</v>
      </c>
      <c r="AJ217">
        <v>0</v>
      </c>
      <c r="AK217">
        <v>0</v>
      </c>
      <c r="AL217">
        <v>4</v>
      </c>
      <c r="AM217">
        <v>0</v>
      </c>
      <c r="AN217">
        <v>4</v>
      </c>
    </row>
    <row r="218" spans="1:40" x14ac:dyDescent="0.3">
      <c r="A218" t="s">
        <v>8</v>
      </c>
      <c r="B218" t="s">
        <v>644</v>
      </c>
      <c r="C218" t="s">
        <v>10</v>
      </c>
      <c r="D218" t="s">
        <v>11</v>
      </c>
      <c r="E218">
        <v>202602</v>
      </c>
      <c r="F218" t="s">
        <v>127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0</v>
      </c>
      <c r="AL218">
        <v>1</v>
      </c>
      <c r="AM218">
        <v>0.33333333333333331</v>
      </c>
      <c r="AN218">
        <v>5.6046251398731117</v>
      </c>
    </row>
    <row r="219" spans="1:40" x14ac:dyDescent="0.3">
      <c r="A219" t="s">
        <v>8</v>
      </c>
      <c r="B219" t="s">
        <v>644</v>
      </c>
      <c r="C219" t="s">
        <v>10</v>
      </c>
      <c r="D219" t="s">
        <v>11</v>
      </c>
      <c r="E219">
        <v>202602</v>
      </c>
      <c r="F219" t="s">
        <v>128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1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</v>
      </c>
      <c r="AL219">
        <v>1</v>
      </c>
      <c r="AM219">
        <v>0.33333333333333331</v>
      </c>
      <c r="AN219">
        <v>5.6046251398731117</v>
      </c>
    </row>
    <row r="220" spans="1:40" x14ac:dyDescent="0.3">
      <c r="A220" t="s">
        <v>8</v>
      </c>
      <c r="B220" t="s">
        <v>644</v>
      </c>
      <c r="C220" t="s">
        <v>10</v>
      </c>
      <c r="D220" t="s">
        <v>14</v>
      </c>
      <c r="E220">
        <v>202602</v>
      </c>
      <c r="F220" t="s">
        <v>56</v>
      </c>
      <c r="G220">
        <v>0</v>
      </c>
      <c r="H220">
        <v>1</v>
      </c>
      <c r="I220">
        <v>0</v>
      </c>
      <c r="J220">
        <v>0</v>
      </c>
      <c r="K220">
        <v>1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</v>
      </c>
      <c r="AL220">
        <v>2</v>
      </c>
      <c r="AM220">
        <v>0</v>
      </c>
      <c r="AN220">
        <v>2</v>
      </c>
    </row>
    <row r="221" spans="1:40" x14ac:dyDescent="0.3">
      <c r="A221" t="s">
        <v>8</v>
      </c>
      <c r="B221" t="s">
        <v>644</v>
      </c>
      <c r="C221" t="s">
        <v>10</v>
      </c>
      <c r="D221" t="s">
        <v>14</v>
      </c>
      <c r="E221">
        <v>202602</v>
      </c>
      <c r="F221" t="s">
        <v>110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1</v>
      </c>
      <c r="N221">
        <v>0</v>
      </c>
      <c r="O221">
        <v>3</v>
      </c>
      <c r="P221">
        <v>2</v>
      </c>
      <c r="Q221">
        <v>1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  <c r="AI221">
        <v>0</v>
      </c>
      <c r="AJ221">
        <v>0</v>
      </c>
      <c r="AK221">
        <v>0</v>
      </c>
      <c r="AL221">
        <v>7</v>
      </c>
      <c r="AM221">
        <v>2</v>
      </c>
      <c r="AN221">
        <v>31.250446428571678</v>
      </c>
    </row>
    <row r="222" spans="1:40" x14ac:dyDescent="0.3">
      <c r="A222" t="s">
        <v>8</v>
      </c>
      <c r="B222" t="s">
        <v>644</v>
      </c>
      <c r="C222" t="s">
        <v>10</v>
      </c>
      <c r="D222" t="s">
        <v>14</v>
      </c>
      <c r="E222">
        <v>202602</v>
      </c>
      <c r="F222" t="s">
        <v>111</v>
      </c>
      <c r="G222">
        <v>0</v>
      </c>
      <c r="H222">
        <v>0</v>
      </c>
      <c r="I222">
        <v>1</v>
      </c>
      <c r="J222">
        <v>0</v>
      </c>
      <c r="K222">
        <v>0</v>
      </c>
      <c r="L222">
        <v>3</v>
      </c>
      <c r="M222">
        <v>0</v>
      </c>
      <c r="N222">
        <v>0</v>
      </c>
      <c r="O222">
        <v>0</v>
      </c>
      <c r="P222">
        <v>1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0</v>
      </c>
      <c r="AL222">
        <v>5</v>
      </c>
      <c r="AM222">
        <v>0.33333333333333331</v>
      </c>
      <c r="AN222">
        <v>9.0417410714286142</v>
      </c>
    </row>
    <row r="223" spans="1:40" x14ac:dyDescent="0.3">
      <c r="A223" t="s">
        <v>8</v>
      </c>
      <c r="B223" t="s">
        <v>644</v>
      </c>
      <c r="C223" t="s">
        <v>10</v>
      </c>
      <c r="D223" t="s">
        <v>14</v>
      </c>
      <c r="E223">
        <v>202602</v>
      </c>
      <c r="F223" t="s">
        <v>61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1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  <c r="AI223">
        <v>0</v>
      </c>
      <c r="AJ223">
        <v>0</v>
      </c>
      <c r="AK223">
        <v>0</v>
      </c>
      <c r="AL223">
        <v>1</v>
      </c>
      <c r="AM223">
        <v>0.33333333333333331</v>
      </c>
      <c r="AN223">
        <v>5.0417410714286133</v>
      </c>
    </row>
    <row r="224" spans="1:40" x14ac:dyDescent="0.3">
      <c r="A224" t="s">
        <v>8</v>
      </c>
      <c r="B224" t="s">
        <v>644</v>
      </c>
      <c r="C224" t="s">
        <v>10</v>
      </c>
      <c r="D224" t="s">
        <v>14</v>
      </c>
      <c r="E224">
        <v>202602</v>
      </c>
      <c r="F224" t="s">
        <v>112</v>
      </c>
      <c r="G224">
        <v>0</v>
      </c>
      <c r="H224">
        <v>0</v>
      </c>
      <c r="I224">
        <v>0</v>
      </c>
      <c r="J224">
        <v>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1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0</v>
      </c>
      <c r="AH224">
        <v>0</v>
      </c>
      <c r="AI224">
        <v>0</v>
      </c>
      <c r="AJ224">
        <v>0</v>
      </c>
      <c r="AK224">
        <v>0</v>
      </c>
      <c r="AL224">
        <v>3</v>
      </c>
      <c r="AM224">
        <v>0.33333333333333331</v>
      </c>
      <c r="AN224">
        <v>7.0417410714286133</v>
      </c>
    </row>
    <row r="225" spans="1:40" x14ac:dyDescent="0.3">
      <c r="A225" t="s">
        <v>8</v>
      </c>
      <c r="B225" t="s">
        <v>644</v>
      </c>
      <c r="C225" t="s">
        <v>10</v>
      </c>
      <c r="D225" t="s">
        <v>14</v>
      </c>
      <c r="E225">
        <v>202602</v>
      </c>
      <c r="F225" t="s">
        <v>113</v>
      </c>
      <c r="G225">
        <v>0</v>
      </c>
      <c r="H225">
        <v>1</v>
      </c>
      <c r="I225">
        <v>0</v>
      </c>
      <c r="J225">
        <v>0</v>
      </c>
      <c r="K225">
        <v>0</v>
      </c>
      <c r="L225">
        <v>1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0</v>
      </c>
      <c r="AL225">
        <v>2</v>
      </c>
      <c r="AM225">
        <v>0</v>
      </c>
      <c r="AN225">
        <v>2</v>
      </c>
    </row>
    <row r="226" spans="1:40" x14ac:dyDescent="0.3">
      <c r="A226" t="s">
        <v>8</v>
      </c>
      <c r="B226" t="s">
        <v>644</v>
      </c>
      <c r="C226" t="s">
        <v>10</v>
      </c>
      <c r="D226" t="s">
        <v>14</v>
      </c>
      <c r="E226">
        <v>202602</v>
      </c>
      <c r="F226" t="s">
        <v>114</v>
      </c>
      <c r="G226">
        <v>0</v>
      </c>
      <c r="H226">
        <v>5</v>
      </c>
      <c r="I226">
        <v>3</v>
      </c>
      <c r="J226">
        <v>3</v>
      </c>
      <c r="K226">
        <v>5</v>
      </c>
      <c r="L226">
        <v>2</v>
      </c>
      <c r="M226">
        <v>2</v>
      </c>
      <c r="N226">
        <v>0</v>
      </c>
      <c r="O226">
        <v>4</v>
      </c>
      <c r="P226">
        <v>3</v>
      </c>
      <c r="Q226">
        <v>5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  <c r="AI226">
        <v>0</v>
      </c>
      <c r="AJ226">
        <v>0</v>
      </c>
      <c r="AK226">
        <v>0</v>
      </c>
      <c r="AL226">
        <v>32</v>
      </c>
      <c r="AM226">
        <v>4</v>
      </c>
      <c r="AN226">
        <v>80.500892857143356</v>
      </c>
    </row>
    <row r="227" spans="1:40" x14ac:dyDescent="0.3">
      <c r="A227" t="s">
        <v>8</v>
      </c>
      <c r="B227" t="s">
        <v>644</v>
      </c>
      <c r="C227" t="s">
        <v>10</v>
      </c>
      <c r="D227" t="s">
        <v>14</v>
      </c>
      <c r="E227">
        <v>202602</v>
      </c>
      <c r="F227" t="s">
        <v>226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1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0</v>
      </c>
      <c r="AH227">
        <v>0</v>
      </c>
      <c r="AI227">
        <v>0</v>
      </c>
      <c r="AJ227">
        <v>0</v>
      </c>
      <c r="AK227">
        <v>0</v>
      </c>
      <c r="AL227">
        <v>1</v>
      </c>
      <c r="AM227">
        <v>0.33333333333333331</v>
      </c>
      <c r="AN227">
        <v>5.0417410714286133</v>
      </c>
    </row>
    <row r="228" spans="1:40" x14ac:dyDescent="0.3">
      <c r="A228" t="s">
        <v>8</v>
      </c>
      <c r="B228" t="s">
        <v>644</v>
      </c>
      <c r="C228" t="s">
        <v>10</v>
      </c>
      <c r="D228" t="s">
        <v>14</v>
      </c>
      <c r="E228">
        <v>202602</v>
      </c>
      <c r="F228" t="s">
        <v>129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1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>
        <v>0</v>
      </c>
      <c r="AI228">
        <v>0</v>
      </c>
      <c r="AJ228">
        <v>0</v>
      </c>
      <c r="AK228">
        <v>0</v>
      </c>
      <c r="AL228">
        <v>1</v>
      </c>
      <c r="AM228">
        <v>0</v>
      </c>
      <c r="AN228">
        <v>1</v>
      </c>
    </row>
    <row r="229" spans="1:40" x14ac:dyDescent="0.3">
      <c r="A229" t="s">
        <v>8</v>
      </c>
      <c r="B229" t="s">
        <v>644</v>
      </c>
      <c r="C229" t="s">
        <v>10</v>
      </c>
      <c r="D229" t="s">
        <v>14</v>
      </c>
      <c r="E229">
        <v>202602</v>
      </c>
      <c r="F229" t="s">
        <v>115</v>
      </c>
      <c r="G229">
        <v>0</v>
      </c>
      <c r="H229">
        <v>0</v>
      </c>
      <c r="I229">
        <v>0</v>
      </c>
      <c r="J229">
        <v>2</v>
      </c>
      <c r="K229">
        <v>1</v>
      </c>
      <c r="L229">
        <v>0</v>
      </c>
      <c r="M229">
        <v>0</v>
      </c>
      <c r="N229">
        <v>0</v>
      </c>
      <c r="O229">
        <v>1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  <c r="AI229">
        <v>0</v>
      </c>
      <c r="AJ229">
        <v>0</v>
      </c>
      <c r="AK229">
        <v>0</v>
      </c>
      <c r="AL229">
        <v>4</v>
      </c>
      <c r="AM229">
        <v>0.33333333333333331</v>
      </c>
      <c r="AN229">
        <v>8.0417410714286142</v>
      </c>
    </row>
    <row r="230" spans="1:40" x14ac:dyDescent="0.3">
      <c r="A230" t="s">
        <v>8</v>
      </c>
      <c r="B230" t="s">
        <v>644</v>
      </c>
      <c r="C230" t="s">
        <v>10</v>
      </c>
      <c r="D230" t="s">
        <v>14</v>
      </c>
      <c r="E230">
        <v>202602</v>
      </c>
      <c r="F230" t="s">
        <v>116</v>
      </c>
      <c r="G230">
        <v>0</v>
      </c>
      <c r="H230">
        <v>1</v>
      </c>
      <c r="I230">
        <v>1</v>
      </c>
      <c r="J230">
        <v>1</v>
      </c>
      <c r="K230">
        <v>0</v>
      </c>
      <c r="L230">
        <v>1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0</v>
      </c>
      <c r="AL230">
        <v>4</v>
      </c>
      <c r="AM230">
        <v>0</v>
      </c>
      <c r="AN230">
        <v>4</v>
      </c>
    </row>
    <row r="231" spans="1:40" x14ac:dyDescent="0.3">
      <c r="A231" t="s">
        <v>8</v>
      </c>
      <c r="B231" t="s">
        <v>644</v>
      </c>
      <c r="C231" t="s">
        <v>10</v>
      </c>
      <c r="D231" t="s">
        <v>14</v>
      </c>
      <c r="E231">
        <v>202602</v>
      </c>
      <c r="F231" t="s">
        <v>130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  <c r="AL231">
        <v>1</v>
      </c>
      <c r="AM231">
        <v>0.33333333333333331</v>
      </c>
      <c r="AN231">
        <v>5.0417410714286133</v>
      </c>
    </row>
    <row r="232" spans="1:40" x14ac:dyDescent="0.3">
      <c r="A232" t="s">
        <v>8</v>
      </c>
      <c r="B232" t="s">
        <v>644</v>
      </c>
      <c r="C232" t="s">
        <v>10</v>
      </c>
      <c r="D232" t="s">
        <v>14</v>
      </c>
      <c r="E232">
        <v>202602</v>
      </c>
      <c r="F232" t="s">
        <v>117</v>
      </c>
      <c r="G232">
        <v>0</v>
      </c>
      <c r="H232">
        <v>1</v>
      </c>
      <c r="I232">
        <v>0</v>
      </c>
      <c r="J232">
        <v>0</v>
      </c>
      <c r="K232">
        <v>1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  <c r="AL232">
        <v>2</v>
      </c>
      <c r="AM232">
        <v>0</v>
      </c>
      <c r="AN232">
        <v>2</v>
      </c>
    </row>
    <row r="233" spans="1:40" x14ac:dyDescent="0.3">
      <c r="A233" t="s">
        <v>8</v>
      </c>
      <c r="B233" t="s">
        <v>644</v>
      </c>
      <c r="C233" t="s">
        <v>10</v>
      </c>
      <c r="D233" t="s">
        <v>14</v>
      </c>
      <c r="E233">
        <v>202602</v>
      </c>
      <c r="F233" t="s">
        <v>118</v>
      </c>
      <c r="G233">
        <v>0</v>
      </c>
      <c r="H233">
        <v>0</v>
      </c>
      <c r="I233">
        <v>2</v>
      </c>
      <c r="J233">
        <v>1</v>
      </c>
      <c r="K233">
        <v>4</v>
      </c>
      <c r="L233">
        <v>0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  <c r="AL233">
        <v>8</v>
      </c>
      <c r="AM233">
        <v>0.33333333333333331</v>
      </c>
      <c r="AN233">
        <v>12.041741071428614</v>
      </c>
    </row>
    <row r="234" spans="1:40" x14ac:dyDescent="0.3">
      <c r="A234" t="s">
        <v>8</v>
      </c>
      <c r="B234" t="s">
        <v>644</v>
      </c>
      <c r="C234" t="s">
        <v>10</v>
      </c>
      <c r="D234" t="s">
        <v>14</v>
      </c>
      <c r="E234">
        <v>202602</v>
      </c>
      <c r="F234" t="s">
        <v>131</v>
      </c>
      <c r="G234">
        <v>0</v>
      </c>
      <c r="H234">
        <v>0</v>
      </c>
      <c r="I234">
        <v>1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  <c r="AL234">
        <v>1</v>
      </c>
      <c r="AM234">
        <v>0</v>
      </c>
      <c r="AN234">
        <v>1</v>
      </c>
    </row>
    <row r="235" spans="1:40" x14ac:dyDescent="0.3">
      <c r="A235" t="s">
        <v>8</v>
      </c>
      <c r="B235" t="s">
        <v>644</v>
      </c>
      <c r="C235" t="s">
        <v>10</v>
      </c>
      <c r="D235" t="s">
        <v>14</v>
      </c>
      <c r="E235">
        <v>202602</v>
      </c>
      <c r="F235" t="s">
        <v>132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0</v>
      </c>
      <c r="AL235">
        <v>1</v>
      </c>
      <c r="AM235">
        <v>0.33333333333333331</v>
      </c>
      <c r="AN235">
        <v>5.0417410714286133</v>
      </c>
    </row>
    <row r="236" spans="1:40" x14ac:dyDescent="0.3">
      <c r="A236" t="s">
        <v>8</v>
      </c>
      <c r="B236" t="s">
        <v>644</v>
      </c>
      <c r="C236" t="s">
        <v>10</v>
      </c>
      <c r="D236" t="s">
        <v>14</v>
      </c>
      <c r="E236">
        <v>202602</v>
      </c>
      <c r="F236" t="s">
        <v>133</v>
      </c>
      <c r="G236">
        <v>0</v>
      </c>
      <c r="H236">
        <v>1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0</v>
      </c>
      <c r="AL236">
        <v>1</v>
      </c>
      <c r="AM236">
        <v>0</v>
      </c>
      <c r="AN236">
        <v>1</v>
      </c>
    </row>
    <row r="237" spans="1:40" x14ac:dyDescent="0.3">
      <c r="A237" t="s">
        <v>8</v>
      </c>
      <c r="B237" t="s">
        <v>644</v>
      </c>
      <c r="C237" t="s">
        <v>10</v>
      </c>
      <c r="D237" t="s">
        <v>14</v>
      </c>
      <c r="E237">
        <v>202602</v>
      </c>
      <c r="F237" t="s">
        <v>119</v>
      </c>
      <c r="G237">
        <v>0</v>
      </c>
      <c r="H237">
        <v>0</v>
      </c>
      <c r="I237">
        <v>1</v>
      </c>
      <c r="J237">
        <v>0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0</v>
      </c>
      <c r="AJ237">
        <v>0</v>
      </c>
      <c r="AK237">
        <v>0</v>
      </c>
      <c r="AL237">
        <v>2</v>
      </c>
      <c r="AM237">
        <v>0</v>
      </c>
      <c r="AN237">
        <v>2</v>
      </c>
    </row>
    <row r="238" spans="1:40" x14ac:dyDescent="0.3">
      <c r="A238" t="s">
        <v>8</v>
      </c>
      <c r="B238" t="s">
        <v>644</v>
      </c>
      <c r="C238" t="s">
        <v>10</v>
      </c>
      <c r="D238" t="s">
        <v>14</v>
      </c>
      <c r="E238">
        <v>202602</v>
      </c>
      <c r="F238" t="s">
        <v>120</v>
      </c>
      <c r="G238">
        <v>0</v>
      </c>
      <c r="H238">
        <v>0</v>
      </c>
      <c r="I238">
        <v>1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0</v>
      </c>
      <c r="AJ238">
        <v>0</v>
      </c>
      <c r="AK238">
        <v>0</v>
      </c>
      <c r="AL238">
        <v>1</v>
      </c>
      <c r="AM238">
        <v>0</v>
      </c>
      <c r="AN238">
        <v>1</v>
      </c>
    </row>
    <row r="239" spans="1:40" x14ac:dyDescent="0.3">
      <c r="A239" t="s">
        <v>8</v>
      </c>
      <c r="B239" t="s">
        <v>644</v>
      </c>
      <c r="C239" t="s">
        <v>10</v>
      </c>
      <c r="D239" t="s">
        <v>14</v>
      </c>
      <c r="E239">
        <v>202602</v>
      </c>
      <c r="F239" t="s">
        <v>121</v>
      </c>
      <c r="G239">
        <v>0</v>
      </c>
      <c r="H239">
        <v>0</v>
      </c>
      <c r="I239">
        <v>0</v>
      </c>
      <c r="J239">
        <v>1</v>
      </c>
      <c r="K239">
        <v>1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J239">
        <v>0</v>
      </c>
      <c r="AK239">
        <v>0</v>
      </c>
      <c r="AL239">
        <v>2</v>
      </c>
      <c r="AM239">
        <v>0</v>
      </c>
      <c r="AN239">
        <v>2</v>
      </c>
    </row>
    <row r="240" spans="1:40" x14ac:dyDescent="0.3">
      <c r="A240" t="s">
        <v>8</v>
      </c>
      <c r="B240" t="s">
        <v>644</v>
      </c>
      <c r="C240" t="s">
        <v>10</v>
      </c>
      <c r="D240" t="s">
        <v>14</v>
      </c>
      <c r="E240">
        <v>202602</v>
      </c>
      <c r="F240" t="s">
        <v>134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1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0</v>
      </c>
      <c r="AJ240">
        <v>0</v>
      </c>
      <c r="AK240">
        <v>0</v>
      </c>
      <c r="AL240">
        <v>1</v>
      </c>
      <c r="AM240">
        <v>0.33333333333333331</v>
      </c>
      <c r="AN240">
        <v>5.0417410714286133</v>
      </c>
    </row>
    <row r="241" spans="1:40" x14ac:dyDescent="0.3">
      <c r="A241" t="s">
        <v>8</v>
      </c>
      <c r="B241" t="s">
        <v>644</v>
      </c>
      <c r="C241" t="s">
        <v>10</v>
      </c>
      <c r="D241" t="s">
        <v>14</v>
      </c>
      <c r="E241">
        <v>202602</v>
      </c>
      <c r="F241" t="s">
        <v>122</v>
      </c>
      <c r="G241">
        <v>0</v>
      </c>
      <c r="H241">
        <v>1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  <c r="AL241">
        <v>1</v>
      </c>
      <c r="AM241">
        <v>0</v>
      </c>
      <c r="AN241">
        <v>1</v>
      </c>
    </row>
    <row r="242" spans="1:40" x14ac:dyDescent="0.3">
      <c r="A242" t="s">
        <v>8</v>
      </c>
      <c r="B242" t="s">
        <v>644</v>
      </c>
      <c r="C242" t="s">
        <v>10</v>
      </c>
      <c r="D242" t="s">
        <v>14</v>
      </c>
      <c r="E242">
        <v>202602</v>
      </c>
      <c r="F242" t="s">
        <v>123</v>
      </c>
      <c r="G242">
        <v>0</v>
      </c>
      <c r="H242">
        <v>1</v>
      </c>
      <c r="I242">
        <v>0</v>
      </c>
      <c r="J242">
        <v>0</v>
      </c>
      <c r="K242">
        <v>2</v>
      </c>
      <c r="L242">
        <v>3</v>
      </c>
      <c r="M242">
        <v>0</v>
      </c>
      <c r="N242">
        <v>0</v>
      </c>
      <c r="O242">
        <v>1</v>
      </c>
      <c r="P242">
        <v>3</v>
      </c>
      <c r="Q242">
        <v>1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0</v>
      </c>
      <c r="AL242">
        <v>11</v>
      </c>
      <c r="AM242">
        <v>1.6666666666666667</v>
      </c>
      <c r="AN242">
        <v>31.208705357143064</v>
      </c>
    </row>
    <row r="243" spans="1:40" x14ac:dyDescent="0.3">
      <c r="A243" t="s">
        <v>8</v>
      </c>
      <c r="B243" t="s">
        <v>644</v>
      </c>
      <c r="C243" t="s">
        <v>10</v>
      </c>
      <c r="D243" t="s">
        <v>14</v>
      </c>
      <c r="E243">
        <v>202602</v>
      </c>
      <c r="F243" t="s">
        <v>124</v>
      </c>
      <c r="G243">
        <v>0</v>
      </c>
      <c r="H243">
        <v>0</v>
      </c>
      <c r="I243">
        <v>1</v>
      </c>
      <c r="J243">
        <v>0</v>
      </c>
      <c r="K243">
        <v>2</v>
      </c>
      <c r="L243">
        <v>1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0</v>
      </c>
      <c r="AL243">
        <v>4</v>
      </c>
      <c r="AM243">
        <v>0</v>
      </c>
      <c r="AN243">
        <v>4</v>
      </c>
    </row>
    <row r="244" spans="1:40" x14ac:dyDescent="0.3">
      <c r="A244" t="s">
        <v>8</v>
      </c>
      <c r="B244" t="s">
        <v>644</v>
      </c>
      <c r="C244" t="s">
        <v>10</v>
      </c>
      <c r="D244" t="s">
        <v>14</v>
      </c>
      <c r="E244">
        <v>202602</v>
      </c>
      <c r="F244" t="s">
        <v>135</v>
      </c>
      <c r="G244">
        <v>0</v>
      </c>
      <c r="H244">
        <v>0</v>
      </c>
      <c r="I244">
        <v>0</v>
      </c>
      <c r="J244">
        <v>1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  <c r="AL244">
        <v>1</v>
      </c>
      <c r="AM244">
        <v>0</v>
      </c>
      <c r="AN244">
        <v>1</v>
      </c>
    </row>
    <row r="245" spans="1:40" x14ac:dyDescent="0.3">
      <c r="A245" t="s">
        <v>8</v>
      </c>
      <c r="B245" t="s">
        <v>644</v>
      </c>
      <c r="C245" t="s">
        <v>10</v>
      </c>
      <c r="D245" t="s">
        <v>14</v>
      </c>
      <c r="E245">
        <v>202602</v>
      </c>
      <c r="F245" t="s">
        <v>125</v>
      </c>
      <c r="G245">
        <v>0</v>
      </c>
      <c r="H245">
        <v>0</v>
      </c>
      <c r="I245">
        <v>0</v>
      </c>
      <c r="J245">
        <v>1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  <c r="AL245">
        <v>1</v>
      </c>
      <c r="AM245">
        <v>0</v>
      </c>
      <c r="AN245">
        <v>1</v>
      </c>
    </row>
    <row r="246" spans="1:40" x14ac:dyDescent="0.3">
      <c r="A246" t="s">
        <v>8</v>
      </c>
      <c r="B246" t="s">
        <v>644</v>
      </c>
      <c r="C246" t="s">
        <v>10</v>
      </c>
      <c r="D246" t="s">
        <v>14</v>
      </c>
      <c r="E246">
        <v>202602</v>
      </c>
      <c r="F246" t="s">
        <v>126</v>
      </c>
      <c r="G246">
        <v>2</v>
      </c>
      <c r="H246">
        <v>0</v>
      </c>
      <c r="I246">
        <v>1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  <c r="AL246">
        <v>3</v>
      </c>
      <c r="AM246">
        <v>0</v>
      </c>
      <c r="AN246">
        <v>3</v>
      </c>
    </row>
    <row r="247" spans="1:40" x14ac:dyDescent="0.3">
      <c r="A247" t="s">
        <v>8</v>
      </c>
      <c r="B247" t="s">
        <v>644</v>
      </c>
      <c r="C247" t="s">
        <v>10</v>
      </c>
      <c r="D247" t="s">
        <v>14</v>
      </c>
      <c r="E247">
        <v>202602</v>
      </c>
      <c r="F247" t="s">
        <v>127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1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  <c r="AL247">
        <v>1</v>
      </c>
      <c r="AM247">
        <v>0.33333333333333331</v>
      </c>
      <c r="AN247">
        <v>5.0417410714286133</v>
      </c>
    </row>
    <row r="248" spans="1:40" x14ac:dyDescent="0.3">
      <c r="A248" t="s">
        <v>8</v>
      </c>
      <c r="B248" t="s">
        <v>644</v>
      </c>
      <c r="C248" t="s">
        <v>10</v>
      </c>
      <c r="D248" t="s">
        <v>14</v>
      </c>
      <c r="E248">
        <v>202602</v>
      </c>
      <c r="F248" t="s">
        <v>128</v>
      </c>
      <c r="G248">
        <v>0</v>
      </c>
      <c r="H248">
        <v>0</v>
      </c>
      <c r="I248">
        <v>0</v>
      </c>
      <c r="J248">
        <v>0</v>
      </c>
      <c r="K248">
        <v>1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</v>
      </c>
      <c r="AL248">
        <v>1</v>
      </c>
      <c r="AM248">
        <v>0</v>
      </c>
      <c r="AN248">
        <v>1</v>
      </c>
    </row>
    <row r="249" spans="1:40" x14ac:dyDescent="0.3">
      <c r="A249" t="s">
        <v>8</v>
      </c>
      <c r="B249" t="s">
        <v>644</v>
      </c>
      <c r="C249" t="s">
        <v>16</v>
      </c>
      <c r="D249" t="s">
        <v>11</v>
      </c>
      <c r="E249">
        <v>202602</v>
      </c>
      <c r="F249" t="s">
        <v>114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1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0</v>
      </c>
      <c r="AL249">
        <v>1</v>
      </c>
      <c r="AM249">
        <v>0</v>
      </c>
      <c r="AN249">
        <v>1</v>
      </c>
    </row>
    <row r="250" spans="1:40" x14ac:dyDescent="0.3">
      <c r="A250" t="s">
        <v>8</v>
      </c>
      <c r="B250" t="s">
        <v>644</v>
      </c>
      <c r="C250" t="s">
        <v>16</v>
      </c>
      <c r="D250" t="s">
        <v>14</v>
      </c>
      <c r="E250">
        <v>202602</v>
      </c>
      <c r="F250" t="s">
        <v>114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1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</v>
      </c>
      <c r="AL250">
        <v>1</v>
      </c>
      <c r="AM250">
        <v>0</v>
      </c>
      <c r="AN250">
        <v>1</v>
      </c>
    </row>
    <row r="251" spans="1:40" x14ac:dyDescent="0.3">
      <c r="A251" t="s">
        <v>8</v>
      </c>
      <c r="B251" t="s">
        <v>136</v>
      </c>
      <c r="C251" t="s">
        <v>10</v>
      </c>
      <c r="D251" t="s">
        <v>11</v>
      </c>
      <c r="E251">
        <v>202602</v>
      </c>
      <c r="F251" t="s">
        <v>42</v>
      </c>
      <c r="G251">
        <v>0</v>
      </c>
      <c r="H251">
        <v>0</v>
      </c>
      <c r="I251">
        <v>2</v>
      </c>
      <c r="J251">
        <v>3</v>
      </c>
      <c r="K251">
        <v>7</v>
      </c>
      <c r="L251">
        <v>3</v>
      </c>
      <c r="M251">
        <v>0</v>
      </c>
      <c r="N251">
        <v>0</v>
      </c>
      <c r="O251">
        <v>5</v>
      </c>
      <c r="P251">
        <v>4</v>
      </c>
      <c r="Q251">
        <v>8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</v>
      </c>
      <c r="AL251">
        <v>32</v>
      </c>
      <c r="AM251">
        <v>5.666666666666667</v>
      </c>
      <c r="AN251">
        <v>110.27862737784289</v>
      </c>
    </row>
    <row r="252" spans="1:40" x14ac:dyDescent="0.3">
      <c r="A252" t="s">
        <v>8</v>
      </c>
      <c r="B252" t="s">
        <v>136</v>
      </c>
      <c r="C252" t="s">
        <v>10</v>
      </c>
      <c r="D252" t="s">
        <v>11</v>
      </c>
      <c r="E252">
        <v>202602</v>
      </c>
      <c r="F252" t="s">
        <v>102</v>
      </c>
      <c r="G252">
        <v>0</v>
      </c>
      <c r="H252">
        <v>1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0</v>
      </c>
      <c r="AL252">
        <v>1</v>
      </c>
      <c r="AM252">
        <v>0</v>
      </c>
      <c r="AN252">
        <v>1</v>
      </c>
    </row>
    <row r="253" spans="1:40" x14ac:dyDescent="0.3">
      <c r="A253" t="s">
        <v>8</v>
      </c>
      <c r="B253" t="s">
        <v>136</v>
      </c>
      <c r="C253" t="s">
        <v>10</v>
      </c>
      <c r="D253" t="s">
        <v>11</v>
      </c>
      <c r="E253">
        <v>202602</v>
      </c>
      <c r="F253" t="s">
        <v>137</v>
      </c>
      <c r="G253">
        <v>0</v>
      </c>
      <c r="H253">
        <v>1</v>
      </c>
      <c r="I253">
        <v>0</v>
      </c>
      <c r="J253">
        <v>1</v>
      </c>
      <c r="K253">
        <v>2</v>
      </c>
      <c r="L253">
        <v>1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</v>
      </c>
      <c r="AL253">
        <v>5</v>
      </c>
      <c r="AM253">
        <v>0</v>
      </c>
      <c r="AN253">
        <v>5</v>
      </c>
    </row>
    <row r="254" spans="1:40" x14ac:dyDescent="0.3">
      <c r="A254" t="s">
        <v>8</v>
      </c>
      <c r="B254" t="s">
        <v>136</v>
      </c>
      <c r="C254" t="s">
        <v>10</v>
      </c>
      <c r="D254" t="s">
        <v>14</v>
      </c>
      <c r="E254">
        <v>202602</v>
      </c>
      <c r="F254" t="s">
        <v>42</v>
      </c>
      <c r="G254">
        <v>0</v>
      </c>
      <c r="H254">
        <v>3</v>
      </c>
      <c r="I254">
        <v>5</v>
      </c>
      <c r="J254">
        <v>8</v>
      </c>
      <c r="K254">
        <v>9</v>
      </c>
      <c r="L254">
        <v>11</v>
      </c>
      <c r="M254">
        <v>0</v>
      </c>
      <c r="N254">
        <v>0</v>
      </c>
      <c r="O254">
        <v>9</v>
      </c>
      <c r="P254">
        <v>5</v>
      </c>
      <c r="Q254">
        <v>8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0</v>
      </c>
      <c r="AL254">
        <v>58</v>
      </c>
      <c r="AM254">
        <v>7.333333333333333</v>
      </c>
      <c r="AN254">
        <v>146.91830357142948</v>
      </c>
    </row>
    <row r="255" spans="1:40" x14ac:dyDescent="0.3">
      <c r="A255" t="s">
        <v>8</v>
      </c>
      <c r="B255" t="s">
        <v>136</v>
      </c>
      <c r="C255" t="s">
        <v>10</v>
      </c>
      <c r="D255" t="s">
        <v>14</v>
      </c>
      <c r="E255">
        <v>202602</v>
      </c>
      <c r="F255" t="s">
        <v>101</v>
      </c>
      <c r="G255">
        <v>0</v>
      </c>
      <c r="H255">
        <v>0</v>
      </c>
      <c r="I255">
        <v>0</v>
      </c>
      <c r="J255">
        <v>0</v>
      </c>
      <c r="K255">
        <v>1</v>
      </c>
      <c r="L255">
        <v>0</v>
      </c>
      <c r="M255">
        <v>0</v>
      </c>
      <c r="N255">
        <v>0</v>
      </c>
      <c r="O255">
        <v>1</v>
      </c>
      <c r="P255">
        <v>1</v>
      </c>
      <c r="Q255">
        <v>1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0</v>
      </c>
      <c r="AL255">
        <v>4</v>
      </c>
      <c r="AM255">
        <v>1</v>
      </c>
      <c r="AN255">
        <v>16.125223214285839</v>
      </c>
    </row>
    <row r="256" spans="1:40" x14ac:dyDescent="0.3">
      <c r="A256" t="s">
        <v>8</v>
      </c>
      <c r="B256" t="s">
        <v>136</v>
      </c>
      <c r="C256" t="s">
        <v>10</v>
      </c>
      <c r="D256" t="s">
        <v>14</v>
      </c>
      <c r="E256">
        <v>202602</v>
      </c>
      <c r="F256" t="s">
        <v>137</v>
      </c>
      <c r="G256">
        <v>0</v>
      </c>
      <c r="H256">
        <v>0</v>
      </c>
      <c r="I256">
        <v>1</v>
      </c>
      <c r="J256">
        <v>4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2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0</v>
      </c>
      <c r="AL256">
        <v>8</v>
      </c>
      <c r="AM256">
        <v>1</v>
      </c>
      <c r="AN256">
        <v>20.125223214285839</v>
      </c>
    </row>
    <row r="257" spans="1:40" x14ac:dyDescent="0.3">
      <c r="A257" t="s">
        <v>8</v>
      </c>
      <c r="B257" t="s">
        <v>684</v>
      </c>
      <c r="C257" t="s">
        <v>10</v>
      </c>
      <c r="D257" t="s">
        <v>11</v>
      </c>
      <c r="E257">
        <v>202602</v>
      </c>
      <c r="F257" t="s">
        <v>101</v>
      </c>
      <c r="G257">
        <v>0</v>
      </c>
      <c r="H257">
        <v>0</v>
      </c>
      <c r="I257">
        <v>0</v>
      </c>
      <c r="J257">
        <v>1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1</v>
      </c>
      <c r="Q257">
        <v>1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0</v>
      </c>
      <c r="AI257">
        <v>0</v>
      </c>
      <c r="AJ257">
        <v>0</v>
      </c>
      <c r="AK257">
        <v>0</v>
      </c>
      <c r="AL257">
        <v>4</v>
      </c>
      <c r="AM257">
        <v>0.66666666666666663</v>
      </c>
      <c r="AN257">
        <v>13.209250279746223</v>
      </c>
    </row>
    <row r="258" spans="1:40" x14ac:dyDescent="0.3">
      <c r="A258" t="s">
        <v>8</v>
      </c>
      <c r="B258" t="s">
        <v>684</v>
      </c>
      <c r="C258" t="s">
        <v>10</v>
      </c>
      <c r="D258" t="s">
        <v>11</v>
      </c>
      <c r="E258">
        <v>202602</v>
      </c>
      <c r="F258" t="s">
        <v>138</v>
      </c>
      <c r="G258">
        <v>0</v>
      </c>
      <c r="H258">
        <v>1</v>
      </c>
      <c r="I258">
        <v>0</v>
      </c>
      <c r="J258">
        <v>0</v>
      </c>
      <c r="K258">
        <v>0</v>
      </c>
      <c r="L258">
        <v>1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0</v>
      </c>
      <c r="AH258">
        <v>0</v>
      </c>
      <c r="AI258">
        <v>0</v>
      </c>
      <c r="AJ258">
        <v>0</v>
      </c>
      <c r="AK258">
        <v>0</v>
      </c>
      <c r="AL258">
        <v>2</v>
      </c>
      <c r="AM258">
        <v>0</v>
      </c>
      <c r="AN258">
        <v>2</v>
      </c>
    </row>
    <row r="259" spans="1:40" x14ac:dyDescent="0.3">
      <c r="A259" t="s">
        <v>8</v>
      </c>
      <c r="B259" t="s">
        <v>684</v>
      </c>
      <c r="C259" t="s">
        <v>10</v>
      </c>
      <c r="D259" t="s">
        <v>14</v>
      </c>
      <c r="E259">
        <v>202602</v>
      </c>
      <c r="F259" t="s">
        <v>101</v>
      </c>
      <c r="G259">
        <v>0</v>
      </c>
      <c r="H259">
        <v>1</v>
      </c>
      <c r="I259">
        <v>0</v>
      </c>
      <c r="J259">
        <v>0</v>
      </c>
      <c r="K259">
        <v>0</v>
      </c>
      <c r="L259">
        <v>3</v>
      </c>
      <c r="M259">
        <v>0</v>
      </c>
      <c r="N259">
        <v>0</v>
      </c>
      <c r="O259">
        <v>1</v>
      </c>
      <c r="P259">
        <v>1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0</v>
      </c>
      <c r="AI259">
        <v>0</v>
      </c>
      <c r="AJ259">
        <v>0</v>
      </c>
      <c r="AK259">
        <v>0</v>
      </c>
      <c r="AL259">
        <v>6</v>
      </c>
      <c r="AM259">
        <v>0.66666666666666663</v>
      </c>
      <c r="AN259">
        <v>14.083482142857227</v>
      </c>
    </row>
    <row r="260" spans="1:40" x14ac:dyDescent="0.3">
      <c r="A260" t="s">
        <v>8</v>
      </c>
      <c r="B260" t="s">
        <v>684</v>
      </c>
      <c r="C260" t="s">
        <v>10</v>
      </c>
      <c r="D260" t="s">
        <v>14</v>
      </c>
      <c r="E260">
        <v>202602</v>
      </c>
      <c r="F260" t="s">
        <v>138</v>
      </c>
      <c r="G260">
        <v>0</v>
      </c>
      <c r="H260">
        <v>1</v>
      </c>
      <c r="I260">
        <v>2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1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0</v>
      </c>
      <c r="AJ260">
        <v>0</v>
      </c>
      <c r="AK260">
        <v>0</v>
      </c>
      <c r="AL260">
        <v>4</v>
      </c>
      <c r="AM260">
        <v>0.33333333333333331</v>
      </c>
      <c r="AN260">
        <v>8.0417410714286142</v>
      </c>
    </row>
    <row r="261" spans="1:40" x14ac:dyDescent="0.3">
      <c r="A261" t="s">
        <v>8</v>
      </c>
      <c r="B261" t="s">
        <v>139</v>
      </c>
      <c r="C261" t="s">
        <v>10</v>
      </c>
      <c r="D261" t="s">
        <v>11</v>
      </c>
      <c r="E261">
        <v>202602</v>
      </c>
      <c r="F261" t="s">
        <v>140</v>
      </c>
      <c r="G261">
        <v>0</v>
      </c>
      <c r="H261">
        <v>1</v>
      </c>
      <c r="I261">
        <v>2</v>
      </c>
      <c r="J261">
        <v>0</v>
      </c>
      <c r="K261">
        <v>1</v>
      </c>
      <c r="L261">
        <v>1</v>
      </c>
      <c r="M261">
        <v>0</v>
      </c>
      <c r="N261">
        <v>0</v>
      </c>
      <c r="O261">
        <v>1</v>
      </c>
      <c r="P261">
        <v>1</v>
      </c>
      <c r="Q261">
        <v>2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>
        <v>0</v>
      </c>
      <c r="AK261">
        <v>0</v>
      </c>
      <c r="AL261">
        <v>9</v>
      </c>
      <c r="AM261">
        <v>1.3333333333333333</v>
      </c>
      <c r="AN261">
        <v>27.418500559492447</v>
      </c>
    </row>
    <row r="262" spans="1:40" x14ac:dyDescent="0.3">
      <c r="A262" t="s">
        <v>8</v>
      </c>
      <c r="B262" t="s">
        <v>139</v>
      </c>
      <c r="C262" t="s">
        <v>10</v>
      </c>
      <c r="D262" t="s">
        <v>11</v>
      </c>
      <c r="E262">
        <v>202602</v>
      </c>
      <c r="F262" t="s">
        <v>141</v>
      </c>
      <c r="G262">
        <v>0</v>
      </c>
      <c r="H262">
        <v>0</v>
      </c>
      <c r="I262">
        <v>0</v>
      </c>
      <c r="J262">
        <v>2</v>
      </c>
      <c r="K262">
        <v>2</v>
      </c>
      <c r="L262">
        <v>3</v>
      </c>
      <c r="M262">
        <v>1</v>
      </c>
      <c r="N262">
        <v>0</v>
      </c>
      <c r="O262">
        <v>2</v>
      </c>
      <c r="P262">
        <v>1</v>
      </c>
      <c r="Q262">
        <v>2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0</v>
      </c>
      <c r="AH262">
        <v>0</v>
      </c>
      <c r="AI262">
        <v>0</v>
      </c>
      <c r="AJ262">
        <v>0</v>
      </c>
      <c r="AK262">
        <v>0</v>
      </c>
      <c r="AL262">
        <v>13</v>
      </c>
      <c r="AM262">
        <v>1.6666666666666667</v>
      </c>
      <c r="AN262">
        <v>36.023125699365558</v>
      </c>
    </row>
    <row r="263" spans="1:40" x14ac:dyDescent="0.3">
      <c r="A263" t="s">
        <v>8</v>
      </c>
      <c r="B263" t="s">
        <v>139</v>
      </c>
      <c r="C263" t="s">
        <v>10</v>
      </c>
      <c r="D263" t="s">
        <v>11</v>
      </c>
      <c r="E263">
        <v>202602</v>
      </c>
      <c r="F263" t="s">
        <v>142</v>
      </c>
      <c r="G263">
        <v>0</v>
      </c>
      <c r="H263">
        <v>0</v>
      </c>
      <c r="I263">
        <v>0</v>
      </c>
      <c r="J263">
        <v>0</v>
      </c>
      <c r="K263">
        <v>1</v>
      </c>
      <c r="L263">
        <v>0</v>
      </c>
      <c r="M263">
        <v>1</v>
      </c>
      <c r="N263">
        <v>0</v>
      </c>
      <c r="O263">
        <v>0</v>
      </c>
      <c r="P263">
        <v>0</v>
      </c>
      <c r="Q263">
        <v>3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0</v>
      </c>
      <c r="AI263">
        <v>0</v>
      </c>
      <c r="AJ263">
        <v>0</v>
      </c>
      <c r="AK263">
        <v>0</v>
      </c>
      <c r="AL263">
        <v>5</v>
      </c>
      <c r="AM263">
        <v>1</v>
      </c>
      <c r="AN263">
        <v>18.813875419619336</v>
      </c>
    </row>
    <row r="264" spans="1:40" x14ac:dyDescent="0.3">
      <c r="A264" t="s">
        <v>8</v>
      </c>
      <c r="B264" t="s">
        <v>139</v>
      </c>
      <c r="C264" t="s">
        <v>10</v>
      </c>
      <c r="D264" t="s">
        <v>11</v>
      </c>
      <c r="E264">
        <v>202602</v>
      </c>
      <c r="F264" t="s">
        <v>143</v>
      </c>
      <c r="G264">
        <v>0</v>
      </c>
      <c r="H264">
        <v>0</v>
      </c>
      <c r="I264">
        <v>1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1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0</v>
      </c>
      <c r="AI264">
        <v>0</v>
      </c>
      <c r="AJ264">
        <v>0</v>
      </c>
      <c r="AK264">
        <v>0</v>
      </c>
      <c r="AL264">
        <v>3</v>
      </c>
      <c r="AM264">
        <v>0.66666666666666663</v>
      </c>
      <c r="AN264">
        <v>12.209250279746223</v>
      </c>
    </row>
    <row r="265" spans="1:40" x14ac:dyDescent="0.3">
      <c r="A265" t="s">
        <v>8</v>
      </c>
      <c r="B265" t="s">
        <v>139</v>
      </c>
      <c r="C265" t="s">
        <v>10</v>
      </c>
      <c r="D265" t="s">
        <v>11</v>
      </c>
      <c r="E265">
        <v>202602</v>
      </c>
      <c r="F265" t="s">
        <v>144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0</v>
      </c>
      <c r="AI265">
        <v>0</v>
      </c>
      <c r="AJ265">
        <v>0</v>
      </c>
      <c r="AK265">
        <v>0</v>
      </c>
      <c r="AL265">
        <v>1</v>
      </c>
      <c r="AM265">
        <v>0.33333333333333331</v>
      </c>
      <c r="AN265">
        <v>5.6046251398731117</v>
      </c>
    </row>
    <row r="266" spans="1:40" x14ac:dyDescent="0.3">
      <c r="A266" t="s">
        <v>8</v>
      </c>
      <c r="B266" t="s">
        <v>139</v>
      </c>
      <c r="C266" t="s">
        <v>10</v>
      </c>
      <c r="D266" t="s">
        <v>11</v>
      </c>
      <c r="E266">
        <v>202602</v>
      </c>
      <c r="F266" t="s">
        <v>145</v>
      </c>
      <c r="G266">
        <v>0</v>
      </c>
      <c r="H266">
        <v>0</v>
      </c>
      <c r="I266">
        <v>0</v>
      </c>
      <c r="J266">
        <v>0</v>
      </c>
      <c r="K266">
        <v>1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0</v>
      </c>
      <c r="AI266">
        <v>0</v>
      </c>
      <c r="AJ266">
        <v>0</v>
      </c>
      <c r="AK266">
        <v>0</v>
      </c>
      <c r="AL266">
        <v>1</v>
      </c>
      <c r="AM266">
        <v>0</v>
      </c>
      <c r="AN266">
        <v>1</v>
      </c>
    </row>
    <row r="267" spans="1:40" x14ac:dyDescent="0.3">
      <c r="A267" t="s">
        <v>8</v>
      </c>
      <c r="B267" t="s">
        <v>139</v>
      </c>
      <c r="C267" t="s">
        <v>10</v>
      </c>
      <c r="D267" t="s">
        <v>11</v>
      </c>
      <c r="E267">
        <v>202602</v>
      </c>
      <c r="F267" t="s">
        <v>146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0</v>
      </c>
      <c r="AI267">
        <v>0</v>
      </c>
      <c r="AJ267">
        <v>0</v>
      </c>
      <c r="AK267">
        <v>0</v>
      </c>
      <c r="AL267">
        <v>1</v>
      </c>
      <c r="AM267">
        <v>0</v>
      </c>
      <c r="AN267">
        <v>1</v>
      </c>
    </row>
    <row r="268" spans="1:40" x14ac:dyDescent="0.3">
      <c r="A268" t="s">
        <v>8</v>
      </c>
      <c r="B268" t="s">
        <v>139</v>
      </c>
      <c r="C268" t="s">
        <v>10</v>
      </c>
      <c r="D268" t="s">
        <v>11</v>
      </c>
      <c r="E268">
        <v>202602</v>
      </c>
      <c r="F268" t="s">
        <v>147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1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0</v>
      </c>
      <c r="AI268">
        <v>0</v>
      </c>
      <c r="AJ268">
        <v>0</v>
      </c>
      <c r="AK268">
        <v>0</v>
      </c>
      <c r="AL268">
        <v>1</v>
      </c>
      <c r="AM268">
        <v>0.33333333333333331</v>
      </c>
      <c r="AN268">
        <v>5.6046251398731117</v>
      </c>
    </row>
    <row r="269" spans="1:40" x14ac:dyDescent="0.3">
      <c r="A269" t="s">
        <v>8</v>
      </c>
      <c r="B269" t="s">
        <v>139</v>
      </c>
      <c r="C269" t="s">
        <v>10</v>
      </c>
      <c r="D269" t="s">
        <v>11</v>
      </c>
      <c r="E269">
        <v>202602</v>
      </c>
      <c r="F269" t="s">
        <v>148</v>
      </c>
      <c r="G269">
        <v>0</v>
      </c>
      <c r="H269">
        <v>0</v>
      </c>
      <c r="I269">
        <v>0</v>
      </c>
      <c r="J269">
        <v>0</v>
      </c>
      <c r="K269">
        <v>2</v>
      </c>
      <c r="L269">
        <v>0</v>
      </c>
      <c r="M269">
        <v>1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  <c r="AI269">
        <v>0</v>
      </c>
      <c r="AJ269">
        <v>0</v>
      </c>
      <c r="AK269">
        <v>0</v>
      </c>
      <c r="AL269">
        <v>3</v>
      </c>
      <c r="AM269">
        <v>0</v>
      </c>
      <c r="AN269">
        <v>3</v>
      </c>
    </row>
    <row r="270" spans="1:40" x14ac:dyDescent="0.3">
      <c r="A270" t="s">
        <v>8</v>
      </c>
      <c r="B270" t="s">
        <v>139</v>
      </c>
      <c r="C270" t="s">
        <v>10</v>
      </c>
      <c r="D270" t="s">
        <v>11</v>
      </c>
      <c r="E270">
        <v>202602</v>
      </c>
      <c r="F270" t="s">
        <v>149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1</v>
      </c>
      <c r="M270">
        <v>0</v>
      </c>
      <c r="N270">
        <v>0</v>
      </c>
      <c r="O270">
        <v>0</v>
      </c>
      <c r="P270">
        <v>0</v>
      </c>
      <c r="Q270">
        <v>1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  <c r="AL270">
        <v>2</v>
      </c>
      <c r="AM270">
        <v>0.33333333333333331</v>
      </c>
      <c r="AN270">
        <v>6.6046251398731117</v>
      </c>
    </row>
    <row r="271" spans="1:40" x14ac:dyDescent="0.3">
      <c r="A271" t="s">
        <v>8</v>
      </c>
      <c r="B271" t="s">
        <v>139</v>
      </c>
      <c r="C271" t="s">
        <v>10</v>
      </c>
      <c r="D271" t="s">
        <v>11</v>
      </c>
      <c r="E271">
        <v>202602</v>
      </c>
      <c r="F271" t="s">
        <v>150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1</v>
      </c>
      <c r="M271">
        <v>0</v>
      </c>
      <c r="N271">
        <v>0</v>
      </c>
      <c r="O271">
        <v>0</v>
      </c>
      <c r="P271">
        <v>1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  <c r="AL271">
        <v>2</v>
      </c>
      <c r="AM271">
        <v>0.33333333333333331</v>
      </c>
      <c r="AN271">
        <v>6.6046251398731117</v>
      </c>
    </row>
    <row r="272" spans="1:40" x14ac:dyDescent="0.3">
      <c r="A272" t="s">
        <v>8</v>
      </c>
      <c r="B272" t="s">
        <v>139</v>
      </c>
      <c r="C272" t="s">
        <v>10</v>
      </c>
      <c r="D272" t="s">
        <v>11</v>
      </c>
      <c r="E272">
        <v>202602</v>
      </c>
      <c r="F272" t="s">
        <v>151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1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0</v>
      </c>
      <c r="AL272">
        <v>1</v>
      </c>
      <c r="AM272">
        <v>0</v>
      </c>
      <c r="AN272">
        <v>1</v>
      </c>
    </row>
    <row r="273" spans="1:40" x14ac:dyDescent="0.3">
      <c r="A273" t="s">
        <v>8</v>
      </c>
      <c r="B273" t="s">
        <v>139</v>
      </c>
      <c r="C273" t="s">
        <v>10</v>
      </c>
      <c r="D273" t="s">
        <v>11</v>
      </c>
      <c r="E273">
        <v>202602</v>
      </c>
      <c r="F273" t="s">
        <v>152</v>
      </c>
      <c r="G273">
        <v>0</v>
      </c>
      <c r="H273">
        <v>0</v>
      </c>
      <c r="I273">
        <v>0</v>
      </c>
      <c r="J273">
        <v>0</v>
      </c>
      <c r="K273">
        <v>1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0</v>
      </c>
      <c r="AI273">
        <v>0</v>
      </c>
      <c r="AJ273">
        <v>0</v>
      </c>
      <c r="AK273">
        <v>0</v>
      </c>
      <c r="AL273">
        <v>1</v>
      </c>
      <c r="AM273">
        <v>0</v>
      </c>
      <c r="AN273">
        <v>1</v>
      </c>
    </row>
    <row r="274" spans="1:40" x14ac:dyDescent="0.3">
      <c r="A274" t="s">
        <v>8</v>
      </c>
      <c r="B274" t="s">
        <v>139</v>
      </c>
      <c r="C274" t="s">
        <v>10</v>
      </c>
      <c r="D274" t="s">
        <v>11</v>
      </c>
      <c r="E274">
        <v>202602</v>
      </c>
      <c r="F274" t="s">
        <v>153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1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0</v>
      </c>
      <c r="AL274">
        <v>1</v>
      </c>
      <c r="AM274">
        <v>0.33333333333333331</v>
      </c>
      <c r="AN274">
        <v>5.6046251398731117</v>
      </c>
    </row>
    <row r="275" spans="1:40" x14ac:dyDescent="0.3">
      <c r="A275" t="s">
        <v>8</v>
      </c>
      <c r="B275" t="s">
        <v>139</v>
      </c>
      <c r="C275" t="s">
        <v>10</v>
      </c>
      <c r="D275" t="s">
        <v>11</v>
      </c>
      <c r="E275">
        <v>202602</v>
      </c>
      <c r="F275" t="s">
        <v>154</v>
      </c>
      <c r="G275">
        <v>0</v>
      </c>
      <c r="H275">
        <v>0</v>
      </c>
      <c r="I275">
        <v>0</v>
      </c>
      <c r="J275">
        <v>1</v>
      </c>
      <c r="K275">
        <v>1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>
        <v>0</v>
      </c>
      <c r="AI275">
        <v>0</v>
      </c>
      <c r="AJ275">
        <v>0</v>
      </c>
      <c r="AK275">
        <v>0</v>
      </c>
      <c r="AL275">
        <v>2</v>
      </c>
      <c r="AM275">
        <v>0</v>
      </c>
      <c r="AN275">
        <v>2</v>
      </c>
    </row>
    <row r="276" spans="1:40" x14ac:dyDescent="0.3">
      <c r="A276" t="s">
        <v>8</v>
      </c>
      <c r="B276" t="s">
        <v>139</v>
      </c>
      <c r="C276" t="s">
        <v>10</v>
      </c>
      <c r="D276" t="s">
        <v>11</v>
      </c>
      <c r="E276">
        <v>202602</v>
      </c>
      <c r="F276" t="s">
        <v>158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2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>
        <v>0</v>
      </c>
      <c r="AI276">
        <v>0</v>
      </c>
      <c r="AJ276">
        <v>0</v>
      </c>
      <c r="AK276">
        <v>0</v>
      </c>
      <c r="AL276">
        <v>2</v>
      </c>
      <c r="AM276">
        <v>0.66666666666666663</v>
      </c>
      <c r="AN276">
        <v>11.209250279746223</v>
      </c>
    </row>
    <row r="277" spans="1:40" x14ac:dyDescent="0.3">
      <c r="A277" t="s">
        <v>8</v>
      </c>
      <c r="B277" t="s">
        <v>139</v>
      </c>
      <c r="C277" t="s">
        <v>10</v>
      </c>
      <c r="D277" t="s">
        <v>11</v>
      </c>
      <c r="E277">
        <v>202602</v>
      </c>
      <c r="F277" t="s">
        <v>162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1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>
        <v>0</v>
      </c>
      <c r="AI277">
        <v>0</v>
      </c>
      <c r="AJ277">
        <v>0</v>
      </c>
      <c r="AK277">
        <v>0</v>
      </c>
      <c r="AL277">
        <v>1</v>
      </c>
      <c r="AM277">
        <v>0.33333333333333331</v>
      </c>
      <c r="AN277">
        <v>5.6046251398731117</v>
      </c>
    </row>
    <row r="278" spans="1:40" x14ac:dyDescent="0.3">
      <c r="A278" t="s">
        <v>8</v>
      </c>
      <c r="B278" t="s">
        <v>139</v>
      </c>
      <c r="C278" t="s">
        <v>10</v>
      </c>
      <c r="D278" t="s">
        <v>11</v>
      </c>
      <c r="E278">
        <v>202602</v>
      </c>
      <c r="F278" t="s">
        <v>155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1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  <c r="AI278">
        <v>0</v>
      </c>
      <c r="AJ278">
        <v>0</v>
      </c>
      <c r="AK278">
        <v>0</v>
      </c>
      <c r="AL278">
        <v>1</v>
      </c>
      <c r="AM278">
        <v>0</v>
      </c>
      <c r="AN278">
        <v>1</v>
      </c>
    </row>
    <row r="279" spans="1:40" x14ac:dyDescent="0.3">
      <c r="A279" t="s">
        <v>8</v>
      </c>
      <c r="B279" t="s">
        <v>139</v>
      </c>
      <c r="C279" t="s">
        <v>10</v>
      </c>
      <c r="D279" t="s">
        <v>14</v>
      </c>
      <c r="E279">
        <v>202602</v>
      </c>
      <c r="F279" t="s">
        <v>156</v>
      </c>
      <c r="G279">
        <v>0</v>
      </c>
      <c r="H279">
        <v>0</v>
      </c>
      <c r="I279">
        <v>1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0</v>
      </c>
      <c r="AI279">
        <v>0</v>
      </c>
      <c r="AJ279">
        <v>0</v>
      </c>
      <c r="AK279">
        <v>0</v>
      </c>
      <c r="AL279">
        <v>1</v>
      </c>
      <c r="AM279">
        <v>0</v>
      </c>
      <c r="AN279">
        <v>1</v>
      </c>
    </row>
    <row r="280" spans="1:40" x14ac:dyDescent="0.3">
      <c r="A280" t="s">
        <v>8</v>
      </c>
      <c r="B280" t="s">
        <v>139</v>
      </c>
      <c r="C280" t="s">
        <v>10</v>
      </c>
      <c r="D280" t="s">
        <v>14</v>
      </c>
      <c r="E280">
        <v>202602</v>
      </c>
      <c r="F280" t="s">
        <v>140</v>
      </c>
      <c r="G280">
        <v>0</v>
      </c>
      <c r="H280">
        <v>2</v>
      </c>
      <c r="I280">
        <v>1</v>
      </c>
      <c r="J280">
        <v>0</v>
      </c>
      <c r="K280">
        <v>1</v>
      </c>
      <c r="L280">
        <v>2</v>
      </c>
      <c r="M280">
        <v>2</v>
      </c>
      <c r="N280">
        <v>0</v>
      </c>
      <c r="O280">
        <v>2</v>
      </c>
      <c r="P280">
        <v>1</v>
      </c>
      <c r="Q280">
        <v>1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  <c r="AI280">
        <v>0</v>
      </c>
      <c r="AJ280">
        <v>0</v>
      </c>
      <c r="AK280">
        <v>0</v>
      </c>
      <c r="AL280">
        <v>12</v>
      </c>
      <c r="AM280">
        <v>1.3333333333333333</v>
      </c>
      <c r="AN280">
        <v>28.166964285714453</v>
      </c>
    </row>
    <row r="281" spans="1:40" x14ac:dyDescent="0.3">
      <c r="A281" t="s">
        <v>8</v>
      </c>
      <c r="B281" t="s">
        <v>139</v>
      </c>
      <c r="C281" t="s">
        <v>10</v>
      </c>
      <c r="D281" t="s">
        <v>14</v>
      </c>
      <c r="E281">
        <v>202602</v>
      </c>
      <c r="F281" t="s">
        <v>141</v>
      </c>
      <c r="G281">
        <v>0</v>
      </c>
      <c r="H281">
        <v>2</v>
      </c>
      <c r="I281">
        <v>3</v>
      </c>
      <c r="J281">
        <v>4</v>
      </c>
      <c r="K281">
        <v>1</v>
      </c>
      <c r="L281">
        <v>2</v>
      </c>
      <c r="M281">
        <v>2</v>
      </c>
      <c r="N281">
        <v>0</v>
      </c>
      <c r="O281">
        <v>3</v>
      </c>
      <c r="P281">
        <v>3</v>
      </c>
      <c r="Q281">
        <v>3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  <c r="AK281">
        <v>0</v>
      </c>
      <c r="AL281">
        <v>23</v>
      </c>
      <c r="AM281">
        <v>3</v>
      </c>
      <c r="AN281">
        <v>59.375669642857517</v>
      </c>
    </row>
    <row r="282" spans="1:40" x14ac:dyDescent="0.3">
      <c r="A282" t="s">
        <v>8</v>
      </c>
      <c r="B282" t="s">
        <v>139</v>
      </c>
      <c r="C282" t="s">
        <v>10</v>
      </c>
      <c r="D282" t="s">
        <v>14</v>
      </c>
      <c r="E282">
        <v>202602</v>
      </c>
      <c r="F282" t="s">
        <v>142</v>
      </c>
      <c r="G282">
        <v>0</v>
      </c>
      <c r="H282">
        <v>0</v>
      </c>
      <c r="I282">
        <v>0</v>
      </c>
      <c r="J282">
        <v>1</v>
      </c>
      <c r="K282">
        <v>1</v>
      </c>
      <c r="L282">
        <v>0</v>
      </c>
      <c r="M282">
        <v>0</v>
      </c>
      <c r="N282">
        <v>0</v>
      </c>
      <c r="O282">
        <v>0</v>
      </c>
      <c r="P282">
        <v>3</v>
      </c>
      <c r="Q282">
        <v>2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</v>
      </c>
      <c r="AL282">
        <v>7</v>
      </c>
      <c r="AM282">
        <v>1.6666666666666667</v>
      </c>
      <c r="AN282">
        <v>27.208705357143064</v>
      </c>
    </row>
    <row r="283" spans="1:40" x14ac:dyDescent="0.3">
      <c r="A283" t="s">
        <v>8</v>
      </c>
      <c r="B283" t="s">
        <v>139</v>
      </c>
      <c r="C283" t="s">
        <v>10</v>
      </c>
      <c r="D283" t="s">
        <v>14</v>
      </c>
      <c r="E283">
        <v>202602</v>
      </c>
      <c r="F283" t="s">
        <v>143</v>
      </c>
      <c r="G283">
        <v>0</v>
      </c>
      <c r="H283">
        <v>1</v>
      </c>
      <c r="I283">
        <v>0</v>
      </c>
      <c r="J283">
        <v>0</v>
      </c>
      <c r="K283">
        <v>1</v>
      </c>
      <c r="L283">
        <v>2</v>
      </c>
      <c r="M283">
        <v>0</v>
      </c>
      <c r="N283">
        <v>0</v>
      </c>
      <c r="O283">
        <v>1</v>
      </c>
      <c r="P283">
        <v>1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  <c r="AL283">
        <v>7</v>
      </c>
      <c r="AM283">
        <v>1</v>
      </c>
      <c r="AN283">
        <v>19.125223214285839</v>
      </c>
    </row>
    <row r="284" spans="1:40" x14ac:dyDescent="0.3">
      <c r="A284" t="s">
        <v>8</v>
      </c>
      <c r="B284" t="s">
        <v>139</v>
      </c>
      <c r="C284" t="s">
        <v>10</v>
      </c>
      <c r="D284" t="s">
        <v>14</v>
      </c>
      <c r="E284">
        <v>202602</v>
      </c>
      <c r="F284" t="s">
        <v>144</v>
      </c>
      <c r="G284">
        <v>0</v>
      </c>
      <c r="H284">
        <v>0</v>
      </c>
      <c r="I284">
        <v>0</v>
      </c>
      <c r="J284">
        <v>0</v>
      </c>
      <c r="K284">
        <v>1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  <c r="AL284">
        <v>1</v>
      </c>
      <c r="AM284">
        <v>0</v>
      </c>
      <c r="AN284">
        <v>1</v>
      </c>
    </row>
    <row r="285" spans="1:40" x14ac:dyDescent="0.3">
      <c r="A285" t="s">
        <v>8</v>
      </c>
      <c r="B285" t="s">
        <v>139</v>
      </c>
      <c r="C285" t="s">
        <v>10</v>
      </c>
      <c r="D285" t="s">
        <v>14</v>
      </c>
      <c r="E285">
        <v>202602</v>
      </c>
      <c r="F285" t="s">
        <v>145</v>
      </c>
      <c r="G285">
        <v>0</v>
      </c>
      <c r="H285">
        <v>0</v>
      </c>
      <c r="I285">
        <v>1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0</v>
      </c>
      <c r="AI285">
        <v>0</v>
      </c>
      <c r="AJ285">
        <v>0</v>
      </c>
      <c r="AK285">
        <v>0</v>
      </c>
      <c r="AL285">
        <v>1</v>
      </c>
      <c r="AM285">
        <v>0</v>
      </c>
      <c r="AN285">
        <v>1</v>
      </c>
    </row>
    <row r="286" spans="1:40" x14ac:dyDescent="0.3">
      <c r="A286" t="s">
        <v>8</v>
      </c>
      <c r="B286" t="s">
        <v>139</v>
      </c>
      <c r="C286" t="s">
        <v>10</v>
      </c>
      <c r="D286" t="s">
        <v>14</v>
      </c>
      <c r="E286">
        <v>202602</v>
      </c>
      <c r="F286" t="s">
        <v>685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  <c r="AL286">
        <v>1</v>
      </c>
      <c r="AM286">
        <v>0.33333333333333331</v>
      </c>
      <c r="AN286">
        <v>5.0417410714286133</v>
      </c>
    </row>
    <row r="287" spans="1:40" x14ac:dyDescent="0.3">
      <c r="A287" t="s">
        <v>8</v>
      </c>
      <c r="B287" t="s">
        <v>139</v>
      </c>
      <c r="C287" t="s">
        <v>10</v>
      </c>
      <c r="D287" t="s">
        <v>14</v>
      </c>
      <c r="E287">
        <v>202602</v>
      </c>
      <c r="F287" t="s">
        <v>146</v>
      </c>
      <c r="G287">
        <v>0</v>
      </c>
      <c r="H287">
        <v>0</v>
      </c>
      <c r="I287">
        <v>0</v>
      </c>
      <c r="J287">
        <v>0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0</v>
      </c>
      <c r="AJ287">
        <v>0</v>
      </c>
      <c r="AK287">
        <v>0</v>
      </c>
      <c r="AL287">
        <v>1</v>
      </c>
      <c r="AM287">
        <v>0</v>
      </c>
      <c r="AN287">
        <v>1</v>
      </c>
    </row>
    <row r="288" spans="1:40" x14ac:dyDescent="0.3">
      <c r="A288" t="s">
        <v>8</v>
      </c>
      <c r="B288" t="s">
        <v>139</v>
      </c>
      <c r="C288" t="s">
        <v>10</v>
      </c>
      <c r="D288" t="s">
        <v>14</v>
      </c>
      <c r="E288">
        <v>202602</v>
      </c>
      <c r="F288" t="s">
        <v>147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1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0</v>
      </c>
      <c r="AJ288">
        <v>0</v>
      </c>
      <c r="AK288">
        <v>0</v>
      </c>
      <c r="AL288">
        <v>1</v>
      </c>
      <c r="AM288">
        <v>0.33333333333333331</v>
      </c>
      <c r="AN288">
        <v>5.0417410714286133</v>
      </c>
    </row>
    <row r="289" spans="1:40" x14ac:dyDescent="0.3">
      <c r="A289" t="s">
        <v>8</v>
      </c>
      <c r="B289" t="s">
        <v>139</v>
      </c>
      <c r="C289" t="s">
        <v>10</v>
      </c>
      <c r="D289" t="s">
        <v>14</v>
      </c>
      <c r="E289">
        <v>202602</v>
      </c>
      <c r="F289" t="s">
        <v>157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1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  <c r="AI289">
        <v>0</v>
      </c>
      <c r="AJ289">
        <v>0</v>
      </c>
      <c r="AK289">
        <v>0</v>
      </c>
      <c r="AL289">
        <v>1</v>
      </c>
      <c r="AM289">
        <v>0</v>
      </c>
      <c r="AN289">
        <v>1</v>
      </c>
    </row>
    <row r="290" spans="1:40" x14ac:dyDescent="0.3">
      <c r="A290" t="s">
        <v>8</v>
      </c>
      <c r="B290" t="s">
        <v>139</v>
      </c>
      <c r="C290" t="s">
        <v>10</v>
      </c>
      <c r="D290" t="s">
        <v>14</v>
      </c>
      <c r="E290">
        <v>202602</v>
      </c>
      <c r="F290" t="s">
        <v>148</v>
      </c>
      <c r="G290">
        <v>0</v>
      </c>
      <c r="H290">
        <v>1</v>
      </c>
      <c r="I290">
        <v>0</v>
      </c>
      <c r="J290">
        <v>3</v>
      </c>
      <c r="K290">
        <v>0</v>
      </c>
      <c r="L290">
        <v>1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0</v>
      </c>
      <c r="AI290">
        <v>0</v>
      </c>
      <c r="AJ290">
        <v>0</v>
      </c>
      <c r="AK290">
        <v>0</v>
      </c>
      <c r="AL290">
        <v>5</v>
      </c>
      <c r="AM290">
        <v>0</v>
      </c>
      <c r="AN290">
        <v>5</v>
      </c>
    </row>
    <row r="291" spans="1:40" x14ac:dyDescent="0.3">
      <c r="A291" t="s">
        <v>8</v>
      </c>
      <c r="B291" t="s">
        <v>139</v>
      </c>
      <c r="C291" t="s">
        <v>10</v>
      </c>
      <c r="D291" t="s">
        <v>14</v>
      </c>
      <c r="E291">
        <v>202602</v>
      </c>
      <c r="F291" t="s">
        <v>149</v>
      </c>
      <c r="G291">
        <v>0</v>
      </c>
      <c r="H291">
        <v>0</v>
      </c>
      <c r="I291">
        <v>0</v>
      </c>
      <c r="J291">
        <v>0</v>
      </c>
      <c r="K291">
        <v>2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0</v>
      </c>
      <c r="AJ291">
        <v>0</v>
      </c>
      <c r="AK291">
        <v>0</v>
      </c>
      <c r="AL291">
        <v>2</v>
      </c>
      <c r="AM291">
        <v>0</v>
      </c>
      <c r="AN291">
        <v>2</v>
      </c>
    </row>
    <row r="292" spans="1:40" x14ac:dyDescent="0.3">
      <c r="A292" t="s">
        <v>8</v>
      </c>
      <c r="B292" t="s">
        <v>139</v>
      </c>
      <c r="C292" t="s">
        <v>10</v>
      </c>
      <c r="D292" t="s">
        <v>14</v>
      </c>
      <c r="E292">
        <v>202602</v>
      </c>
      <c r="F292" t="s">
        <v>686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1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  <c r="AI292">
        <v>0</v>
      </c>
      <c r="AJ292">
        <v>0</v>
      </c>
      <c r="AK292">
        <v>0</v>
      </c>
      <c r="AL292">
        <v>1</v>
      </c>
      <c r="AM292">
        <v>0.33333333333333331</v>
      </c>
      <c r="AN292">
        <v>5.0417410714286133</v>
      </c>
    </row>
    <row r="293" spans="1:40" x14ac:dyDescent="0.3">
      <c r="A293" t="s">
        <v>8</v>
      </c>
      <c r="B293" t="s">
        <v>139</v>
      </c>
      <c r="C293" t="s">
        <v>10</v>
      </c>
      <c r="D293" t="s">
        <v>14</v>
      </c>
      <c r="E293">
        <v>202602</v>
      </c>
      <c r="F293" t="s">
        <v>150</v>
      </c>
      <c r="G293">
        <v>0</v>
      </c>
      <c r="H293">
        <v>0</v>
      </c>
      <c r="I293">
        <v>0</v>
      </c>
      <c r="J293">
        <v>0</v>
      </c>
      <c r="K293">
        <v>1</v>
      </c>
      <c r="L293">
        <v>1</v>
      </c>
      <c r="M293">
        <v>0</v>
      </c>
      <c r="N293">
        <v>0</v>
      </c>
      <c r="O293">
        <v>1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0</v>
      </c>
      <c r="AG293">
        <v>0</v>
      </c>
      <c r="AH293">
        <v>0</v>
      </c>
      <c r="AI293">
        <v>0</v>
      </c>
      <c r="AJ293">
        <v>0</v>
      </c>
      <c r="AK293">
        <v>0</v>
      </c>
      <c r="AL293">
        <v>3</v>
      </c>
      <c r="AM293">
        <v>0.33333333333333331</v>
      </c>
      <c r="AN293">
        <v>7.0417410714286133</v>
      </c>
    </row>
    <row r="294" spans="1:40" x14ac:dyDescent="0.3">
      <c r="A294" t="s">
        <v>8</v>
      </c>
      <c r="B294" t="s">
        <v>139</v>
      </c>
      <c r="C294" t="s">
        <v>10</v>
      </c>
      <c r="D294" t="s">
        <v>14</v>
      </c>
      <c r="E294">
        <v>202602</v>
      </c>
      <c r="F294" t="s">
        <v>151</v>
      </c>
      <c r="G294">
        <v>0</v>
      </c>
      <c r="H294">
        <v>0</v>
      </c>
      <c r="I294">
        <v>0</v>
      </c>
      <c r="J294">
        <v>1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1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0</v>
      </c>
      <c r="AG294">
        <v>0</v>
      </c>
      <c r="AH294">
        <v>0</v>
      </c>
      <c r="AI294">
        <v>0</v>
      </c>
      <c r="AJ294">
        <v>0</v>
      </c>
      <c r="AK294">
        <v>0</v>
      </c>
      <c r="AL294">
        <v>2</v>
      </c>
      <c r="AM294">
        <v>0.33333333333333331</v>
      </c>
      <c r="AN294">
        <v>6.0417410714286133</v>
      </c>
    </row>
    <row r="295" spans="1:40" x14ac:dyDescent="0.3">
      <c r="A295" t="s">
        <v>8</v>
      </c>
      <c r="B295" t="s">
        <v>139</v>
      </c>
      <c r="C295" t="s">
        <v>10</v>
      </c>
      <c r="D295" t="s">
        <v>14</v>
      </c>
      <c r="E295">
        <v>202602</v>
      </c>
      <c r="F295" t="s">
        <v>152</v>
      </c>
      <c r="G295">
        <v>0</v>
      </c>
      <c r="H295">
        <v>0</v>
      </c>
      <c r="I295">
        <v>1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0</v>
      </c>
      <c r="AG295">
        <v>0</v>
      </c>
      <c r="AH295">
        <v>0</v>
      </c>
      <c r="AI295">
        <v>0</v>
      </c>
      <c r="AJ295">
        <v>0</v>
      </c>
      <c r="AK295">
        <v>0</v>
      </c>
      <c r="AL295">
        <v>1</v>
      </c>
      <c r="AM295">
        <v>0</v>
      </c>
      <c r="AN295">
        <v>1</v>
      </c>
    </row>
    <row r="296" spans="1:40" x14ac:dyDescent="0.3">
      <c r="A296" t="s">
        <v>8</v>
      </c>
      <c r="B296" t="s">
        <v>139</v>
      </c>
      <c r="C296" t="s">
        <v>10</v>
      </c>
      <c r="D296" t="s">
        <v>14</v>
      </c>
      <c r="E296">
        <v>202602</v>
      </c>
      <c r="F296" t="s">
        <v>153</v>
      </c>
      <c r="G296">
        <v>0</v>
      </c>
      <c r="H296">
        <v>0</v>
      </c>
      <c r="I296">
        <v>0</v>
      </c>
      <c r="J296">
        <v>0</v>
      </c>
      <c r="K296">
        <v>1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0</v>
      </c>
      <c r="AK296">
        <v>0</v>
      </c>
      <c r="AL296">
        <v>1</v>
      </c>
      <c r="AM296">
        <v>0</v>
      </c>
      <c r="AN296">
        <v>1</v>
      </c>
    </row>
    <row r="297" spans="1:40" x14ac:dyDescent="0.3">
      <c r="A297" t="s">
        <v>8</v>
      </c>
      <c r="B297" t="s">
        <v>139</v>
      </c>
      <c r="C297" t="s">
        <v>10</v>
      </c>
      <c r="D297" t="s">
        <v>14</v>
      </c>
      <c r="E297">
        <v>202602</v>
      </c>
      <c r="F297" t="s">
        <v>154</v>
      </c>
      <c r="G297">
        <v>0</v>
      </c>
      <c r="H297">
        <v>0</v>
      </c>
      <c r="I297">
        <v>0</v>
      </c>
      <c r="J297">
        <v>1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1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0</v>
      </c>
      <c r="AK297">
        <v>0</v>
      </c>
      <c r="AL297">
        <v>2</v>
      </c>
      <c r="AM297">
        <v>0.33333333333333331</v>
      </c>
      <c r="AN297">
        <v>6.0417410714286133</v>
      </c>
    </row>
    <row r="298" spans="1:40" x14ac:dyDescent="0.3">
      <c r="A298" t="s">
        <v>8</v>
      </c>
      <c r="B298" t="s">
        <v>139</v>
      </c>
      <c r="C298" t="s">
        <v>10</v>
      </c>
      <c r="D298" t="s">
        <v>14</v>
      </c>
      <c r="E298">
        <v>202602</v>
      </c>
      <c r="F298" t="s">
        <v>158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2</v>
      </c>
      <c r="P298">
        <v>1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  <c r="AI298">
        <v>0</v>
      </c>
      <c r="AJ298">
        <v>0</v>
      </c>
      <c r="AK298">
        <v>0</v>
      </c>
      <c r="AL298">
        <v>3</v>
      </c>
      <c r="AM298">
        <v>1</v>
      </c>
      <c r="AN298">
        <v>15.125223214285839</v>
      </c>
    </row>
    <row r="299" spans="1:40" x14ac:dyDescent="0.3">
      <c r="A299" t="s">
        <v>8</v>
      </c>
      <c r="B299" t="s">
        <v>139</v>
      </c>
      <c r="C299" t="s">
        <v>10</v>
      </c>
      <c r="D299" t="s">
        <v>14</v>
      </c>
      <c r="E299">
        <v>202602</v>
      </c>
      <c r="F299" t="s">
        <v>159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1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0</v>
      </c>
      <c r="AG299">
        <v>0</v>
      </c>
      <c r="AH299">
        <v>0</v>
      </c>
      <c r="AI299">
        <v>0</v>
      </c>
      <c r="AJ299">
        <v>0</v>
      </c>
      <c r="AK299">
        <v>0</v>
      </c>
      <c r="AL299">
        <v>1</v>
      </c>
      <c r="AM299">
        <v>0.33333333333333331</v>
      </c>
      <c r="AN299">
        <v>5.0417410714286133</v>
      </c>
    </row>
    <row r="300" spans="1:40" x14ac:dyDescent="0.3">
      <c r="A300" t="s">
        <v>8</v>
      </c>
      <c r="B300" t="s">
        <v>139</v>
      </c>
      <c r="C300" t="s">
        <v>10</v>
      </c>
      <c r="D300" t="s">
        <v>14</v>
      </c>
      <c r="E300">
        <v>202602</v>
      </c>
      <c r="F300" t="s">
        <v>160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1</v>
      </c>
      <c r="P300">
        <v>0</v>
      </c>
      <c r="Q300">
        <v>1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0</v>
      </c>
      <c r="AG300">
        <v>0</v>
      </c>
      <c r="AH300">
        <v>0</v>
      </c>
      <c r="AI300">
        <v>0</v>
      </c>
      <c r="AJ300">
        <v>0</v>
      </c>
      <c r="AK300">
        <v>0</v>
      </c>
      <c r="AL300">
        <v>2</v>
      </c>
      <c r="AM300">
        <v>0.66666666666666663</v>
      </c>
      <c r="AN300">
        <v>10.083482142857227</v>
      </c>
    </row>
    <row r="301" spans="1:40" x14ac:dyDescent="0.3">
      <c r="A301" t="s">
        <v>8</v>
      </c>
      <c r="B301" t="s">
        <v>139</v>
      </c>
      <c r="C301" t="s">
        <v>10</v>
      </c>
      <c r="D301" t="s">
        <v>14</v>
      </c>
      <c r="E301">
        <v>202602</v>
      </c>
      <c r="F301" t="s">
        <v>161</v>
      </c>
      <c r="G301">
        <v>0</v>
      </c>
      <c r="H301">
        <v>0</v>
      </c>
      <c r="I301">
        <v>0</v>
      </c>
      <c r="J301">
        <v>1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0</v>
      </c>
      <c r="AD301">
        <v>0</v>
      </c>
      <c r="AE301">
        <v>0</v>
      </c>
      <c r="AF301">
        <v>0</v>
      </c>
      <c r="AG301">
        <v>0</v>
      </c>
      <c r="AH301">
        <v>0</v>
      </c>
      <c r="AI301">
        <v>0</v>
      </c>
      <c r="AJ301">
        <v>0</v>
      </c>
      <c r="AK301">
        <v>0</v>
      </c>
      <c r="AL301">
        <v>1</v>
      </c>
      <c r="AM301">
        <v>0</v>
      </c>
      <c r="AN301">
        <v>1</v>
      </c>
    </row>
    <row r="302" spans="1:40" x14ac:dyDescent="0.3">
      <c r="A302" t="s">
        <v>8</v>
      </c>
      <c r="B302" t="s">
        <v>139</v>
      </c>
      <c r="C302" t="s">
        <v>10</v>
      </c>
      <c r="D302" t="s">
        <v>14</v>
      </c>
      <c r="E302">
        <v>202602</v>
      </c>
      <c r="F302" t="s">
        <v>162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1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0</v>
      </c>
      <c r="AG302">
        <v>0</v>
      </c>
      <c r="AH302">
        <v>0</v>
      </c>
      <c r="AI302">
        <v>0</v>
      </c>
      <c r="AJ302">
        <v>0</v>
      </c>
      <c r="AK302">
        <v>0</v>
      </c>
      <c r="AL302">
        <v>1</v>
      </c>
      <c r="AM302">
        <v>0.33333333333333331</v>
      </c>
      <c r="AN302">
        <v>5.0417410714286133</v>
      </c>
    </row>
    <row r="303" spans="1:40" x14ac:dyDescent="0.3">
      <c r="A303" t="s">
        <v>8</v>
      </c>
      <c r="B303" t="s">
        <v>139</v>
      </c>
      <c r="C303" t="s">
        <v>10</v>
      </c>
      <c r="D303" t="s">
        <v>14</v>
      </c>
      <c r="E303">
        <v>202602</v>
      </c>
      <c r="F303" t="s">
        <v>155</v>
      </c>
      <c r="G303">
        <v>0</v>
      </c>
      <c r="H303">
        <v>0</v>
      </c>
      <c r="I303">
        <v>0</v>
      </c>
      <c r="J303">
        <v>1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0</v>
      </c>
      <c r="AD303">
        <v>0</v>
      </c>
      <c r="AE303">
        <v>0</v>
      </c>
      <c r="AF303">
        <v>0</v>
      </c>
      <c r="AG303">
        <v>0</v>
      </c>
      <c r="AH303">
        <v>0</v>
      </c>
      <c r="AI303">
        <v>0</v>
      </c>
      <c r="AJ303">
        <v>0</v>
      </c>
      <c r="AK303">
        <v>0</v>
      </c>
      <c r="AL303">
        <v>1</v>
      </c>
      <c r="AM303">
        <v>0</v>
      </c>
      <c r="AN303">
        <v>1</v>
      </c>
    </row>
    <row r="304" spans="1:40" x14ac:dyDescent="0.3">
      <c r="A304" t="s">
        <v>8</v>
      </c>
      <c r="B304" t="s">
        <v>139</v>
      </c>
      <c r="C304" t="s">
        <v>10</v>
      </c>
      <c r="D304" t="s">
        <v>14</v>
      </c>
      <c r="E304">
        <v>202602</v>
      </c>
      <c r="F304" t="s">
        <v>687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1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0</v>
      </c>
      <c r="AH304">
        <v>0</v>
      </c>
      <c r="AI304">
        <v>0</v>
      </c>
      <c r="AJ304">
        <v>0</v>
      </c>
      <c r="AK304">
        <v>0</v>
      </c>
      <c r="AL304">
        <v>1</v>
      </c>
      <c r="AM304">
        <v>0.33333333333333331</v>
      </c>
      <c r="AN304">
        <v>5.0417410714286133</v>
      </c>
    </row>
    <row r="305" spans="1:40" x14ac:dyDescent="0.3">
      <c r="A305" t="s">
        <v>8</v>
      </c>
      <c r="B305" t="s">
        <v>139</v>
      </c>
      <c r="C305" t="s">
        <v>16</v>
      </c>
      <c r="D305" t="s">
        <v>11</v>
      </c>
      <c r="E305">
        <v>202602</v>
      </c>
      <c r="F305" t="s">
        <v>163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1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0</v>
      </c>
      <c r="AF305">
        <v>0</v>
      </c>
      <c r="AG305">
        <v>0</v>
      </c>
      <c r="AH305">
        <v>0</v>
      </c>
      <c r="AI305">
        <v>0</v>
      </c>
      <c r="AJ305">
        <v>0</v>
      </c>
      <c r="AK305">
        <v>0</v>
      </c>
      <c r="AL305">
        <v>1</v>
      </c>
      <c r="AM305">
        <v>0</v>
      </c>
      <c r="AN305">
        <v>1</v>
      </c>
    </row>
    <row r="306" spans="1:40" x14ac:dyDescent="0.3">
      <c r="A306" t="s">
        <v>8</v>
      </c>
      <c r="B306" t="s">
        <v>139</v>
      </c>
      <c r="C306" t="s">
        <v>16</v>
      </c>
      <c r="D306" t="s">
        <v>14</v>
      </c>
      <c r="E306">
        <v>202602</v>
      </c>
      <c r="F306" t="s">
        <v>163</v>
      </c>
      <c r="G306">
        <v>0</v>
      </c>
      <c r="H306">
        <v>0</v>
      </c>
      <c r="I306">
        <v>0</v>
      </c>
      <c r="J306">
        <v>1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>
        <v>0</v>
      </c>
      <c r="AI306">
        <v>0</v>
      </c>
      <c r="AJ306">
        <v>0</v>
      </c>
      <c r="AK306">
        <v>0</v>
      </c>
      <c r="AL306">
        <v>1</v>
      </c>
      <c r="AM306">
        <v>0</v>
      </c>
      <c r="AN306">
        <v>1</v>
      </c>
    </row>
    <row r="307" spans="1:40" x14ac:dyDescent="0.3">
      <c r="A307" t="s">
        <v>8</v>
      </c>
      <c r="B307" t="s">
        <v>139</v>
      </c>
      <c r="C307" t="s">
        <v>16</v>
      </c>
      <c r="D307" t="s">
        <v>14</v>
      </c>
      <c r="E307">
        <v>202602</v>
      </c>
      <c r="F307" t="s">
        <v>146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1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0</v>
      </c>
      <c r="AI307">
        <v>0</v>
      </c>
      <c r="AJ307">
        <v>0</v>
      </c>
      <c r="AK307">
        <v>0</v>
      </c>
      <c r="AL307">
        <v>1</v>
      </c>
      <c r="AM307">
        <v>0.33333333333333331</v>
      </c>
      <c r="AN307">
        <v>5.0417410714286133</v>
      </c>
    </row>
    <row r="308" spans="1:40" x14ac:dyDescent="0.3">
      <c r="A308" t="s">
        <v>8</v>
      </c>
      <c r="B308" t="s">
        <v>164</v>
      </c>
      <c r="C308" t="s">
        <v>10</v>
      </c>
      <c r="D308" t="s">
        <v>11</v>
      </c>
      <c r="E308">
        <v>202602</v>
      </c>
      <c r="F308" t="s">
        <v>18</v>
      </c>
      <c r="G308">
        <v>0</v>
      </c>
      <c r="H308">
        <v>12</v>
      </c>
      <c r="I308">
        <v>7</v>
      </c>
      <c r="J308">
        <v>10</v>
      </c>
      <c r="K308">
        <v>11</v>
      </c>
      <c r="L308">
        <v>6</v>
      </c>
      <c r="M308">
        <v>4</v>
      </c>
      <c r="N308">
        <v>1</v>
      </c>
      <c r="O308">
        <v>7</v>
      </c>
      <c r="P308">
        <v>8</v>
      </c>
      <c r="Q308">
        <v>10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>
        <v>0</v>
      </c>
      <c r="AI308">
        <v>0</v>
      </c>
      <c r="AJ308">
        <v>0</v>
      </c>
      <c r="AK308">
        <v>0</v>
      </c>
      <c r="AL308">
        <v>76</v>
      </c>
      <c r="AM308">
        <v>8.3333333333333339</v>
      </c>
      <c r="AN308">
        <v>191.11562849682781</v>
      </c>
    </row>
    <row r="309" spans="1:40" x14ac:dyDescent="0.3">
      <c r="A309" t="s">
        <v>8</v>
      </c>
      <c r="B309" t="s">
        <v>164</v>
      </c>
      <c r="C309" t="s">
        <v>10</v>
      </c>
      <c r="D309" t="s">
        <v>11</v>
      </c>
      <c r="E309">
        <v>202602</v>
      </c>
      <c r="F309" t="s">
        <v>138</v>
      </c>
      <c r="G309">
        <v>0</v>
      </c>
      <c r="H309">
        <v>6</v>
      </c>
      <c r="I309">
        <v>9</v>
      </c>
      <c r="J309">
        <v>11</v>
      </c>
      <c r="K309">
        <v>9</v>
      </c>
      <c r="L309">
        <v>13</v>
      </c>
      <c r="M309">
        <v>5</v>
      </c>
      <c r="N309">
        <v>0</v>
      </c>
      <c r="O309">
        <v>3</v>
      </c>
      <c r="P309">
        <v>8</v>
      </c>
      <c r="Q309">
        <v>8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0</v>
      </c>
      <c r="AI309">
        <v>0</v>
      </c>
      <c r="AJ309">
        <v>0</v>
      </c>
      <c r="AK309">
        <v>0</v>
      </c>
      <c r="AL309">
        <v>72</v>
      </c>
      <c r="AM309">
        <v>6.333333333333333</v>
      </c>
      <c r="AN309">
        <v>159.48787765758911</v>
      </c>
    </row>
    <row r="310" spans="1:40" x14ac:dyDescent="0.3">
      <c r="A310" t="s">
        <v>8</v>
      </c>
      <c r="B310" t="s">
        <v>164</v>
      </c>
      <c r="C310" t="s">
        <v>10</v>
      </c>
      <c r="D310" t="s">
        <v>14</v>
      </c>
      <c r="E310">
        <v>202602</v>
      </c>
      <c r="F310" t="s">
        <v>18</v>
      </c>
      <c r="G310">
        <v>1</v>
      </c>
      <c r="H310">
        <v>15</v>
      </c>
      <c r="I310">
        <v>13</v>
      </c>
      <c r="J310">
        <v>10</v>
      </c>
      <c r="K310">
        <v>7</v>
      </c>
      <c r="L310">
        <v>6</v>
      </c>
      <c r="M310">
        <v>6</v>
      </c>
      <c r="N310">
        <v>3</v>
      </c>
      <c r="O310">
        <v>17</v>
      </c>
      <c r="P310">
        <v>23</v>
      </c>
      <c r="Q310">
        <v>13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0</v>
      </c>
      <c r="AI310">
        <v>0</v>
      </c>
      <c r="AJ310">
        <v>0</v>
      </c>
      <c r="AK310">
        <v>0</v>
      </c>
      <c r="AL310">
        <v>114</v>
      </c>
      <c r="AM310">
        <v>17.666666666666668</v>
      </c>
      <c r="AN310">
        <v>328.21227678571654</v>
      </c>
    </row>
    <row r="311" spans="1:40" x14ac:dyDescent="0.3">
      <c r="A311" t="s">
        <v>8</v>
      </c>
      <c r="B311" t="s">
        <v>164</v>
      </c>
      <c r="C311" t="s">
        <v>10</v>
      </c>
      <c r="D311" t="s">
        <v>14</v>
      </c>
      <c r="E311">
        <v>202602</v>
      </c>
      <c r="F311" t="s">
        <v>138</v>
      </c>
      <c r="G311">
        <v>0</v>
      </c>
      <c r="H311">
        <v>14</v>
      </c>
      <c r="I311">
        <v>21</v>
      </c>
      <c r="J311">
        <v>11</v>
      </c>
      <c r="K311">
        <v>10</v>
      </c>
      <c r="L311">
        <v>1</v>
      </c>
      <c r="M311">
        <v>7</v>
      </c>
      <c r="N311">
        <v>0</v>
      </c>
      <c r="O311">
        <v>21</v>
      </c>
      <c r="P311">
        <v>15</v>
      </c>
      <c r="Q311">
        <v>17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0</v>
      </c>
      <c r="AI311">
        <v>0</v>
      </c>
      <c r="AJ311">
        <v>0</v>
      </c>
      <c r="AK311">
        <v>0</v>
      </c>
      <c r="AL311">
        <v>117</v>
      </c>
      <c r="AM311">
        <v>17.666666666666668</v>
      </c>
      <c r="AN311">
        <v>331.21227678571654</v>
      </c>
    </row>
    <row r="312" spans="1:40" x14ac:dyDescent="0.3">
      <c r="A312" t="s">
        <v>8</v>
      </c>
      <c r="B312" t="s">
        <v>164</v>
      </c>
      <c r="C312" t="s">
        <v>16</v>
      </c>
      <c r="D312" t="s">
        <v>11</v>
      </c>
      <c r="E312">
        <v>202602</v>
      </c>
      <c r="F312" t="s">
        <v>165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1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>
        <v>0</v>
      </c>
      <c r="AI312">
        <v>0</v>
      </c>
      <c r="AJ312">
        <v>0</v>
      </c>
      <c r="AK312">
        <v>0</v>
      </c>
      <c r="AL312">
        <v>1</v>
      </c>
      <c r="AM312">
        <v>0</v>
      </c>
      <c r="AN312">
        <v>1</v>
      </c>
    </row>
    <row r="313" spans="1:40" x14ac:dyDescent="0.3">
      <c r="A313" t="s">
        <v>8</v>
      </c>
      <c r="B313" t="s">
        <v>164</v>
      </c>
      <c r="C313" t="s">
        <v>16</v>
      </c>
      <c r="D313" t="s">
        <v>11</v>
      </c>
      <c r="E313">
        <v>202602</v>
      </c>
      <c r="F313" t="s">
        <v>18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1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>
        <v>0</v>
      </c>
      <c r="AI313">
        <v>0</v>
      </c>
      <c r="AJ313">
        <v>0</v>
      </c>
      <c r="AK313">
        <v>0</v>
      </c>
      <c r="AL313">
        <v>1</v>
      </c>
      <c r="AM313">
        <v>0</v>
      </c>
      <c r="AN313">
        <v>1</v>
      </c>
    </row>
    <row r="314" spans="1:40" x14ac:dyDescent="0.3">
      <c r="A314" t="s">
        <v>8</v>
      </c>
      <c r="B314" t="s">
        <v>164</v>
      </c>
      <c r="C314" t="s">
        <v>16</v>
      </c>
      <c r="D314" t="s">
        <v>11</v>
      </c>
      <c r="E314">
        <v>202602</v>
      </c>
      <c r="F314" t="s">
        <v>138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1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  <c r="AK314">
        <v>0</v>
      </c>
      <c r="AL314">
        <v>1</v>
      </c>
      <c r="AM314">
        <v>0</v>
      </c>
      <c r="AN314">
        <v>1</v>
      </c>
    </row>
    <row r="315" spans="1:40" x14ac:dyDescent="0.3">
      <c r="A315" t="s">
        <v>8</v>
      </c>
      <c r="B315" t="s">
        <v>164</v>
      </c>
      <c r="C315" t="s">
        <v>16</v>
      </c>
      <c r="D315" t="s">
        <v>14</v>
      </c>
      <c r="E315">
        <v>202602</v>
      </c>
      <c r="F315" t="s">
        <v>165</v>
      </c>
      <c r="G315">
        <v>0</v>
      </c>
      <c r="H315">
        <v>0</v>
      </c>
      <c r="I315">
        <v>0</v>
      </c>
      <c r="J315">
        <v>0</v>
      </c>
      <c r="K315">
        <v>1</v>
      </c>
      <c r="L315">
        <v>0</v>
      </c>
      <c r="M315">
        <v>0</v>
      </c>
      <c r="N315">
        <v>1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>
        <v>0</v>
      </c>
      <c r="AI315">
        <v>0</v>
      </c>
      <c r="AJ315">
        <v>0</v>
      </c>
      <c r="AK315">
        <v>0</v>
      </c>
      <c r="AL315">
        <v>2</v>
      </c>
      <c r="AM315">
        <v>0</v>
      </c>
      <c r="AN315">
        <v>2</v>
      </c>
    </row>
    <row r="316" spans="1:40" x14ac:dyDescent="0.3">
      <c r="A316" t="s">
        <v>8</v>
      </c>
      <c r="B316" t="s">
        <v>164</v>
      </c>
      <c r="C316" t="s">
        <v>16</v>
      </c>
      <c r="D316" t="s">
        <v>14</v>
      </c>
      <c r="E316">
        <v>202602</v>
      </c>
      <c r="F316" t="s">
        <v>18</v>
      </c>
      <c r="G316">
        <v>0</v>
      </c>
      <c r="H316">
        <v>1</v>
      </c>
      <c r="I316">
        <v>0</v>
      </c>
      <c r="J316">
        <v>1</v>
      </c>
      <c r="K316">
        <v>0</v>
      </c>
      <c r="L316">
        <v>0</v>
      </c>
      <c r="M316">
        <v>0</v>
      </c>
      <c r="N316">
        <v>0</v>
      </c>
      <c r="O316">
        <v>1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0</v>
      </c>
      <c r="AJ316">
        <v>0</v>
      </c>
      <c r="AK316">
        <v>0</v>
      </c>
      <c r="AL316">
        <v>3</v>
      </c>
      <c r="AM316">
        <v>0.33333333333333331</v>
      </c>
      <c r="AN316">
        <v>7.0417410714286133</v>
      </c>
    </row>
    <row r="317" spans="1:40" x14ac:dyDescent="0.3">
      <c r="A317" t="s">
        <v>8</v>
      </c>
      <c r="B317" t="s">
        <v>164</v>
      </c>
      <c r="C317" t="s">
        <v>16</v>
      </c>
      <c r="D317" t="s">
        <v>14</v>
      </c>
      <c r="E317">
        <v>202602</v>
      </c>
      <c r="F317" t="s">
        <v>138</v>
      </c>
      <c r="G317">
        <v>0</v>
      </c>
      <c r="H317">
        <v>0</v>
      </c>
      <c r="I317">
        <v>0</v>
      </c>
      <c r="J317">
        <v>0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1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>
        <v>0</v>
      </c>
      <c r="AI317">
        <v>0</v>
      </c>
      <c r="AJ317">
        <v>0</v>
      </c>
      <c r="AK317">
        <v>0</v>
      </c>
      <c r="AL317">
        <v>2</v>
      </c>
      <c r="AM317">
        <v>0.33333333333333331</v>
      </c>
      <c r="AN317">
        <v>6.0417410714286133</v>
      </c>
    </row>
    <row r="318" spans="1:40" x14ac:dyDescent="0.3">
      <c r="A318" t="s">
        <v>8</v>
      </c>
      <c r="B318" t="s">
        <v>644</v>
      </c>
      <c r="C318" t="s">
        <v>10</v>
      </c>
      <c r="D318" t="s">
        <v>11</v>
      </c>
      <c r="E318">
        <v>202602</v>
      </c>
      <c r="F318" t="s">
        <v>166</v>
      </c>
      <c r="G318">
        <v>0</v>
      </c>
      <c r="H318">
        <v>1</v>
      </c>
      <c r="I318">
        <v>0</v>
      </c>
      <c r="J318">
        <v>0</v>
      </c>
      <c r="K318">
        <v>1</v>
      </c>
      <c r="L318">
        <v>0</v>
      </c>
      <c r="M318">
        <v>1</v>
      </c>
      <c r="N318">
        <v>0</v>
      </c>
      <c r="O318">
        <v>0</v>
      </c>
      <c r="P318">
        <v>1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>
        <v>0</v>
      </c>
      <c r="AI318">
        <v>0</v>
      </c>
      <c r="AJ318">
        <v>0</v>
      </c>
      <c r="AK318">
        <v>0</v>
      </c>
      <c r="AL318">
        <v>4</v>
      </c>
      <c r="AM318">
        <v>0.33333333333333331</v>
      </c>
      <c r="AN318">
        <v>8.6046251398731108</v>
      </c>
    </row>
    <row r="319" spans="1:40" x14ac:dyDescent="0.3">
      <c r="A319" t="s">
        <v>8</v>
      </c>
      <c r="B319" t="s">
        <v>644</v>
      </c>
      <c r="C319" t="s">
        <v>10</v>
      </c>
      <c r="D319" t="s">
        <v>11</v>
      </c>
      <c r="E319">
        <v>202602</v>
      </c>
      <c r="F319" t="s">
        <v>167</v>
      </c>
      <c r="G319">
        <v>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2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>
        <v>0</v>
      </c>
      <c r="AI319">
        <v>0</v>
      </c>
      <c r="AJ319">
        <v>0</v>
      </c>
      <c r="AK319">
        <v>0</v>
      </c>
      <c r="AL319">
        <v>2</v>
      </c>
      <c r="AM319">
        <v>0.66666666666666663</v>
      </c>
      <c r="AN319">
        <v>11.209250279746223</v>
      </c>
    </row>
    <row r="320" spans="1:40" x14ac:dyDescent="0.3">
      <c r="A320" t="s">
        <v>8</v>
      </c>
      <c r="B320" t="s">
        <v>644</v>
      </c>
      <c r="C320" t="s">
        <v>10</v>
      </c>
      <c r="D320" t="s">
        <v>14</v>
      </c>
      <c r="E320">
        <v>202602</v>
      </c>
      <c r="F320" t="s">
        <v>166</v>
      </c>
      <c r="G320">
        <v>0</v>
      </c>
      <c r="H320">
        <v>0</v>
      </c>
      <c r="I320">
        <v>2</v>
      </c>
      <c r="J320">
        <v>1</v>
      </c>
      <c r="K320">
        <v>1</v>
      </c>
      <c r="L320">
        <v>0</v>
      </c>
      <c r="M320">
        <v>2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  <c r="AK320">
        <v>0</v>
      </c>
      <c r="AL320">
        <v>6</v>
      </c>
      <c r="AM320">
        <v>0</v>
      </c>
      <c r="AN320">
        <v>6</v>
      </c>
    </row>
    <row r="321" spans="1:40" x14ac:dyDescent="0.3">
      <c r="A321" t="s">
        <v>8</v>
      </c>
      <c r="B321" t="s">
        <v>644</v>
      </c>
      <c r="C321" t="s">
        <v>10</v>
      </c>
      <c r="D321" t="s">
        <v>14</v>
      </c>
      <c r="E321">
        <v>202602</v>
      </c>
      <c r="F321" t="s">
        <v>167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2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  <c r="AI321">
        <v>0</v>
      </c>
      <c r="AJ321">
        <v>0</v>
      </c>
      <c r="AK321">
        <v>0</v>
      </c>
      <c r="AL321">
        <v>2</v>
      </c>
      <c r="AM321">
        <v>0.66666666666666663</v>
      </c>
      <c r="AN321">
        <v>10.083482142857227</v>
      </c>
    </row>
    <row r="322" spans="1:40" x14ac:dyDescent="0.3">
      <c r="A322" t="s">
        <v>8</v>
      </c>
      <c r="B322" t="s">
        <v>168</v>
      </c>
      <c r="C322" t="s">
        <v>10</v>
      </c>
      <c r="D322" t="s">
        <v>11</v>
      </c>
      <c r="E322">
        <v>202602</v>
      </c>
      <c r="F322" t="s">
        <v>169</v>
      </c>
      <c r="G322">
        <v>0</v>
      </c>
      <c r="H322">
        <v>1</v>
      </c>
      <c r="I322">
        <v>1</v>
      </c>
      <c r="J322">
        <v>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1</v>
      </c>
      <c r="Q322">
        <v>2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>
        <v>0</v>
      </c>
      <c r="AI322">
        <v>0</v>
      </c>
      <c r="AJ322">
        <v>0</v>
      </c>
      <c r="AK322">
        <v>0</v>
      </c>
      <c r="AL322">
        <v>6</v>
      </c>
      <c r="AM322">
        <v>1</v>
      </c>
      <c r="AN322">
        <v>19.813875419619336</v>
      </c>
    </row>
    <row r="323" spans="1:40" x14ac:dyDescent="0.3">
      <c r="A323" t="s">
        <v>8</v>
      </c>
      <c r="B323" t="s">
        <v>168</v>
      </c>
      <c r="C323" t="s">
        <v>10</v>
      </c>
      <c r="D323" t="s">
        <v>11</v>
      </c>
      <c r="E323">
        <v>202602</v>
      </c>
      <c r="F323" t="s">
        <v>137</v>
      </c>
      <c r="G323">
        <v>0</v>
      </c>
      <c r="H323">
        <v>1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1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>
        <v>0</v>
      </c>
      <c r="AI323">
        <v>0</v>
      </c>
      <c r="AJ323">
        <v>0</v>
      </c>
      <c r="AK323">
        <v>0</v>
      </c>
      <c r="AL323">
        <v>2</v>
      </c>
      <c r="AM323">
        <v>0.33333333333333331</v>
      </c>
      <c r="AN323">
        <v>6.6046251398731117</v>
      </c>
    </row>
    <row r="324" spans="1:40" x14ac:dyDescent="0.3">
      <c r="A324" t="s">
        <v>8</v>
      </c>
      <c r="B324" t="s">
        <v>168</v>
      </c>
      <c r="C324" t="s">
        <v>10</v>
      </c>
      <c r="D324" t="s">
        <v>14</v>
      </c>
      <c r="E324">
        <v>202602</v>
      </c>
      <c r="F324" t="s">
        <v>169</v>
      </c>
      <c r="G324">
        <v>0</v>
      </c>
      <c r="H324">
        <v>0</v>
      </c>
      <c r="I324">
        <v>0</v>
      </c>
      <c r="J324">
        <v>1</v>
      </c>
      <c r="K324">
        <v>3</v>
      </c>
      <c r="L324">
        <v>1</v>
      </c>
      <c r="M324">
        <v>0</v>
      </c>
      <c r="N324">
        <v>0</v>
      </c>
      <c r="O324">
        <v>0</v>
      </c>
      <c r="P324">
        <v>2</v>
      </c>
      <c r="Q324">
        <v>1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  <c r="AI324">
        <v>0</v>
      </c>
      <c r="AJ324">
        <v>0</v>
      </c>
      <c r="AK324">
        <v>0</v>
      </c>
      <c r="AL324">
        <v>8</v>
      </c>
      <c r="AM324">
        <v>1</v>
      </c>
      <c r="AN324">
        <v>20.125223214285839</v>
      </c>
    </row>
    <row r="325" spans="1:40" x14ac:dyDescent="0.3">
      <c r="A325" t="s">
        <v>8</v>
      </c>
      <c r="B325" t="s">
        <v>168</v>
      </c>
      <c r="C325" t="s">
        <v>10</v>
      </c>
      <c r="D325" t="s">
        <v>14</v>
      </c>
      <c r="E325">
        <v>202602</v>
      </c>
      <c r="F325" t="s">
        <v>137</v>
      </c>
      <c r="G325">
        <v>0</v>
      </c>
      <c r="H325">
        <v>0</v>
      </c>
      <c r="I325">
        <v>0</v>
      </c>
      <c r="J325">
        <v>0</v>
      </c>
      <c r="K325">
        <v>1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0</v>
      </c>
      <c r="AI325">
        <v>0</v>
      </c>
      <c r="AJ325">
        <v>0</v>
      </c>
      <c r="AK325">
        <v>0</v>
      </c>
      <c r="AL325">
        <v>1</v>
      </c>
      <c r="AM325">
        <v>0</v>
      </c>
      <c r="AN325">
        <v>1</v>
      </c>
    </row>
    <row r="326" spans="1:40" x14ac:dyDescent="0.3">
      <c r="A326" t="s">
        <v>8</v>
      </c>
      <c r="B326" t="s">
        <v>170</v>
      </c>
      <c r="C326" t="s">
        <v>10</v>
      </c>
      <c r="D326" t="s">
        <v>11</v>
      </c>
      <c r="E326">
        <v>202602</v>
      </c>
      <c r="F326" t="s">
        <v>50</v>
      </c>
      <c r="G326">
        <v>0</v>
      </c>
      <c r="H326">
        <v>0</v>
      </c>
      <c r="I326">
        <v>2</v>
      </c>
      <c r="J326">
        <v>1</v>
      </c>
      <c r="K326">
        <v>1</v>
      </c>
      <c r="L326">
        <v>0</v>
      </c>
      <c r="M326">
        <v>0</v>
      </c>
      <c r="N326">
        <v>0</v>
      </c>
      <c r="O326">
        <v>0</v>
      </c>
      <c r="P326">
        <v>1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0</v>
      </c>
      <c r="AF326">
        <v>0</v>
      </c>
      <c r="AG326">
        <v>0</v>
      </c>
      <c r="AH326">
        <v>0</v>
      </c>
      <c r="AI326">
        <v>0</v>
      </c>
      <c r="AJ326">
        <v>0</v>
      </c>
      <c r="AK326">
        <v>0</v>
      </c>
      <c r="AL326">
        <v>5</v>
      </c>
      <c r="AM326">
        <v>0.33333333333333331</v>
      </c>
      <c r="AN326">
        <v>9.6046251398731108</v>
      </c>
    </row>
    <row r="327" spans="1:40" x14ac:dyDescent="0.3">
      <c r="A327" t="s">
        <v>8</v>
      </c>
      <c r="B327" t="s">
        <v>170</v>
      </c>
      <c r="C327" t="s">
        <v>10</v>
      </c>
      <c r="D327" t="s">
        <v>14</v>
      </c>
      <c r="E327">
        <v>202602</v>
      </c>
      <c r="F327" t="s">
        <v>50</v>
      </c>
      <c r="G327">
        <v>0</v>
      </c>
      <c r="H327">
        <v>2</v>
      </c>
      <c r="I327">
        <v>3</v>
      </c>
      <c r="J327">
        <v>1</v>
      </c>
      <c r="K327">
        <v>0</v>
      </c>
      <c r="L327">
        <v>1</v>
      </c>
      <c r="M327">
        <v>0</v>
      </c>
      <c r="N327">
        <v>0</v>
      </c>
      <c r="O327">
        <v>2</v>
      </c>
      <c r="P327">
        <v>2</v>
      </c>
      <c r="Q327">
        <v>2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0</v>
      </c>
      <c r="AF327">
        <v>0</v>
      </c>
      <c r="AG327">
        <v>0</v>
      </c>
      <c r="AH327">
        <v>0</v>
      </c>
      <c r="AI327">
        <v>0</v>
      </c>
      <c r="AJ327">
        <v>0</v>
      </c>
      <c r="AK327">
        <v>0</v>
      </c>
      <c r="AL327">
        <v>13</v>
      </c>
      <c r="AM327">
        <v>2</v>
      </c>
      <c r="AN327">
        <v>37.250446428571678</v>
      </c>
    </row>
    <row r="328" spans="1:40" x14ac:dyDescent="0.3">
      <c r="A328" t="s">
        <v>8</v>
      </c>
      <c r="B328" t="s">
        <v>171</v>
      </c>
      <c r="C328" t="s">
        <v>10</v>
      </c>
      <c r="D328" t="s">
        <v>11</v>
      </c>
      <c r="E328">
        <v>202602</v>
      </c>
      <c r="F328" t="s">
        <v>172</v>
      </c>
      <c r="G328">
        <v>0</v>
      </c>
      <c r="H328">
        <v>4</v>
      </c>
      <c r="I328">
        <v>2</v>
      </c>
      <c r="J328">
        <v>7</v>
      </c>
      <c r="K328">
        <v>13</v>
      </c>
      <c r="L328">
        <v>15</v>
      </c>
      <c r="M328">
        <v>9</v>
      </c>
      <c r="N328">
        <v>0</v>
      </c>
      <c r="O328">
        <v>9</v>
      </c>
      <c r="P328">
        <v>5</v>
      </c>
      <c r="Q328">
        <v>9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0</v>
      </c>
      <c r="AF328">
        <v>0</v>
      </c>
      <c r="AG328">
        <v>0</v>
      </c>
      <c r="AH328">
        <v>0</v>
      </c>
      <c r="AI328">
        <v>0</v>
      </c>
      <c r="AJ328">
        <v>0</v>
      </c>
      <c r="AK328">
        <v>0</v>
      </c>
      <c r="AL328">
        <v>73</v>
      </c>
      <c r="AM328">
        <v>7.666666666666667</v>
      </c>
      <c r="AN328">
        <v>178.90637821708157</v>
      </c>
    </row>
    <row r="329" spans="1:40" x14ac:dyDescent="0.3">
      <c r="A329" t="s">
        <v>8</v>
      </c>
      <c r="B329" t="s">
        <v>171</v>
      </c>
      <c r="C329" t="s">
        <v>10</v>
      </c>
      <c r="D329" t="s">
        <v>14</v>
      </c>
      <c r="E329">
        <v>202602</v>
      </c>
      <c r="F329" t="s">
        <v>172</v>
      </c>
      <c r="G329">
        <v>0</v>
      </c>
      <c r="H329">
        <v>9</v>
      </c>
      <c r="I329">
        <v>11</v>
      </c>
      <c r="J329">
        <v>13</v>
      </c>
      <c r="K329">
        <v>20</v>
      </c>
      <c r="L329">
        <v>10</v>
      </c>
      <c r="M329">
        <v>4</v>
      </c>
      <c r="N329">
        <v>0</v>
      </c>
      <c r="O329">
        <v>8</v>
      </c>
      <c r="P329">
        <v>11</v>
      </c>
      <c r="Q329">
        <v>7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0</v>
      </c>
      <c r="AI329">
        <v>0</v>
      </c>
      <c r="AJ329">
        <v>0</v>
      </c>
      <c r="AK329">
        <v>0</v>
      </c>
      <c r="AL329">
        <v>93</v>
      </c>
      <c r="AM329">
        <v>8.6666666666666661</v>
      </c>
      <c r="AN329">
        <v>198.08526785714395</v>
      </c>
    </row>
    <row r="330" spans="1:40" x14ac:dyDescent="0.3">
      <c r="A330" t="s">
        <v>8</v>
      </c>
      <c r="B330" t="s">
        <v>171</v>
      </c>
      <c r="C330" t="s">
        <v>16</v>
      </c>
      <c r="D330" t="s">
        <v>11</v>
      </c>
      <c r="E330">
        <v>202602</v>
      </c>
      <c r="F330" t="s">
        <v>172</v>
      </c>
      <c r="G330">
        <v>0</v>
      </c>
      <c r="H330">
        <v>1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0</v>
      </c>
      <c r="AF330">
        <v>0</v>
      </c>
      <c r="AG330">
        <v>0</v>
      </c>
      <c r="AH330">
        <v>0</v>
      </c>
      <c r="AI330">
        <v>0</v>
      </c>
      <c r="AJ330">
        <v>0</v>
      </c>
      <c r="AK330">
        <v>0</v>
      </c>
      <c r="AL330">
        <v>1</v>
      </c>
      <c r="AM330">
        <v>0</v>
      </c>
      <c r="AN330">
        <v>1</v>
      </c>
    </row>
    <row r="331" spans="1:40" x14ac:dyDescent="0.3">
      <c r="A331" t="s">
        <v>8</v>
      </c>
      <c r="B331" t="s">
        <v>173</v>
      </c>
      <c r="C331" t="s">
        <v>10</v>
      </c>
      <c r="D331" t="s">
        <v>11</v>
      </c>
      <c r="E331">
        <v>202602</v>
      </c>
      <c r="F331" t="s">
        <v>172</v>
      </c>
      <c r="G331">
        <v>0</v>
      </c>
      <c r="H331">
        <v>3</v>
      </c>
      <c r="I331">
        <v>2</v>
      </c>
      <c r="J331">
        <v>6</v>
      </c>
      <c r="K331">
        <v>7</v>
      </c>
      <c r="L331">
        <v>11</v>
      </c>
      <c r="M331">
        <v>8</v>
      </c>
      <c r="N331">
        <v>0</v>
      </c>
      <c r="O331">
        <v>3</v>
      </c>
      <c r="P331">
        <v>7</v>
      </c>
      <c r="Q331">
        <v>5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0</v>
      </c>
      <c r="AH331">
        <v>0</v>
      </c>
      <c r="AI331">
        <v>0</v>
      </c>
      <c r="AJ331">
        <v>0</v>
      </c>
      <c r="AK331">
        <v>0</v>
      </c>
      <c r="AL331">
        <v>52</v>
      </c>
      <c r="AM331">
        <v>5</v>
      </c>
      <c r="AN331">
        <v>121.06937709809668</v>
      </c>
    </row>
    <row r="332" spans="1:40" x14ac:dyDescent="0.3">
      <c r="A332" t="s">
        <v>8</v>
      </c>
      <c r="B332" t="s">
        <v>173</v>
      </c>
      <c r="C332" t="s">
        <v>10</v>
      </c>
      <c r="D332" t="s">
        <v>14</v>
      </c>
      <c r="E332">
        <v>202602</v>
      </c>
      <c r="F332" t="s">
        <v>172</v>
      </c>
      <c r="G332">
        <v>0</v>
      </c>
      <c r="H332">
        <v>6</v>
      </c>
      <c r="I332">
        <v>11</v>
      </c>
      <c r="J332">
        <v>10</v>
      </c>
      <c r="K332">
        <v>15</v>
      </c>
      <c r="L332">
        <v>11</v>
      </c>
      <c r="M332">
        <v>1</v>
      </c>
      <c r="N332">
        <v>0</v>
      </c>
      <c r="O332">
        <v>13</v>
      </c>
      <c r="P332">
        <v>10</v>
      </c>
      <c r="Q332">
        <v>8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>
        <v>0</v>
      </c>
      <c r="AI332">
        <v>0</v>
      </c>
      <c r="AJ332">
        <v>0</v>
      </c>
      <c r="AK332">
        <v>0</v>
      </c>
      <c r="AL332">
        <v>85</v>
      </c>
      <c r="AM332">
        <v>10.333333333333334</v>
      </c>
      <c r="AN332">
        <v>210.29397321428701</v>
      </c>
    </row>
    <row r="333" spans="1:40" x14ac:dyDescent="0.3">
      <c r="A333" t="s">
        <v>8</v>
      </c>
      <c r="B333" t="s">
        <v>173</v>
      </c>
      <c r="C333" t="s">
        <v>16</v>
      </c>
      <c r="D333" t="s">
        <v>11</v>
      </c>
      <c r="E333">
        <v>202602</v>
      </c>
      <c r="F333" t="s">
        <v>172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1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0</v>
      </c>
      <c r="AL333">
        <v>2</v>
      </c>
      <c r="AM333">
        <v>0.33333333333333331</v>
      </c>
      <c r="AN333">
        <v>6.6046251398731117</v>
      </c>
    </row>
    <row r="334" spans="1:40" x14ac:dyDescent="0.3">
      <c r="A334" t="s">
        <v>8</v>
      </c>
      <c r="B334" t="s">
        <v>173</v>
      </c>
      <c r="C334" t="s">
        <v>16</v>
      </c>
      <c r="D334" t="s">
        <v>14</v>
      </c>
      <c r="E334">
        <v>202602</v>
      </c>
      <c r="F334" t="s">
        <v>172</v>
      </c>
      <c r="G334">
        <v>0</v>
      </c>
      <c r="H334">
        <v>0</v>
      </c>
      <c r="I334">
        <v>1</v>
      </c>
      <c r="J334">
        <v>0</v>
      </c>
      <c r="K334">
        <v>0</v>
      </c>
      <c r="L334">
        <v>1</v>
      </c>
      <c r="M334">
        <v>0</v>
      </c>
      <c r="N334">
        <v>0</v>
      </c>
      <c r="O334">
        <v>1</v>
      </c>
      <c r="P334">
        <v>1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>
        <v>0</v>
      </c>
      <c r="AI334">
        <v>0</v>
      </c>
      <c r="AJ334">
        <v>0</v>
      </c>
      <c r="AK334">
        <v>0</v>
      </c>
      <c r="AL334">
        <v>4</v>
      </c>
      <c r="AM334">
        <v>0.66666666666666663</v>
      </c>
      <c r="AN334">
        <v>12.083482142857227</v>
      </c>
    </row>
    <row r="335" spans="1:40" x14ac:dyDescent="0.3">
      <c r="A335" t="s">
        <v>174</v>
      </c>
      <c r="B335" t="s">
        <v>9</v>
      </c>
      <c r="C335" t="s">
        <v>10</v>
      </c>
      <c r="D335" t="s">
        <v>11</v>
      </c>
      <c r="E335">
        <v>202602</v>
      </c>
      <c r="F335" t="s">
        <v>175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1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>
        <v>0</v>
      </c>
      <c r="AI335">
        <v>0</v>
      </c>
      <c r="AJ335">
        <v>0</v>
      </c>
      <c r="AK335">
        <v>0</v>
      </c>
      <c r="AL335">
        <v>1</v>
      </c>
      <c r="AM335">
        <v>0.33333333333333331</v>
      </c>
      <c r="AN335">
        <v>5.6046251398731117</v>
      </c>
    </row>
    <row r="336" spans="1:40" x14ac:dyDescent="0.3">
      <c r="A336" t="s">
        <v>174</v>
      </c>
      <c r="B336" t="s">
        <v>9</v>
      </c>
      <c r="C336" t="s">
        <v>10</v>
      </c>
      <c r="D336" t="s">
        <v>11</v>
      </c>
      <c r="E336">
        <v>202602</v>
      </c>
      <c r="F336" t="s">
        <v>176</v>
      </c>
      <c r="G336">
        <v>0</v>
      </c>
      <c r="H336">
        <v>0</v>
      </c>
      <c r="I336">
        <v>1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>
        <v>0</v>
      </c>
      <c r="AI336">
        <v>0</v>
      </c>
      <c r="AJ336">
        <v>0</v>
      </c>
      <c r="AK336">
        <v>0</v>
      </c>
      <c r="AL336">
        <v>1</v>
      </c>
      <c r="AM336">
        <v>0</v>
      </c>
      <c r="AN336">
        <v>1</v>
      </c>
    </row>
    <row r="337" spans="1:40" x14ac:dyDescent="0.3">
      <c r="A337" t="s">
        <v>174</v>
      </c>
      <c r="B337" t="s">
        <v>9</v>
      </c>
      <c r="C337" t="s">
        <v>10</v>
      </c>
      <c r="D337" t="s">
        <v>11</v>
      </c>
      <c r="E337">
        <v>202602</v>
      </c>
      <c r="F337" t="s">
        <v>177</v>
      </c>
      <c r="G337">
        <v>0</v>
      </c>
      <c r="H337">
        <v>3</v>
      </c>
      <c r="I337">
        <v>9</v>
      </c>
      <c r="J337">
        <v>3</v>
      </c>
      <c r="K337">
        <v>14</v>
      </c>
      <c r="L337">
        <v>9</v>
      </c>
      <c r="M337">
        <v>4</v>
      </c>
      <c r="N337">
        <v>0</v>
      </c>
      <c r="O337">
        <v>7</v>
      </c>
      <c r="P337">
        <v>10</v>
      </c>
      <c r="Q337">
        <v>9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>
        <v>0</v>
      </c>
      <c r="AI337">
        <v>0</v>
      </c>
      <c r="AJ337">
        <v>0</v>
      </c>
      <c r="AK337">
        <v>0</v>
      </c>
      <c r="AL337">
        <v>68</v>
      </c>
      <c r="AM337">
        <v>8.6666666666666661</v>
      </c>
      <c r="AN337">
        <v>187.72025363670087</v>
      </c>
    </row>
    <row r="338" spans="1:40" x14ac:dyDescent="0.3">
      <c r="A338" t="s">
        <v>174</v>
      </c>
      <c r="B338" t="s">
        <v>9</v>
      </c>
      <c r="C338" t="s">
        <v>10</v>
      </c>
      <c r="D338" t="s">
        <v>11</v>
      </c>
      <c r="E338">
        <v>202602</v>
      </c>
      <c r="F338" t="s">
        <v>178</v>
      </c>
      <c r="G338">
        <v>0</v>
      </c>
      <c r="H338">
        <v>2</v>
      </c>
      <c r="I338">
        <v>0</v>
      </c>
      <c r="J338">
        <v>1</v>
      </c>
      <c r="K338">
        <v>1</v>
      </c>
      <c r="L338">
        <v>1</v>
      </c>
      <c r="M338">
        <v>1</v>
      </c>
      <c r="N338">
        <v>0</v>
      </c>
      <c r="O338">
        <v>2</v>
      </c>
      <c r="P338">
        <v>0</v>
      </c>
      <c r="Q338">
        <v>2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0</v>
      </c>
      <c r="AI338">
        <v>0</v>
      </c>
      <c r="AJ338">
        <v>0</v>
      </c>
      <c r="AK338">
        <v>0</v>
      </c>
      <c r="AL338">
        <v>10</v>
      </c>
      <c r="AM338">
        <v>1.3333333333333333</v>
      </c>
      <c r="AN338">
        <v>28.418500559492447</v>
      </c>
    </row>
    <row r="339" spans="1:40" x14ac:dyDescent="0.3">
      <c r="A339" t="s">
        <v>174</v>
      </c>
      <c r="B339" t="s">
        <v>9</v>
      </c>
      <c r="C339" t="s">
        <v>10</v>
      </c>
      <c r="D339" t="s">
        <v>14</v>
      </c>
      <c r="E339">
        <v>202602</v>
      </c>
      <c r="F339" t="s">
        <v>175</v>
      </c>
      <c r="G339">
        <v>0</v>
      </c>
      <c r="H339">
        <v>0</v>
      </c>
      <c r="I339">
        <v>0</v>
      </c>
      <c r="J339">
        <v>7</v>
      </c>
      <c r="K339">
        <v>3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0</v>
      </c>
      <c r="AI339">
        <v>0</v>
      </c>
      <c r="AJ339">
        <v>0</v>
      </c>
      <c r="AK339">
        <v>0</v>
      </c>
      <c r="AL339">
        <v>10</v>
      </c>
      <c r="AM339">
        <v>0</v>
      </c>
      <c r="AN339">
        <v>10</v>
      </c>
    </row>
    <row r="340" spans="1:40" x14ac:dyDescent="0.3">
      <c r="A340" t="s">
        <v>174</v>
      </c>
      <c r="B340" t="s">
        <v>9</v>
      </c>
      <c r="C340" t="s">
        <v>10</v>
      </c>
      <c r="D340" t="s">
        <v>14</v>
      </c>
      <c r="E340">
        <v>202602</v>
      </c>
      <c r="F340" t="s">
        <v>176</v>
      </c>
      <c r="G340">
        <v>0</v>
      </c>
      <c r="H340">
        <v>1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0</v>
      </c>
      <c r="AI340">
        <v>0</v>
      </c>
      <c r="AJ340">
        <v>0</v>
      </c>
      <c r="AK340">
        <v>0</v>
      </c>
      <c r="AL340">
        <v>1</v>
      </c>
      <c r="AM340">
        <v>0</v>
      </c>
      <c r="AN340">
        <v>1</v>
      </c>
    </row>
    <row r="341" spans="1:40" x14ac:dyDescent="0.3">
      <c r="A341" t="s">
        <v>174</v>
      </c>
      <c r="B341" t="s">
        <v>9</v>
      </c>
      <c r="C341" t="s">
        <v>10</v>
      </c>
      <c r="D341" t="s">
        <v>14</v>
      </c>
      <c r="E341">
        <v>202602</v>
      </c>
      <c r="F341" t="s">
        <v>177</v>
      </c>
      <c r="G341">
        <v>0</v>
      </c>
      <c r="H341">
        <v>17</v>
      </c>
      <c r="I341">
        <v>10</v>
      </c>
      <c r="J341">
        <v>15</v>
      </c>
      <c r="K341">
        <v>16</v>
      </c>
      <c r="L341">
        <v>19</v>
      </c>
      <c r="M341">
        <v>3</v>
      </c>
      <c r="N341">
        <v>0</v>
      </c>
      <c r="O341">
        <v>16</v>
      </c>
      <c r="P341">
        <v>6</v>
      </c>
      <c r="Q341">
        <v>15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0</v>
      </c>
      <c r="AH341">
        <v>0</v>
      </c>
      <c r="AI341">
        <v>0</v>
      </c>
      <c r="AJ341">
        <v>0</v>
      </c>
      <c r="AK341">
        <v>0</v>
      </c>
      <c r="AL341">
        <v>117</v>
      </c>
      <c r="AM341">
        <v>12.333333333333334</v>
      </c>
      <c r="AN341">
        <v>266.54441964285866</v>
      </c>
    </row>
    <row r="342" spans="1:40" x14ac:dyDescent="0.3">
      <c r="A342" t="s">
        <v>174</v>
      </c>
      <c r="B342" t="s">
        <v>9</v>
      </c>
      <c r="C342" t="s">
        <v>10</v>
      </c>
      <c r="D342" t="s">
        <v>14</v>
      </c>
      <c r="E342">
        <v>202602</v>
      </c>
      <c r="F342" t="s">
        <v>178</v>
      </c>
      <c r="G342">
        <v>0</v>
      </c>
      <c r="H342">
        <v>2</v>
      </c>
      <c r="I342">
        <v>1</v>
      </c>
      <c r="J342">
        <v>0</v>
      </c>
      <c r="K342">
        <v>2</v>
      </c>
      <c r="L342">
        <v>3</v>
      </c>
      <c r="M342">
        <v>1</v>
      </c>
      <c r="N342">
        <v>0</v>
      </c>
      <c r="O342">
        <v>1</v>
      </c>
      <c r="P342">
        <v>2</v>
      </c>
      <c r="Q342">
        <v>2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H342">
        <v>0</v>
      </c>
      <c r="AI342">
        <v>0</v>
      </c>
      <c r="AJ342">
        <v>0</v>
      </c>
      <c r="AK342">
        <v>0</v>
      </c>
      <c r="AL342">
        <v>14</v>
      </c>
      <c r="AM342">
        <v>1.6666666666666667</v>
      </c>
      <c r="AN342">
        <v>34.20870535714306</v>
      </c>
    </row>
    <row r="343" spans="1:40" x14ac:dyDescent="0.3">
      <c r="A343" t="s">
        <v>174</v>
      </c>
      <c r="B343" t="s">
        <v>9</v>
      </c>
      <c r="C343" t="s">
        <v>16</v>
      </c>
      <c r="D343" t="s">
        <v>11</v>
      </c>
      <c r="E343">
        <v>202602</v>
      </c>
      <c r="F343" t="s">
        <v>177</v>
      </c>
      <c r="G343">
        <v>0</v>
      </c>
      <c r="H343">
        <v>0</v>
      </c>
      <c r="I343">
        <v>1</v>
      </c>
      <c r="J343">
        <v>2</v>
      </c>
      <c r="K343">
        <v>0</v>
      </c>
      <c r="L343">
        <v>0</v>
      </c>
      <c r="M343">
        <v>1</v>
      </c>
      <c r="N343">
        <v>0</v>
      </c>
      <c r="O343">
        <v>0</v>
      </c>
      <c r="P343">
        <v>2</v>
      </c>
      <c r="Q343">
        <v>2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0</v>
      </c>
      <c r="AH343">
        <v>0</v>
      </c>
      <c r="AI343">
        <v>0</v>
      </c>
      <c r="AJ343">
        <v>0</v>
      </c>
      <c r="AK343">
        <v>0</v>
      </c>
      <c r="AL343">
        <v>8</v>
      </c>
      <c r="AM343">
        <v>1.3333333333333333</v>
      </c>
      <c r="AN343">
        <v>26.418500559492447</v>
      </c>
    </row>
    <row r="344" spans="1:40" x14ac:dyDescent="0.3">
      <c r="A344" t="s">
        <v>174</v>
      </c>
      <c r="B344" t="s">
        <v>9</v>
      </c>
      <c r="C344" t="s">
        <v>16</v>
      </c>
      <c r="D344" t="s">
        <v>11</v>
      </c>
      <c r="E344">
        <v>202602</v>
      </c>
      <c r="F344" t="s">
        <v>178</v>
      </c>
      <c r="G344">
        <v>0</v>
      </c>
      <c r="H344">
        <v>1</v>
      </c>
      <c r="I344">
        <v>1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>
        <v>0</v>
      </c>
      <c r="AI344">
        <v>0</v>
      </c>
      <c r="AJ344">
        <v>0</v>
      </c>
      <c r="AK344">
        <v>0</v>
      </c>
      <c r="AL344">
        <v>2</v>
      </c>
      <c r="AM344">
        <v>0</v>
      </c>
      <c r="AN344">
        <v>2</v>
      </c>
    </row>
    <row r="345" spans="1:40" x14ac:dyDescent="0.3">
      <c r="A345" t="s">
        <v>174</v>
      </c>
      <c r="B345" t="s">
        <v>9</v>
      </c>
      <c r="C345" t="s">
        <v>16</v>
      </c>
      <c r="D345" t="s">
        <v>14</v>
      </c>
      <c r="E345">
        <v>202602</v>
      </c>
      <c r="F345" t="s">
        <v>177</v>
      </c>
      <c r="G345">
        <v>0</v>
      </c>
      <c r="H345">
        <v>4</v>
      </c>
      <c r="I345">
        <v>1</v>
      </c>
      <c r="J345">
        <v>0</v>
      </c>
      <c r="K345">
        <v>2</v>
      </c>
      <c r="L345">
        <v>3</v>
      </c>
      <c r="M345">
        <v>0</v>
      </c>
      <c r="N345">
        <v>0</v>
      </c>
      <c r="O345">
        <v>1</v>
      </c>
      <c r="P345">
        <v>2</v>
      </c>
      <c r="Q345">
        <v>5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>
        <v>0</v>
      </c>
      <c r="AI345">
        <v>0</v>
      </c>
      <c r="AJ345">
        <v>0</v>
      </c>
      <c r="AK345">
        <v>0</v>
      </c>
      <c r="AL345">
        <v>18</v>
      </c>
      <c r="AM345">
        <v>2.6666666666666665</v>
      </c>
      <c r="AN345">
        <v>50.333928571428906</v>
      </c>
    </row>
    <row r="346" spans="1:40" x14ac:dyDescent="0.3">
      <c r="A346" t="s">
        <v>174</v>
      </c>
      <c r="B346" t="s">
        <v>17</v>
      </c>
      <c r="C346" t="s">
        <v>10</v>
      </c>
      <c r="D346" t="s">
        <v>11</v>
      </c>
      <c r="E346">
        <v>202602</v>
      </c>
      <c r="F346" t="s">
        <v>179</v>
      </c>
      <c r="G346">
        <v>0</v>
      </c>
      <c r="H346">
        <v>0</v>
      </c>
      <c r="I346">
        <v>0</v>
      </c>
      <c r="J346">
        <v>1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2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>
        <v>0</v>
      </c>
      <c r="AI346">
        <v>0</v>
      </c>
      <c r="AJ346">
        <v>0</v>
      </c>
      <c r="AK346">
        <v>0</v>
      </c>
      <c r="AL346">
        <v>3</v>
      </c>
      <c r="AM346">
        <v>0.66666666666666663</v>
      </c>
      <c r="AN346">
        <v>12.209250279746223</v>
      </c>
    </row>
    <row r="347" spans="1:40" x14ac:dyDescent="0.3">
      <c r="A347" t="s">
        <v>174</v>
      </c>
      <c r="B347" t="s">
        <v>17</v>
      </c>
      <c r="C347" t="s">
        <v>10</v>
      </c>
      <c r="D347" t="s">
        <v>11</v>
      </c>
      <c r="E347">
        <v>202602</v>
      </c>
      <c r="F347" t="s">
        <v>180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1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0</v>
      </c>
      <c r="AJ347">
        <v>0</v>
      </c>
      <c r="AK347">
        <v>0</v>
      </c>
      <c r="AL347">
        <v>2</v>
      </c>
      <c r="AM347">
        <v>0.66666666666666663</v>
      </c>
      <c r="AN347">
        <v>11.209250279746223</v>
      </c>
    </row>
    <row r="348" spans="1:40" x14ac:dyDescent="0.3">
      <c r="A348" t="s">
        <v>174</v>
      </c>
      <c r="B348" t="s">
        <v>17</v>
      </c>
      <c r="C348" t="s">
        <v>10</v>
      </c>
      <c r="D348" t="s">
        <v>11</v>
      </c>
      <c r="E348">
        <v>202602</v>
      </c>
      <c r="F348" t="s">
        <v>181</v>
      </c>
      <c r="G348">
        <v>0</v>
      </c>
      <c r="H348">
        <v>2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>
        <v>0</v>
      </c>
      <c r="AI348">
        <v>0</v>
      </c>
      <c r="AJ348">
        <v>0</v>
      </c>
      <c r="AK348">
        <v>0</v>
      </c>
      <c r="AL348">
        <v>2</v>
      </c>
      <c r="AM348">
        <v>0</v>
      </c>
      <c r="AN348">
        <v>2</v>
      </c>
    </row>
    <row r="349" spans="1:40" x14ac:dyDescent="0.3">
      <c r="A349" t="s">
        <v>174</v>
      </c>
      <c r="B349" t="s">
        <v>17</v>
      </c>
      <c r="C349" t="s">
        <v>10</v>
      </c>
      <c r="D349" t="s">
        <v>11</v>
      </c>
      <c r="E349">
        <v>202602</v>
      </c>
      <c r="F349" t="s">
        <v>182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1</v>
      </c>
      <c r="N349">
        <v>0</v>
      </c>
      <c r="O349">
        <v>0</v>
      </c>
      <c r="P349">
        <v>0</v>
      </c>
      <c r="Q349">
        <v>1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  <c r="AI349">
        <v>0</v>
      </c>
      <c r="AJ349">
        <v>0</v>
      </c>
      <c r="AK349">
        <v>0</v>
      </c>
      <c r="AL349">
        <v>2</v>
      </c>
      <c r="AM349">
        <v>0.33333333333333331</v>
      </c>
      <c r="AN349">
        <v>6.6046251398731117</v>
      </c>
    </row>
    <row r="350" spans="1:40" x14ac:dyDescent="0.3">
      <c r="A350" t="s">
        <v>174</v>
      </c>
      <c r="B350" t="s">
        <v>17</v>
      </c>
      <c r="C350" t="s">
        <v>10</v>
      </c>
      <c r="D350" t="s">
        <v>11</v>
      </c>
      <c r="E350">
        <v>202602</v>
      </c>
      <c r="F350" t="s">
        <v>183</v>
      </c>
      <c r="G350">
        <v>0</v>
      </c>
      <c r="H350">
        <v>2</v>
      </c>
      <c r="I350">
        <v>1</v>
      </c>
      <c r="J350">
        <v>1</v>
      </c>
      <c r="K350">
        <v>1</v>
      </c>
      <c r="L350">
        <v>1</v>
      </c>
      <c r="M350">
        <v>0</v>
      </c>
      <c r="N350">
        <v>0</v>
      </c>
      <c r="O350">
        <v>4</v>
      </c>
      <c r="P350">
        <v>1</v>
      </c>
      <c r="Q350">
        <v>2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>
        <v>0</v>
      </c>
      <c r="AI350">
        <v>0</v>
      </c>
      <c r="AJ350">
        <v>0</v>
      </c>
      <c r="AK350">
        <v>0</v>
      </c>
      <c r="AL350">
        <v>13</v>
      </c>
      <c r="AM350">
        <v>2.3333333333333335</v>
      </c>
      <c r="AN350">
        <v>45.232375979111779</v>
      </c>
    </row>
    <row r="351" spans="1:40" x14ac:dyDescent="0.3">
      <c r="A351" t="s">
        <v>174</v>
      </c>
      <c r="B351" t="s">
        <v>17</v>
      </c>
      <c r="C351" t="s">
        <v>10</v>
      </c>
      <c r="D351" t="s">
        <v>11</v>
      </c>
      <c r="E351">
        <v>202602</v>
      </c>
      <c r="F351" t="s">
        <v>184</v>
      </c>
      <c r="G351">
        <v>0</v>
      </c>
      <c r="H351">
        <v>0</v>
      </c>
      <c r="I351">
        <v>1</v>
      </c>
      <c r="J351">
        <v>0</v>
      </c>
      <c r="K351">
        <v>0</v>
      </c>
      <c r="L351">
        <v>1</v>
      </c>
      <c r="M351">
        <v>2</v>
      </c>
      <c r="N351">
        <v>0</v>
      </c>
      <c r="O351">
        <v>0</v>
      </c>
      <c r="P351">
        <v>1</v>
      </c>
      <c r="Q351">
        <v>1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0</v>
      </c>
      <c r="AI351">
        <v>0</v>
      </c>
      <c r="AJ351">
        <v>0</v>
      </c>
      <c r="AK351">
        <v>0</v>
      </c>
      <c r="AL351">
        <v>6</v>
      </c>
      <c r="AM351">
        <v>0.66666666666666663</v>
      </c>
      <c r="AN351">
        <v>15.209250279746223</v>
      </c>
    </row>
    <row r="352" spans="1:40" x14ac:dyDescent="0.3">
      <c r="A352" t="s">
        <v>174</v>
      </c>
      <c r="B352" t="s">
        <v>17</v>
      </c>
      <c r="C352" t="s">
        <v>10</v>
      </c>
      <c r="D352" t="s">
        <v>11</v>
      </c>
      <c r="E352">
        <v>202602</v>
      </c>
      <c r="F352" t="s">
        <v>201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1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0</v>
      </c>
      <c r="AJ352">
        <v>0</v>
      </c>
      <c r="AK352">
        <v>0</v>
      </c>
      <c r="AL352">
        <v>1</v>
      </c>
      <c r="AM352">
        <v>0.33333333333333331</v>
      </c>
      <c r="AN352">
        <v>5.6046251398731117</v>
      </c>
    </row>
    <row r="353" spans="1:40" x14ac:dyDescent="0.3">
      <c r="A353" t="s">
        <v>174</v>
      </c>
      <c r="B353" t="s">
        <v>17</v>
      </c>
      <c r="C353" t="s">
        <v>10</v>
      </c>
      <c r="D353" t="s">
        <v>11</v>
      </c>
      <c r="E353">
        <v>202602</v>
      </c>
      <c r="F353" t="s">
        <v>185</v>
      </c>
      <c r="G353">
        <v>0</v>
      </c>
      <c r="H353">
        <v>0</v>
      </c>
      <c r="I353">
        <v>0</v>
      </c>
      <c r="J353">
        <v>2</v>
      </c>
      <c r="K353">
        <v>0</v>
      </c>
      <c r="L353">
        <v>1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0</v>
      </c>
      <c r="AI353">
        <v>0</v>
      </c>
      <c r="AJ353">
        <v>0</v>
      </c>
      <c r="AK353">
        <v>0</v>
      </c>
      <c r="AL353">
        <v>3</v>
      </c>
      <c r="AM353">
        <v>0</v>
      </c>
      <c r="AN353">
        <v>3</v>
      </c>
    </row>
    <row r="354" spans="1:40" x14ac:dyDescent="0.3">
      <c r="A354" t="s">
        <v>174</v>
      </c>
      <c r="B354" t="s">
        <v>17</v>
      </c>
      <c r="C354" t="s">
        <v>10</v>
      </c>
      <c r="D354" t="s">
        <v>11</v>
      </c>
      <c r="E354">
        <v>202602</v>
      </c>
      <c r="F354" t="s">
        <v>186</v>
      </c>
      <c r="G354">
        <v>0</v>
      </c>
      <c r="H354">
        <v>0</v>
      </c>
      <c r="I354">
        <v>1</v>
      </c>
      <c r="J354">
        <v>0</v>
      </c>
      <c r="K354">
        <v>3</v>
      </c>
      <c r="L354">
        <v>0</v>
      </c>
      <c r="M354">
        <v>0</v>
      </c>
      <c r="N354">
        <v>0</v>
      </c>
      <c r="O354">
        <v>1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>
        <v>0</v>
      </c>
      <c r="AI354">
        <v>0</v>
      </c>
      <c r="AJ354">
        <v>0</v>
      </c>
      <c r="AK354">
        <v>0</v>
      </c>
      <c r="AL354">
        <v>5</v>
      </c>
      <c r="AM354">
        <v>0.33333333333333331</v>
      </c>
      <c r="AN354">
        <v>9.6046251398731108</v>
      </c>
    </row>
    <row r="355" spans="1:40" x14ac:dyDescent="0.3">
      <c r="A355" t="s">
        <v>174</v>
      </c>
      <c r="B355" t="s">
        <v>17</v>
      </c>
      <c r="C355" t="s">
        <v>10</v>
      </c>
      <c r="D355" t="s">
        <v>11</v>
      </c>
      <c r="E355">
        <v>202602</v>
      </c>
      <c r="F355" t="s">
        <v>187</v>
      </c>
      <c r="G355">
        <v>0</v>
      </c>
      <c r="H355">
        <v>0</v>
      </c>
      <c r="I355">
        <v>0</v>
      </c>
      <c r="J355">
        <v>0</v>
      </c>
      <c r="K355">
        <v>0</v>
      </c>
      <c r="L355">
        <v>1</v>
      </c>
      <c r="M355">
        <v>0</v>
      </c>
      <c r="N355">
        <v>0</v>
      </c>
      <c r="O355">
        <v>0</v>
      </c>
      <c r="P355">
        <v>1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>
        <v>0</v>
      </c>
      <c r="AI355">
        <v>0</v>
      </c>
      <c r="AJ355">
        <v>0</v>
      </c>
      <c r="AK355">
        <v>0</v>
      </c>
      <c r="AL355">
        <v>2</v>
      </c>
      <c r="AM355">
        <v>0.33333333333333331</v>
      </c>
      <c r="AN355">
        <v>6.6046251398731117</v>
      </c>
    </row>
    <row r="356" spans="1:40" x14ac:dyDescent="0.3">
      <c r="A356" t="s">
        <v>174</v>
      </c>
      <c r="B356" t="s">
        <v>17</v>
      </c>
      <c r="C356" t="s">
        <v>10</v>
      </c>
      <c r="D356" t="s">
        <v>11</v>
      </c>
      <c r="E356">
        <v>202602</v>
      </c>
      <c r="F356" t="s">
        <v>188</v>
      </c>
      <c r="G356">
        <v>0</v>
      </c>
      <c r="H356">
        <v>2</v>
      </c>
      <c r="I356">
        <v>1</v>
      </c>
      <c r="J356">
        <v>2</v>
      </c>
      <c r="K356">
        <v>4</v>
      </c>
      <c r="L356">
        <v>0</v>
      </c>
      <c r="M356">
        <v>0</v>
      </c>
      <c r="N356">
        <v>0</v>
      </c>
      <c r="O356">
        <v>2</v>
      </c>
      <c r="P356">
        <v>1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>
        <v>0</v>
      </c>
      <c r="AI356">
        <v>0</v>
      </c>
      <c r="AJ356">
        <v>0</v>
      </c>
      <c r="AK356">
        <v>0</v>
      </c>
      <c r="AL356">
        <v>12</v>
      </c>
      <c r="AM356">
        <v>1</v>
      </c>
      <c r="AN356">
        <v>25.813875419619336</v>
      </c>
    </row>
    <row r="357" spans="1:40" x14ac:dyDescent="0.3">
      <c r="A357" t="s">
        <v>174</v>
      </c>
      <c r="B357" t="s">
        <v>17</v>
      </c>
      <c r="C357" t="s">
        <v>10</v>
      </c>
      <c r="D357" t="s">
        <v>11</v>
      </c>
      <c r="E357">
        <v>202602</v>
      </c>
      <c r="F357" t="s">
        <v>189</v>
      </c>
      <c r="G357">
        <v>0</v>
      </c>
      <c r="H357">
        <v>1</v>
      </c>
      <c r="I357">
        <v>0</v>
      </c>
      <c r="J357">
        <v>0</v>
      </c>
      <c r="K357">
        <v>0</v>
      </c>
      <c r="L357">
        <v>2</v>
      </c>
      <c r="M357">
        <v>0</v>
      </c>
      <c r="N357">
        <v>0</v>
      </c>
      <c r="O357">
        <v>2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0</v>
      </c>
      <c r="AI357">
        <v>0</v>
      </c>
      <c r="AJ357">
        <v>0</v>
      </c>
      <c r="AK357">
        <v>0</v>
      </c>
      <c r="AL357">
        <v>5</v>
      </c>
      <c r="AM357">
        <v>0.66666666666666663</v>
      </c>
      <c r="AN357">
        <v>14.209250279746223</v>
      </c>
    </row>
    <row r="358" spans="1:40" x14ac:dyDescent="0.3">
      <c r="A358" t="s">
        <v>174</v>
      </c>
      <c r="B358" t="s">
        <v>17</v>
      </c>
      <c r="C358" t="s">
        <v>10</v>
      </c>
      <c r="D358" t="s">
        <v>11</v>
      </c>
      <c r="E358">
        <v>202602</v>
      </c>
      <c r="F358" t="s">
        <v>190</v>
      </c>
      <c r="G358">
        <v>0</v>
      </c>
      <c r="H358">
        <v>0</v>
      </c>
      <c r="I358">
        <v>0</v>
      </c>
      <c r="J358">
        <v>0</v>
      </c>
      <c r="K358">
        <v>1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  <c r="AK358">
        <v>0</v>
      </c>
      <c r="AL358">
        <v>1</v>
      </c>
      <c r="AM358">
        <v>0</v>
      </c>
      <c r="AN358">
        <v>1</v>
      </c>
    </row>
    <row r="359" spans="1:40" x14ac:dyDescent="0.3">
      <c r="A359" t="s">
        <v>174</v>
      </c>
      <c r="B359" t="s">
        <v>17</v>
      </c>
      <c r="C359" t="s">
        <v>10</v>
      </c>
      <c r="D359" t="s">
        <v>11</v>
      </c>
      <c r="E359">
        <v>202602</v>
      </c>
      <c r="F359" t="s">
        <v>191</v>
      </c>
      <c r="G359">
        <v>0</v>
      </c>
      <c r="H359">
        <v>0</v>
      </c>
      <c r="I359">
        <v>2</v>
      </c>
      <c r="J359">
        <v>0</v>
      </c>
      <c r="K359">
        <v>0</v>
      </c>
      <c r="L359">
        <v>1</v>
      </c>
      <c r="M359">
        <v>0</v>
      </c>
      <c r="N359">
        <v>0</v>
      </c>
      <c r="O359">
        <v>0</v>
      </c>
      <c r="P359">
        <v>1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>
        <v>0</v>
      </c>
      <c r="AI359">
        <v>0</v>
      </c>
      <c r="AJ359">
        <v>0</v>
      </c>
      <c r="AK359">
        <v>0</v>
      </c>
      <c r="AL359">
        <v>4</v>
      </c>
      <c r="AM359">
        <v>0.33333333333333331</v>
      </c>
      <c r="AN359">
        <v>8.6046251398731108</v>
      </c>
    </row>
    <row r="360" spans="1:40" x14ac:dyDescent="0.3">
      <c r="A360" t="s">
        <v>174</v>
      </c>
      <c r="B360" t="s">
        <v>17</v>
      </c>
      <c r="C360" t="s">
        <v>10</v>
      </c>
      <c r="D360" t="s">
        <v>11</v>
      </c>
      <c r="E360">
        <v>202602</v>
      </c>
      <c r="F360" t="s">
        <v>192</v>
      </c>
      <c r="G360">
        <v>0</v>
      </c>
      <c r="H360">
        <v>1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>
        <v>0</v>
      </c>
      <c r="AI360">
        <v>0</v>
      </c>
      <c r="AJ360">
        <v>0</v>
      </c>
      <c r="AK360">
        <v>0</v>
      </c>
      <c r="AL360">
        <v>1</v>
      </c>
      <c r="AM360">
        <v>0</v>
      </c>
      <c r="AN360">
        <v>1</v>
      </c>
    </row>
    <row r="361" spans="1:40" x14ac:dyDescent="0.3">
      <c r="A361" t="s">
        <v>174</v>
      </c>
      <c r="B361" t="s">
        <v>17</v>
      </c>
      <c r="C361" t="s">
        <v>10</v>
      </c>
      <c r="D361" t="s">
        <v>11</v>
      </c>
      <c r="E361">
        <v>202602</v>
      </c>
      <c r="F361" t="s">
        <v>193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1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0</v>
      </c>
      <c r="AI361">
        <v>0</v>
      </c>
      <c r="AJ361">
        <v>0</v>
      </c>
      <c r="AK361">
        <v>0</v>
      </c>
      <c r="AL361">
        <v>1</v>
      </c>
      <c r="AM361">
        <v>0</v>
      </c>
      <c r="AN361">
        <v>1</v>
      </c>
    </row>
    <row r="362" spans="1:40" x14ac:dyDescent="0.3">
      <c r="A362" t="s">
        <v>174</v>
      </c>
      <c r="B362" t="s">
        <v>17</v>
      </c>
      <c r="C362" t="s">
        <v>10</v>
      </c>
      <c r="D362" t="s">
        <v>11</v>
      </c>
      <c r="E362">
        <v>202602</v>
      </c>
      <c r="F362" t="s">
        <v>194</v>
      </c>
      <c r="G362">
        <v>0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1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0</v>
      </c>
      <c r="AI362">
        <v>0</v>
      </c>
      <c r="AJ362">
        <v>0</v>
      </c>
      <c r="AK362">
        <v>0</v>
      </c>
      <c r="AL362">
        <v>1</v>
      </c>
      <c r="AM362">
        <v>0</v>
      </c>
      <c r="AN362">
        <v>1</v>
      </c>
    </row>
    <row r="363" spans="1:40" x14ac:dyDescent="0.3">
      <c r="A363" t="s">
        <v>174</v>
      </c>
      <c r="B363" t="s">
        <v>17</v>
      </c>
      <c r="C363" t="s">
        <v>10</v>
      </c>
      <c r="D363" t="s">
        <v>11</v>
      </c>
      <c r="E363">
        <v>202602</v>
      </c>
      <c r="F363" t="s">
        <v>195</v>
      </c>
      <c r="G363">
        <v>0</v>
      </c>
      <c r="H363">
        <v>0</v>
      </c>
      <c r="I363">
        <v>2</v>
      </c>
      <c r="J363">
        <v>1</v>
      </c>
      <c r="K363">
        <v>1</v>
      </c>
      <c r="L363">
        <v>0</v>
      </c>
      <c r="M363">
        <v>1</v>
      </c>
      <c r="N363">
        <v>0</v>
      </c>
      <c r="O363">
        <v>0</v>
      </c>
      <c r="P363">
        <v>1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0</v>
      </c>
      <c r="AI363">
        <v>0</v>
      </c>
      <c r="AJ363">
        <v>0</v>
      </c>
      <c r="AK363">
        <v>0</v>
      </c>
      <c r="AL363">
        <v>6</v>
      </c>
      <c r="AM363">
        <v>0.33333333333333331</v>
      </c>
      <c r="AN363">
        <v>10.604625139873111</v>
      </c>
    </row>
    <row r="364" spans="1:40" x14ac:dyDescent="0.3">
      <c r="A364" t="s">
        <v>174</v>
      </c>
      <c r="B364" t="s">
        <v>17</v>
      </c>
      <c r="C364" t="s">
        <v>10</v>
      </c>
      <c r="D364" t="s">
        <v>11</v>
      </c>
      <c r="E364">
        <v>202602</v>
      </c>
      <c r="F364" t="s">
        <v>196</v>
      </c>
      <c r="G364">
        <v>0</v>
      </c>
      <c r="H364">
        <v>0</v>
      </c>
      <c r="I364">
        <v>0</v>
      </c>
      <c r="J364">
        <v>0</v>
      </c>
      <c r="K364">
        <v>1</v>
      </c>
      <c r="L364">
        <v>1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0</v>
      </c>
      <c r="AI364">
        <v>0</v>
      </c>
      <c r="AJ364">
        <v>0</v>
      </c>
      <c r="AK364">
        <v>0</v>
      </c>
      <c r="AL364">
        <v>2</v>
      </c>
      <c r="AM364">
        <v>0</v>
      </c>
      <c r="AN364">
        <v>2</v>
      </c>
    </row>
    <row r="365" spans="1:40" x14ac:dyDescent="0.3">
      <c r="A365" t="s">
        <v>174</v>
      </c>
      <c r="B365" t="s">
        <v>17</v>
      </c>
      <c r="C365" t="s">
        <v>10</v>
      </c>
      <c r="D365" t="s">
        <v>11</v>
      </c>
      <c r="E365">
        <v>202602</v>
      </c>
      <c r="F365" t="s">
        <v>197</v>
      </c>
      <c r="G365">
        <v>0</v>
      </c>
      <c r="H365">
        <v>0</v>
      </c>
      <c r="I365">
        <v>1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1</v>
      </c>
      <c r="Q365">
        <v>2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0</v>
      </c>
      <c r="AI365">
        <v>0</v>
      </c>
      <c r="AJ365">
        <v>0</v>
      </c>
      <c r="AK365">
        <v>0</v>
      </c>
      <c r="AL365">
        <v>4</v>
      </c>
      <c r="AM365">
        <v>1</v>
      </c>
      <c r="AN365">
        <v>17.813875419619336</v>
      </c>
    </row>
    <row r="366" spans="1:40" x14ac:dyDescent="0.3">
      <c r="A366" t="s">
        <v>174</v>
      </c>
      <c r="B366" t="s">
        <v>17</v>
      </c>
      <c r="C366" t="s">
        <v>10</v>
      </c>
      <c r="D366" t="s">
        <v>11</v>
      </c>
      <c r="E366">
        <v>202602</v>
      </c>
      <c r="F366" t="s">
        <v>198</v>
      </c>
      <c r="G366">
        <v>0</v>
      </c>
      <c r="H366">
        <v>0</v>
      </c>
      <c r="I366">
        <v>1</v>
      </c>
      <c r="J366">
        <v>0</v>
      </c>
      <c r="K366">
        <v>0</v>
      </c>
      <c r="L366">
        <v>1</v>
      </c>
      <c r="M366">
        <v>0</v>
      </c>
      <c r="N366">
        <v>0</v>
      </c>
      <c r="O366">
        <v>0</v>
      </c>
      <c r="P366">
        <v>1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0</v>
      </c>
      <c r="AI366">
        <v>0</v>
      </c>
      <c r="AJ366">
        <v>0</v>
      </c>
      <c r="AK366">
        <v>0</v>
      </c>
      <c r="AL366">
        <v>3</v>
      </c>
      <c r="AM366">
        <v>0.33333333333333331</v>
      </c>
      <c r="AN366">
        <v>7.6046251398731117</v>
      </c>
    </row>
    <row r="367" spans="1:40" x14ac:dyDescent="0.3">
      <c r="A367" t="s">
        <v>174</v>
      </c>
      <c r="B367" t="s">
        <v>17</v>
      </c>
      <c r="C367" t="s">
        <v>10</v>
      </c>
      <c r="D367" t="s">
        <v>11</v>
      </c>
      <c r="E367">
        <v>202602</v>
      </c>
      <c r="F367" t="s">
        <v>199</v>
      </c>
      <c r="G367">
        <v>0</v>
      </c>
      <c r="H367">
        <v>0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1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  <c r="AG367">
        <v>0</v>
      </c>
      <c r="AH367">
        <v>0</v>
      </c>
      <c r="AI367">
        <v>0</v>
      </c>
      <c r="AJ367">
        <v>0</v>
      </c>
      <c r="AK367">
        <v>0</v>
      </c>
      <c r="AL367">
        <v>1</v>
      </c>
      <c r="AM367">
        <v>0.33333333333333331</v>
      </c>
      <c r="AN367">
        <v>5.6046251398731117</v>
      </c>
    </row>
    <row r="368" spans="1:40" x14ac:dyDescent="0.3">
      <c r="A368" t="s">
        <v>174</v>
      </c>
      <c r="B368" t="s">
        <v>17</v>
      </c>
      <c r="C368" t="s">
        <v>10</v>
      </c>
      <c r="D368" t="s">
        <v>11</v>
      </c>
      <c r="E368">
        <v>202602</v>
      </c>
      <c r="F368" t="s">
        <v>200</v>
      </c>
      <c r="G368">
        <v>0</v>
      </c>
      <c r="H368">
        <v>0</v>
      </c>
      <c r="I368">
        <v>1</v>
      </c>
      <c r="J368">
        <v>1</v>
      </c>
      <c r="K368">
        <v>0</v>
      </c>
      <c r="L368">
        <v>2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>
        <v>0</v>
      </c>
      <c r="AI368">
        <v>0</v>
      </c>
      <c r="AJ368">
        <v>0</v>
      </c>
      <c r="AK368">
        <v>0</v>
      </c>
      <c r="AL368">
        <v>4</v>
      </c>
      <c r="AM368">
        <v>0</v>
      </c>
      <c r="AN368">
        <v>4</v>
      </c>
    </row>
    <row r="369" spans="1:40" x14ac:dyDescent="0.3">
      <c r="A369" t="s">
        <v>174</v>
      </c>
      <c r="B369" t="s">
        <v>17</v>
      </c>
      <c r="C369" t="s">
        <v>10</v>
      </c>
      <c r="D369" t="s">
        <v>11</v>
      </c>
      <c r="E369">
        <v>202602</v>
      </c>
      <c r="F369" t="s">
        <v>178</v>
      </c>
      <c r="G369">
        <v>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1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0</v>
      </c>
      <c r="AL369">
        <v>1</v>
      </c>
      <c r="AM369">
        <v>0.33333333333333331</v>
      </c>
      <c r="AN369">
        <v>5.6046251398731117</v>
      </c>
    </row>
    <row r="370" spans="1:40" x14ac:dyDescent="0.3">
      <c r="A370" t="s">
        <v>174</v>
      </c>
      <c r="B370" t="s">
        <v>17</v>
      </c>
      <c r="C370" t="s">
        <v>10</v>
      </c>
      <c r="D370" t="s">
        <v>14</v>
      </c>
      <c r="E370">
        <v>202602</v>
      </c>
      <c r="F370" t="s">
        <v>179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1</v>
      </c>
      <c r="M370">
        <v>0</v>
      </c>
      <c r="N370">
        <v>0</v>
      </c>
      <c r="O370">
        <v>1</v>
      </c>
      <c r="P370">
        <v>1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0</v>
      </c>
      <c r="AJ370">
        <v>0</v>
      </c>
      <c r="AK370">
        <v>0</v>
      </c>
      <c r="AL370">
        <v>3</v>
      </c>
      <c r="AM370">
        <v>0.66666666666666663</v>
      </c>
      <c r="AN370">
        <v>11.083482142857227</v>
      </c>
    </row>
    <row r="371" spans="1:40" x14ac:dyDescent="0.3">
      <c r="A371" t="s">
        <v>174</v>
      </c>
      <c r="B371" t="s">
        <v>17</v>
      </c>
      <c r="C371" t="s">
        <v>10</v>
      </c>
      <c r="D371" t="s">
        <v>14</v>
      </c>
      <c r="E371">
        <v>202602</v>
      </c>
      <c r="F371" t="s">
        <v>180</v>
      </c>
      <c r="G371">
        <v>0</v>
      </c>
      <c r="H371">
        <v>1</v>
      </c>
      <c r="I371">
        <v>0</v>
      </c>
      <c r="J371">
        <v>0</v>
      </c>
      <c r="K371">
        <v>0</v>
      </c>
      <c r="L371">
        <v>1</v>
      </c>
      <c r="M371">
        <v>0</v>
      </c>
      <c r="N371">
        <v>0</v>
      </c>
      <c r="O371">
        <v>1</v>
      </c>
      <c r="P371">
        <v>0</v>
      </c>
      <c r="Q371">
        <v>3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>
        <v>0</v>
      </c>
      <c r="AI371">
        <v>0</v>
      </c>
      <c r="AJ371">
        <v>0</v>
      </c>
      <c r="AK371">
        <v>0</v>
      </c>
      <c r="AL371">
        <v>6</v>
      </c>
      <c r="AM371">
        <v>1.3333333333333333</v>
      </c>
      <c r="AN371">
        <v>22.166964285714453</v>
      </c>
    </row>
    <row r="372" spans="1:40" x14ac:dyDescent="0.3">
      <c r="A372" t="s">
        <v>174</v>
      </c>
      <c r="B372" t="s">
        <v>17</v>
      </c>
      <c r="C372" t="s">
        <v>10</v>
      </c>
      <c r="D372" t="s">
        <v>14</v>
      </c>
      <c r="E372">
        <v>202602</v>
      </c>
      <c r="F372" t="s">
        <v>181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1</v>
      </c>
      <c r="M372">
        <v>0</v>
      </c>
      <c r="N372">
        <v>1</v>
      </c>
      <c r="O372">
        <v>0</v>
      </c>
      <c r="P372">
        <v>1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>
        <v>0</v>
      </c>
      <c r="AI372">
        <v>0</v>
      </c>
      <c r="AJ372">
        <v>0</v>
      </c>
      <c r="AK372">
        <v>0</v>
      </c>
      <c r="AL372">
        <v>3</v>
      </c>
      <c r="AM372">
        <v>0.33333333333333331</v>
      </c>
      <c r="AN372">
        <v>7.0417410714286133</v>
      </c>
    </row>
    <row r="373" spans="1:40" x14ac:dyDescent="0.3">
      <c r="A373" t="s">
        <v>174</v>
      </c>
      <c r="B373" t="s">
        <v>17</v>
      </c>
      <c r="C373" t="s">
        <v>10</v>
      </c>
      <c r="D373" t="s">
        <v>14</v>
      </c>
      <c r="E373">
        <v>202602</v>
      </c>
      <c r="F373" t="s">
        <v>182</v>
      </c>
      <c r="G373">
        <v>0</v>
      </c>
      <c r="H373">
        <v>0</v>
      </c>
      <c r="I373">
        <v>1</v>
      </c>
      <c r="J373">
        <v>0</v>
      </c>
      <c r="K373">
        <v>1</v>
      </c>
      <c r="L373">
        <v>0</v>
      </c>
      <c r="M373">
        <v>0</v>
      </c>
      <c r="N373">
        <v>1</v>
      </c>
      <c r="O373">
        <v>1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>
        <v>0</v>
      </c>
      <c r="AI373">
        <v>0</v>
      </c>
      <c r="AJ373">
        <v>0</v>
      </c>
      <c r="AK373">
        <v>0</v>
      </c>
      <c r="AL373">
        <v>4</v>
      </c>
      <c r="AM373">
        <v>0.33333333333333331</v>
      </c>
      <c r="AN373">
        <v>8.0417410714286142</v>
      </c>
    </row>
    <row r="374" spans="1:40" x14ac:dyDescent="0.3">
      <c r="A374" t="s">
        <v>174</v>
      </c>
      <c r="B374" t="s">
        <v>17</v>
      </c>
      <c r="C374" t="s">
        <v>10</v>
      </c>
      <c r="D374" t="s">
        <v>14</v>
      </c>
      <c r="E374">
        <v>202602</v>
      </c>
      <c r="F374" t="s">
        <v>183</v>
      </c>
      <c r="G374">
        <v>0</v>
      </c>
      <c r="H374">
        <v>1</v>
      </c>
      <c r="I374">
        <v>1</v>
      </c>
      <c r="J374">
        <v>1</v>
      </c>
      <c r="K374">
        <v>4</v>
      </c>
      <c r="L374">
        <v>3</v>
      </c>
      <c r="M374">
        <v>0</v>
      </c>
      <c r="N374">
        <v>1</v>
      </c>
      <c r="O374">
        <v>2</v>
      </c>
      <c r="P374">
        <v>0</v>
      </c>
      <c r="Q374">
        <v>1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0</v>
      </c>
      <c r="AI374">
        <v>0</v>
      </c>
      <c r="AJ374">
        <v>0</v>
      </c>
      <c r="AK374">
        <v>0</v>
      </c>
      <c r="AL374">
        <v>14</v>
      </c>
      <c r="AM374">
        <v>1</v>
      </c>
      <c r="AN374">
        <v>26.125223214285839</v>
      </c>
    </row>
    <row r="375" spans="1:40" x14ac:dyDescent="0.3">
      <c r="A375" t="s">
        <v>174</v>
      </c>
      <c r="B375" t="s">
        <v>17</v>
      </c>
      <c r="C375" t="s">
        <v>10</v>
      </c>
      <c r="D375" t="s">
        <v>14</v>
      </c>
      <c r="E375">
        <v>202602</v>
      </c>
      <c r="F375" t="s">
        <v>184</v>
      </c>
      <c r="G375">
        <v>0</v>
      </c>
      <c r="H375">
        <v>1</v>
      </c>
      <c r="I375">
        <v>1</v>
      </c>
      <c r="J375">
        <v>3</v>
      </c>
      <c r="K375">
        <v>1</v>
      </c>
      <c r="L375">
        <v>0</v>
      </c>
      <c r="M375">
        <v>0</v>
      </c>
      <c r="N375">
        <v>0</v>
      </c>
      <c r="O375">
        <v>0</v>
      </c>
      <c r="P375">
        <v>1</v>
      </c>
      <c r="Q375">
        <v>1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>
        <v>0</v>
      </c>
      <c r="AI375">
        <v>0</v>
      </c>
      <c r="AJ375">
        <v>0</v>
      </c>
      <c r="AK375">
        <v>0</v>
      </c>
      <c r="AL375">
        <v>8</v>
      </c>
      <c r="AM375">
        <v>0.66666666666666663</v>
      </c>
      <c r="AN375">
        <v>16.083482142857228</v>
      </c>
    </row>
    <row r="376" spans="1:40" x14ac:dyDescent="0.3">
      <c r="A376" t="s">
        <v>174</v>
      </c>
      <c r="B376" t="s">
        <v>17</v>
      </c>
      <c r="C376" t="s">
        <v>10</v>
      </c>
      <c r="D376" t="s">
        <v>14</v>
      </c>
      <c r="E376">
        <v>202602</v>
      </c>
      <c r="F376" t="s">
        <v>201</v>
      </c>
      <c r="G376">
        <v>0</v>
      </c>
      <c r="H376">
        <v>0</v>
      </c>
      <c r="I376">
        <v>1</v>
      </c>
      <c r="J376">
        <v>0</v>
      </c>
      <c r="K376">
        <v>1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0</v>
      </c>
      <c r="AG376">
        <v>0</v>
      </c>
      <c r="AH376">
        <v>0</v>
      </c>
      <c r="AI376">
        <v>0</v>
      </c>
      <c r="AJ376">
        <v>0</v>
      </c>
      <c r="AK376">
        <v>0</v>
      </c>
      <c r="AL376">
        <v>2</v>
      </c>
      <c r="AM376">
        <v>0</v>
      </c>
      <c r="AN376">
        <v>2</v>
      </c>
    </row>
    <row r="377" spans="1:40" x14ac:dyDescent="0.3">
      <c r="A377" t="s">
        <v>174</v>
      </c>
      <c r="B377" t="s">
        <v>17</v>
      </c>
      <c r="C377" t="s">
        <v>10</v>
      </c>
      <c r="D377" t="s">
        <v>14</v>
      </c>
      <c r="E377">
        <v>202602</v>
      </c>
      <c r="F377" t="s">
        <v>185</v>
      </c>
      <c r="G377">
        <v>0</v>
      </c>
      <c r="H377">
        <v>2</v>
      </c>
      <c r="I377">
        <v>0</v>
      </c>
      <c r="J377">
        <v>1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0</v>
      </c>
      <c r="AH377">
        <v>0</v>
      </c>
      <c r="AI377">
        <v>0</v>
      </c>
      <c r="AJ377">
        <v>0</v>
      </c>
      <c r="AK377">
        <v>0</v>
      </c>
      <c r="AL377">
        <v>3</v>
      </c>
      <c r="AM377">
        <v>0</v>
      </c>
      <c r="AN377">
        <v>3</v>
      </c>
    </row>
    <row r="378" spans="1:40" x14ac:dyDescent="0.3">
      <c r="A378" t="s">
        <v>174</v>
      </c>
      <c r="B378" t="s">
        <v>17</v>
      </c>
      <c r="C378" t="s">
        <v>10</v>
      </c>
      <c r="D378" t="s">
        <v>14</v>
      </c>
      <c r="E378">
        <v>202602</v>
      </c>
      <c r="F378" t="s">
        <v>186</v>
      </c>
      <c r="G378">
        <v>0</v>
      </c>
      <c r="H378">
        <v>2</v>
      </c>
      <c r="I378">
        <v>2</v>
      </c>
      <c r="J378">
        <v>0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0</v>
      </c>
      <c r="AF378">
        <v>0</v>
      </c>
      <c r="AG378">
        <v>0</v>
      </c>
      <c r="AH378">
        <v>0</v>
      </c>
      <c r="AI378">
        <v>0</v>
      </c>
      <c r="AJ378">
        <v>0</v>
      </c>
      <c r="AK378">
        <v>0</v>
      </c>
      <c r="AL378">
        <v>5</v>
      </c>
      <c r="AM378">
        <v>0.33333333333333331</v>
      </c>
      <c r="AN378">
        <v>9.0417410714286142</v>
      </c>
    </row>
    <row r="379" spans="1:40" x14ac:dyDescent="0.3">
      <c r="A379" t="s">
        <v>174</v>
      </c>
      <c r="B379" t="s">
        <v>17</v>
      </c>
      <c r="C379" t="s">
        <v>10</v>
      </c>
      <c r="D379" t="s">
        <v>14</v>
      </c>
      <c r="E379">
        <v>202602</v>
      </c>
      <c r="F379" t="s">
        <v>187</v>
      </c>
      <c r="G379">
        <v>0</v>
      </c>
      <c r="H379">
        <v>0</v>
      </c>
      <c r="I379">
        <v>0</v>
      </c>
      <c r="J379">
        <v>2</v>
      </c>
      <c r="K379">
        <v>1</v>
      </c>
      <c r="L379">
        <v>1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0</v>
      </c>
      <c r="AF379">
        <v>0</v>
      </c>
      <c r="AG379">
        <v>0</v>
      </c>
      <c r="AH379">
        <v>0</v>
      </c>
      <c r="AI379">
        <v>0</v>
      </c>
      <c r="AJ379">
        <v>0</v>
      </c>
      <c r="AK379">
        <v>0</v>
      </c>
      <c r="AL379">
        <v>4</v>
      </c>
      <c r="AM379">
        <v>0</v>
      </c>
      <c r="AN379">
        <v>4</v>
      </c>
    </row>
    <row r="380" spans="1:40" x14ac:dyDescent="0.3">
      <c r="A380" t="s">
        <v>174</v>
      </c>
      <c r="B380" t="s">
        <v>17</v>
      </c>
      <c r="C380" t="s">
        <v>10</v>
      </c>
      <c r="D380" t="s">
        <v>14</v>
      </c>
      <c r="E380">
        <v>202602</v>
      </c>
      <c r="F380" t="s">
        <v>188</v>
      </c>
      <c r="G380">
        <v>1</v>
      </c>
      <c r="H380">
        <v>4</v>
      </c>
      <c r="I380">
        <v>4</v>
      </c>
      <c r="J380">
        <v>0</v>
      </c>
      <c r="K380">
        <v>0</v>
      </c>
      <c r="L380">
        <v>1</v>
      </c>
      <c r="M380">
        <v>1</v>
      </c>
      <c r="N380">
        <v>0</v>
      </c>
      <c r="O380">
        <v>1</v>
      </c>
      <c r="P380">
        <v>4</v>
      </c>
      <c r="Q380">
        <v>3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0</v>
      </c>
      <c r="AF380">
        <v>0</v>
      </c>
      <c r="AG380">
        <v>0</v>
      </c>
      <c r="AH380">
        <v>0</v>
      </c>
      <c r="AI380">
        <v>0</v>
      </c>
      <c r="AJ380">
        <v>0</v>
      </c>
      <c r="AK380">
        <v>0</v>
      </c>
      <c r="AL380">
        <v>19</v>
      </c>
      <c r="AM380">
        <v>2.6666666666666665</v>
      </c>
      <c r="AN380">
        <v>51.333928571428906</v>
      </c>
    </row>
    <row r="381" spans="1:40" x14ac:dyDescent="0.3">
      <c r="A381" t="s">
        <v>174</v>
      </c>
      <c r="B381" t="s">
        <v>17</v>
      </c>
      <c r="C381" t="s">
        <v>10</v>
      </c>
      <c r="D381" t="s">
        <v>14</v>
      </c>
      <c r="E381">
        <v>202602</v>
      </c>
      <c r="F381" t="s">
        <v>189</v>
      </c>
      <c r="G381">
        <v>0</v>
      </c>
      <c r="H381">
        <v>1</v>
      </c>
      <c r="I381">
        <v>1</v>
      </c>
      <c r="J381">
        <v>1</v>
      </c>
      <c r="K381">
        <v>0</v>
      </c>
      <c r="L381">
        <v>0</v>
      </c>
      <c r="M381">
        <v>0</v>
      </c>
      <c r="N381">
        <v>0</v>
      </c>
      <c r="O381">
        <v>1</v>
      </c>
      <c r="P381">
        <v>2</v>
      </c>
      <c r="Q381">
        <v>1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>
        <v>0</v>
      </c>
      <c r="AI381">
        <v>0</v>
      </c>
      <c r="AJ381">
        <v>0</v>
      </c>
      <c r="AK381">
        <v>0</v>
      </c>
      <c r="AL381">
        <v>7</v>
      </c>
      <c r="AM381">
        <v>1.3333333333333333</v>
      </c>
      <c r="AN381">
        <v>23.166964285714453</v>
      </c>
    </row>
    <row r="382" spans="1:40" x14ac:dyDescent="0.3">
      <c r="A382" t="s">
        <v>174</v>
      </c>
      <c r="B382" t="s">
        <v>17</v>
      </c>
      <c r="C382" t="s">
        <v>10</v>
      </c>
      <c r="D382" t="s">
        <v>14</v>
      </c>
      <c r="E382">
        <v>202602</v>
      </c>
      <c r="F382" t="s">
        <v>190</v>
      </c>
      <c r="G382">
        <v>0</v>
      </c>
      <c r="H382">
        <v>0</v>
      </c>
      <c r="I382">
        <v>0</v>
      </c>
      <c r="J382">
        <v>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  <c r="AH382">
        <v>0</v>
      </c>
      <c r="AI382">
        <v>0</v>
      </c>
      <c r="AJ382">
        <v>0</v>
      </c>
      <c r="AK382">
        <v>0</v>
      </c>
      <c r="AL382">
        <v>1</v>
      </c>
      <c r="AM382">
        <v>0</v>
      </c>
      <c r="AN382">
        <v>1</v>
      </c>
    </row>
    <row r="383" spans="1:40" x14ac:dyDescent="0.3">
      <c r="A383" t="s">
        <v>174</v>
      </c>
      <c r="B383" t="s">
        <v>17</v>
      </c>
      <c r="C383" t="s">
        <v>10</v>
      </c>
      <c r="D383" t="s">
        <v>14</v>
      </c>
      <c r="E383">
        <v>202602</v>
      </c>
      <c r="F383" t="s">
        <v>191</v>
      </c>
      <c r="G383">
        <v>0</v>
      </c>
      <c r="H383">
        <v>0</v>
      </c>
      <c r="I383">
        <v>0</v>
      </c>
      <c r="J383">
        <v>2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1</v>
      </c>
      <c r="Q383">
        <v>3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>
        <v>0</v>
      </c>
      <c r="AI383">
        <v>0</v>
      </c>
      <c r="AJ383">
        <v>0</v>
      </c>
      <c r="AK383">
        <v>0</v>
      </c>
      <c r="AL383">
        <v>7</v>
      </c>
      <c r="AM383">
        <v>1.3333333333333333</v>
      </c>
      <c r="AN383">
        <v>23.166964285714453</v>
      </c>
    </row>
    <row r="384" spans="1:40" x14ac:dyDescent="0.3">
      <c r="A384" t="s">
        <v>174</v>
      </c>
      <c r="B384" t="s">
        <v>17</v>
      </c>
      <c r="C384" t="s">
        <v>10</v>
      </c>
      <c r="D384" t="s">
        <v>14</v>
      </c>
      <c r="E384">
        <v>202602</v>
      </c>
      <c r="F384" t="s">
        <v>192</v>
      </c>
      <c r="G384">
        <v>0</v>
      </c>
      <c r="H384">
        <v>0</v>
      </c>
      <c r="I384">
        <v>0</v>
      </c>
      <c r="J384">
        <v>1</v>
      </c>
      <c r="K384">
        <v>0</v>
      </c>
      <c r="L384">
        <v>0</v>
      </c>
      <c r="M384">
        <v>0</v>
      </c>
      <c r="N384">
        <v>0</v>
      </c>
      <c r="O384">
        <v>1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>
        <v>0</v>
      </c>
      <c r="AI384">
        <v>0</v>
      </c>
      <c r="AJ384">
        <v>0</v>
      </c>
      <c r="AK384">
        <v>0</v>
      </c>
      <c r="AL384">
        <v>2</v>
      </c>
      <c r="AM384">
        <v>0.33333333333333331</v>
      </c>
      <c r="AN384">
        <v>6.0417410714286133</v>
      </c>
    </row>
    <row r="385" spans="1:40" x14ac:dyDescent="0.3">
      <c r="A385" t="s">
        <v>174</v>
      </c>
      <c r="B385" t="s">
        <v>17</v>
      </c>
      <c r="C385" t="s">
        <v>10</v>
      </c>
      <c r="D385" t="s">
        <v>14</v>
      </c>
      <c r="E385">
        <v>202602</v>
      </c>
      <c r="F385" t="s">
        <v>193</v>
      </c>
      <c r="G385">
        <v>0</v>
      </c>
      <c r="H385">
        <v>0</v>
      </c>
      <c r="I385">
        <v>0</v>
      </c>
      <c r="J385">
        <v>0</v>
      </c>
      <c r="K385">
        <v>1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>
        <v>0</v>
      </c>
      <c r="AI385">
        <v>0</v>
      </c>
      <c r="AJ385">
        <v>0</v>
      </c>
      <c r="AK385">
        <v>0</v>
      </c>
      <c r="AL385">
        <v>1</v>
      </c>
      <c r="AM385">
        <v>0</v>
      </c>
      <c r="AN385">
        <v>1</v>
      </c>
    </row>
    <row r="386" spans="1:40" x14ac:dyDescent="0.3">
      <c r="A386" t="s">
        <v>174</v>
      </c>
      <c r="B386" t="s">
        <v>17</v>
      </c>
      <c r="C386" t="s">
        <v>10</v>
      </c>
      <c r="D386" t="s">
        <v>14</v>
      </c>
      <c r="E386">
        <v>202602</v>
      </c>
      <c r="F386" t="s">
        <v>194</v>
      </c>
      <c r="G386">
        <v>1</v>
      </c>
      <c r="H386">
        <v>1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>
        <v>0</v>
      </c>
      <c r="AI386">
        <v>0</v>
      </c>
      <c r="AJ386">
        <v>0</v>
      </c>
      <c r="AK386">
        <v>0</v>
      </c>
      <c r="AL386">
        <v>2</v>
      </c>
      <c r="AM386">
        <v>0</v>
      </c>
      <c r="AN386">
        <v>2</v>
      </c>
    </row>
    <row r="387" spans="1:40" x14ac:dyDescent="0.3">
      <c r="A387" t="s">
        <v>174</v>
      </c>
      <c r="B387" t="s">
        <v>17</v>
      </c>
      <c r="C387" t="s">
        <v>10</v>
      </c>
      <c r="D387" t="s">
        <v>14</v>
      </c>
      <c r="E387">
        <v>202602</v>
      </c>
      <c r="F387" t="s">
        <v>195</v>
      </c>
      <c r="G387">
        <v>0</v>
      </c>
      <c r="H387">
        <v>0</v>
      </c>
      <c r="I387">
        <v>1</v>
      </c>
      <c r="J387">
        <v>0</v>
      </c>
      <c r="K387">
        <v>1</v>
      </c>
      <c r="L387">
        <v>0</v>
      </c>
      <c r="M387">
        <v>2</v>
      </c>
      <c r="N387">
        <v>2</v>
      </c>
      <c r="O387">
        <v>1</v>
      </c>
      <c r="P387">
        <v>1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>
        <v>0</v>
      </c>
      <c r="AI387">
        <v>0</v>
      </c>
      <c r="AJ387">
        <v>0</v>
      </c>
      <c r="AK387">
        <v>0</v>
      </c>
      <c r="AL387">
        <v>8</v>
      </c>
      <c r="AM387">
        <v>0.66666666666666663</v>
      </c>
      <c r="AN387">
        <v>16.083482142857228</v>
      </c>
    </row>
    <row r="388" spans="1:40" x14ac:dyDescent="0.3">
      <c r="A388" t="s">
        <v>174</v>
      </c>
      <c r="B388" t="s">
        <v>17</v>
      </c>
      <c r="C388" t="s">
        <v>10</v>
      </c>
      <c r="D388" t="s">
        <v>14</v>
      </c>
      <c r="E388">
        <v>202602</v>
      </c>
      <c r="F388" t="s">
        <v>196</v>
      </c>
      <c r="G388">
        <v>0</v>
      </c>
      <c r="H388">
        <v>0</v>
      </c>
      <c r="I388">
        <v>1</v>
      </c>
      <c r="J388">
        <v>1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2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>
        <v>0</v>
      </c>
      <c r="AI388">
        <v>0</v>
      </c>
      <c r="AJ388">
        <v>0</v>
      </c>
      <c r="AK388">
        <v>0</v>
      </c>
      <c r="AL388">
        <v>4</v>
      </c>
      <c r="AM388">
        <v>0.66666666666666663</v>
      </c>
      <c r="AN388">
        <v>12.083482142857227</v>
      </c>
    </row>
    <row r="389" spans="1:40" x14ac:dyDescent="0.3">
      <c r="A389" t="s">
        <v>174</v>
      </c>
      <c r="B389" t="s">
        <v>17</v>
      </c>
      <c r="C389" t="s">
        <v>10</v>
      </c>
      <c r="D389" t="s">
        <v>14</v>
      </c>
      <c r="E389">
        <v>202602</v>
      </c>
      <c r="F389" t="s">
        <v>202</v>
      </c>
      <c r="G389">
        <v>0</v>
      </c>
      <c r="H389">
        <v>0</v>
      </c>
      <c r="I389">
        <v>0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1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>
        <v>0</v>
      </c>
      <c r="AI389">
        <v>0</v>
      </c>
      <c r="AJ389">
        <v>0</v>
      </c>
      <c r="AK389">
        <v>0</v>
      </c>
      <c r="AL389">
        <v>1</v>
      </c>
      <c r="AM389">
        <v>0.33333333333333331</v>
      </c>
      <c r="AN389">
        <v>5.0417410714286133</v>
      </c>
    </row>
    <row r="390" spans="1:40" x14ac:dyDescent="0.3">
      <c r="A390" t="s">
        <v>174</v>
      </c>
      <c r="B390" t="s">
        <v>17</v>
      </c>
      <c r="C390" t="s">
        <v>10</v>
      </c>
      <c r="D390" t="s">
        <v>14</v>
      </c>
      <c r="E390">
        <v>202602</v>
      </c>
      <c r="F390" t="s">
        <v>197</v>
      </c>
      <c r="G390">
        <v>0</v>
      </c>
      <c r="H390">
        <v>1</v>
      </c>
      <c r="I390">
        <v>0</v>
      </c>
      <c r="J390">
        <v>0</v>
      </c>
      <c r="K390">
        <v>0</v>
      </c>
      <c r="L390">
        <v>1</v>
      </c>
      <c r="M390">
        <v>0</v>
      </c>
      <c r="N390">
        <v>0</v>
      </c>
      <c r="O390">
        <v>0</v>
      </c>
      <c r="P390">
        <v>2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>
        <v>0</v>
      </c>
      <c r="AI390">
        <v>0</v>
      </c>
      <c r="AJ390">
        <v>0</v>
      </c>
      <c r="AK390">
        <v>0</v>
      </c>
      <c r="AL390">
        <v>4</v>
      </c>
      <c r="AM390">
        <v>0.66666666666666663</v>
      </c>
      <c r="AN390">
        <v>12.083482142857227</v>
      </c>
    </row>
    <row r="391" spans="1:40" x14ac:dyDescent="0.3">
      <c r="A391" t="s">
        <v>174</v>
      </c>
      <c r="B391" t="s">
        <v>17</v>
      </c>
      <c r="C391" t="s">
        <v>10</v>
      </c>
      <c r="D391" t="s">
        <v>14</v>
      </c>
      <c r="E391">
        <v>202602</v>
      </c>
      <c r="F391" t="s">
        <v>198</v>
      </c>
      <c r="G391">
        <v>0</v>
      </c>
      <c r="H391">
        <v>0</v>
      </c>
      <c r="I391">
        <v>0</v>
      </c>
      <c r="J391">
        <v>1</v>
      </c>
      <c r="K391">
        <v>1</v>
      </c>
      <c r="L391">
        <v>0</v>
      </c>
      <c r="M391">
        <v>1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0</v>
      </c>
      <c r="AH391">
        <v>0</v>
      </c>
      <c r="AI391">
        <v>0</v>
      </c>
      <c r="AJ391">
        <v>0</v>
      </c>
      <c r="AK391">
        <v>0</v>
      </c>
      <c r="AL391">
        <v>3</v>
      </c>
      <c r="AM391">
        <v>0</v>
      </c>
      <c r="AN391">
        <v>3</v>
      </c>
    </row>
    <row r="392" spans="1:40" x14ac:dyDescent="0.3">
      <c r="A392" t="s">
        <v>174</v>
      </c>
      <c r="B392" t="s">
        <v>17</v>
      </c>
      <c r="C392" t="s">
        <v>10</v>
      </c>
      <c r="D392" t="s">
        <v>14</v>
      </c>
      <c r="E392">
        <v>202602</v>
      </c>
      <c r="F392" t="s">
        <v>199</v>
      </c>
      <c r="G392">
        <v>0</v>
      </c>
      <c r="H392">
        <v>0</v>
      </c>
      <c r="I392">
        <v>1</v>
      </c>
      <c r="J392">
        <v>0</v>
      </c>
      <c r="K392">
        <v>1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>
        <v>0</v>
      </c>
      <c r="AI392">
        <v>0</v>
      </c>
      <c r="AJ392">
        <v>0</v>
      </c>
      <c r="AK392">
        <v>0</v>
      </c>
      <c r="AL392">
        <v>2</v>
      </c>
      <c r="AM392">
        <v>0</v>
      </c>
      <c r="AN392">
        <v>2</v>
      </c>
    </row>
    <row r="393" spans="1:40" x14ac:dyDescent="0.3">
      <c r="A393" t="s">
        <v>174</v>
      </c>
      <c r="B393" t="s">
        <v>17</v>
      </c>
      <c r="C393" t="s">
        <v>10</v>
      </c>
      <c r="D393" t="s">
        <v>14</v>
      </c>
      <c r="E393">
        <v>202602</v>
      </c>
      <c r="F393" t="s">
        <v>200</v>
      </c>
      <c r="G393">
        <v>0</v>
      </c>
      <c r="H393">
        <v>1</v>
      </c>
      <c r="I393">
        <v>1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1</v>
      </c>
      <c r="Q393">
        <v>1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  <c r="AH393">
        <v>0</v>
      </c>
      <c r="AI393">
        <v>0</v>
      </c>
      <c r="AJ393">
        <v>0</v>
      </c>
      <c r="AK393">
        <v>0</v>
      </c>
      <c r="AL393">
        <v>4</v>
      </c>
      <c r="AM393">
        <v>0.66666666666666663</v>
      </c>
      <c r="AN393">
        <v>12.083482142857227</v>
      </c>
    </row>
    <row r="394" spans="1:40" x14ac:dyDescent="0.3">
      <c r="A394" t="s">
        <v>174</v>
      </c>
      <c r="B394" t="s">
        <v>17</v>
      </c>
      <c r="C394" t="s">
        <v>10</v>
      </c>
      <c r="D394" t="s">
        <v>14</v>
      </c>
      <c r="E394">
        <v>202602</v>
      </c>
      <c r="F394" t="s">
        <v>203</v>
      </c>
      <c r="G394">
        <v>0</v>
      </c>
      <c r="H394">
        <v>0</v>
      </c>
      <c r="I394">
        <v>0</v>
      </c>
      <c r="J394">
        <v>0</v>
      </c>
      <c r="K394">
        <v>1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0</v>
      </c>
      <c r="AE394">
        <v>0</v>
      </c>
      <c r="AF394">
        <v>0</v>
      </c>
      <c r="AG394">
        <v>0</v>
      </c>
      <c r="AH394">
        <v>0</v>
      </c>
      <c r="AI394">
        <v>0</v>
      </c>
      <c r="AJ394">
        <v>0</v>
      </c>
      <c r="AK394">
        <v>0</v>
      </c>
      <c r="AL394">
        <v>1</v>
      </c>
      <c r="AM394">
        <v>0</v>
      </c>
      <c r="AN394">
        <v>1</v>
      </c>
    </row>
    <row r="395" spans="1:40" x14ac:dyDescent="0.3">
      <c r="A395" t="s">
        <v>174</v>
      </c>
      <c r="B395" t="s">
        <v>17</v>
      </c>
      <c r="C395" t="s">
        <v>10</v>
      </c>
      <c r="D395" t="s">
        <v>14</v>
      </c>
      <c r="E395">
        <v>202602</v>
      </c>
      <c r="F395" t="s">
        <v>688</v>
      </c>
      <c r="G395">
        <v>0</v>
      </c>
      <c r="H395">
        <v>0</v>
      </c>
      <c r="I395">
        <v>0</v>
      </c>
      <c r="J395">
        <v>0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1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0</v>
      </c>
      <c r="AE395">
        <v>0</v>
      </c>
      <c r="AF395">
        <v>0</v>
      </c>
      <c r="AG395">
        <v>0</v>
      </c>
      <c r="AH395">
        <v>0</v>
      </c>
      <c r="AI395">
        <v>0</v>
      </c>
      <c r="AJ395">
        <v>0</v>
      </c>
      <c r="AK395">
        <v>0</v>
      </c>
      <c r="AL395">
        <v>1</v>
      </c>
      <c r="AM395">
        <v>0.33333333333333331</v>
      </c>
      <c r="AN395">
        <v>5.0417410714286133</v>
      </c>
    </row>
    <row r="396" spans="1:40" x14ac:dyDescent="0.3">
      <c r="A396" t="s">
        <v>174</v>
      </c>
      <c r="B396" t="s">
        <v>17</v>
      </c>
      <c r="C396" t="s">
        <v>10</v>
      </c>
      <c r="D396" t="s">
        <v>14</v>
      </c>
      <c r="E396">
        <v>202602</v>
      </c>
      <c r="F396" t="s">
        <v>178</v>
      </c>
      <c r="G396">
        <v>0</v>
      </c>
      <c r="H396">
        <v>0</v>
      </c>
      <c r="I396">
        <v>0</v>
      </c>
      <c r="J396">
        <v>0</v>
      </c>
      <c r="K396">
        <v>0</v>
      </c>
      <c r="L396">
        <v>0</v>
      </c>
      <c r="M396">
        <v>0</v>
      </c>
      <c r="N396">
        <v>0</v>
      </c>
      <c r="O396">
        <v>1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0</v>
      </c>
      <c r="AF396">
        <v>0</v>
      </c>
      <c r="AG396">
        <v>0</v>
      </c>
      <c r="AH396">
        <v>0</v>
      </c>
      <c r="AI396">
        <v>0</v>
      </c>
      <c r="AJ396">
        <v>0</v>
      </c>
      <c r="AK396">
        <v>0</v>
      </c>
      <c r="AL396">
        <v>1</v>
      </c>
      <c r="AM396">
        <v>0.33333333333333331</v>
      </c>
      <c r="AN396">
        <v>5.0417410714286133</v>
      </c>
    </row>
    <row r="397" spans="1:40" x14ac:dyDescent="0.3">
      <c r="A397" t="s">
        <v>174</v>
      </c>
      <c r="B397" t="s">
        <v>17</v>
      </c>
      <c r="C397" t="s">
        <v>16</v>
      </c>
      <c r="D397" t="s">
        <v>11</v>
      </c>
      <c r="E397">
        <v>202602</v>
      </c>
      <c r="F397" t="s">
        <v>183</v>
      </c>
      <c r="G397">
        <v>0</v>
      </c>
      <c r="H397">
        <v>0</v>
      </c>
      <c r="I397">
        <v>1</v>
      </c>
      <c r="J397">
        <v>0</v>
      </c>
      <c r="K397">
        <v>0</v>
      </c>
      <c r="L397">
        <v>1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  <c r="AG397">
        <v>0</v>
      </c>
      <c r="AH397">
        <v>0</v>
      </c>
      <c r="AI397">
        <v>0</v>
      </c>
      <c r="AJ397">
        <v>0</v>
      </c>
      <c r="AK397">
        <v>0</v>
      </c>
      <c r="AL397">
        <v>2</v>
      </c>
      <c r="AM397">
        <v>0</v>
      </c>
      <c r="AN397">
        <v>2</v>
      </c>
    </row>
    <row r="398" spans="1:40" x14ac:dyDescent="0.3">
      <c r="A398" t="s">
        <v>174</v>
      </c>
      <c r="B398" t="s">
        <v>17</v>
      </c>
      <c r="C398" t="s">
        <v>16</v>
      </c>
      <c r="D398" t="s">
        <v>11</v>
      </c>
      <c r="E398">
        <v>202602</v>
      </c>
      <c r="F398" t="s">
        <v>186</v>
      </c>
      <c r="G398">
        <v>0</v>
      </c>
      <c r="H398">
        <v>1</v>
      </c>
      <c r="I398">
        <v>0</v>
      </c>
      <c r="J398">
        <v>0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1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0</v>
      </c>
      <c r="AF398">
        <v>0</v>
      </c>
      <c r="AG398">
        <v>0</v>
      </c>
      <c r="AH398">
        <v>0</v>
      </c>
      <c r="AI398">
        <v>0</v>
      </c>
      <c r="AJ398">
        <v>0</v>
      </c>
      <c r="AK398">
        <v>0</v>
      </c>
      <c r="AL398">
        <v>2</v>
      </c>
      <c r="AM398">
        <v>0.33333333333333331</v>
      </c>
      <c r="AN398">
        <v>6.6046251398731117</v>
      </c>
    </row>
    <row r="399" spans="1:40" x14ac:dyDescent="0.3">
      <c r="A399" t="s">
        <v>174</v>
      </c>
      <c r="B399" t="s">
        <v>17</v>
      </c>
      <c r="C399" t="s">
        <v>16</v>
      </c>
      <c r="D399" t="s">
        <v>11</v>
      </c>
      <c r="E399">
        <v>202602</v>
      </c>
      <c r="F399" t="s">
        <v>188</v>
      </c>
      <c r="G399">
        <v>0</v>
      </c>
      <c r="H399">
        <v>1</v>
      </c>
      <c r="I399">
        <v>0</v>
      </c>
      <c r="J399">
        <v>0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1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0</v>
      </c>
      <c r="AF399">
        <v>0</v>
      </c>
      <c r="AG399">
        <v>0</v>
      </c>
      <c r="AH399">
        <v>0</v>
      </c>
      <c r="AI399">
        <v>0</v>
      </c>
      <c r="AJ399">
        <v>0</v>
      </c>
      <c r="AK399">
        <v>0</v>
      </c>
      <c r="AL399">
        <v>2</v>
      </c>
      <c r="AM399">
        <v>0.33333333333333331</v>
      </c>
      <c r="AN399">
        <v>6.6046251398731117</v>
      </c>
    </row>
    <row r="400" spans="1:40" x14ac:dyDescent="0.3">
      <c r="A400" t="s">
        <v>174</v>
      </c>
      <c r="B400" t="s">
        <v>17</v>
      </c>
      <c r="C400" t="s">
        <v>16</v>
      </c>
      <c r="D400" t="s">
        <v>11</v>
      </c>
      <c r="E400">
        <v>202602</v>
      </c>
      <c r="F400" t="s">
        <v>189</v>
      </c>
      <c r="G400">
        <v>0</v>
      </c>
      <c r="H400">
        <v>0</v>
      </c>
      <c r="I400">
        <v>0</v>
      </c>
      <c r="J400">
        <v>0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0</v>
      </c>
      <c r="AF400">
        <v>0</v>
      </c>
      <c r="AG400">
        <v>0</v>
      </c>
      <c r="AH400">
        <v>0</v>
      </c>
      <c r="AI400">
        <v>0</v>
      </c>
      <c r="AJ400">
        <v>0</v>
      </c>
      <c r="AK400">
        <v>0</v>
      </c>
      <c r="AL400">
        <v>1</v>
      </c>
      <c r="AM400">
        <v>0</v>
      </c>
      <c r="AN400">
        <v>1</v>
      </c>
    </row>
    <row r="401" spans="1:40" x14ac:dyDescent="0.3">
      <c r="A401" t="s">
        <v>174</v>
      </c>
      <c r="B401" t="s">
        <v>17</v>
      </c>
      <c r="C401" t="s">
        <v>16</v>
      </c>
      <c r="D401" t="s">
        <v>11</v>
      </c>
      <c r="E401">
        <v>202602</v>
      </c>
      <c r="F401" t="s">
        <v>190</v>
      </c>
      <c r="G401">
        <v>0</v>
      </c>
      <c r="H401">
        <v>0</v>
      </c>
      <c r="I401">
        <v>0</v>
      </c>
      <c r="J401">
        <v>0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1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v>0</v>
      </c>
      <c r="AD401">
        <v>0</v>
      </c>
      <c r="AE401">
        <v>0</v>
      </c>
      <c r="AF401">
        <v>0</v>
      </c>
      <c r="AG401">
        <v>0</v>
      </c>
      <c r="AH401">
        <v>0</v>
      </c>
      <c r="AI401">
        <v>0</v>
      </c>
      <c r="AJ401">
        <v>0</v>
      </c>
      <c r="AK401">
        <v>0</v>
      </c>
      <c r="AL401">
        <v>1</v>
      </c>
      <c r="AM401">
        <v>0.33333333333333331</v>
      </c>
      <c r="AN401">
        <v>5.6046251398731117</v>
      </c>
    </row>
    <row r="402" spans="1:40" x14ac:dyDescent="0.3">
      <c r="A402" t="s">
        <v>174</v>
      </c>
      <c r="B402" t="s">
        <v>17</v>
      </c>
      <c r="C402" t="s">
        <v>16</v>
      </c>
      <c r="D402" t="s">
        <v>11</v>
      </c>
      <c r="E402">
        <v>202602</v>
      </c>
      <c r="F402" t="s">
        <v>195</v>
      </c>
      <c r="G402">
        <v>0</v>
      </c>
      <c r="H402">
        <v>0</v>
      </c>
      <c r="I402">
        <v>0</v>
      </c>
      <c r="J402">
        <v>1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1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0</v>
      </c>
      <c r="AH402">
        <v>0</v>
      </c>
      <c r="AI402">
        <v>0</v>
      </c>
      <c r="AJ402">
        <v>0</v>
      </c>
      <c r="AK402">
        <v>0</v>
      </c>
      <c r="AL402">
        <v>2</v>
      </c>
      <c r="AM402">
        <v>0.33333333333333331</v>
      </c>
      <c r="AN402">
        <v>6.6046251398731117</v>
      </c>
    </row>
    <row r="403" spans="1:40" x14ac:dyDescent="0.3">
      <c r="A403" t="s">
        <v>174</v>
      </c>
      <c r="B403" t="s">
        <v>17</v>
      </c>
      <c r="C403" t="s">
        <v>16</v>
      </c>
      <c r="D403" t="s">
        <v>11</v>
      </c>
      <c r="E403">
        <v>202602</v>
      </c>
      <c r="F403" t="s">
        <v>197</v>
      </c>
      <c r="G403">
        <v>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>
        <v>0</v>
      </c>
      <c r="AI403">
        <v>0</v>
      </c>
      <c r="AJ403">
        <v>0</v>
      </c>
      <c r="AK403">
        <v>0</v>
      </c>
      <c r="AL403">
        <v>1</v>
      </c>
      <c r="AM403">
        <v>0</v>
      </c>
      <c r="AN403">
        <v>1</v>
      </c>
    </row>
    <row r="404" spans="1:40" x14ac:dyDescent="0.3">
      <c r="A404" t="s">
        <v>174</v>
      </c>
      <c r="B404" t="s">
        <v>17</v>
      </c>
      <c r="C404" t="s">
        <v>16</v>
      </c>
      <c r="D404" t="s">
        <v>14</v>
      </c>
      <c r="E404">
        <v>202602</v>
      </c>
      <c r="F404" t="s">
        <v>183</v>
      </c>
      <c r="G404">
        <v>1</v>
      </c>
      <c r="H404">
        <v>0</v>
      </c>
      <c r="I404">
        <v>0</v>
      </c>
      <c r="J404">
        <v>1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>
        <v>0</v>
      </c>
      <c r="AI404">
        <v>0</v>
      </c>
      <c r="AJ404">
        <v>0</v>
      </c>
      <c r="AK404">
        <v>0</v>
      </c>
      <c r="AL404">
        <v>2</v>
      </c>
      <c r="AM404">
        <v>0</v>
      </c>
      <c r="AN404">
        <v>2</v>
      </c>
    </row>
    <row r="405" spans="1:40" x14ac:dyDescent="0.3">
      <c r="A405" t="s">
        <v>174</v>
      </c>
      <c r="B405" t="s">
        <v>17</v>
      </c>
      <c r="C405" t="s">
        <v>16</v>
      </c>
      <c r="D405" t="s">
        <v>14</v>
      </c>
      <c r="E405">
        <v>202602</v>
      </c>
      <c r="F405" t="s">
        <v>186</v>
      </c>
      <c r="G405">
        <v>0</v>
      </c>
      <c r="H405">
        <v>0</v>
      </c>
      <c r="I405">
        <v>0</v>
      </c>
      <c r="J405">
        <v>0</v>
      </c>
      <c r="K405">
        <v>0</v>
      </c>
      <c r="L405">
        <v>1</v>
      </c>
      <c r="M405">
        <v>0</v>
      </c>
      <c r="N405">
        <v>0</v>
      </c>
      <c r="O405">
        <v>1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0</v>
      </c>
      <c r="AG405">
        <v>0</v>
      </c>
      <c r="AH405">
        <v>0</v>
      </c>
      <c r="AI405">
        <v>0</v>
      </c>
      <c r="AJ405">
        <v>0</v>
      </c>
      <c r="AK405">
        <v>0</v>
      </c>
      <c r="AL405">
        <v>2</v>
      </c>
      <c r="AM405">
        <v>0.33333333333333331</v>
      </c>
      <c r="AN405">
        <v>6.0417410714286133</v>
      </c>
    </row>
    <row r="406" spans="1:40" x14ac:dyDescent="0.3">
      <c r="A406" t="s">
        <v>174</v>
      </c>
      <c r="B406" t="s">
        <v>17</v>
      </c>
      <c r="C406" t="s">
        <v>16</v>
      </c>
      <c r="D406" t="s">
        <v>14</v>
      </c>
      <c r="E406">
        <v>202602</v>
      </c>
      <c r="F406" t="s">
        <v>188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1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>
        <v>0</v>
      </c>
      <c r="AI406">
        <v>0</v>
      </c>
      <c r="AJ406">
        <v>0</v>
      </c>
      <c r="AK406">
        <v>0</v>
      </c>
      <c r="AL406">
        <v>1</v>
      </c>
      <c r="AM406">
        <v>0</v>
      </c>
      <c r="AN406">
        <v>1</v>
      </c>
    </row>
    <row r="407" spans="1:40" x14ac:dyDescent="0.3">
      <c r="A407" t="s">
        <v>174</v>
      </c>
      <c r="B407" t="s">
        <v>17</v>
      </c>
      <c r="C407" t="s">
        <v>16</v>
      </c>
      <c r="D407" t="s">
        <v>14</v>
      </c>
      <c r="E407">
        <v>202602</v>
      </c>
      <c r="F407" t="s">
        <v>189</v>
      </c>
      <c r="G407">
        <v>0</v>
      </c>
      <c r="H407">
        <v>0</v>
      </c>
      <c r="I407">
        <v>1</v>
      </c>
      <c r="J407">
        <v>0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>
        <v>0</v>
      </c>
      <c r="AI407">
        <v>0</v>
      </c>
      <c r="AJ407">
        <v>0</v>
      </c>
      <c r="AK407">
        <v>0</v>
      </c>
      <c r="AL407">
        <v>1</v>
      </c>
      <c r="AM407">
        <v>0</v>
      </c>
      <c r="AN407">
        <v>1</v>
      </c>
    </row>
    <row r="408" spans="1:40" x14ac:dyDescent="0.3">
      <c r="A408" t="s">
        <v>174</v>
      </c>
      <c r="B408" t="s">
        <v>17</v>
      </c>
      <c r="C408" t="s">
        <v>16</v>
      </c>
      <c r="D408" t="s">
        <v>14</v>
      </c>
      <c r="E408">
        <v>202602</v>
      </c>
      <c r="F408" t="s">
        <v>190</v>
      </c>
      <c r="G408">
        <v>0</v>
      </c>
      <c r="H408">
        <v>0</v>
      </c>
      <c r="I408">
        <v>0</v>
      </c>
      <c r="J408">
        <v>0</v>
      </c>
      <c r="K408">
        <v>0</v>
      </c>
      <c r="L408">
        <v>1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>
        <v>0</v>
      </c>
      <c r="AI408">
        <v>0</v>
      </c>
      <c r="AJ408">
        <v>0</v>
      </c>
      <c r="AK408">
        <v>0</v>
      </c>
      <c r="AL408">
        <v>1</v>
      </c>
      <c r="AM408">
        <v>0</v>
      </c>
      <c r="AN408">
        <v>1</v>
      </c>
    </row>
    <row r="409" spans="1:40" x14ac:dyDescent="0.3">
      <c r="A409" t="s">
        <v>174</v>
      </c>
      <c r="B409" t="s">
        <v>17</v>
      </c>
      <c r="C409" t="s">
        <v>16</v>
      </c>
      <c r="D409" t="s">
        <v>14</v>
      </c>
      <c r="E409">
        <v>202602</v>
      </c>
      <c r="F409" t="s">
        <v>195</v>
      </c>
      <c r="G409">
        <v>0</v>
      </c>
      <c r="H409">
        <v>0</v>
      </c>
      <c r="I409">
        <v>1</v>
      </c>
      <c r="J409">
        <v>1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>
        <v>0</v>
      </c>
      <c r="AI409">
        <v>0</v>
      </c>
      <c r="AJ409">
        <v>0</v>
      </c>
      <c r="AK409">
        <v>0</v>
      </c>
      <c r="AL409">
        <v>2</v>
      </c>
      <c r="AM409">
        <v>0</v>
      </c>
      <c r="AN409">
        <v>2</v>
      </c>
    </row>
    <row r="410" spans="1:40" x14ac:dyDescent="0.3">
      <c r="A410" t="s">
        <v>174</v>
      </c>
      <c r="B410" t="s">
        <v>17</v>
      </c>
      <c r="C410" t="s">
        <v>16</v>
      </c>
      <c r="D410" t="s">
        <v>14</v>
      </c>
      <c r="E410">
        <v>202602</v>
      </c>
      <c r="F410" t="s">
        <v>197</v>
      </c>
      <c r="G410">
        <v>0</v>
      </c>
      <c r="H410">
        <v>1</v>
      </c>
      <c r="I410">
        <v>0</v>
      </c>
      <c r="J410">
        <v>0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>
        <v>0</v>
      </c>
      <c r="AI410">
        <v>0</v>
      </c>
      <c r="AJ410">
        <v>0</v>
      </c>
      <c r="AK410">
        <v>0</v>
      </c>
      <c r="AL410">
        <v>1</v>
      </c>
      <c r="AM410">
        <v>0</v>
      </c>
      <c r="AN410">
        <v>1</v>
      </c>
    </row>
    <row r="411" spans="1:40" x14ac:dyDescent="0.3">
      <c r="A411" t="s">
        <v>174</v>
      </c>
      <c r="B411" t="s">
        <v>49</v>
      </c>
      <c r="C411" t="s">
        <v>10</v>
      </c>
      <c r="D411" t="s">
        <v>11</v>
      </c>
      <c r="E411">
        <v>202602</v>
      </c>
      <c r="F411" t="s">
        <v>50</v>
      </c>
      <c r="G411">
        <v>0</v>
      </c>
      <c r="H411">
        <v>0</v>
      </c>
      <c r="I411">
        <v>0</v>
      </c>
      <c r="J411">
        <v>1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>
        <v>0</v>
      </c>
      <c r="AI411">
        <v>0</v>
      </c>
      <c r="AJ411">
        <v>0</v>
      </c>
      <c r="AK411">
        <v>0</v>
      </c>
      <c r="AL411">
        <v>2</v>
      </c>
      <c r="AM411">
        <v>0.33333333333333331</v>
      </c>
      <c r="AN411">
        <v>6.6046251398731117</v>
      </c>
    </row>
    <row r="412" spans="1:40" x14ac:dyDescent="0.3">
      <c r="A412" t="s">
        <v>174</v>
      </c>
      <c r="B412" t="s">
        <v>49</v>
      </c>
      <c r="C412" t="s">
        <v>10</v>
      </c>
      <c r="D412" t="s">
        <v>11</v>
      </c>
      <c r="E412">
        <v>202602</v>
      </c>
      <c r="F412" t="s">
        <v>204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1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  <c r="AH412">
        <v>0</v>
      </c>
      <c r="AI412">
        <v>0</v>
      </c>
      <c r="AJ412">
        <v>0</v>
      </c>
      <c r="AK412">
        <v>0</v>
      </c>
      <c r="AL412">
        <v>1</v>
      </c>
      <c r="AM412">
        <v>0.33333333333333331</v>
      </c>
      <c r="AN412">
        <v>5.6046251398731117</v>
      </c>
    </row>
    <row r="413" spans="1:40" x14ac:dyDescent="0.3">
      <c r="A413" t="s">
        <v>174</v>
      </c>
      <c r="B413" t="s">
        <v>49</v>
      </c>
      <c r="C413" t="s">
        <v>10</v>
      </c>
      <c r="D413" t="s">
        <v>11</v>
      </c>
      <c r="E413">
        <v>202602</v>
      </c>
      <c r="F413" t="s">
        <v>51</v>
      </c>
      <c r="G413">
        <v>0</v>
      </c>
      <c r="H413">
        <v>0</v>
      </c>
      <c r="I413">
        <v>0</v>
      </c>
      <c r="J413">
        <v>0</v>
      </c>
      <c r="K413">
        <v>1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>
        <v>0</v>
      </c>
      <c r="AI413">
        <v>0</v>
      </c>
      <c r="AJ413">
        <v>0</v>
      </c>
      <c r="AK413">
        <v>0</v>
      </c>
      <c r="AL413">
        <v>1</v>
      </c>
      <c r="AM413">
        <v>0</v>
      </c>
      <c r="AN413">
        <v>1</v>
      </c>
    </row>
    <row r="414" spans="1:40" x14ac:dyDescent="0.3">
      <c r="A414" t="s">
        <v>174</v>
      </c>
      <c r="B414" t="s">
        <v>49</v>
      </c>
      <c r="C414" t="s">
        <v>10</v>
      </c>
      <c r="D414" t="s">
        <v>11</v>
      </c>
      <c r="E414">
        <v>202602</v>
      </c>
      <c r="F414" t="s">
        <v>52</v>
      </c>
      <c r="G414">
        <v>0</v>
      </c>
      <c r="H414">
        <v>1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0</v>
      </c>
      <c r="AD414">
        <v>0</v>
      </c>
      <c r="AE414">
        <v>0</v>
      </c>
      <c r="AF414">
        <v>0</v>
      </c>
      <c r="AG414">
        <v>0</v>
      </c>
      <c r="AH414">
        <v>0</v>
      </c>
      <c r="AI414">
        <v>0</v>
      </c>
      <c r="AJ414">
        <v>0</v>
      </c>
      <c r="AK414">
        <v>0</v>
      </c>
      <c r="AL414">
        <v>1</v>
      </c>
      <c r="AM414">
        <v>0</v>
      </c>
      <c r="AN414">
        <v>1</v>
      </c>
    </row>
    <row r="415" spans="1:40" x14ac:dyDescent="0.3">
      <c r="A415" t="s">
        <v>174</v>
      </c>
      <c r="B415" t="s">
        <v>49</v>
      </c>
      <c r="C415" t="s">
        <v>10</v>
      </c>
      <c r="D415" t="s">
        <v>14</v>
      </c>
      <c r="E415">
        <v>202602</v>
      </c>
      <c r="F415" t="s">
        <v>50</v>
      </c>
      <c r="G415">
        <v>1</v>
      </c>
      <c r="H415">
        <v>0</v>
      </c>
      <c r="I415">
        <v>1</v>
      </c>
      <c r="J415">
        <v>0</v>
      </c>
      <c r="K415">
        <v>0</v>
      </c>
      <c r="L415">
        <v>0</v>
      </c>
      <c r="M415">
        <v>2</v>
      </c>
      <c r="N415">
        <v>0</v>
      </c>
      <c r="O415">
        <v>0</v>
      </c>
      <c r="P415">
        <v>1</v>
      </c>
      <c r="Q415">
        <v>1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0</v>
      </c>
      <c r="AD415">
        <v>0</v>
      </c>
      <c r="AE415">
        <v>0</v>
      </c>
      <c r="AF415">
        <v>0</v>
      </c>
      <c r="AG415">
        <v>0</v>
      </c>
      <c r="AH415">
        <v>0</v>
      </c>
      <c r="AI415">
        <v>0</v>
      </c>
      <c r="AJ415">
        <v>0</v>
      </c>
      <c r="AK415">
        <v>0</v>
      </c>
      <c r="AL415">
        <v>6</v>
      </c>
      <c r="AM415">
        <v>0.66666666666666663</v>
      </c>
      <c r="AN415">
        <v>14.083482142857227</v>
      </c>
    </row>
    <row r="416" spans="1:40" x14ac:dyDescent="0.3">
      <c r="A416" t="s">
        <v>174</v>
      </c>
      <c r="B416" t="s">
        <v>49</v>
      </c>
      <c r="C416" t="s">
        <v>10</v>
      </c>
      <c r="D416" t="s">
        <v>14</v>
      </c>
      <c r="E416">
        <v>202602</v>
      </c>
      <c r="F416" t="s">
        <v>204</v>
      </c>
      <c r="G416">
        <v>0</v>
      </c>
      <c r="H416">
        <v>0</v>
      </c>
      <c r="I416">
        <v>0</v>
      </c>
      <c r="J416">
        <v>0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0</v>
      </c>
      <c r="AD416">
        <v>0</v>
      </c>
      <c r="AE416">
        <v>0</v>
      </c>
      <c r="AF416">
        <v>0</v>
      </c>
      <c r="AG416">
        <v>0</v>
      </c>
      <c r="AH416">
        <v>0</v>
      </c>
      <c r="AI416">
        <v>0</v>
      </c>
      <c r="AJ416">
        <v>0</v>
      </c>
      <c r="AK416">
        <v>0</v>
      </c>
      <c r="AL416">
        <v>1</v>
      </c>
      <c r="AM416">
        <v>0</v>
      </c>
      <c r="AN416">
        <v>1</v>
      </c>
    </row>
    <row r="417" spans="1:40" x14ac:dyDescent="0.3">
      <c r="A417" t="s">
        <v>174</v>
      </c>
      <c r="B417" t="s">
        <v>49</v>
      </c>
      <c r="C417" t="s">
        <v>10</v>
      </c>
      <c r="D417" t="s">
        <v>14</v>
      </c>
      <c r="E417">
        <v>202602</v>
      </c>
      <c r="F417" t="s">
        <v>51</v>
      </c>
      <c r="G417">
        <v>0</v>
      </c>
      <c r="H417">
        <v>1</v>
      </c>
      <c r="I417">
        <v>1</v>
      </c>
      <c r="J417">
        <v>0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0</v>
      </c>
      <c r="AD417">
        <v>0</v>
      </c>
      <c r="AE417">
        <v>0</v>
      </c>
      <c r="AF417">
        <v>0</v>
      </c>
      <c r="AG417">
        <v>0</v>
      </c>
      <c r="AH417">
        <v>0</v>
      </c>
      <c r="AI417">
        <v>0</v>
      </c>
      <c r="AJ417">
        <v>0</v>
      </c>
      <c r="AK417">
        <v>0</v>
      </c>
      <c r="AL417">
        <v>2</v>
      </c>
      <c r="AM417">
        <v>0</v>
      </c>
      <c r="AN417">
        <v>2</v>
      </c>
    </row>
    <row r="418" spans="1:40" x14ac:dyDescent="0.3">
      <c r="A418" t="s">
        <v>174</v>
      </c>
      <c r="B418" t="s">
        <v>49</v>
      </c>
      <c r="C418" t="s">
        <v>16</v>
      </c>
      <c r="D418" t="s">
        <v>11</v>
      </c>
      <c r="E418">
        <v>202602</v>
      </c>
      <c r="F418" t="s">
        <v>50</v>
      </c>
      <c r="G418">
        <v>0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1</v>
      </c>
      <c r="N418">
        <v>0</v>
      </c>
      <c r="O418">
        <v>0</v>
      </c>
      <c r="P418">
        <v>0</v>
      </c>
      <c r="Q418">
        <v>1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0</v>
      </c>
      <c r="AD418">
        <v>0</v>
      </c>
      <c r="AE418">
        <v>0</v>
      </c>
      <c r="AF418">
        <v>0</v>
      </c>
      <c r="AG418">
        <v>0</v>
      </c>
      <c r="AH418">
        <v>0</v>
      </c>
      <c r="AI418">
        <v>0</v>
      </c>
      <c r="AJ418">
        <v>0</v>
      </c>
      <c r="AK418">
        <v>0</v>
      </c>
      <c r="AL418">
        <v>2</v>
      </c>
      <c r="AM418">
        <v>0.33333333333333331</v>
      </c>
      <c r="AN418">
        <v>6.6046251398731117</v>
      </c>
    </row>
    <row r="419" spans="1:40" x14ac:dyDescent="0.3">
      <c r="A419" t="s">
        <v>174</v>
      </c>
      <c r="B419" t="s">
        <v>49</v>
      </c>
      <c r="C419" t="s">
        <v>16</v>
      </c>
      <c r="D419" t="s">
        <v>11</v>
      </c>
      <c r="E419">
        <v>202602</v>
      </c>
      <c r="F419" t="s">
        <v>204</v>
      </c>
      <c r="G419">
        <v>0</v>
      </c>
      <c r="H419">
        <v>0</v>
      </c>
      <c r="I419">
        <v>0</v>
      </c>
      <c r="J419">
        <v>0</v>
      </c>
      <c r="K419">
        <v>0</v>
      </c>
      <c r="L419">
        <v>0</v>
      </c>
      <c r="M419">
        <v>1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>
        <v>0</v>
      </c>
      <c r="AI419">
        <v>0</v>
      </c>
      <c r="AJ419">
        <v>0</v>
      </c>
      <c r="AK419">
        <v>0</v>
      </c>
      <c r="AL419">
        <v>1</v>
      </c>
      <c r="AM419">
        <v>0</v>
      </c>
      <c r="AN419">
        <v>1</v>
      </c>
    </row>
    <row r="420" spans="1:40" x14ac:dyDescent="0.3">
      <c r="A420" t="s">
        <v>174</v>
      </c>
      <c r="B420" t="s">
        <v>49</v>
      </c>
      <c r="C420" t="s">
        <v>16</v>
      </c>
      <c r="D420" t="s">
        <v>11</v>
      </c>
      <c r="E420">
        <v>202602</v>
      </c>
      <c r="F420" t="s">
        <v>51</v>
      </c>
      <c r="G420">
        <v>0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1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0</v>
      </c>
      <c r="AH420">
        <v>0</v>
      </c>
      <c r="AI420">
        <v>0</v>
      </c>
      <c r="AJ420">
        <v>0</v>
      </c>
      <c r="AK420">
        <v>0</v>
      </c>
      <c r="AL420">
        <v>1</v>
      </c>
      <c r="AM420">
        <v>0.33333333333333331</v>
      </c>
      <c r="AN420">
        <v>5.6046251398731117</v>
      </c>
    </row>
    <row r="421" spans="1:40" x14ac:dyDescent="0.3">
      <c r="A421" t="s">
        <v>174</v>
      </c>
      <c r="B421" t="s">
        <v>49</v>
      </c>
      <c r="C421" t="s">
        <v>16</v>
      </c>
      <c r="D421" t="s">
        <v>11</v>
      </c>
      <c r="E421">
        <v>202602</v>
      </c>
      <c r="F421" t="s">
        <v>52</v>
      </c>
      <c r="G421">
        <v>0</v>
      </c>
      <c r="H421">
        <v>0</v>
      </c>
      <c r="I421">
        <v>0</v>
      </c>
      <c r="J421">
        <v>0</v>
      </c>
      <c r="K421">
        <v>0</v>
      </c>
      <c r="L421">
        <v>1</v>
      </c>
      <c r="M421">
        <v>0</v>
      </c>
      <c r="N421">
        <v>0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>
        <v>0</v>
      </c>
      <c r="AI421">
        <v>0</v>
      </c>
      <c r="AJ421">
        <v>0</v>
      </c>
      <c r="AK421">
        <v>0</v>
      </c>
      <c r="AL421">
        <v>1</v>
      </c>
      <c r="AM421">
        <v>0</v>
      </c>
      <c r="AN421">
        <v>1</v>
      </c>
    </row>
    <row r="422" spans="1:40" x14ac:dyDescent="0.3">
      <c r="A422" t="s">
        <v>174</v>
      </c>
      <c r="B422" t="s">
        <v>49</v>
      </c>
      <c r="C422" t="s">
        <v>16</v>
      </c>
      <c r="D422" t="s">
        <v>14</v>
      </c>
      <c r="E422">
        <v>202602</v>
      </c>
      <c r="F422" t="s">
        <v>50</v>
      </c>
      <c r="G422">
        <v>0</v>
      </c>
      <c r="H422">
        <v>1</v>
      </c>
      <c r="I422">
        <v>1</v>
      </c>
      <c r="J422">
        <v>0</v>
      </c>
      <c r="K422">
        <v>0</v>
      </c>
      <c r="L422">
        <v>0</v>
      </c>
      <c r="M422">
        <v>1</v>
      </c>
      <c r="N422">
        <v>0</v>
      </c>
      <c r="O422">
        <v>0</v>
      </c>
      <c r="P422">
        <v>1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>
        <v>0</v>
      </c>
      <c r="AI422">
        <v>0</v>
      </c>
      <c r="AJ422">
        <v>0</v>
      </c>
      <c r="AK422">
        <v>0</v>
      </c>
      <c r="AL422">
        <v>4</v>
      </c>
      <c r="AM422">
        <v>0.33333333333333331</v>
      </c>
      <c r="AN422">
        <v>8.0417410714286142</v>
      </c>
    </row>
    <row r="423" spans="1:40" x14ac:dyDescent="0.3">
      <c r="A423" t="s">
        <v>174</v>
      </c>
      <c r="B423" t="s">
        <v>49</v>
      </c>
      <c r="C423" t="s">
        <v>16</v>
      </c>
      <c r="D423" t="s">
        <v>14</v>
      </c>
      <c r="E423">
        <v>202602</v>
      </c>
      <c r="F423" t="s">
        <v>204</v>
      </c>
      <c r="G423">
        <v>0</v>
      </c>
      <c r="H423">
        <v>0</v>
      </c>
      <c r="I423">
        <v>1</v>
      </c>
      <c r="J423">
        <v>0</v>
      </c>
      <c r="K423">
        <v>0</v>
      </c>
      <c r="L423">
        <v>0</v>
      </c>
      <c r="M423">
        <v>0</v>
      </c>
      <c r="N423">
        <v>0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>
        <v>0</v>
      </c>
      <c r="AI423">
        <v>0</v>
      </c>
      <c r="AJ423">
        <v>0</v>
      </c>
      <c r="AK423">
        <v>0</v>
      </c>
      <c r="AL423">
        <v>1</v>
      </c>
      <c r="AM423">
        <v>0</v>
      </c>
      <c r="AN423">
        <v>1</v>
      </c>
    </row>
    <row r="424" spans="1:40" x14ac:dyDescent="0.3">
      <c r="A424" t="s">
        <v>174</v>
      </c>
      <c r="B424" t="s">
        <v>49</v>
      </c>
      <c r="C424" t="s">
        <v>16</v>
      </c>
      <c r="D424" t="s">
        <v>14</v>
      </c>
      <c r="E424">
        <v>202602</v>
      </c>
      <c r="F424" t="s">
        <v>51</v>
      </c>
      <c r="G424">
        <v>0</v>
      </c>
      <c r="H424">
        <v>0</v>
      </c>
      <c r="I424">
        <v>0</v>
      </c>
      <c r="J424">
        <v>0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1</v>
      </c>
      <c r="Q424">
        <v>1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>
        <v>0</v>
      </c>
      <c r="AI424">
        <v>0</v>
      </c>
      <c r="AJ424">
        <v>0</v>
      </c>
      <c r="AK424">
        <v>0</v>
      </c>
      <c r="AL424">
        <v>3</v>
      </c>
      <c r="AM424">
        <v>1</v>
      </c>
      <c r="AN424">
        <v>15.125223214285839</v>
      </c>
    </row>
    <row r="425" spans="1:40" x14ac:dyDescent="0.3">
      <c r="A425" t="s">
        <v>174</v>
      </c>
      <c r="B425" t="s">
        <v>49</v>
      </c>
      <c r="C425" t="s">
        <v>16</v>
      </c>
      <c r="D425" t="s">
        <v>14</v>
      </c>
      <c r="E425">
        <v>202602</v>
      </c>
      <c r="F425" t="s">
        <v>52</v>
      </c>
      <c r="G425">
        <v>0</v>
      </c>
      <c r="H425">
        <v>0</v>
      </c>
      <c r="I425">
        <v>0</v>
      </c>
      <c r="J425">
        <v>0</v>
      </c>
      <c r="K425">
        <v>0</v>
      </c>
      <c r="L425">
        <v>1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0</v>
      </c>
      <c r="AH425">
        <v>0</v>
      </c>
      <c r="AI425">
        <v>0</v>
      </c>
      <c r="AJ425">
        <v>0</v>
      </c>
      <c r="AK425">
        <v>0</v>
      </c>
      <c r="AL425">
        <v>1</v>
      </c>
      <c r="AM425">
        <v>0</v>
      </c>
      <c r="AN425">
        <v>1</v>
      </c>
    </row>
    <row r="426" spans="1:40" x14ac:dyDescent="0.3">
      <c r="A426" t="s">
        <v>174</v>
      </c>
      <c r="B426" t="s">
        <v>49</v>
      </c>
      <c r="C426" t="s">
        <v>16</v>
      </c>
      <c r="D426" t="s">
        <v>14</v>
      </c>
      <c r="E426">
        <v>202602</v>
      </c>
      <c r="F426" t="s">
        <v>58</v>
      </c>
      <c r="G426">
        <v>0</v>
      </c>
      <c r="H426">
        <v>0</v>
      </c>
      <c r="I426">
        <v>0</v>
      </c>
      <c r="J426">
        <v>0</v>
      </c>
      <c r="K426">
        <v>1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0</v>
      </c>
      <c r="AH426">
        <v>0</v>
      </c>
      <c r="AI426">
        <v>0</v>
      </c>
      <c r="AJ426">
        <v>0</v>
      </c>
      <c r="AK426">
        <v>0</v>
      </c>
      <c r="AL426">
        <v>1</v>
      </c>
      <c r="AM426">
        <v>0</v>
      </c>
      <c r="AN426">
        <v>1</v>
      </c>
    </row>
    <row r="427" spans="1:40" x14ac:dyDescent="0.3">
      <c r="A427" t="s">
        <v>174</v>
      </c>
      <c r="B427" t="s">
        <v>54</v>
      </c>
      <c r="C427" t="s">
        <v>10</v>
      </c>
      <c r="D427" t="s">
        <v>11</v>
      </c>
      <c r="E427">
        <v>202602</v>
      </c>
      <c r="F427" t="s">
        <v>55</v>
      </c>
      <c r="G427">
        <v>0</v>
      </c>
      <c r="H427">
        <v>4</v>
      </c>
      <c r="I427">
        <v>1</v>
      </c>
      <c r="J427">
        <v>2</v>
      </c>
      <c r="K427">
        <v>4</v>
      </c>
      <c r="L427">
        <v>2</v>
      </c>
      <c r="M427">
        <v>2</v>
      </c>
      <c r="N427">
        <v>0</v>
      </c>
      <c r="O427">
        <v>1</v>
      </c>
      <c r="P427">
        <v>1</v>
      </c>
      <c r="Q427">
        <v>1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0</v>
      </c>
      <c r="AD427">
        <v>0</v>
      </c>
      <c r="AE427">
        <v>0</v>
      </c>
      <c r="AF427">
        <v>0</v>
      </c>
      <c r="AG427">
        <v>0</v>
      </c>
      <c r="AH427">
        <v>0</v>
      </c>
      <c r="AI427">
        <v>0</v>
      </c>
      <c r="AJ427">
        <v>0</v>
      </c>
      <c r="AK427">
        <v>0</v>
      </c>
      <c r="AL427">
        <v>18</v>
      </c>
      <c r="AM427">
        <v>1</v>
      </c>
      <c r="AN427">
        <v>31.813875419619336</v>
      </c>
    </row>
    <row r="428" spans="1:40" x14ac:dyDescent="0.3">
      <c r="A428" t="s">
        <v>174</v>
      </c>
      <c r="B428" t="s">
        <v>54</v>
      </c>
      <c r="C428" t="s">
        <v>10</v>
      </c>
      <c r="D428" t="s">
        <v>11</v>
      </c>
      <c r="E428">
        <v>202602</v>
      </c>
      <c r="F428" t="s">
        <v>56</v>
      </c>
      <c r="G428">
        <v>0</v>
      </c>
      <c r="H428">
        <v>7</v>
      </c>
      <c r="I428">
        <v>5</v>
      </c>
      <c r="J428">
        <v>6</v>
      </c>
      <c r="K428">
        <v>15</v>
      </c>
      <c r="L428">
        <v>11</v>
      </c>
      <c r="M428">
        <v>5</v>
      </c>
      <c r="N428">
        <v>0</v>
      </c>
      <c r="O428">
        <v>3</v>
      </c>
      <c r="P428">
        <v>9</v>
      </c>
      <c r="Q428">
        <v>7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0</v>
      </c>
      <c r="AD428">
        <v>0</v>
      </c>
      <c r="AE428">
        <v>0</v>
      </c>
      <c r="AF428">
        <v>0</v>
      </c>
      <c r="AG428">
        <v>0</v>
      </c>
      <c r="AH428">
        <v>0</v>
      </c>
      <c r="AI428">
        <v>0</v>
      </c>
      <c r="AJ428">
        <v>0</v>
      </c>
      <c r="AK428">
        <v>0</v>
      </c>
      <c r="AL428">
        <v>68</v>
      </c>
      <c r="AM428">
        <v>6.333333333333333</v>
      </c>
      <c r="AN428">
        <v>155.48787765758911</v>
      </c>
    </row>
    <row r="429" spans="1:40" x14ac:dyDescent="0.3">
      <c r="A429" t="s">
        <v>174</v>
      </c>
      <c r="B429" t="s">
        <v>54</v>
      </c>
      <c r="C429" t="s">
        <v>10</v>
      </c>
      <c r="D429" t="s">
        <v>11</v>
      </c>
      <c r="E429">
        <v>202602</v>
      </c>
      <c r="F429" t="s">
        <v>57</v>
      </c>
      <c r="G429">
        <v>0</v>
      </c>
      <c r="H429">
        <v>3</v>
      </c>
      <c r="I429">
        <v>3</v>
      </c>
      <c r="J429">
        <v>0</v>
      </c>
      <c r="K429">
        <v>5</v>
      </c>
      <c r="L429">
        <v>5</v>
      </c>
      <c r="M429">
        <v>1</v>
      </c>
      <c r="N429">
        <v>0</v>
      </c>
      <c r="O429">
        <v>0</v>
      </c>
      <c r="P429">
        <v>5</v>
      </c>
      <c r="Q429">
        <v>2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0</v>
      </c>
      <c r="AD429">
        <v>0</v>
      </c>
      <c r="AE429">
        <v>0</v>
      </c>
      <c r="AF429">
        <v>0</v>
      </c>
      <c r="AG429">
        <v>0</v>
      </c>
      <c r="AH429">
        <v>0</v>
      </c>
      <c r="AI429">
        <v>0</v>
      </c>
      <c r="AJ429">
        <v>0</v>
      </c>
      <c r="AK429">
        <v>0</v>
      </c>
      <c r="AL429">
        <v>24</v>
      </c>
      <c r="AM429">
        <v>2.3333333333333335</v>
      </c>
      <c r="AN429">
        <v>56.232375979111779</v>
      </c>
    </row>
    <row r="430" spans="1:40" x14ac:dyDescent="0.3">
      <c r="A430" t="s">
        <v>174</v>
      </c>
      <c r="B430" t="s">
        <v>54</v>
      </c>
      <c r="C430" t="s">
        <v>10</v>
      </c>
      <c r="D430" t="s">
        <v>11</v>
      </c>
      <c r="E430">
        <v>202602</v>
      </c>
      <c r="F430" t="s">
        <v>58</v>
      </c>
      <c r="G430">
        <v>0</v>
      </c>
      <c r="H430">
        <v>3</v>
      </c>
      <c r="I430">
        <v>1</v>
      </c>
      <c r="J430">
        <v>1</v>
      </c>
      <c r="K430">
        <v>0</v>
      </c>
      <c r="L430">
        <v>0</v>
      </c>
      <c r="M430">
        <v>1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0</v>
      </c>
      <c r="AD430">
        <v>0</v>
      </c>
      <c r="AE430">
        <v>0</v>
      </c>
      <c r="AF430">
        <v>0</v>
      </c>
      <c r="AG430">
        <v>0</v>
      </c>
      <c r="AH430">
        <v>0</v>
      </c>
      <c r="AI430">
        <v>0</v>
      </c>
      <c r="AJ430">
        <v>0</v>
      </c>
      <c r="AK430">
        <v>0</v>
      </c>
      <c r="AL430">
        <v>6</v>
      </c>
      <c r="AM430">
        <v>0</v>
      </c>
      <c r="AN430">
        <v>6</v>
      </c>
    </row>
    <row r="431" spans="1:40" x14ac:dyDescent="0.3">
      <c r="A431" t="s">
        <v>174</v>
      </c>
      <c r="B431" t="s">
        <v>54</v>
      </c>
      <c r="C431" t="s">
        <v>10</v>
      </c>
      <c r="D431" t="s">
        <v>14</v>
      </c>
      <c r="E431">
        <v>202602</v>
      </c>
      <c r="F431" t="s">
        <v>55</v>
      </c>
      <c r="G431">
        <v>0</v>
      </c>
      <c r="H431">
        <v>4</v>
      </c>
      <c r="I431">
        <v>7</v>
      </c>
      <c r="J431">
        <v>3</v>
      </c>
      <c r="K431">
        <v>4</v>
      </c>
      <c r="L431">
        <v>1</v>
      </c>
      <c r="M431">
        <v>1</v>
      </c>
      <c r="N431">
        <v>1</v>
      </c>
      <c r="O431">
        <v>3</v>
      </c>
      <c r="P431">
        <v>2</v>
      </c>
      <c r="Q431">
        <v>2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0</v>
      </c>
      <c r="AG431">
        <v>0</v>
      </c>
      <c r="AH431">
        <v>0</v>
      </c>
      <c r="AI431">
        <v>0</v>
      </c>
      <c r="AJ431">
        <v>0</v>
      </c>
      <c r="AK431">
        <v>0</v>
      </c>
      <c r="AL431">
        <v>28</v>
      </c>
      <c r="AM431">
        <v>2.3333333333333335</v>
      </c>
      <c r="AN431">
        <v>56.292187500000296</v>
      </c>
    </row>
    <row r="432" spans="1:40" x14ac:dyDescent="0.3">
      <c r="A432" t="s">
        <v>174</v>
      </c>
      <c r="B432" t="s">
        <v>54</v>
      </c>
      <c r="C432" t="s">
        <v>10</v>
      </c>
      <c r="D432" t="s">
        <v>14</v>
      </c>
      <c r="E432">
        <v>202602</v>
      </c>
      <c r="F432" t="s">
        <v>56</v>
      </c>
      <c r="G432">
        <v>0</v>
      </c>
      <c r="H432">
        <v>7</v>
      </c>
      <c r="I432">
        <v>10</v>
      </c>
      <c r="J432">
        <v>20</v>
      </c>
      <c r="K432">
        <v>11</v>
      </c>
      <c r="L432">
        <v>11</v>
      </c>
      <c r="M432">
        <v>2</v>
      </c>
      <c r="N432">
        <v>0</v>
      </c>
      <c r="O432">
        <v>17</v>
      </c>
      <c r="P432">
        <v>12</v>
      </c>
      <c r="Q432">
        <v>12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0</v>
      </c>
      <c r="AH432">
        <v>0</v>
      </c>
      <c r="AI432">
        <v>0</v>
      </c>
      <c r="AJ432">
        <v>0</v>
      </c>
      <c r="AK432">
        <v>0</v>
      </c>
      <c r="AL432">
        <v>102</v>
      </c>
      <c r="AM432">
        <v>13.666666666666666</v>
      </c>
      <c r="AN432">
        <v>267.71138392857313</v>
      </c>
    </row>
    <row r="433" spans="1:40" x14ac:dyDescent="0.3">
      <c r="A433" t="s">
        <v>174</v>
      </c>
      <c r="B433" t="s">
        <v>54</v>
      </c>
      <c r="C433" t="s">
        <v>10</v>
      </c>
      <c r="D433" t="s">
        <v>14</v>
      </c>
      <c r="E433">
        <v>202602</v>
      </c>
      <c r="F433" t="s">
        <v>57</v>
      </c>
      <c r="G433">
        <v>0</v>
      </c>
      <c r="H433">
        <v>3</v>
      </c>
      <c r="I433">
        <v>3</v>
      </c>
      <c r="J433">
        <v>9</v>
      </c>
      <c r="K433">
        <v>4</v>
      </c>
      <c r="L433">
        <v>0</v>
      </c>
      <c r="M433">
        <v>3</v>
      </c>
      <c r="N433">
        <v>0</v>
      </c>
      <c r="O433">
        <v>3</v>
      </c>
      <c r="P433">
        <v>6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  <c r="AG433">
        <v>0</v>
      </c>
      <c r="AH433">
        <v>0</v>
      </c>
      <c r="AI433">
        <v>0</v>
      </c>
      <c r="AJ433">
        <v>0</v>
      </c>
      <c r="AK433">
        <v>0</v>
      </c>
      <c r="AL433">
        <v>31</v>
      </c>
      <c r="AM433">
        <v>3</v>
      </c>
      <c r="AN433">
        <v>67.375669642857517</v>
      </c>
    </row>
    <row r="434" spans="1:40" x14ac:dyDescent="0.3">
      <c r="A434" t="s">
        <v>174</v>
      </c>
      <c r="B434" t="s">
        <v>54</v>
      </c>
      <c r="C434" t="s">
        <v>10</v>
      </c>
      <c r="D434" t="s">
        <v>14</v>
      </c>
      <c r="E434">
        <v>202602</v>
      </c>
      <c r="F434" t="s">
        <v>58</v>
      </c>
      <c r="G434">
        <v>0</v>
      </c>
      <c r="H434">
        <v>0</v>
      </c>
      <c r="I434">
        <v>0</v>
      </c>
      <c r="J434">
        <v>2</v>
      </c>
      <c r="K434">
        <v>2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0</v>
      </c>
      <c r="AF434">
        <v>0</v>
      </c>
      <c r="AG434">
        <v>0</v>
      </c>
      <c r="AH434">
        <v>0</v>
      </c>
      <c r="AI434">
        <v>0</v>
      </c>
      <c r="AJ434">
        <v>0</v>
      </c>
      <c r="AK434">
        <v>0</v>
      </c>
      <c r="AL434">
        <v>4</v>
      </c>
      <c r="AM434">
        <v>0</v>
      </c>
      <c r="AN434">
        <v>4</v>
      </c>
    </row>
    <row r="435" spans="1:40" x14ac:dyDescent="0.3">
      <c r="A435" t="s">
        <v>174</v>
      </c>
      <c r="B435" t="s">
        <v>54</v>
      </c>
      <c r="C435" t="s">
        <v>16</v>
      </c>
      <c r="D435" t="s">
        <v>11</v>
      </c>
      <c r="E435">
        <v>202602</v>
      </c>
      <c r="F435" t="s">
        <v>58</v>
      </c>
      <c r="G435">
        <v>0</v>
      </c>
      <c r="H435">
        <v>0</v>
      </c>
      <c r="I435">
        <v>1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0</v>
      </c>
      <c r="AF435">
        <v>0</v>
      </c>
      <c r="AG435">
        <v>0</v>
      </c>
      <c r="AH435">
        <v>0</v>
      </c>
      <c r="AI435">
        <v>0</v>
      </c>
      <c r="AJ435">
        <v>0</v>
      </c>
      <c r="AK435">
        <v>0</v>
      </c>
      <c r="AL435">
        <v>1</v>
      </c>
      <c r="AM435">
        <v>0</v>
      </c>
      <c r="AN435">
        <v>1</v>
      </c>
    </row>
    <row r="436" spans="1:40" x14ac:dyDescent="0.3">
      <c r="A436" t="s">
        <v>174</v>
      </c>
      <c r="B436" t="s">
        <v>54</v>
      </c>
      <c r="C436" t="s">
        <v>16</v>
      </c>
      <c r="D436" t="s">
        <v>14</v>
      </c>
      <c r="E436">
        <v>202602</v>
      </c>
      <c r="F436" t="s">
        <v>56</v>
      </c>
      <c r="G436">
        <v>0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0</v>
      </c>
      <c r="O436">
        <v>1</v>
      </c>
      <c r="P436">
        <v>2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0</v>
      </c>
      <c r="AF436">
        <v>0</v>
      </c>
      <c r="AG436">
        <v>0</v>
      </c>
      <c r="AH436">
        <v>0</v>
      </c>
      <c r="AI436">
        <v>0</v>
      </c>
      <c r="AJ436">
        <v>0</v>
      </c>
      <c r="AK436">
        <v>0</v>
      </c>
      <c r="AL436">
        <v>3</v>
      </c>
      <c r="AM436">
        <v>1</v>
      </c>
      <c r="AN436">
        <v>15.125223214285839</v>
      </c>
    </row>
    <row r="437" spans="1:40" x14ac:dyDescent="0.3">
      <c r="A437" t="s">
        <v>174</v>
      </c>
      <c r="B437" t="s">
        <v>54</v>
      </c>
      <c r="C437" t="s">
        <v>16</v>
      </c>
      <c r="D437" t="s">
        <v>14</v>
      </c>
      <c r="E437">
        <v>202602</v>
      </c>
      <c r="F437" t="s">
        <v>57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1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0</v>
      </c>
      <c r="AJ437">
        <v>0</v>
      </c>
      <c r="AK437">
        <v>0</v>
      </c>
      <c r="AL437">
        <v>1</v>
      </c>
      <c r="AM437">
        <v>0</v>
      </c>
      <c r="AN437">
        <v>1</v>
      </c>
    </row>
    <row r="438" spans="1:40" x14ac:dyDescent="0.3">
      <c r="A438" t="s">
        <v>174</v>
      </c>
      <c r="B438" t="s">
        <v>54</v>
      </c>
      <c r="C438" t="s">
        <v>16</v>
      </c>
      <c r="D438" t="s">
        <v>14</v>
      </c>
      <c r="E438">
        <v>202602</v>
      </c>
      <c r="F438" t="s">
        <v>58</v>
      </c>
      <c r="G438">
        <v>3</v>
      </c>
      <c r="H438">
        <v>0</v>
      </c>
      <c r="I438">
        <v>0</v>
      </c>
      <c r="J438">
        <v>0</v>
      </c>
      <c r="K438">
        <v>1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1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0</v>
      </c>
      <c r="AJ438">
        <v>0</v>
      </c>
      <c r="AK438">
        <v>0</v>
      </c>
      <c r="AL438">
        <v>5</v>
      </c>
      <c r="AM438">
        <v>0.33333333333333331</v>
      </c>
      <c r="AN438">
        <v>9.0417410714286142</v>
      </c>
    </row>
    <row r="439" spans="1:40" x14ac:dyDescent="0.3">
      <c r="A439" t="s">
        <v>174</v>
      </c>
      <c r="B439" t="s">
        <v>59</v>
      </c>
      <c r="C439" t="s">
        <v>10</v>
      </c>
      <c r="D439" t="s">
        <v>11</v>
      </c>
      <c r="E439">
        <v>202602</v>
      </c>
      <c r="F439" t="s">
        <v>205</v>
      </c>
      <c r="G439">
        <v>0</v>
      </c>
      <c r="H439">
        <v>1</v>
      </c>
      <c r="I439">
        <v>1</v>
      </c>
      <c r="J439">
        <v>2</v>
      </c>
      <c r="K439">
        <v>6</v>
      </c>
      <c r="L439">
        <v>2</v>
      </c>
      <c r="M439">
        <v>2</v>
      </c>
      <c r="N439">
        <v>0</v>
      </c>
      <c r="O439">
        <v>2</v>
      </c>
      <c r="P439">
        <v>4</v>
      </c>
      <c r="Q439">
        <v>2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0</v>
      </c>
      <c r="AH439">
        <v>0</v>
      </c>
      <c r="AI439">
        <v>0</v>
      </c>
      <c r="AJ439">
        <v>0</v>
      </c>
      <c r="AK439">
        <v>0</v>
      </c>
      <c r="AL439">
        <v>22</v>
      </c>
      <c r="AM439">
        <v>2.6666666666666665</v>
      </c>
      <c r="AN439">
        <v>58.837001118984894</v>
      </c>
    </row>
    <row r="440" spans="1:40" x14ac:dyDescent="0.3">
      <c r="A440" t="s">
        <v>174</v>
      </c>
      <c r="B440" t="s">
        <v>59</v>
      </c>
      <c r="C440" t="s">
        <v>10</v>
      </c>
      <c r="D440" t="s">
        <v>11</v>
      </c>
      <c r="E440">
        <v>202602</v>
      </c>
      <c r="F440" t="s">
        <v>61</v>
      </c>
      <c r="G440">
        <v>0</v>
      </c>
      <c r="H440">
        <v>6</v>
      </c>
      <c r="I440">
        <v>2</v>
      </c>
      <c r="J440">
        <v>4</v>
      </c>
      <c r="K440">
        <v>5</v>
      </c>
      <c r="L440">
        <v>5</v>
      </c>
      <c r="M440">
        <v>3</v>
      </c>
      <c r="N440">
        <v>0</v>
      </c>
      <c r="O440">
        <v>2</v>
      </c>
      <c r="P440">
        <v>3</v>
      </c>
      <c r="Q440">
        <v>5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0</v>
      </c>
      <c r="AJ440">
        <v>0</v>
      </c>
      <c r="AK440">
        <v>0</v>
      </c>
      <c r="AL440">
        <v>35</v>
      </c>
      <c r="AM440">
        <v>3.3333333333333335</v>
      </c>
      <c r="AN440">
        <v>81.046251398731116</v>
      </c>
    </row>
    <row r="441" spans="1:40" x14ac:dyDescent="0.3">
      <c r="A441" t="s">
        <v>174</v>
      </c>
      <c r="B441" t="s">
        <v>59</v>
      </c>
      <c r="C441" t="s">
        <v>10</v>
      </c>
      <c r="D441" t="s">
        <v>11</v>
      </c>
      <c r="E441">
        <v>202602</v>
      </c>
      <c r="F441" t="s">
        <v>63</v>
      </c>
      <c r="G441">
        <v>0</v>
      </c>
      <c r="H441">
        <v>1</v>
      </c>
      <c r="I441">
        <v>0</v>
      </c>
      <c r="J441">
        <v>0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0</v>
      </c>
      <c r="AJ441">
        <v>0</v>
      </c>
      <c r="AK441">
        <v>0</v>
      </c>
      <c r="AL441">
        <v>1</v>
      </c>
      <c r="AM441">
        <v>0</v>
      </c>
      <c r="AN441">
        <v>1</v>
      </c>
    </row>
    <row r="442" spans="1:40" x14ac:dyDescent="0.3">
      <c r="A442" t="s">
        <v>174</v>
      </c>
      <c r="B442" t="s">
        <v>59</v>
      </c>
      <c r="C442" t="s">
        <v>10</v>
      </c>
      <c r="D442" t="s">
        <v>11</v>
      </c>
      <c r="E442">
        <v>202602</v>
      </c>
      <c r="F442" t="s">
        <v>206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0</v>
      </c>
      <c r="O442">
        <v>1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0</v>
      </c>
      <c r="AJ442">
        <v>0</v>
      </c>
      <c r="AK442">
        <v>0</v>
      </c>
      <c r="AL442">
        <v>1</v>
      </c>
      <c r="AM442">
        <v>0.33333333333333331</v>
      </c>
      <c r="AN442">
        <v>5.6046251398731117</v>
      </c>
    </row>
    <row r="443" spans="1:40" x14ac:dyDescent="0.3">
      <c r="A443" t="s">
        <v>174</v>
      </c>
      <c r="B443" t="s">
        <v>59</v>
      </c>
      <c r="C443" t="s">
        <v>10</v>
      </c>
      <c r="D443" t="s">
        <v>11</v>
      </c>
      <c r="E443">
        <v>202602</v>
      </c>
      <c r="F443" t="s">
        <v>207</v>
      </c>
      <c r="G443">
        <v>0</v>
      </c>
      <c r="H443">
        <v>0</v>
      </c>
      <c r="I443">
        <v>0</v>
      </c>
      <c r="J443">
        <v>1</v>
      </c>
      <c r="K443">
        <v>0</v>
      </c>
      <c r="L443">
        <v>1</v>
      </c>
      <c r="M443">
        <v>0</v>
      </c>
      <c r="N443">
        <v>0</v>
      </c>
      <c r="O443">
        <v>0</v>
      </c>
      <c r="P443">
        <v>0</v>
      </c>
      <c r="Q443">
        <v>1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>
        <v>0</v>
      </c>
      <c r="AI443">
        <v>0</v>
      </c>
      <c r="AJ443">
        <v>0</v>
      </c>
      <c r="AK443">
        <v>0</v>
      </c>
      <c r="AL443">
        <v>3</v>
      </c>
      <c r="AM443">
        <v>0.33333333333333331</v>
      </c>
      <c r="AN443">
        <v>7.6046251398731117</v>
      </c>
    </row>
    <row r="444" spans="1:40" x14ac:dyDescent="0.3">
      <c r="A444" t="s">
        <v>174</v>
      </c>
      <c r="B444" t="s">
        <v>59</v>
      </c>
      <c r="C444" t="s">
        <v>10</v>
      </c>
      <c r="D444" t="s">
        <v>11</v>
      </c>
      <c r="E444">
        <v>202602</v>
      </c>
      <c r="F444" t="s">
        <v>208</v>
      </c>
      <c r="G444">
        <v>0</v>
      </c>
      <c r="H444">
        <v>0</v>
      </c>
      <c r="I444">
        <v>0</v>
      </c>
      <c r="J444">
        <v>0</v>
      </c>
      <c r="K444">
        <v>0</v>
      </c>
      <c r="L444">
        <v>1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>
        <v>0</v>
      </c>
      <c r="AI444">
        <v>0</v>
      </c>
      <c r="AJ444">
        <v>0</v>
      </c>
      <c r="AK444">
        <v>0</v>
      </c>
      <c r="AL444">
        <v>1</v>
      </c>
      <c r="AM444">
        <v>0</v>
      </c>
      <c r="AN444">
        <v>1</v>
      </c>
    </row>
    <row r="445" spans="1:40" x14ac:dyDescent="0.3">
      <c r="A445" t="s">
        <v>174</v>
      </c>
      <c r="B445" t="s">
        <v>59</v>
      </c>
      <c r="C445" t="s">
        <v>10</v>
      </c>
      <c r="D445" t="s">
        <v>11</v>
      </c>
      <c r="E445">
        <v>202602</v>
      </c>
      <c r="F445" t="s">
        <v>66</v>
      </c>
      <c r="G445">
        <v>0</v>
      </c>
      <c r="H445">
        <v>0</v>
      </c>
      <c r="I445">
        <v>0</v>
      </c>
      <c r="J445">
        <v>1</v>
      </c>
      <c r="K445">
        <v>0</v>
      </c>
      <c r="L445">
        <v>2</v>
      </c>
      <c r="M445">
        <v>0</v>
      </c>
      <c r="N445">
        <v>0</v>
      </c>
      <c r="O445">
        <v>1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>
        <v>0</v>
      </c>
      <c r="AI445">
        <v>0</v>
      </c>
      <c r="AJ445">
        <v>0</v>
      </c>
      <c r="AK445">
        <v>0</v>
      </c>
      <c r="AL445">
        <v>4</v>
      </c>
      <c r="AM445">
        <v>0.33333333333333331</v>
      </c>
      <c r="AN445">
        <v>8.6046251398731108</v>
      </c>
    </row>
    <row r="446" spans="1:40" x14ac:dyDescent="0.3">
      <c r="A446" t="s">
        <v>174</v>
      </c>
      <c r="B446" t="s">
        <v>59</v>
      </c>
      <c r="C446" t="s">
        <v>10</v>
      </c>
      <c r="D446" t="s">
        <v>11</v>
      </c>
      <c r="E446">
        <v>202602</v>
      </c>
      <c r="F446" t="s">
        <v>69</v>
      </c>
      <c r="G446">
        <v>0</v>
      </c>
      <c r="H446">
        <v>0</v>
      </c>
      <c r="I446">
        <v>0</v>
      </c>
      <c r="J446">
        <v>1</v>
      </c>
      <c r="K446">
        <v>1</v>
      </c>
      <c r="L446">
        <v>0</v>
      </c>
      <c r="M446">
        <v>0</v>
      </c>
      <c r="N446">
        <v>0</v>
      </c>
      <c r="O446">
        <v>1</v>
      </c>
      <c r="P446">
        <v>1</v>
      </c>
      <c r="Q446">
        <v>1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  <c r="AK446">
        <v>0</v>
      </c>
      <c r="AL446">
        <v>5</v>
      </c>
      <c r="AM446">
        <v>1</v>
      </c>
      <c r="AN446">
        <v>18.813875419619336</v>
      </c>
    </row>
    <row r="447" spans="1:40" x14ac:dyDescent="0.3">
      <c r="A447" t="s">
        <v>174</v>
      </c>
      <c r="B447" t="s">
        <v>59</v>
      </c>
      <c r="C447" t="s">
        <v>10</v>
      </c>
      <c r="D447" t="s">
        <v>11</v>
      </c>
      <c r="E447">
        <v>202602</v>
      </c>
      <c r="F447" t="s">
        <v>209</v>
      </c>
      <c r="G447">
        <v>0</v>
      </c>
      <c r="H447">
        <v>0</v>
      </c>
      <c r="I447">
        <v>0</v>
      </c>
      <c r="J447">
        <v>1</v>
      </c>
      <c r="K447">
        <v>2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>
        <v>0</v>
      </c>
      <c r="AI447">
        <v>0</v>
      </c>
      <c r="AJ447">
        <v>0</v>
      </c>
      <c r="AK447">
        <v>0</v>
      </c>
      <c r="AL447">
        <v>3</v>
      </c>
      <c r="AM447">
        <v>0</v>
      </c>
      <c r="AN447">
        <v>3</v>
      </c>
    </row>
    <row r="448" spans="1:40" x14ac:dyDescent="0.3">
      <c r="A448" t="s">
        <v>174</v>
      </c>
      <c r="B448" t="s">
        <v>59</v>
      </c>
      <c r="C448" t="s">
        <v>10</v>
      </c>
      <c r="D448" t="s">
        <v>11</v>
      </c>
      <c r="E448">
        <v>202602</v>
      </c>
      <c r="F448" t="s">
        <v>210</v>
      </c>
      <c r="G448">
        <v>0</v>
      </c>
      <c r="H448">
        <v>1</v>
      </c>
      <c r="I448">
        <v>0</v>
      </c>
      <c r="J448">
        <v>0</v>
      </c>
      <c r="K448">
        <v>0</v>
      </c>
      <c r="L448">
        <v>2</v>
      </c>
      <c r="M448">
        <v>0</v>
      </c>
      <c r="N448">
        <v>0</v>
      </c>
      <c r="O448">
        <v>2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0</v>
      </c>
      <c r="AI448">
        <v>0</v>
      </c>
      <c r="AJ448">
        <v>0</v>
      </c>
      <c r="AK448">
        <v>0</v>
      </c>
      <c r="AL448">
        <v>5</v>
      </c>
      <c r="AM448">
        <v>0.66666666666666663</v>
      </c>
      <c r="AN448">
        <v>14.209250279746223</v>
      </c>
    </row>
    <row r="449" spans="1:40" x14ac:dyDescent="0.3">
      <c r="A449" t="s">
        <v>174</v>
      </c>
      <c r="B449" t="s">
        <v>59</v>
      </c>
      <c r="C449" t="s">
        <v>10</v>
      </c>
      <c r="D449" t="s">
        <v>11</v>
      </c>
      <c r="E449">
        <v>202602</v>
      </c>
      <c r="F449" t="s">
        <v>211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1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0</v>
      </c>
      <c r="AI449">
        <v>0</v>
      </c>
      <c r="AJ449">
        <v>0</v>
      </c>
      <c r="AK449">
        <v>0</v>
      </c>
      <c r="AL449">
        <v>1</v>
      </c>
      <c r="AM449">
        <v>0</v>
      </c>
      <c r="AN449">
        <v>1</v>
      </c>
    </row>
    <row r="450" spans="1:40" x14ac:dyDescent="0.3">
      <c r="A450" t="s">
        <v>174</v>
      </c>
      <c r="B450" t="s">
        <v>59</v>
      </c>
      <c r="C450" t="s">
        <v>10</v>
      </c>
      <c r="D450" t="s">
        <v>11</v>
      </c>
      <c r="E450">
        <v>202602</v>
      </c>
      <c r="F450" t="s">
        <v>212</v>
      </c>
      <c r="G450">
        <v>0</v>
      </c>
      <c r="H450">
        <v>0</v>
      </c>
      <c r="I450">
        <v>0</v>
      </c>
      <c r="J450">
        <v>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0</v>
      </c>
      <c r="AL450">
        <v>1</v>
      </c>
      <c r="AM450">
        <v>0</v>
      </c>
      <c r="AN450">
        <v>1</v>
      </c>
    </row>
    <row r="451" spans="1:40" x14ac:dyDescent="0.3">
      <c r="A451" t="s">
        <v>174</v>
      </c>
      <c r="B451" t="s">
        <v>59</v>
      </c>
      <c r="C451" t="s">
        <v>10</v>
      </c>
      <c r="D451" t="s">
        <v>11</v>
      </c>
      <c r="E451">
        <v>202602</v>
      </c>
      <c r="F451" t="s">
        <v>213</v>
      </c>
      <c r="G451">
        <v>0</v>
      </c>
      <c r="H451">
        <v>0</v>
      </c>
      <c r="I451">
        <v>0</v>
      </c>
      <c r="J451">
        <v>0</v>
      </c>
      <c r="K451">
        <v>1</v>
      </c>
      <c r="L451">
        <v>0</v>
      </c>
      <c r="M451">
        <v>1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>
        <v>0</v>
      </c>
      <c r="AI451">
        <v>0</v>
      </c>
      <c r="AJ451">
        <v>0</v>
      </c>
      <c r="AK451">
        <v>0</v>
      </c>
      <c r="AL451">
        <v>2</v>
      </c>
      <c r="AM451">
        <v>0</v>
      </c>
      <c r="AN451">
        <v>2</v>
      </c>
    </row>
    <row r="452" spans="1:40" x14ac:dyDescent="0.3">
      <c r="A452" t="s">
        <v>174</v>
      </c>
      <c r="B452" t="s">
        <v>59</v>
      </c>
      <c r="C452" t="s">
        <v>10</v>
      </c>
      <c r="D452" t="s">
        <v>14</v>
      </c>
      <c r="E452">
        <v>202602</v>
      </c>
      <c r="F452" t="s">
        <v>60</v>
      </c>
      <c r="G452">
        <v>0</v>
      </c>
      <c r="H452">
        <v>1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>
        <v>0</v>
      </c>
      <c r="AI452">
        <v>0</v>
      </c>
      <c r="AJ452">
        <v>0</v>
      </c>
      <c r="AK452">
        <v>0</v>
      </c>
      <c r="AL452">
        <v>1</v>
      </c>
      <c r="AM452">
        <v>0</v>
      </c>
      <c r="AN452">
        <v>1</v>
      </c>
    </row>
    <row r="453" spans="1:40" x14ac:dyDescent="0.3">
      <c r="A453" t="s">
        <v>174</v>
      </c>
      <c r="B453" t="s">
        <v>59</v>
      </c>
      <c r="C453" t="s">
        <v>10</v>
      </c>
      <c r="D453" t="s">
        <v>14</v>
      </c>
      <c r="E453">
        <v>202602</v>
      </c>
      <c r="F453" t="s">
        <v>205</v>
      </c>
      <c r="G453">
        <v>0</v>
      </c>
      <c r="H453">
        <v>5</v>
      </c>
      <c r="I453">
        <v>10</v>
      </c>
      <c r="J453">
        <v>5</v>
      </c>
      <c r="K453">
        <v>1</v>
      </c>
      <c r="L453">
        <v>3</v>
      </c>
      <c r="M453">
        <v>0</v>
      </c>
      <c r="N453">
        <v>0</v>
      </c>
      <c r="O453">
        <v>8</v>
      </c>
      <c r="P453">
        <v>6</v>
      </c>
      <c r="Q453">
        <v>6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>
        <v>0</v>
      </c>
      <c r="AI453">
        <v>0</v>
      </c>
      <c r="AJ453">
        <v>0</v>
      </c>
      <c r="AK453">
        <v>0</v>
      </c>
      <c r="AL453">
        <v>44</v>
      </c>
      <c r="AM453">
        <v>6.666666666666667</v>
      </c>
      <c r="AN453">
        <v>124.83482142857225</v>
      </c>
    </row>
    <row r="454" spans="1:40" x14ac:dyDescent="0.3">
      <c r="A454" t="s">
        <v>174</v>
      </c>
      <c r="B454" t="s">
        <v>59</v>
      </c>
      <c r="C454" t="s">
        <v>10</v>
      </c>
      <c r="D454" t="s">
        <v>14</v>
      </c>
      <c r="E454">
        <v>202602</v>
      </c>
      <c r="F454" t="s">
        <v>61</v>
      </c>
      <c r="G454">
        <v>0</v>
      </c>
      <c r="H454">
        <v>6</v>
      </c>
      <c r="I454">
        <v>4</v>
      </c>
      <c r="J454">
        <v>7</v>
      </c>
      <c r="K454">
        <v>5</v>
      </c>
      <c r="L454">
        <v>9</v>
      </c>
      <c r="M454">
        <v>0</v>
      </c>
      <c r="N454">
        <v>0</v>
      </c>
      <c r="O454">
        <v>8</v>
      </c>
      <c r="P454">
        <v>5</v>
      </c>
      <c r="Q454">
        <v>8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>
        <v>0</v>
      </c>
      <c r="AI454">
        <v>0</v>
      </c>
      <c r="AJ454">
        <v>0</v>
      </c>
      <c r="AK454">
        <v>0</v>
      </c>
      <c r="AL454">
        <v>52</v>
      </c>
      <c r="AM454">
        <v>7</v>
      </c>
      <c r="AN454">
        <v>136.87656250000089</v>
      </c>
    </row>
    <row r="455" spans="1:40" x14ac:dyDescent="0.3">
      <c r="A455" t="s">
        <v>174</v>
      </c>
      <c r="B455" t="s">
        <v>59</v>
      </c>
      <c r="C455" t="s">
        <v>10</v>
      </c>
      <c r="D455" t="s">
        <v>14</v>
      </c>
      <c r="E455">
        <v>202602</v>
      </c>
      <c r="F455" t="s">
        <v>63</v>
      </c>
      <c r="G455">
        <v>0</v>
      </c>
      <c r="H455">
        <v>0</v>
      </c>
      <c r="I455">
        <v>0</v>
      </c>
      <c r="J455">
        <v>1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1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0</v>
      </c>
      <c r="AE455">
        <v>0</v>
      </c>
      <c r="AF455">
        <v>0</v>
      </c>
      <c r="AG455">
        <v>0</v>
      </c>
      <c r="AH455">
        <v>0</v>
      </c>
      <c r="AI455">
        <v>0</v>
      </c>
      <c r="AJ455">
        <v>0</v>
      </c>
      <c r="AK455">
        <v>0</v>
      </c>
      <c r="AL455">
        <v>2</v>
      </c>
      <c r="AM455">
        <v>0.33333333333333331</v>
      </c>
      <c r="AN455">
        <v>6.0417410714286133</v>
      </c>
    </row>
    <row r="456" spans="1:40" x14ac:dyDescent="0.3">
      <c r="A456" t="s">
        <v>174</v>
      </c>
      <c r="B456" t="s">
        <v>59</v>
      </c>
      <c r="C456" t="s">
        <v>10</v>
      </c>
      <c r="D456" t="s">
        <v>14</v>
      </c>
      <c r="E456">
        <v>202602</v>
      </c>
      <c r="F456" t="s">
        <v>206</v>
      </c>
      <c r="G456">
        <v>0</v>
      </c>
      <c r="H456">
        <v>0</v>
      </c>
      <c r="I456">
        <v>0</v>
      </c>
      <c r="J456">
        <v>0</v>
      </c>
      <c r="K456">
        <v>1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0</v>
      </c>
      <c r="AE456">
        <v>0</v>
      </c>
      <c r="AF456">
        <v>0</v>
      </c>
      <c r="AG456">
        <v>0</v>
      </c>
      <c r="AH456">
        <v>0</v>
      </c>
      <c r="AI456">
        <v>0</v>
      </c>
      <c r="AJ456">
        <v>0</v>
      </c>
      <c r="AK456">
        <v>0</v>
      </c>
      <c r="AL456">
        <v>1</v>
      </c>
      <c r="AM456">
        <v>0</v>
      </c>
      <c r="AN456">
        <v>1</v>
      </c>
    </row>
    <row r="457" spans="1:40" x14ac:dyDescent="0.3">
      <c r="A457" t="s">
        <v>174</v>
      </c>
      <c r="B457" t="s">
        <v>59</v>
      </c>
      <c r="C457" t="s">
        <v>10</v>
      </c>
      <c r="D457" t="s">
        <v>14</v>
      </c>
      <c r="E457">
        <v>202602</v>
      </c>
      <c r="F457" t="s">
        <v>207</v>
      </c>
      <c r="G457">
        <v>0</v>
      </c>
      <c r="H457">
        <v>1</v>
      </c>
      <c r="I457">
        <v>0</v>
      </c>
      <c r="J457">
        <v>0</v>
      </c>
      <c r="K457">
        <v>1</v>
      </c>
      <c r="L457">
        <v>0</v>
      </c>
      <c r="M457">
        <v>0</v>
      </c>
      <c r="N457">
        <v>0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  <c r="AK457">
        <v>0</v>
      </c>
      <c r="AL457">
        <v>3</v>
      </c>
      <c r="AM457">
        <v>0.33333333333333331</v>
      </c>
      <c r="AN457">
        <v>7.0417410714286133</v>
      </c>
    </row>
    <row r="458" spans="1:40" x14ac:dyDescent="0.3">
      <c r="A458" t="s">
        <v>174</v>
      </c>
      <c r="B458" t="s">
        <v>59</v>
      </c>
      <c r="C458" t="s">
        <v>10</v>
      </c>
      <c r="D458" t="s">
        <v>14</v>
      </c>
      <c r="E458">
        <v>202602</v>
      </c>
      <c r="F458" t="s">
        <v>208</v>
      </c>
      <c r="G458">
        <v>0</v>
      </c>
      <c r="H458">
        <v>0</v>
      </c>
      <c r="I458">
        <v>0</v>
      </c>
      <c r="J458">
        <v>1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0</v>
      </c>
      <c r="AH458">
        <v>0</v>
      </c>
      <c r="AI458">
        <v>0</v>
      </c>
      <c r="AJ458">
        <v>0</v>
      </c>
      <c r="AK458">
        <v>0</v>
      </c>
      <c r="AL458">
        <v>1</v>
      </c>
      <c r="AM458">
        <v>0</v>
      </c>
      <c r="AN458">
        <v>1</v>
      </c>
    </row>
    <row r="459" spans="1:40" x14ac:dyDescent="0.3">
      <c r="A459" t="s">
        <v>174</v>
      </c>
      <c r="B459" t="s">
        <v>59</v>
      </c>
      <c r="C459" t="s">
        <v>10</v>
      </c>
      <c r="D459" t="s">
        <v>14</v>
      </c>
      <c r="E459">
        <v>202602</v>
      </c>
      <c r="F459" t="s">
        <v>66</v>
      </c>
      <c r="G459">
        <v>0</v>
      </c>
      <c r="H459">
        <v>0</v>
      </c>
      <c r="I459">
        <v>1</v>
      </c>
      <c r="J459">
        <v>3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0</v>
      </c>
      <c r="AH459">
        <v>0</v>
      </c>
      <c r="AI459">
        <v>0</v>
      </c>
      <c r="AJ459">
        <v>0</v>
      </c>
      <c r="AK459">
        <v>0</v>
      </c>
      <c r="AL459">
        <v>4</v>
      </c>
      <c r="AM459">
        <v>0</v>
      </c>
      <c r="AN459">
        <v>4</v>
      </c>
    </row>
    <row r="460" spans="1:40" x14ac:dyDescent="0.3">
      <c r="A460" t="s">
        <v>174</v>
      </c>
      <c r="B460" t="s">
        <v>59</v>
      </c>
      <c r="C460" t="s">
        <v>10</v>
      </c>
      <c r="D460" t="s">
        <v>14</v>
      </c>
      <c r="E460">
        <v>202602</v>
      </c>
      <c r="F460" t="s">
        <v>214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1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0</v>
      </c>
      <c r="AE460">
        <v>0</v>
      </c>
      <c r="AF460">
        <v>0</v>
      </c>
      <c r="AG460">
        <v>0</v>
      </c>
      <c r="AH460">
        <v>0</v>
      </c>
      <c r="AI460">
        <v>0</v>
      </c>
      <c r="AJ460">
        <v>0</v>
      </c>
      <c r="AK460">
        <v>0</v>
      </c>
      <c r="AL460">
        <v>1</v>
      </c>
      <c r="AM460">
        <v>0</v>
      </c>
      <c r="AN460">
        <v>1</v>
      </c>
    </row>
    <row r="461" spans="1:40" x14ac:dyDescent="0.3">
      <c r="A461" t="s">
        <v>174</v>
      </c>
      <c r="B461" t="s">
        <v>59</v>
      </c>
      <c r="C461" t="s">
        <v>10</v>
      </c>
      <c r="D461" t="s">
        <v>14</v>
      </c>
      <c r="E461">
        <v>202602</v>
      </c>
      <c r="F461" t="s">
        <v>68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1</v>
      </c>
      <c r="P461">
        <v>1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</v>
      </c>
      <c r="AL461">
        <v>2</v>
      </c>
      <c r="AM461">
        <v>0.66666666666666663</v>
      </c>
      <c r="AN461">
        <v>10.083482142857227</v>
      </c>
    </row>
    <row r="462" spans="1:40" x14ac:dyDescent="0.3">
      <c r="A462" t="s">
        <v>174</v>
      </c>
      <c r="B462" t="s">
        <v>59</v>
      </c>
      <c r="C462" t="s">
        <v>10</v>
      </c>
      <c r="D462" t="s">
        <v>14</v>
      </c>
      <c r="E462">
        <v>202602</v>
      </c>
      <c r="F462" t="s">
        <v>69</v>
      </c>
      <c r="G462">
        <v>0</v>
      </c>
      <c r="H462">
        <v>2</v>
      </c>
      <c r="I462">
        <v>2</v>
      </c>
      <c r="J462">
        <v>3</v>
      </c>
      <c r="K462">
        <v>1</v>
      </c>
      <c r="L462">
        <v>2</v>
      </c>
      <c r="M462">
        <v>0</v>
      </c>
      <c r="N462">
        <v>0</v>
      </c>
      <c r="O462">
        <v>5</v>
      </c>
      <c r="P462">
        <v>1</v>
      </c>
      <c r="Q462">
        <v>1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  <c r="AL462">
        <v>17</v>
      </c>
      <c r="AM462">
        <v>2.3333333333333335</v>
      </c>
      <c r="AN462">
        <v>45.292187500000296</v>
      </c>
    </row>
    <row r="463" spans="1:40" x14ac:dyDescent="0.3">
      <c r="A463" t="s">
        <v>174</v>
      </c>
      <c r="B463" t="s">
        <v>59</v>
      </c>
      <c r="C463" t="s">
        <v>10</v>
      </c>
      <c r="D463" t="s">
        <v>14</v>
      </c>
      <c r="E463">
        <v>202602</v>
      </c>
      <c r="F463" t="s">
        <v>209</v>
      </c>
      <c r="G463">
        <v>0</v>
      </c>
      <c r="H463">
        <v>2</v>
      </c>
      <c r="I463">
        <v>1</v>
      </c>
      <c r="J463">
        <v>1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>
        <v>0</v>
      </c>
      <c r="AI463">
        <v>0</v>
      </c>
      <c r="AJ463">
        <v>0</v>
      </c>
      <c r="AK463">
        <v>0</v>
      </c>
      <c r="AL463">
        <v>4</v>
      </c>
      <c r="AM463">
        <v>0</v>
      </c>
      <c r="AN463">
        <v>4</v>
      </c>
    </row>
    <row r="464" spans="1:40" x14ac:dyDescent="0.3">
      <c r="A464" t="s">
        <v>174</v>
      </c>
      <c r="B464" t="s">
        <v>59</v>
      </c>
      <c r="C464" t="s">
        <v>10</v>
      </c>
      <c r="D464" t="s">
        <v>14</v>
      </c>
      <c r="E464">
        <v>202602</v>
      </c>
      <c r="F464" t="s">
        <v>72</v>
      </c>
      <c r="G464">
        <v>0</v>
      </c>
      <c r="H464">
        <v>0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0</v>
      </c>
      <c r="O464">
        <v>1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>
        <v>0</v>
      </c>
      <c r="AI464">
        <v>0</v>
      </c>
      <c r="AJ464">
        <v>0</v>
      </c>
      <c r="AK464">
        <v>0</v>
      </c>
      <c r="AL464">
        <v>1</v>
      </c>
      <c r="AM464">
        <v>0.33333333333333331</v>
      </c>
      <c r="AN464">
        <v>5.0417410714286133</v>
      </c>
    </row>
    <row r="465" spans="1:40" x14ac:dyDescent="0.3">
      <c r="A465" t="s">
        <v>174</v>
      </c>
      <c r="B465" t="s">
        <v>59</v>
      </c>
      <c r="C465" t="s">
        <v>10</v>
      </c>
      <c r="D465" t="s">
        <v>14</v>
      </c>
      <c r="E465">
        <v>202602</v>
      </c>
      <c r="F465" t="s">
        <v>210</v>
      </c>
      <c r="G465">
        <v>0</v>
      </c>
      <c r="H465">
        <v>1</v>
      </c>
      <c r="I465">
        <v>1</v>
      </c>
      <c r="J465">
        <v>1</v>
      </c>
      <c r="K465">
        <v>1</v>
      </c>
      <c r="L465">
        <v>4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>
        <v>0</v>
      </c>
      <c r="AI465">
        <v>0</v>
      </c>
      <c r="AJ465">
        <v>0</v>
      </c>
      <c r="AK465">
        <v>0</v>
      </c>
      <c r="AL465">
        <v>8</v>
      </c>
      <c r="AM465">
        <v>0</v>
      </c>
      <c r="AN465">
        <v>8</v>
      </c>
    </row>
    <row r="466" spans="1:40" x14ac:dyDescent="0.3">
      <c r="A466" t="s">
        <v>174</v>
      </c>
      <c r="B466" t="s">
        <v>59</v>
      </c>
      <c r="C466" t="s">
        <v>10</v>
      </c>
      <c r="D466" t="s">
        <v>14</v>
      </c>
      <c r="E466">
        <v>202602</v>
      </c>
      <c r="F466" t="s">
        <v>211</v>
      </c>
      <c r="G466">
        <v>0</v>
      </c>
      <c r="H466">
        <v>0</v>
      </c>
      <c r="I466">
        <v>0</v>
      </c>
      <c r="J466">
        <v>1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>
        <v>0</v>
      </c>
      <c r="AI466">
        <v>0</v>
      </c>
      <c r="AJ466">
        <v>0</v>
      </c>
      <c r="AK466">
        <v>0</v>
      </c>
      <c r="AL466">
        <v>1</v>
      </c>
      <c r="AM466">
        <v>0</v>
      </c>
      <c r="AN466">
        <v>1</v>
      </c>
    </row>
    <row r="467" spans="1:40" x14ac:dyDescent="0.3">
      <c r="A467" t="s">
        <v>174</v>
      </c>
      <c r="B467" t="s">
        <v>59</v>
      </c>
      <c r="C467" t="s">
        <v>10</v>
      </c>
      <c r="D467" t="s">
        <v>14</v>
      </c>
      <c r="E467">
        <v>202602</v>
      </c>
      <c r="F467" t="s">
        <v>212</v>
      </c>
      <c r="G467">
        <v>0</v>
      </c>
      <c r="H467">
        <v>0</v>
      </c>
      <c r="I467">
        <v>1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0</v>
      </c>
      <c r="AI467">
        <v>0</v>
      </c>
      <c r="AJ467">
        <v>0</v>
      </c>
      <c r="AK467">
        <v>0</v>
      </c>
      <c r="AL467">
        <v>1</v>
      </c>
      <c r="AM467">
        <v>0</v>
      </c>
      <c r="AN467">
        <v>1</v>
      </c>
    </row>
    <row r="468" spans="1:40" x14ac:dyDescent="0.3">
      <c r="A468" t="s">
        <v>174</v>
      </c>
      <c r="B468" t="s">
        <v>59</v>
      </c>
      <c r="C468" t="s">
        <v>10</v>
      </c>
      <c r="D468" t="s">
        <v>14</v>
      </c>
      <c r="E468">
        <v>202602</v>
      </c>
      <c r="F468" t="s">
        <v>213</v>
      </c>
      <c r="G468">
        <v>0</v>
      </c>
      <c r="H468">
        <v>1</v>
      </c>
      <c r="I468">
        <v>0</v>
      </c>
      <c r="J468">
        <v>0</v>
      </c>
      <c r="K468">
        <v>1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1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>
        <v>0</v>
      </c>
      <c r="AI468">
        <v>0</v>
      </c>
      <c r="AJ468">
        <v>0</v>
      </c>
      <c r="AK468">
        <v>0</v>
      </c>
      <c r="AL468">
        <v>3</v>
      </c>
      <c r="AM468">
        <v>0.33333333333333331</v>
      </c>
      <c r="AN468">
        <v>7.0417410714286133</v>
      </c>
    </row>
    <row r="469" spans="1:40" x14ac:dyDescent="0.3">
      <c r="A469" t="s">
        <v>174</v>
      </c>
      <c r="B469" t="s">
        <v>59</v>
      </c>
      <c r="C469" t="s">
        <v>10</v>
      </c>
      <c r="D469" t="s">
        <v>14</v>
      </c>
      <c r="E469">
        <v>202602</v>
      </c>
      <c r="F469" t="s">
        <v>215</v>
      </c>
      <c r="G469">
        <v>0</v>
      </c>
      <c r="H469">
        <v>0</v>
      </c>
      <c r="I469">
        <v>0</v>
      </c>
      <c r="J469">
        <v>0</v>
      </c>
      <c r="K469">
        <v>1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>
        <v>0</v>
      </c>
      <c r="AI469">
        <v>0</v>
      </c>
      <c r="AJ469">
        <v>0</v>
      </c>
      <c r="AK469">
        <v>0</v>
      </c>
      <c r="AL469">
        <v>1</v>
      </c>
      <c r="AM469">
        <v>0</v>
      </c>
      <c r="AN469">
        <v>1</v>
      </c>
    </row>
    <row r="470" spans="1:40" x14ac:dyDescent="0.3">
      <c r="A470" t="s">
        <v>174</v>
      </c>
      <c r="B470" t="s">
        <v>81</v>
      </c>
      <c r="C470" t="s">
        <v>10</v>
      </c>
      <c r="D470" t="s">
        <v>11</v>
      </c>
      <c r="E470">
        <v>202602</v>
      </c>
      <c r="F470" t="s">
        <v>204</v>
      </c>
      <c r="G470">
        <v>0</v>
      </c>
      <c r="H470">
        <v>3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0</v>
      </c>
      <c r="AI470">
        <v>0</v>
      </c>
      <c r="AJ470">
        <v>0</v>
      </c>
      <c r="AK470">
        <v>0</v>
      </c>
      <c r="AL470">
        <v>3</v>
      </c>
      <c r="AM470">
        <v>0</v>
      </c>
      <c r="AN470">
        <v>3</v>
      </c>
    </row>
    <row r="471" spans="1:40" x14ac:dyDescent="0.3">
      <c r="A471" t="s">
        <v>174</v>
      </c>
      <c r="B471" t="s">
        <v>81</v>
      </c>
      <c r="C471" t="s">
        <v>10</v>
      </c>
      <c r="D471" t="s">
        <v>11</v>
      </c>
      <c r="E471">
        <v>202602</v>
      </c>
      <c r="F471" t="s">
        <v>216</v>
      </c>
      <c r="G471">
        <v>0</v>
      </c>
      <c r="H471">
        <v>0</v>
      </c>
      <c r="I471">
        <v>0</v>
      </c>
      <c r="J471">
        <v>0</v>
      </c>
      <c r="K471">
        <v>1</v>
      </c>
      <c r="L471">
        <v>1</v>
      </c>
      <c r="M471">
        <v>0</v>
      </c>
      <c r="N471">
        <v>0</v>
      </c>
      <c r="O471">
        <v>0</v>
      </c>
      <c r="P471">
        <v>0</v>
      </c>
      <c r="Q471">
        <v>1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0</v>
      </c>
      <c r="AI471">
        <v>0</v>
      </c>
      <c r="AJ471">
        <v>0</v>
      </c>
      <c r="AK471">
        <v>0</v>
      </c>
      <c r="AL471">
        <v>3</v>
      </c>
      <c r="AM471">
        <v>0.33333333333333331</v>
      </c>
      <c r="AN471">
        <v>7.6046251398731117</v>
      </c>
    </row>
    <row r="472" spans="1:40" x14ac:dyDescent="0.3">
      <c r="A472" t="s">
        <v>174</v>
      </c>
      <c r="B472" t="s">
        <v>81</v>
      </c>
      <c r="C472" t="s">
        <v>10</v>
      </c>
      <c r="D472" t="s">
        <v>11</v>
      </c>
      <c r="E472">
        <v>202602</v>
      </c>
      <c r="F472" t="s">
        <v>217</v>
      </c>
      <c r="G472">
        <v>0</v>
      </c>
      <c r="H472">
        <v>0</v>
      </c>
      <c r="I472">
        <v>1</v>
      </c>
      <c r="J472">
        <v>1</v>
      </c>
      <c r="K472">
        <v>0</v>
      </c>
      <c r="L472">
        <v>0</v>
      </c>
      <c r="M472">
        <v>2</v>
      </c>
      <c r="N472">
        <v>0</v>
      </c>
      <c r="O472">
        <v>2</v>
      </c>
      <c r="P472">
        <v>1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>
        <v>0</v>
      </c>
      <c r="AI472">
        <v>0</v>
      </c>
      <c r="AJ472">
        <v>0</v>
      </c>
      <c r="AK472">
        <v>0</v>
      </c>
      <c r="AL472">
        <v>7</v>
      </c>
      <c r="AM472">
        <v>1</v>
      </c>
      <c r="AN472">
        <v>20.813875419619336</v>
      </c>
    </row>
    <row r="473" spans="1:40" x14ac:dyDescent="0.3">
      <c r="A473" t="s">
        <v>174</v>
      </c>
      <c r="B473" t="s">
        <v>81</v>
      </c>
      <c r="C473" t="s">
        <v>10</v>
      </c>
      <c r="D473" t="s">
        <v>11</v>
      </c>
      <c r="E473">
        <v>202602</v>
      </c>
      <c r="F473" t="s">
        <v>83</v>
      </c>
      <c r="G473">
        <v>0</v>
      </c>
      <c r="H473">
        <v>0</v>
      </c>
      <c r="I473">
        <v>0</v>
      </c>
      <c r="J473">
        <v>1</v>
      </c>
      <c r="K473">
        <v>3</v>
      </c>
      <c r="L473">
        <v>1</v>
      </c>
      <c r="M473">
        <v>4</v>
      </c>
      <c r="N473">
        <v>0</v>
      </c>
      <c r="O473">
        <v>2</v>
      </c>
      <c r="P473">
        <v>0</v>
      </c>
      <c r="Q473">
        <v>2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>
        <v>0</v>
      </c>
      <c r="AI473">
        <v>0</v>
      </c>
      <c r="AJ473">
        <v>0</v>
      </c>
      <c r="AK473">
        <v>0</v>
      </c>
      <c r="AL473">
        <v>13</v>
      </c>
      <c r="AM473">
        <v>1.3333333333333333</v>
      </c>
      <c r="AN473">
        <v>31.418500559492447</v>
      </c>
    </row>
    <row r="474" spans="1:40" x14ac:dyDescent="0.3">
      <c r="A474" t="s">
        <v>174</v>
      </c>
      <c r="B474" t="s">
        <v>81</v>
      </c>
      <c r="C474" t="s">
        <v>10</v>
      </c>
      <c r="D474" t="s">
        <v>11</v>
      </c>
      <c r="E474">
        <v>202602</v>
      </c>
      <c r="F474" t="s">
        <v>214</v>
      </c>
      <c r="G474">
        <v>0</v>
      </c>
      <c r="H474">
        <v>1</v>
      </c>
      <c r="I474">
        <v>0</v>
      </c>
      <c r="J474">
        <v>0</v>
      </c>
      <c r="K474">
        <v>0</v>
      </c>
      <c r="L474">
        <v>2</v>
      </c>
      <c r="M474">
        <v>0</v>
      </c>
      <c r="N474">
        <v>0</v>
      </c>
      <c r="O474">
        <v>1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>
        <v>0</v>
      </c>
      <c r="AI474">
        <v>0</v>
      </c>
      <c r="AJ474">
        <v>0</v>
      </c>
      <c r="AK474">
        <v>0</v>
      </c>
      <c r="AL474">
        <v>5</v>
      </c>
      <c r="AM474">
        <v>0.66666666666666663</v>
      </c>
      <c r="AN474">
        <v>14.209250279746223</v>
      </c>
    </row>
    <row r="475" spans="1:40" x14ac:dyDescent="0.3">
      <c r="A475" t="s">
        <v>174</v>
      </c>
      <c r="B475" t="s">
        <v>81</v>
      </c>
      <c r="C475" t="s">
        <v>10</v>
      </c>
      <c r="D475" t="s">
        <v>11</v>
      </c>
      <c r="E475">
        <v>202602</v>
      </c>
      <c r="F475" t="s">
        <v>218</v>
      </c>
      <c r="G475">
        <v>0</v>
      </c>
      <c r="H475">
        <v>2</v>
      </c>
      <c r="I475">
        <v>1</v>
      </c>
      <c r="J475">
        <v>2</v>
      </c>
      <c r="K475">
        <v>1</v>
      </c>
      <c r="L475">
        <v>1</v>
      </c>
      <c r="M475">
        <v>1</v>
      </c>
      <c r="N475">
        <v>0</v>
      </c>
      <c r="O475">
        <v>1</v>
      </c>
      <c r="P475">
        <v>0</v>
      </c>
      <c r="Q475">
        <v>3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>
        <v>0</v>
      </c>
      <c r="AI475">
        <v>0</v>
      </c>
      <c r="AJ475">
        <v>0</v>
      </c>
      <c r="AK475">
        <v>0</v>
      </c>
      <c r="AL475">
        <v>12</v>
      </c>
      <c r="AM475">
        <v>1.3333333333333333</v>
      </c>
      <c r="AN475">
        <v>30.418500559492447</v>
      </c>
    </row>
    <row r="476" spans="1:40" x14ac:dyDescent="0.3">
      <c r="A476" t="s">
        <v>174</v>
      </c>
      <c r="B476" t="s">
        <v>81</v>
      </c>
      <c r="C476" t="s">
        <v>10</v>
      </c>
      <c r="D476" t="s">
        <v>11</v>
      </c>
      <c r="E476">
        <v>202602</v>
      </c>
      <c r="F476" t="s">
        <v>219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3</v>
      </c>
      <c r="P476">
        <v>1</v>
      </c>
      <c r="Q476">
        <v>2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0</v>
      </c>
      <c r="AI476">
        <v>0</v>
      </c>
      <c r="AJ476">
        <v>0</v>
      </c>
      <c r="AK476">
        <v>0</v>
      </c>
      <c r="AL476">
        <v>6</v>
      </c>
      <c r="AM476">
        <v>2</v>
      </c>
      <c r="AN476">
        <v>33.627750839238672</v>
      </c>
    </row>
    <row r="477" spans="1:40" x14ac:dyDescent="0.3">
      <c r="A477" t="s">
        <v>174</v>
      </c>
      <c r="B477" t="s">
        <v>81</v>
      </c>
      <c r="C477" t="s">
        <v>10</v>
      </c>
      <c r="D477" t="s">
        <v>11</v>
      </c>
      <c r="E477">
        <v>202602</v>
      </c>
      <c r="F477" t="s">
        <v>220</v>
      </c>
      <c r="G477">
        <v>0</v>
      </c>
      <c r="H477">
        <v>0</v>
      </c>
      <c r="I477">
        <v>2</v>
      </c>
      <c r="J477">
        <v>0</v>
      </c>
      <c r="K477">
        <v>0</v>
      </c>
      <c r="L477">
        <v>5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0</v>
      </c>
      <c r="AH477">
        <v>0</v>
      </c>
      <c r="AI477">
        <v>0</v>
      </c>
      <c r="AJ477">
        <v>0</v>
      </c>
      <c r="AK477">
        <v>0</v>
      </c>
      <c r="AL477">
        <v>7</v>
      </c>
      <c r="AM477">
        <v>0</v>
      </c>
      <c r="AN477">
        <v>7</v>
      </c>
    </row>
    <row r="478" spans="1:40" x14ac:dyDescent="0.3">
      <c r="A478" t="s">
        <v>174</v>
      </c>
      <c r="B478" t="s">
        <v>81</v>
      </c>
      <c r="C478" t="s">
        <v>10</v>
      </c>
      <c r="D478" t="s">
        <v>11</v>
      </c>
      <c r="E478">
        <v>202602</v>
      </c>
      <c r="F478" t="s">
        <v>221</v>
      </c>
      <c r="G478">
        <v>0</v>
      </c>
      <c r="H478">
        <v>1</v>
      </c>
      <c r="I478">
        <v>0</v>
      </c>
      <c r="J478">
        <v>1</v>
      </c>
      <c r="K478">
        <v>1</v>
      </c>
      <c r="L478">
        <v>1</v>
      </c>
      <c r="M478">
        <v>0</v>
      </c>
      <c r="N478">
        <v>0</v>
      </c>
      <c r="O478">
        <v>1</v>
      </c>
      <c r="P478">
        <v>0</v>
      </c>
      <c r="Q478">
        <v>1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0</v>
      </c>
      <c r="AH478">
        <v>0</v>
      </c>
      <c r="AI478">
        <v>0</v>
      </c>
      <c r="AJ478">
        <v>0</v>
      </c>
      <c r="AK478">
        <v>0</v>
      </c>
      <c r="AL478">
        <v>6</v>
      </c>
      <c r="AM478">
        <v>0.66666666666666663</v>
      </c>
      <c r="AN478">
        <v>15.209250279746223</v>
      </c>
    </row>
    <row r="479" spans="1:40" x14ac:dyDescent="0.3">
      <c r="A479" t="s">
        <v>174</v>
      </c>
      <c r="B479" t="s">
        <v>81</v>
      </c>
      <c r="C479" t="s">
        <v>10</v>
      </c>
      <c r="D479" t="s">
        <v>11</v>
      </c>
      <c r="E479">
        <v>202602</v>
      </c>
      <c r="F479" t="s">
        <v>222</v>
      </c>
      <c r="G479">
        <v>0</v>
      </c>
      <c r="H479">
        <v>0</v>
      </c>
      <c r="I479">
        <v>1</v>
      </c>
      <c r="J479">
        <v>0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1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0</v>
      </c>
      <c r="AH479">
        <v>0</v>
      </c>
      <c r="AI479">
        <v>0</v>
      </c>
      <c r="AJ479">
        <v>0</v>
      </c>
      <c r="AK479">
        <v>0</v>
      </c>
      <c r="AL479">
        <v>3</v>
      </c>
      <c r="AM479">
        <v>0.33333333333333331</v>
      </c>
      <c r="AN479">
        <v>7.6046251398731117</v>
      </c>
    </row>
    <row r="480" spans="1:40" x14ac:dyDescent="0.3">
      <c r="A480" t="s">
        <v>174</v>
      </c>
      <c r="B480" t="s">
        <v>81</v>
      </c>
      <c r="C480" t="s">
        <v>10</v>
      </c>
      <c r="D480" t="s">
        <v>11</v>
      </c>
      <c r="E480">
        <v>202602</v>
      </c>
      <c r="F480" t="s">
        <v>223</v>
      </c>
      <c r="G480">
        <v>0</v>
      </c>
      <c r="H480">
        <v>0</v>
      </c>
      <c r="I480">
        <v>0</v>
      </c>
      <c r="J480">
        <v>2</v>
      </c>
      <c r="K480">
        <v>0</v>
      </c>
      <c r="L480">
        <v>1</v>
      </c>
      <c r="M480">
        <v>2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0</v>
      </c>
      <c r="AH480">
        <v>0</v>
      </c>
      <c r="AI480">
        <v>0</v>
      </c>
      <c r="AJ480">
        <v>0</v>
      </c>
      <c r="AK480">
        <v>0</v>
      </c>
      <c r="AL480">
        <v>5</v>
      </c>
      <c r="AM480">
        <v>0</v>
      </c>
      <c r="AN480">
        <v>5</v>
      </c>
    </row>
    <row r="481" spans="1:40" x14ac:dyDescent="0.3">
      <c r="A481" t="s">
        <v>174</v>
      </c>
      <c r="B481" t="s">
        <v>81</v>
      </c>
      <c r="C481" t="s">
        <v>10</v>
      </c>
      <c r="D481" t="s">
        <v>14</v>
      </c>
      <c r="E481">
        <v>202602</v>
      </c>
      <c r="F481" t="s">
        <v>216</v>
      </c>
      <c r="G481">
        <v>0</v>
      </c>
      <c r="H481">
        <v>0</v>
      </c>
      <c r="I481">
        <v>1</v>
      </c>
      <c r="J481">
        <v>1</v>
      </c>
      <c r="K481">
        <v>0</v>
      </c>
      <c r="L481">
        <v>0</v>
      </c>
      <c r="M481">
        <v>0</v>
      </c>
      <c r="N481">
        <v>0</v>
      </c>
      <c r="O481">
        <v>2</v>
      </c>
      <c r="P481">
        <v>0</v>
      </c>
      <c r="Q481">
        <v>2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0</v>
      </c>
      <c r="AH481">
        <v>0</v>
      </c>
      <c r="AI481">
        <v>0</v>
      </c>
      <c r="AJ481">
        <v>0</v>
      </c>
      <c r="AK481">
        <v>0</v>
      </c>
      <c r="AL481">
        <v>6</v>
      </c>
      <c r="AM481">
        <v>1.3333333333333333</v>
      </c>
      <c r="AN481">
        <v>22.166964285714453</v>
      </c>
    </row>
    <row r="482" spans="1:40" x14ac:dyDescent="0.3">
      <c r="A482" t="s">
        <v>174</v>
      </c>
      <c r="B482" t="s">
        <v>81</v>
      </c>
      <c r="C482" t="s">
        <v>10</v>
      </c>
      <c r="D482" t="s">
        <v>14</v>
      </c>
      <c r="E482">
        <v>202602</v>
      </c>
      <c r="F482" t="s">
        <v>217</v>
      </c>
      <c r="G482">
        <v>0</v>
      </c>
      <c r="H482">
        <v>1</v>
      </c>
      <c r="I482">
        <v>2</v>
      </c>
      <c r="J482">
        <v>2</v>
      </c>
      <c r="K482">
        <v>5</v>
      </c>
      <c r="L482">
        <v>3</v>
      </c>
      <c r="M482">
        <v>0</v>
      </c>
      <c r="N482">
        <v>0</v>
      </c>
      <c r="O482">
        <v>5</v>
      </c>
      <c r="P482">
        <v>1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0</v>
      </c>
      <c r="AH482">
        <v>0</v>
      </c>
      <c r="AI482">
        <v>0</v>
      </c>
      <c r="AJ482">
        <v>0</v>
      </c>
      <c r="AK482">
        <v>0</v>
      </c>
      <c r="AL482">
        <v>19</v>
      </c>
      <c r="AM482">
        <v>2</v>
      </c>
      <c r="AN482">
        <v>43.250446428571678</v>
      </c>
    </row>
    <row r="483" spans="1:40" x14ac:dyDescent="0.3">
      <c r="A483" t="s">
        <v>174</v>
      </c>
      <c r="B483" t="s">
        <v>81</v>
      </c>
      <c r="C483" t="s">
        <v>10</v>
      </c>
      <c r="D483" t="s">
        <v>14</v>
      </c>
      <c r="E483">
        <v>202602</v>
      </c>
      <c r="F483" t="s">
        <v>83</v>
      </c>
      <c r="G483">
        <v>0</v>
      </c>
      <c r="H483">
        <v>3</v>
      </c>
      <c r="I483">
        <v>2</v>
      </c>
      <c r="J483">
        <v>5</v>
      </c>
      <c r="K483">
        <v>2</v>
      </c>
      <c r="L483">
        <v>5</v>
      </c>
      <c r="M483">
        <v>1</v>
      </c>
      <c r="N483">
        <v>0</v>
      </c>
      <c r="O483">
        <v>6</v>
      </c>
      <c r="P483">
        <v>8</v>
      </c>
      <c r="Q483">
        <v>4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>
        <v>0</v>
      </c>
      <c r="AI483">
        <v>0</v>
      </c>
      <c r="AJ483">
        <v>0</v>
      </c>
      <c r="AK483">
        <v>0</v>
      </c>
      <c r="AL483">
        <v>36</v>
      </c>
      <c r="AM483">
        <v>6</v>
      </c>
      <c r="AN483">
        <v>108.75133928571503</v>
      </c>
    </row>
    <row r="484" spans="1:40" x14ac:dyDescent="0.3">
      <c r="A484" t="s">
        <v>174</v>
      </c>
      <c r="B484" t="s">
        <v>81</v>
      </c>
      <c r="C484" t="s">
        <v>10</v>
      </c>
      <c r="D484" t="s">
        <v>14</v>
      </c>
      <c r="E484">
        <v>202602</v>
      </c>
      <c r="F484" t="s">
        <v>214</v>
      </c>
      <c r="G484">
        <v>0</v>
      </c>
      <c r="H484">
        <v>0</v>
      </c>
      <c r="I484">
        <v>0</v>
      </c>
      <c r="J484">
        <v>1</v>
      </c>
      <c r="K484">
        <v>2</v>
      </c>
      <c r="L484">
        <v>0</v>
      </c>
      <c r="M484">
        <v>0</v>
      </c>
      <c r="N484">
        <v>0</v>
      </c>
      <c r="O484">
        <v>1</v>
      </c>
      <c r="P484">
        <v>0</v>
      </c>
      <c r="Q484">
        <v>1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>
        <v>0</v>
      </c>
      <c r="AI484">
        <v>0</v>
      </c>
      <c r="AJ484">
        <v>0</v>
      </c>
      <c r="AK484">
        <v>0</v>
      </c>
      <c r="AL484">
        <v>5</v>
      </c>
      <c r="AM484">
        <v>0.66666666666666663</v>
      </c>
      <c r="AN484">
        <v>13.083482142857227</v>
      </c>
    </row>
    <row r="485" spans="1:40" x14ac:dyDescent="0.3">
      <c r="A485" t="s">
        <v>174</v>
      </c>
      <c r="B485" t="s">
        <v>81</v>
      </c>
      <c r="C485" t="s">
        <v>10</v>
      </c>
      <c r="D485" t="s">
        <v>14</v>
      </c>
      <c r="E485">
        <v>202602</v>
      </c>
      <c r="F485" t="s">
        <v>218</v>
      </c>
      <c r="G485">
        <v>0</v>
      </c>
      <c r="H485">
        <v>2</v>
      </c>
      <c r="I485">
        <v>1</v>
      </c>
      <c r="J485">
        <v>2</v>
      </c>
      <c r="K485">
        <v>1</v>
      </c>
      <c r="L485">
        <v>2</v>
      </c>
      <c r="M485">
        <v>0</v>
      </c>
      <c r="N485">
        <v>0</v>
      </c>
      <c r="O485">
        <v>3</v>
      </c>
      <c r="P485">
        <v>3</v>
      </c>
      <c r="Q485">
        <v>5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>
        <v>0</v>
      </c>
      <c r="AI485">
        <v>0</v>
      </c>
      <c r="AJ485">
        <v>0</v>
      </c>
      <c r="AK485">
        <v>0</v>
      </c>
      <c r="AL485">
        <v>19</v>
      </c>
      <c r="AM485">
        <v>3.6666666666666665</v>
      </c>
      <c r="AN485">
        <v>63.459151785714738</v>
      </c>
    </row>
    <row r="486" spans="1:40" x14ac:dyDescent="0.3">
      <c r="A486" t="s">
        <v>174</v>
      </c>
      <c r="B486" t="s">
        <v>81</v>
      </c>
      <c r="C486" t="s">
        <v>10</v>
      </c>
      <c r="D486" t="s">
        <v>14</v>
      </c>
      <c r="E486">
        <v>202602</v>
      </c>
      <c r="F486" t="s">
        <v>219</v>
      </c>
      <c r="G486">
        <v>0</v>
      </c>
      <c r="H486">
        <v>0</v>
      </c>
      <c r="I486">
        <v>1</v>
      </c>
      <c r="J486">
        <v>1</v>
      </c>
      <c r="K486">
        <v>1</v>
      </c>
      <c r="L486">
        <v>1</v>
      </c>
      <c r="M486">
        <v>1</v>
      </c>
      <c r="N486">
        <v>0</v>
      </c>
      <c r="O486">
        <v>3</v>
      </c>
      <c r="P486">
        <v>1</v>
      </c>
      <c r="Q486">
        <v>1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>
        <v>0</v>
      </c>
      <c r="AI486">
        <v>0</v>
      </c>
      <c r="AJ486">
        <v>0</v>
      </c>
      <c r="AK486">
        <v>0</v>
      </c>
      <c r="AL486">
        <v>10</v>
      </c>
      <c r="AM486">
        <v>1.6666666666666667</v>
      </c>
      <c r="AN486">
        <v>30.208705357143064</v>
      </c>
    </row>
    <row r="487" spans="1:40" x14ac:dyDescent="0.3">
      <c r="A487" t="s">
        <v>174</v>
      </c>
      <c r="B487" t="s">
        <v>81</v>
      </c>
      <c r="C487" t="s">
        <v>10</v>
      </c>
      <c r="D487" t="s">
        <v>14</v>
      </c>
      <c r="E487">
        <v>202602</v>
      </c>
      <c r="F487" t="s">
        <v>86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1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>
        <v>0</v>
      </c>
      <c r="AI487">
        <v>0</v>
      </c>
      <c r="AJ487">
        <v>0</v>
      </c>
      <c r="AK487">
        <v>0</v>
      </c>
      <c r="AL487">
        <v>1</v>
      </c>
      <c r="AM487">
        <v>0</v>
      </c>
      <c r="AN487">
        <v>1</v>
      </c>
    </row>
    <row r="488" spans="1:40" x14ac:dyDescent="0.3">
      <c r="A488" t="s">
        <v>174</v>
      </c>
      <c r="B488" t="s">
        <v>81</v>
      </c>
      <c r="C488" t="s">
        <v>10</v>
      </c>
      <c r="D488" t="s">
        <v>14</v>
      </c>
      <c r="E488">
        <v>202602</v>
      </c>
      <c r="F488" t="s">
        <v>220</v>
      </c>
      <c r="G488">
        <v>0</v>
      </c>
      <c r="H488">
        <v>2</v>
      </c>
      <c r="I488">
        <v>1</v>
      </c>
      <c r="J488">
        <v>3</v>
      </c>
      <c r="K488">
        <v>1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>
        <v>0</v>
      </c>
      <c r="AI488">
        <v>0</v>
      </c>
      <c r="AJ488">
        <v>0</v>
      </c>
      <c r="AK488">
        <v>0</v>
      </c>
      <c r="AL488">
        <v>7</v>
      </c>
      <c r="AM488">
        <v>0</v>
      </c>
      <c r="AN488">
        <v>7</v>
      </c>
    </row>
    <row r="489" spans="1:40" x14ac:dyDescent="0.3">
      <c r="A489" t="s">
        <v>174</v>
      </c>
      <c r="B489" t="s">
        <v>81</v>
      </c>
      <c r="C489" t="s">
        <v>10</v>
      </c>
      <c r="D489" t="s">
        <v>14</v>
      </c>
      <c r="E489">
        <v>202602</v>
      </c>
      <c r="F489" t="s">
        <v>221</v>
      </c>
      <c r="G489">
        <v>0</v>
      </c>
      <c r="H489">
        <v>1</v>
      </c>
      <c r="I489">
        <v>1</v>
      </c>
      <c r="J489">
        <v>1</v>
      </c>
      <c r="K489">
        <v>2</v>
      </c>
      <c r="L489">
        <v>1</v>
      </c>
      <c r="M489">
        <v>0</v>
      </c>
      <c r="N489">
        <v>0</v>
      </c>
      <c r="O489">
        <v>2</v>
      </c>
      <c r="P489">
        <v>1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>
        <v>0</v>
      </c>
      <c r="AI489">
        <v>0</v>
      </c>
      <c r="AJ489">
        <v>0</v>
      </c>
      <c r="AK489">
        <v>0</v>
      </c>
      <c r="AL489">
        <v>9</v>
      </c>
      <c r="AM489">
        <v>1</v>
      </c>
      <c r="AN489">
        <v>21.125223214285839</v>
      </c>
    </row>
    <row r="490" spans="1:40" x14ac:dyDescent="0.3">
      <c r="A490" t="s">
        <v>174</v>
      </c>
      <c r="B490" t="s">
        <v>81</v>
      </c>
      <c r="C490" t="s">
        <v>10</v>
      </c>
      <c r="D490" t="s">
        <v>14</v>
      </c>
      <c r="E490">
        <v>202602</v>
      </c>
      <c r="F490" t="s">
        <v>222</v>
      </c>
      <c r="G490">
        <v>0</v>
      </c>
      <c r="H490">
        <v>1</v>
      </c>
      <c r="I490">
        <v>1</v>
      </c>
      <c r="J490">
        <v>0</v>
      </c>
      <c r="K490">
        <v>0</v>
      </c>
      <c r="L490">
        <v>1</v>
      </c>
      <c r="M490">
        <v>0</v>
      </c>
      <c r="N490">
        <v>0</v>
      </c>
      <c r="O490">
        <v>2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>
        <v>0</v>
      </c>
      <c r="AI490">
        <v>0</v>
      </c>
      <c r="AJ490">
        <v>0</v>
      </c>
      <c r="AK490">
        <v>0</v>
      </c>
      <c r="AL490">
        <v>5</v>
      </c>
      <c r="AM490">
        <v>0.66666666666666663</v>
      </c>
      <c r="AN490">
        <v>13.083482142857227</v>
      </c>
    </row>
    <row r="491" spans="1:40" x14ac:dyDescent="0.3">
      <c r="A491" t="s">
        <v>174</v>
      </c>
      <c r="B491" t="s">
        <v>81</v>
      </c>
      <c r="C491" t="s">
        <v>10</v>
      </c>
      <c r="D491" t="s">
        <v>14</v>
      </c>
      <c r="E491">
        <v>202602</v>
      </c>
      <c r="F491" t="s">
        <v>223</v>
      </c>
      <c r="G491">
        <v>0</v>
      </c>
      <c r="H491">
        <v>2</v>
      </c>
      <c r="I491">
        <v>1</v>
      </c>
      <c r="J491">
        <v>1</v>
      </c>
      <c r="K491">
        <v>1</v>
      </c>
      <c r="L491">
        <v>0</v>
      </c>
      <c r="M491">
        <v>0</v>
      </c>
      <c r="N491">
        <v>0</v>
      </c>
      <c r="O491">
        <v>1</v>
      </c>
      <c r="P491">
        <v>3</v>
      </c>
      <c r="Q491">
        <v>1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>
        <v>0</v>
      </c>
      <c r="AI491">
        <v>0</v>
      </c>
      <c r="AJ491">
        <v>0</v>
      </c>
      <c r="AK491">
        <v>0</v>
      </c>
      <c r="AL491">
        <v>10</v>
      </c>
      <c r="AM491">
        <v>1.6666666666666667</v>
      </c>
      <c r="AN491">
        <v>30.208705357143064</v>
      </c>
    </row>
    <row r="492" spans="1:40" x14ac:dyDescent="0.3">
      <c r="A492" t="s">
        <v>174</v>
      </c>
      <c r="B492" t="s">
        <v>100</v>
      </c>
      <c r="C492" t="s">
        <v>10</v>
      </c>
      <c r="D492" t="s">
        <v>11</v>
      </c>
      <c r="E492">
        <v>202602</v>
      </c>
      <c r="F492" t="s">
        <v>102</v>
      </c>
      <c r="G492">
        <v>0</v>
      </c>
      <c r="H492">
        <v>3</v>
      </c>
      <c r="I492">
        <v>6</v>
      </c>
      <c r="J492">
        <v>7</v>
      </c>
      <c r="K492">
        <v>9</v>
      </c>
      <c r="L492">
        <v>7</v>
      </c>
      <c r="M492">
        <v>4</v>
      </c>
      <c r="N492">
        <v>0</v>
      </c>
      <c r="O492">
        <v>11</v>
      </c>
      <c r="P492">
        <v>6</v>
      </c>
      <c r="Q492">
        <v>12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H492">
        <v>0</v>
      </c>
      <c r="AI492">
        <v>0</v>
      </c>
      <c r="AJ492">
        <v>0</v>
      </c>
      <c r="AK492">
        <v>0</v>
      </c>
      <c r="AL492">
        <v>65</v>
      </c>
      <c r="AM492">
        <v>9.6666666666666661</v>
      </c>
      <c r="AN492">
        <v>198.53412905632021</v>
      </c>
    </row>
    <row r="493" spans="1:40" x14ac:dyDescent="0.3">
      <c r="A493" t="s">
        <v>174</v>
      </c>
      <c r="B493" t="s">
        <v>100</v>
      </c>
      <c r="C493" t="s">
        <v>10</v>
      </c>
      <c r="D493" t="s">
        <v>14</v>
      </c>
      <c r="E493">
        <v>202602</v>
      </c>
      <c r="F493" t="s">
        <v>102</v>
      </c>
      <c r="G493">
        <v>0</v>
      </c>
      <c r="H493">
        <v>9</v>
      </c>
      <c r="I493">
        <v>12</v>
      </c>
      <c r="J493">
        <v>12</v>
      </c>
      <c r="K493">
        <v>15</v>
      </c>
      <c r="L493">
        <v>22</v>
      </c>
      <c r="M493">
        <v>3</v>
      </c>
      <c r="N493">
        <v>0</v>
      </c>
      <c r="O493">
        <v>16</v>
      </c>
      <c r="P493">
        <v>14</v>
      </c>
      <c r="Q493">
        <v>13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H493">
        <v>0</v>
      </c>
      <c r="AI493">
        <v>0</v>
      </c>
      <c r="AJ493">
        <v>0</v>
      </c>
      <c r="AK493">
        <v>0</v>
      </c>
      <c r="AL493">
        <v>116</v>
      </c>
      <c r="AM493">
        <v>14.333333333333334</v>
      </c>
      <c r="AN493">
        <v>289.79486607143036</v>
      </c>
    </row>
    <row r="494" spans="1:40" x14ac:dyDescent="0.3">
      <c r="A494" t="s">
        <v>174</v>
      </c>
      <c r="B494" t="s">
        <v>100</v>
      </c>
      <c r="C494" t="s">
        <v>10</v>
      </c>
      <c r="D494" t="s">
        <v>14</v>
      </c>
      <c r="E494">
        <v>202602</v>
      </c>
      <c r="F494" t="s">
        <v>101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0</v>
      </c>
      <c r="M494">
        <v>0</v>
      </c>
      <c r="N494">
        <v>0</v>
      </c>
      <c r="O494">
        <v>0</v>
      </c>
      <c r="P494">
        <v>3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>
        <v>0</v>
      </c>
      <c r="AI494">
        <v>0</v>
      </c>
      <c r="AJ494">
        <v>0</v>
      </c>
      <c r="AK494">
        <v>0</v>
      </c>
      <c r="AL494">
        <v>3</v>
      </c>
      <c r="AM494">
        <v>1</v>
      </c>
      <c r="AN494">
        <v>15.125223214285839</v>
      </c>
    </row>
    <row r="495" spans="1:40" x14ac:dyDescent="0.3">
      <c r="A495" t="s">
        <v>174</v>
      </c>
      <c r="B495" t="s">
        <v>100</v>
      </c>
      <c r="C495" t="s">
        <v>16</v>
      </c>
      <c r="D495" t="s">
        <v>11</v>
      </c>
      <c r="E495">
        <v>202602</v>
      </c>
      <c r="F495" t="s">
        <v>102</v>
      </c>
      <c r="G495">
        <v>0</v>
      </c>
      <c r="H495">
        <v>3</v>
      </c>
      <c r="I495">
        <v>2</v>
      </c>
      <c r="J495">
        <v>2</v>
      </c>
      <c r="K495">
        <v>2</v>
      </c>
      <c r="L495">
        <v>5</v>
      </c>
      <c r="M495">
        <v>3</v>
      </c>
      <c r="N495">
        <v>0</v>
      </c>
      <c r="O495">
        <v>5</v>
      </c>
      <c r="P495">
        <v>1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>
        <v>0</v>
      </c>
      <c r="AI495">
        <v>0</v>
      </c>
      <c r="AJ495">
        <v>0</v>
      </c>
      <c r="AK495">
        <v>0</v>
      </c>
      <c r="AL495">
        <v>23</v>
      </c>
      <c r="AM495">
        <v>2</v>
      </c>
      <c r="AN495">
        <v>50.627750839238672</v>
      </c>
    </row>
    <row r="496" spans="1:40" x14ac:dyDescent="0.3">
      <c r="A496" t="s">
        <v>174</v>
      </c>
      <c r="B496" t="s">
        <v>100</v>
      </c>
      <c r="C496" t="s">
        <v>16</v>
      </c>
      <c r="D496" t="s">
        <v>14</v>
      </c>
      <c r="E496">
        <v>202602</v>
      </c>
      <c r="F496" t="s">
        <v>102</v>
      </c>
      <c r="G496">
        <v>0</v>
      </c>
      <c r="H496">
        <v>2</v>
      </c>
      <c r="I496">
        <v>4</v>
      </c>
      <c r="J496">
        <v>4</v>
      </c>
      <c r="K496">
        <v>6</v>
      </c>
      <c r="L496">
        <v>4</v>
      </c>
      <c r="M496">
        <v>1</v>
      </c>
      <c r="N496">
        <v>0</v>
      </c>
      <c r="O496">
        <v>2</v>
      </c>
      <c r="P496">
        <v>0</v>
      </c>
      <c r="Q496">
        <v>3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>
        <v>0</v>
      </c>
      <c r="AI496">
        <v>0</v>
      </c>
      <c r="AJ496">
        <v>0</v>
      </c>
      <c r="AK496">
        <v>0</v>
      </c>
      <c r="AL496">
        <v>26</v>
      </c>
      <c r="AM496">
        <v>1.6666666666666667</v>
      </c>
      <c r="AN496">
        <v>46.20870535714306</v>
      </c>
    </row>
    <row r="497" spans="1:40" x14ac:dyDescent="0.3">
      <c r="A497" t="s">
        <v>174</v>
      </c>
      <c r="B497" t="s">
        <v>644</v>
      </c>
      <c r="C497" t="s">
        <v>10</v>
      </c>
      <c r="D497" t="s">
        <v>11</v>
      </c>
      <c r="E497">
        <v>202602</v>
      </c>
      <c r="F497" t="s">
        <v>56</v>
      </c>
      <c r="G497">
        <v>0</v>
      </c>
      <c r="H497">
        <v>0</v>
      </c>
      <c r="I497">
        <v>1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>
        <v>0</v>
      </c>
      <c r="AI497">
        <v>0</v>
      </c>
      <c r="AJ497">
        <v>0</v>
      </c>
      <c r="AK497">
        <v>0</v>
      </c>
      <c r="AL497">
        <v>1</v>
      </c>
      <c r="AM497">
        <v>0</v>
      </c>
      <c r="AN497">
        <v>1</v>
      </c>
    </row>
    <row r="498" spans="1:40" x14ac:dyDescent="0.3">
      <c r="A498" t="s">
        <v>174</v>
      </c>
      <c r="B498" t="s">
        <v>644</v>
      </c>
      <c r="C498" t="s">
        <v>10</v>
      </c>
      <c r="D498" t="s">
        <v>11</v>
      </c>
      <c r="E498">
        <v>202602</v>
      </c>
      <c r="F498" t="s">
        <v>110</v>
      </c>
      <c r="G498">
        <v>0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2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>
        <v>0</v>
      </c>
      <c r="AI498">
        <v>0</v>
      </c>
      <c r="AJ498">
        <v>0</v>
      </c>
      <c r="AK498">
        <v>0</v>
      </c>
      <c r="AL498">
        <v>2</v>
      </c>
      <c r="AM498">
        <v>0</v>
      </c>
      <c r="AN498">
        <v>2</v>
      </c>
    </row>
    <row r="499" spans="1:40" x14ac:dyDescent="0.3">
      <c r="A499" t="s">
        <v>174</v>
      </c>
      <c r="B499" t="s">
        <v>644</v>
      </c>
      <c r="C499" t="s">
        <v>10</v>
      </c>
      <c r="D499" t="s">
        <v>11</v>
      </c>
      <c r="E499">
        <v>202602</v>
      </c>
      <c r="F499" t="s">
        <v>111</v>
      </c>
      <c r="G499">
        <v>0</v>
      </c>
      <c r="H499">
        <v>0</v>
      </c>
      <c r="I499">
        <v>0</v>
      </c>
      <c r="J499">
        <v>0</v>
      </c>
      <c r="K499">
        <v>0</v>
      </c>
      <c r="L499">
        <v>1</v>
      </c>
      <c r="M499">
        <v>0</v>
      </c>
      <c r="N499">
        <v>0</v>
      </c>
      <c r="O499">
        <v>0</v>
      </c>
      <c r="P499">
        <v>1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0</v>
      </c>
      <c r="AH499">
        <v>0</v>
      </c>
      <c r="AI499">
        <v>0</v>
      </c>
      <c r="AJ499">
        <v>0</v>
      </c>
      <c r="AK499">
        <v>0</v>
      </c>
      <c r="AL499">
        <v>2</v>
      </c>
      <c r="AM499">
        <v>0.33333333333333331</v>
      </c>
      <c r="AN499">
        <v>6.6046251398731117</v>
      </c>
    </row>
    <row r="500" spans="1:40" x14ac:dyDescent="0.3">
      <c r="A500" t="s">
        <v>174</v>
      </c>
      <c r="B500" t="s">
        <v>644</v>
      </c>
      <c r="C500" t="s">
        <v>10</v>
      </c>
      <c r="D500" t="s">
        <v>11</v>
      </c>
      <c r="E500">
        <v>202602</v>
      </c>
      <c r="F500" t="s">
        <v>61</v>
      </c>
      <c r="G500">
        <v>0</v>
      </c>
      <c r="H500">
        <v>2</v>
      </c>
      <c r="I500">
        <v>0</v>
      </c>
      <c r="J500">
        <v>0</v>
      </c>
      <c r="K500">
        <v>0</v>
      </c>
      <c r="L500">
        <v>0</v>
      </c>
      <c r="M500">
        <v>1</v>
      </c>
      <c r="N500">
        <v>0</v>
      </c>
      <c r="O500">
        <v>1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H500">
        <v>0</v>
      </c>
      <c r="AI500">
        <v>0</v>
      </c>
      <c r="AJ500">
        <v>0</v>
      </c>
      <c r="AK500">
        <v>0</v>
      </c>
      <c r="AL500">
        <v>4</v>
      </c>
      <c r="AM500">
        <v>0.33333333333333331</v>
      </c>
      <c r="AN500">
        <v>8.6046251398731108</v>
      </c>
    </row>
    <row r="501" spans="1:40" x14ac:dyDescent="0.3">
      <c r="A501" t="s">
        <v>174</v>
      </c>
      <c r="B501" t="s">
        <v>644</v>
      </c>
      <c r="C501" t="s">
        <v>10</v>
      </c>
      <c r="D501" t="s">
        <v>11</v>
      </c>
      <c r="E501">
        <v>202602</v>
      </c>
      <c r="F501" t="s">
        <v>112</v>
      </c>
      <c r="G501">
        <v>0</v>
      </c>
      <c r="H501">
        <v>1</v>
      </c>
      <c r="I501">
        <v>1</v>
      </c>
      <c r="J501">
        <v>0</v>
      </c>
      <c r="K501">
        <v>1</v>
      </c>
      <c r="L501">
        <v>2</v>
      </c>
      <c r="M501">
        <v>0</v>
      </c>
      <c r="N501">
        <v>0</v>
      </c>
      <c r="O501">
        <v>1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>
        <v>0</v>
      </c>
      <c r="AI501">
        <v>0</v>
      </c>
      <c r="AJ501">
        <v>0</v>
      </c>
      <c r="AK501">
        <v>0</v>
      </c>
      <c r="AL501">
        <v>6</v>
      </c>
      <c r="AM501">
        <v>0.33333333333333331</v>
      </c>
      <c r="AN501">
        <v>10.604625139873111</v>
      </c>
    </row>
    <row r="502" spans="1:40" x14ac:dyDescent="0.3">
      <c r="A502" t="s">
        <v>174</v>
      </c>
      <c r="B502" t="s">
        <v>644</v>
      </c>
      <c r="C502" t="s">
        <v>10</v>
      </c>
      <c r="D502" t="s">
        <v>11</v>
      </c>
      <c r="E502">
        <v>202602</v>
      </c>
      <c r="F502" t="s">
        <v>114</v>
      </c>
      <c r="G502">
        <v>0</v>
      </c>
      <c r="H502">
        <v>1</v>
      </c>
      <c r="I502">
        <v>1</v>
      </c>
      <c r="J502">
        <v>1</v>
      </c>
      <c r="K502">
        <v>2</v>
      </c>
      <c r="L502">
        <v>1</v>
      </c>
      <c r="M502">
        <v>2</v>
      </c>
      <c r="N502">
        <v>0</v>
      </c>
      <c r="O502">
        <v>0</v>
      </c>
      <c r="P502">
        <v>2</v>
      </c>
      <c r="Q502">
        <v>1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>
        <v>0</v>
      </c>
      <c r="AI502">
        <v>0</v>
      </c>
      <c r="AJ502">
        <v>0</v>
      </c>
      <c r="AK502">
        <v>0</v>
      </c>
      <c r="AL502">
        <v>11</v>
      </c>
      <c r="AM502">
        <v>1</v>
      </c>
      <c r="AN502">
        <v>24.813875419619336</v>
      </c>
    </row>
    <row r="503" spans="1:40" x14ac:dyDescent="0.3">
      <c r="A503" t="s">
        <v>174</v>
      </c>
      <c r="B503" t="s">
        <v>644</v>
      </c>
      <c r="C503" t="s">
        <v>10</v>
      </c>
      <c r="D503" t="s">
        <v>11</v>
      </c>
      <c r="E503">
        <v>202602</v>
      </c>
      <c r="F503" t="s">
        <v>226</v>
      </c>
      <c r="G503">
        <v>0</v>
      </c>
      <c r="H503">
        <v>0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1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0</v>
      </c>
      <c r="AD503">
        <v>0</v>
      </c>
      <c r="AE503">
        <v>0</v>
      </c>
      <c r="AF503">
        <v>0</v>
      </c>
      <c r="AG503">
        <v>0</v>
      </c>
      <c r="AH503">
        <v>0</v>
      </c>
      <c r="AI503">
        <v>0</v>
      </c>
      <c r="AJ503">
        <v>0</v>
      </c>
      <c r="AK503">
        <v>0</v>
      </c>
      <c r="AL503">
        <v>1</v>
      </c>
      <c r="AM503">
        <v>0.33333333333333331</v>
      </c>
      <c r="AN503">
        <v>5.6046251398731117</v>
      </c>
    </row>
    <row r="504" spans="1:40" x14ac:dyDescent="0.3">
      <c r="A504" t="s">
        <v>174</v>
      </c>
      <c r="B504" t="s">
        <v>644</v>
      </c>
      <c r="C504" t="s">
        <v>10</v>
      </c>
      <c r="D504" t="s">
        <v>11</v>
      </c>
      <c r="E504">
        <v>202602</v>
      </c>
      <c r="F504" t="s">
        <v>129</v>
      </c>
      <c r="G504">
        <v>0</v>
      </c>
      <c r="H504">
        <v>0</v>
      </c>
      <c r="I504">
        <v>0</v>
      </c>
      <c r="J504">
        <v>0</v>
      </c>
      <c r="K504">
        <v>1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0</v>
      </c>
      <c r="AD504">
        <v>0</v>
      </c>
      <c r="AE504">
        <v>0</v>
      </c>
      <c r="AF504">
        <v>0</v>
      </c>
      <c r="AG504">
        <v>0</v>
      </c>
      <c r="AH504">
        <v>0</v>
      </c>
      <c r="AI504">
        <v>0</v>
      </c>
      <c r="AJ504">
        <v>0</v>
      </c>
      <c r="AK504">
        <v>0</v>
      </c>
      <c r="AL504">
        <v>2</v>
      </c>
      <c r="AM504">
        <v>0</v>
      </c>
      <c r="AN504">
        <v>2</v>
      </c>
    </row>
    <row r="505" spans="1:40" x14ac:dyDescent="0.3">
      <c r="A505" t="s">
        <v>174</v>
      </c>
      <c r="B505" t="s">
        <v>644</v>
      </c>
      <c r="C505" t="s">
        <v>10</v>
      </c>
      <c r="D505" t="s">
        <v>11</v>
      </c>
      <c r="E505">
        <v>202602</v>
      </c>
      <c r="F505" t="s">
        <v>130</v>
      </c>
      <c r="G505">
        <v>0</v>
      </c>
      <c r="H505">
        <v>0</v>
      </c>
      <c r="I505">
        <v>0</v>
      </c>
      <c r="J505">
        <v>0</v>
      </c>
      <c r="K505">
        <v>2</v>
      </c>
      <c r="L505">
        <v>1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>
        <v>0</v>
      </c>
      <c r="AI505">
        <v>0</v>
      </c>
      <c r="AJ505">
        <v>0</v>
      </c>
      <c r="AK505">
        <v>0</v>
      </c>
      <c r="AL505">
        <v>3</v>
      </c>
      <c r="AM505">
        <v>0</v>
      </c>
      <c r="AN505">
        <v>3</v>
      </c>
    </row>
    <row r="506" spans="1:40" x14ac:dyDescent="0.3">
      <c r="A506" t="s">
        <v>174</v>
      </c>
      <c r="B506" t="s">
        <v>644</v>
      </c>
      <c r="C506" t="s">
        <v>10</v>
      </c>
      <c r="D506" t="s">
        <v>11</v>
      </c>
      <c r="E506">
        <v>202602</v>
      </c>
      <c r="F506" t="s">
        <v>117</v>
      </c>
      <c r="G506">
        <v>0</v>
      </c>
      <c r="H506">
        <v>1</v>
      </c>
      <c r="I506">
        <v>0</v>
      </c>
      <c r="J506">
        <v>1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>
        <v>0</v>
      </c>
      <c r="AI506">
        <v>0</v>
      </c>
      <c r="AJ506">
        <v>0</v>
      </c>
      <c r="AK506">
        <v>0</v>
      </c>
      <c r="AL506">
        <v>2</v>
      </c>
      <c r="AM506">
        <v>0</v>
      </c>
      <c r="AN506">
        <v>2</v>
      </c>
    </row>
    <row r="507" spans="1:40" x14ac:dyDescent="0.3">
      <c r="A507" t="s">
        <v>174</v>
      </c>
      <c r="B507" t="s">
        <v>644</v>
      </c>
      <c r="C507" t="s">
        <v>10</v>
      </c>
      <c r="D507" t="s">
        <v>11</v>
      </c>
      <c r="E507">
        <v>202602</v>
      </c>
      <c r="F507" t="s">
        <v>118</v>
      </c>
      <c r="G507">
        <v>0</v>
      </c>
      <c r="H507">
        <v>0</v>
      </c>
      <c r="I507">
        <v>0</v>
      </c>
      <c r="J507">
        <v>3</v>
      </c>
      <c r="K507">
        <v>2</v>
      </c>
      <c r="L507">
        <v>0</v>
      </c>
      <c r="M507">
        <v>0</v>
      </c>
      <c r="N507">
        <v>0</v>
      </c>
      <c r="O507">
        <v>1</v>
      </c>
      <c r="P507">
        <v>1</v>
      </c>
      <c r="Q507">
        <v>1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0</v>
      </c>
      <c r="AH507">
        <v>0</v>
      </c>
      <c r="AI507">
        <v>0</v>
      </c>
      <c r="AJ507">
        <v>0</v>
      </c>
      <c r="AK507">
        <v>0</v>
      </c>
      <c r="AL507">
        <v>8</v>
      </c>
      <c r="AM507">
        <v>1</v>
      </c>
      <c r="AN507">
        <v>21.813875419619336</v>
      </c>
    </row>
    <row r="508" spans="1:40" x14ac:dyDescent="0.3">
      <c r="A508" t="s">
        <v>174</v>
      </c>
      <c r="B508" t="s">
        <v>644</v>
      </c>
      <c r="C508" t="s">
        <v>10</v>
      </c>
      <c r="D508" t="s">
        <v>11</v>
      </c>
      <c r="E508">
        <v>202602</v>
      </c>
      <c r="F508" t="s">
        <v>224</v>
      </c>
      <c r="G508">
        <v>0</v>
      </c>
      <c r="H508">
        <v>1</v>
      </c>
      <c r="I508">
        <v>0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0</v>
      </c>
      <c r="AF508">
        <v>0</v>
      </c>
      <c r="AG508">
        <v>0</v>
      </c>
      <c r="AH508">
        <v>0</v>
      </c>
      <c r="AI508">
        <v>0</v>
      </c>
      <c r="AJ508">
        <v>0</v>
      </c>
      <c r="AK508">
        <v>0</v>
      </c>
      <c r="AL508">
        <v>1</v>
      </c>
      <c r="AM508">
        <v>0</v>
      </c>
      <c r="AN508">
        <v>1</v>
      </c>
    </row>
    <row r="509" spans="1:40" x14ac:dyDescent="0.3">
      <c r="A509" t="s">
        <v>174</v>
      </c>
      <c r="B509" t="s">
        <v>644</v>
      </c>
      <c r="C509" t="s">
        <v>10</v>
      </c>
      <c r="D509" t="s">
        <v>11</v>
      </c>
      <c r="E509">
        <v>202602</v>
      </c>
      <c r="F509" t="s">
        <v>121</v>
      </c>
      <c r="G509">
        <v>0</v>
      </c>
      <c r="H509">
        <v>1</v>
      </c>
      <c r="I509">
        <v>0</v>
      </c>
      <c r="J509">
        <v>0</v>
      </c>
      <c r="K509">
        <v>0</v>
      </c>
      <c r="L509">
        <v>2</v>
      </c>
      <c r="M509">
        <v>0</v>
      </c>
      <c r="N509">
        <v>0</v>
      </c>
      <c r="O509">
        <v>0</v>
      </c>
      <c r="P509">
        <v>0</v>
      </c>
      <c r="Q509">
        <v>1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>
        <v>0</v>
      </c>
      <c r="AI509">
        <v>0</v>
      </c>
      <c r="AJ509">
        <v>0</v>
      </c>
      <c r="AK509">
        <v>0</v>
      </c>
      <c r="AL509">
        <v>4</v>
      </c>
      <c r="AM509">
        <v>0.33333333333333331</v>
      </c>
      <c r="AN509">
        <v>8.6046251398731108</v>
      </c>
    </row>
    <row r="510" spans="1:40" x14ac:dyDescent="0.3">
      <c r="A510" t="s">
        <v>174</v>
      </c>
      <c r="B510" t="s">
        <v>644</v>
      </c>
      <c r="C510" t="s">
        <v>10</v>
      </c>
      <c r="D510" t="s">
        <v>11</v>
      </c>
      <c r="E510">
        <v>202602</v>
      </c>
      <c r="F510" t="s">
        <v>225</v>
      </c>
      <c r="G510">
        <v>0</v>
      </c>
      <c r="H510">
        <v>0</v>
      </c>
      <c r="I510">
        <v>1</v>
      </c>
      <c r="J510">
        <v>0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0</v>
      </c>
      <c r="AF510">
        <v>0</v>
      </c>
      <c r="AG510">
        <v>0</v>
      </c>
      <c r="AH510">
        <v>0</v>
      </c>
      <c r="AI510">
        <v>0</v>
      </c>
      <c r="AJ510">
        <v>0</v>
      </c>
      <c r="AK510">
        <v>0</v>
      </c>
      <c r="AL510">
        <v>1</v>
      </c>
      <c r="AM510">
        <v>0</v>
      </c>
      <c r="AN510">
        <v>1</v>
      </c>
    </row>
    <row r="511" spans="1:40" x14ac:dyDescent="0.3">
      <c r="A511" t="s">
        <v>174</v>
      </c>
      <c r="B511" t="s">
        <v>644</v>
      </c>
      <c r="C511" t="s">
        <v>10</v>
      </c>
      <c r="D511" t="s">
        <v>11</v>
      </c>
      <c r="E511">
        <v>202602</v>
      </c>
      <c r="F511" t="s">
        <v>122</v>
      </c>
      <c r="G511">
        <v>0</v>
      </c>
      <c r="H511">
        <v>0</v>
      </c>
      <c r="I511">
        <v>1</v>
      </c>
      <c r="J511">
        <v>0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>
        <v>0</v>
      </c>
      <c r="AI511">
        <v>0</v>
      </c>
      <c r="AJ511">
        <v>0</v>
      </c>
      <c r="AK511">
        <v>0</v>
      </c>
      <c r="AL511">
        <v>1</v>
      </c>
      <c r="AM511">
        <v>0</v>
      </c>
      <c r="AN511">
        <v>1</v>
      </c>
    </row>
    <row r="512" spans="1:40" x14ac:dyDescent="0.3">
      <c r="A512" t="s">
        <v>174</v>
      </c>
      <c r="B512" t="s">
        <v>644</v>
      </c>
      <c r="C512" t="s">
        <v>10</v>
      </c>
      <c r="D512" t="s">
        <v>11</v>
      </c>
      <c r="E512">
        <v>202602</v>
      </c>
      <c r="F512" t="s">
        <v>135</v>
      </c>
      <c r="G512">
        <v>0</v>
      </c>
      <c r="H512">
        <v>0</v>
      </c>
      <c r="I512">
        <v>0</v>
      </c>
      <c r="J512">
        <v>2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>
        <v>0</v>
      </c>
      <c r="AI512">
        <v>0</v>
      </c>
      <c r="AJ512">
        <v>0</v>
      </c>
      <c r="AK512">
        <v>0</v>
      </c>
      <c r="AL512">
        <v>2</v>
      </c>
      <c r="AM512">
        <v>0</v>
      </c>
      <c r="AN512">
        <v>2</v>
      </c>
    </row>
    <row r="513" spans="1:40" x14ac:dyDescent="0.3">
      <c r="A513" t="s">
        <v>174</v>
      </c>
      <c r="B513" t="s">
        <v>644</v>
      </c>
      <c r="C513" t="s">
        <v>10</v>
      </c>
      <c r="D513" t="s">
        <v>11</v>
      </c>
      <c r="E513">
        <v>202602</v>
      </c>
      <c r="F513" t="s">
        <v>127</v>
      </c>
      <c r="G513">
        <v>0</v>
      </c>
      <c r="H513">
        <v>0</v>
      </c>
      <c r="I513">
        <v>0</v>
      </c>
      <c r="J513">
        <v>0</v>
      </c>
      <c r="K513">
        <v>0</v>
      </c>
      <c r="L513">
        <v>0</v>
      </c>
      <c r="M513">
        <v>1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>
        <v>0</v>
      </c>
      <c r="AI513">
        <v>0</v>
      </c>
      <c r="AJ513">
        <v>0</v>
      </c>
      <c r="AK513">
        <v>0</v>
      </c>
      <c r="AL513">
        <v>1</v>
      </c>
      <c r="AM513">
        <v>0</v>
      </c>
      <c r="AN513">
        <v>1</v>
      </c>
    </row>
    <row r="514" spans="1:40" x14ac:dyDescent="0.3">
      <c r="A514" t="s">
        <v>174</v>
      </c>
      <c r="B514" t="s">
        <v>644</v>
      </c>
      <c r="C514" t="s">
        <v>10</v>
      </c>
      <c r="D514" t="s">
        <v>14</v>
      </c>
      <c r="E514">
        <v>202602</v>
      </c>
      <c r="F514" t="s">
        <v>56</v>
      </c>
      <c r="G514">
        <v>0</v>
      </c>
      <c r="H514">
        <v>1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1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>
        <v>0</v>
      </c>
      <c r="AI514">
        <v>0</v>
      </c>
      <c r="AJ514">
        <v>0</v>
      </c>
      <c r="AK514">
        <v>0</v>
      </c>
      <c r="AL514">
        <v>2</v>
      </c>
      <c r="AM514">
        <v>0.33333333333333331</v>
      </c>
      <c r="AN514">
        <v>6.0417410714286133</v>
      </c>
    </row>
    <row r="515" spans="1:40" x14ac:dyDescent="0.3">
      <c r="A515" t="s">
        <v>174</v>
      </c>
      <c r="B515" t="s">
        <v>644</v>
      </c>
      <c r="C515" t="s">
        <v>10</v>
      </c>
      <c r="D515" t="s">
        <v>14</v>
      </c>
      <c r="E515">
        <v>202602</v>
      </c>
      <c r="F515" t="s">
        <v>110</v>
      </c>
      <c r="G515">
        <v>0</v>
      </c>
      <c r="H515">
        <v>0</v>
      </c>
      <c r="I515">
        <v>1</v>
      </c>
      <c r="J515">
        <v>0</v>
      </c>
      <c r="K515">
        <v>2</v>
      </c>
      <c r="L515">
        <v>0</v>
      </c>
      <c r="M515">
        <v>0</v>
      </c>
      <c r="N515">
        <v>0</v>
      </c>
      <c r="O515">
        <v>0</v>
      </c>
      <c r="P515">
        <v>1</v>
      </c>
      <c r="Q515">
        <v>1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>
        <v>0</v>
      </c>
      <c r="AI515">
        <v>0</v>
      </c>
      <c r="AJ515">
        <v>0</v>
      </c>
      <c r="AK515">
        <v>0</v>
      </c>
      <c r="AL515">
        <v>5</v>
      </c>
      <c r="AM515">
        <v>0.66666666666666663</v>
      </c>
      <c r="AN515">
        <v>13.083482142857227</v>
      </c>
    </row>
    <row r="516" spans="1:40" x14ac:dyDescent="0.3">
      <c r="A516" t="s">
        <v>174</v>
      </c>
      <c r="B516" t="s">
        <v>644</v>
      </c>
      <c r="C516" t="s">
        <v>10</v>
      </c>
      <c r="D516" t="s">
        <v>14</v>
      </c>
      <c r="E516">
        <v>202602</v>
      </c>
      <c r="F516" t="s">
        <v>111</v>
      </c>
      <c r="G516">
        <v>0</v>
      </c>
      <c r="H516">
        <v>0</v>
      </c>
      <c r="I516">
        <v>0</v>
      </c>
      <c r="J516">
        <v>0</v>
      </c>
      <c r="K516">
        <v>2</v>
      </c>
      <c r="L516">
        <v>0</v>
      </c>
      <c r="M516">
        <v>0</v>
      </c>
      <c r="N516">
        <v>0</v>
      </c>
      <c r="O516">
        <v>1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>
        <v>0</v>
      </c>
      <c r="AI516">
        <v>0</v>
      </c>
      <c r="AJ516">
        <v>0</v>
      </c>
      <c r="AK516">
        <v>0</v>
      </c>
      <c r="AL516">
        <v>3</v>
      </c>
      <c r="AM516">
        <v>0.33333333333333331</v>
      </c>
      <c r="AN516">
        <v>7.0417410714286133</v>
      </c>
    </row>
    <row r="517" spans="1:40" x14ac:dyDescent="0.3">
      <c r="A517" t="s">
        <v>174</v>
      </c>
      <c r="B517" t="s">
        <v>644</v>
      </c>
      <c r="C517" t="s">
        <v>10</v>
      </c>
      <c r="D517" t="s">
        <v>14</v>
      </c>
      <c r="E517">
        <v>202602</v>
      </c>
      <c r="F517" t="s">
        <v>61</v>
      </c>
      <c r="G517">
        <v>0</v>
      </c>
      <c r="H517">
        <v>1</v>
      </c>
      <c r="I517">
        <v>0</v>
      </c>
      <c r="J517">
        <v>2</v>
      </c>
      <c r="K517">
        <v>1</v>
      </c>
      <c r="L517">
        <v>0</v>
      </c>
      <c r="M517">
        <v>0</v>
      </c>
      <c r="N517">
        <v>0</v>
      </c>
      <c r="O517">
        <v>1</v>
      </c>
      <c r="P517">
        <v>2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>
        <v>0</v>
      </c>
      <c r="AI517">
        <v>0</v>
      </c>
      <c r="AJ517">
        <v>0</v>
      </c>
      <c r="AK517">
        <v>0</v>
      </c>
      <c r="AL517">
        <v>7</v>
      </c>
      <c r="AM517">
        <v>1</v>
      </c>
      <c r="AN517">
        <v>19.125223214285839</v>
      </c>
    </row>
    <row r="518" spans="1:40" x14ac:dyDescent="0.3">
      <c r="A518" t="s">
        <v>174</v>
      </c>
      <c r="B518" t="s">
        <v>644</v>
      </c>
      <c r="C518" t="s">
        <v>10</v>
      </c>
      <c r="D518" t="s">
        <v>14</v>
      </c>
      <c r="E518">
        <v>202602</v>
      </c>
      <c r="F518" t="s">
        <v>112</v>
      </c>
      <c r="G518">
        <v>0</v>
      </c>
      <c r="H518">
        <v>1</v>
      </c>
      <c r="I518">
        <v>1</v>
      </c>
      <c r="J518">
        <v>2</v>
      </c>
      <c r="K518">
        <v>1</v>
      </c>
      <c r="L518">
        <v>1</v>
      </c>
      <c r="M518">
        <v>0</v>
      </c>
      <c r="N518">
        <v>0</v>
      </c>
      <c r="O518">
        <v>1</v>
      </c>
      <c r="P518">
        <v>2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>
        <v>0</v>
      </c>
      <c r="AI518">
        <v>0</v>
      </c>
      <c r="AJ518">
        <v>0</v>
      </c>
      <c r="AK518">
        <v>0</v>
      </c>
      <c r="AL518">
        <v>9</v>
      </c>
      <c r="AM518">
        <v>1</v>
      </c>
      <c r="AN518">
        <v>21.125223214285839</v>
      </c>
    </row>
    <row r="519" spans="1:40" x14ac:dyDescent="0.3">
      <c r="A519" t="s">
        <v>174</v>
      </c>
      <c r="B519" t="s">
        <v>644</v>
      </c>
      <c r="C519" t="s">
        <v>10</v>
      </c>
      <c r="D519" t="s">
        <v>14</v>
      </c>
      <c r="E519">
        <v>202602</v>
      </c>
      <c r="F519" t="s">
        <v>114</v>
      </c>
      <c r="G519">
        <v>0</v>
      </c>
      <c r="H519">
        <v>8</v>
      </c>
      <c r="I519">
        <v>3</v>
      </c>
      <c r="J519">
        <v>3</v>
      </c>
      <c r="K519">
        <v>1</v>
      </c>
      <c r="L519">
        <v>3</v>
      </c>
      <c r="M519">
        <v>1</v>
      </c>
      <c r="N519">
        <v>0</v>
      </c>
      <c r="O519">
        <v>4</v>
      </c>
      <c r="P519">
        <v>4</v>
      </c>
      <c r="Q519">
        <v>3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>
        <v>0</v>
      </c>
      <c r="AB519">
        <v>0</v>
      </c>
      <c r="AC519">
        <v>0</v>
      </c>
      <c r="AD519">
        <v>0</v>
      </c>
      <c r="AE519">
        <v>0</v>
      </c>
      <c r="AF519">
        <v>0</v>
      </c>
      <c r="AG519">
        <v>0</v>
      </c>
      <c r="AH519">
        <v>0</v>
      </c>
      <c r="AI519">
        <v>0</v>
      </c>
      <c r="AJ519">
        <v>0</v>
      </c>
      <c r="AK519">
        <v>0</v>
      </c>
      <c r="AL519">
        <v>30</v>
      </c>
      <c r="AM519">
        <v>3.6666666666666665</v>
      </c>
      <c r="AN519">
        <v>74.459151785714738</v>
      </c>
    </row>
    <row r="520" spans="1:40" x14ac:dyDescent="0.3">
      <c r="A520" t="s">
        <v>174</v>
      </c>
      <c r="B520" t="s">
        <v>644</v>
      </c>
      <c r="C520" t="s">
        <v>10</v>
      </c>
      <c r="D520" t="s">
        <v>14</v>
      </c>
      <c r="E520">
        <v>202602</v>
      </c>
      <c r="F520" t="s">
        <v>226</v>
      </c>
      <c r="G520">
        <v>0</v>
      </c>
      <c r="H520">
        <v>1</v>
      </c>
      <c r="I520">
        <v>0</v>
      </c>
      <c r="J520">
        <v>0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0</v>
      </c>
      <c r="AC520">
        <v>0</v>
      </c>
      <c r="AD520">
        <v>0</v>
      </c>
      <c r="AE520">
        <v>0</v>
      </c>
      <c r="AF520">
        <v>0</v>
      </c>
      <c r="AG520">
        <v>0</v>
      </c>
      <c r="AH520">
        <v>0</v>
      </c>
      <c r="AI520">
        <v>0</v>
      </c>
      <c r="AJ520">
        <v>0</v>
      </c>
      <c r="AK520">
        <v>0</v>
      </c>
      <c r="AL520">
        <v>1</v>
      </c>
      <c r="AM520">
        <v>0</v>
      </c>
      <c r="AN520">
        <v>1</v>
      </c>
    </row>
    <row r="521" spans="1:40" x14ac:dyDescent="0.3">
      <c r="A521" t="s">
        <v>174</v>
      </c>
      <c r="B521" t="s">
        <v>644</v>
      </c>
      <c r="C521" t="s">
        <v>10</v>
      </c>
      <c r="D521" t="s">
        <v>14</v>
      </c>
      <c r="E521">
        <v>202602</v>
      </c>
      <c r="F521" t="s">
        <v>129</v>
      </c>
      <c r="G521">
        <v>0</v>
      </c>
      <c r="H521">
        <v>1</v>
      </c>
      <c r="I521">
        <v>1</v>
      </c>
      <c r="J521">
        <v>0</v>
      </c>
      <c r="K521">
        <v>1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2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>
        <v>0</v>
      </c>
      <c r="AB521">
        <v>0</v>
      </c>
      <c r="AC521">
        <v>0</v>
      </c>
      <c r="AD521">
        <v>0</v>
      </c>
      <c r="AE521">
        <v>0</v>
      </c>
      <c r="AF521">
        <v>0</v>
      </c>
      <c r="AG521">
        <v>0</v>
      </c>
      <c r="AH521">
        <v>0</v>
      </c>
      <c r="AI521">
        <v>0</v>
      </c>
      <c r="AJ521">
        <v>0</v>
      </c>
      <c r="AK521">
        <v>0</v>
      </c>
      <c r="AL521">
        <v>5</v>
      </c>
      <c r="AM521">
        <v>0.66666666666666663</v>
      </c>
      <c r="AN521">
        <v>13.083482142857227</v>
      </c>
    </row>
    <row r="522" spans="1:40" x14ac:dyDescent="0.3">
      <c r="A522" t="s">
        <v>174</v>
      </c>
      <c r="B522" t="s">
        <v>644</v>
      </c>
      <c r="C522" t="s">
        <v>10</v>
      </c>
      <c r="D522" t="s">
        <v>14</v>
      </c>
      <c r="E522">
        <v>202602</v>
      </c>
      <c r="F522" t="s">
        <v>115</v>
      </c>
      <c r="G522">
        <v>0</v>
      </c>
      <c r="H522">
        <v>0</v>
      </c>
      <c r="I522">
        <v>0</v>
      </c>
      <c r="J522">
        <v>1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>
        <v>0</v>
      </c>
      <c r="AB522">
        <v>0</v>
      </c>
      <c r="AC522">
        <v>0</v>
      </c>
      <c r="AD522">
        <v>0</v>
      </c>
      <c r="AE522">
        <v>0</v>
      </c>
      <c r="AF522">
        <v>0</v>
      </c>
      <c r="AG522">
        <v>0</v>
      </c>
      <c r="AH522">
        <v>0</v>
      </c>
      <c r="AI522">
        <v>0</v>
      </c>
      <c r="AJ522">
        <v>0</v>
      </c>
      <c r="AK522">
        <v>0</v>
      </c>
      <c r="AL522">
        <v>1</v>
      </c>
      <c r="AM522">
        <v>0</v>
      </c>
      <c r="AN522">
        <v>1</v>
      </c>
    </row>
    <row r="523" spans="1:40" x14ac:dyDescent="0.3">
      <c r="A523" t="s">
        <v>174</v>
      </c>
      <c r="B523" t="s">
        <v>644</v>
      </c>
      <c r="C523" t="s">
        <v>10</v>
      </c>
      <c r="D523" t="s">
        <v>14</v>
      </c>
      <c r="E523">
        <v>202602</v>
      </c>
      <c r="F523" t="s">
        <v>130</v>
      </c>
      <c r="G523">
        <v>0</v>
      </c>
      <c r="H523">
        <v>0</v>
      </c>
      <c r="I523">
        <v>1</v>
      </c>
      <c r="J523">
        <v>0</v>
      </c>
      <c r="K523">
        <v>0</v>
      </c>
      <c r="L523">
        <v>1</v>
      </c>
      <c r="M523">
        <v>0</v>
      </c>
      <c r="N523">
        <v>0</v>
      </c>
      <c r="O523">
        <v>1</v>
      </c>
      <c r="P523">
        <v>1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0</v>
      </c>
      <c r="AD523">
        <v>0</v>
      </c>
      <c r="AE523">
        <v>0</v>
      </c>
      <c r="AF523">
        <v>0</v>
      </c>
      <c r="AG523">
        <v>0</v>
      </c>
      <c r="AH523">
        <v>0</v>
      </c>
      <c r="AI523">
        <v>0</v>
      </c>
      <c r="AJ523">
        <v>0</v>
      </c>
      <c r="AK523">
        <v>0</v>
      </c>
      <c r="AL523">
        <v>4</v>
      </c>
      <c r="AM523">
        <v>0.66666666666666663</v>
      </c>
      <c r="AN523">
        <v>12.083482142857227</v>
      </c>
    </row>
    <row r="524" spans="1:40" x14ac:dyDescent="0.3">
      <c r="A524" t="s">
        <v>174</v>
      </c>
      <c r="B524" t="s">
        <v>644</v>
      </c>
      <c r="C524" t="s">
        <v>10</v>
      </c>
      <c r="D524" t="s">
        <v>14</v>
      </c>
      <c r="E524">
        <v>202602</v>
      </c>
      <c r="F524" t="s">
        <v>117</v>
      </c>
      <c r="G524">
        <v>0</v>
      </c>
      <c r="H524">
        <v>1</v>
      </c>
      <c r="I524">
        <v>0</v>
      </c>
      <c r="J524">
        <v>0</v>
      </c>
      <c r="K524">
        <v>1</v>
      </c>
      <c r="L524">
        <v>0</v>
      </c>
      <c r="M524">
        <v>0</v>
      </c>
      <c r="N524">
        <v>0</v>
      </c>
      <c r="O524">
        <v>1</v>
      </c>
      <c r="P524">
        <v>0</v>
      </c>
      <c r="Q524">
        <v>1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0</v>
      </c>
      <c r="AF524">
        <v>0</v>
      </c>
      <c r="AG524">
        <v>0</v>
      </c>
      <c r="AH524">
        <v>0</v>
      </c>
      <c r="AI524">
        <v>0</v>
      </c>
      <c r="AJ524">
        <v>0</v>
      </c>
      <c r="AK524">
        <v>0</v>
      </c>
      <c r="AL524">
        <v>4</v>
      </c>
      <c r="AM524">
        <v>0.66666666666666663</v>
      </c>
      <c r="AN524">
        <v>12.083482142857227</v>
      </c>
    </row>
    <row r="525" spans="1:40" x14ac:dyDescent="0.3">
      <c r="A525" t="s">
        <v>174</v>
      </c>
      <c r="B525" t="s">
        <v>644</v>
      </c>
      <c r="C525" t="s">
        <v>10</v>
      </c>
      <c r="D525" t="s">
        <v>14</v>
      </c>
      <c r="E525">
        <v>202602</v>
      </c>
      <c r="F525" t="s">
        <v>118</v>
      </c>
      <c r="G525">
        <v>0</v>
      </c>
      <c r="H525">
        <v>5</v>
      </c>
      <c r="I525">
        <v>2</v>
      </c>
      <c r="J525">
        <v>0</v>
      </c>
      <c r="K525">
        <v>1</v>
      </c>
      <c r="L525">
        <v>2</v>
      </c>
      <c r="M525">
        <v>0</v>
      </c>
      <c r="N525">
        <v>0</v>
      </c>
      <c r="O525">
        <v>2</v>
      </c>
      <c r="P525">
        <v>1</v>
      </c>
      <c r="Q525">
        <v>3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>
        <v>0</v>
      </c>
      <c r="AI525">
        <v>0</v>
      </c>
      <c r="AJ525">
        <v>0</v>
      </c>
      <c r="AK525">
        <v>0</v>
      </c>
      <c r="AL525">
        <v>16</v>
      </c>
      <c r="AM525">
        <v>2</v>
      </c>
      <c r="AN525">
        <v>40.250446428571678</v>
      </c>
    </row>
    <row r="526" spans="1:40" x14ac:dyDescent="0.3">
      <c r="A526" t="s">
        <v>174</v>
      </c>
      <c r="B526" t="s">
        <v>644</v>
      </c>
      <c r="C526" t="s">
        <v>10</v>
      </c>
      <c r="D526" t="s">
        <v>14</v>
      </c>
      <c r="E526">
        <v>202602</v>
      </c>
      <c r="F526" t="s">
        <v>224</v>
      </c>
      <c r="G526">
        <v>0</v>
      </c>
      <c r="H526">
        <v>0</v>
      </c>
      <c r="I526">
        <v>1</v>
      </c>
      <c r="J526">
        <v>0</v>
      </c>
      <c r="K526">
        <v>0</v>
      </c>
      <c r="L526">
        <v>0</v>
      </c>
      <c r="M526">
        <v>0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>
        <v>0</v>
      </c>
      <c r="AI526">
        <v>0</v>
      </c>
      <c r="AJ526">
        <v>0</v>
      </c>
      <c r="AK526">
        <v>0</v>
      </c>
      <c r="AL526">
        <v>2</v>
      </c>
      <c r="AM526">
        <v>0.33333333333333331</v>
      </c>
      <c r="AN526">
        <v>6.0417410714286133</v>
      </c>
    </row>
    <row r="527" spans="1:40" x14ac:dyDescent="0.3">
      <c r="A527" t="s">
        <v>174</v>
      </c>
      <c r="B527" t="s">
        <v>644</v>
      </c>
      <c r="C527" t="s">
        <v>10</v>
      </c>
      <c r="D527" t="s">
        <v>14</v>
      </c>
      <c r="E527">
        <v>202602</v>
      </c>
      <c r="F527" t="s">
        <v>121</v>
      </c>
      <c r="G527">
        <v>0</v>
      </c>
      <c r="H527">
        <v>0</v>
      </c>
      <c r="I527">
        <v>0</v>
      </c>
      <c r="J527">
        <v>4</v>
      </c>
      <c r="K527">
        <v>0</v>
      </c>
      <c r="L527">
        <v>1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>
        <v>0</v>
      </c>
      <c r="AI527">
        <v>0</v>
      </c>
      <c r="AJ527">
        <v>0</v>
      </c>
      <c r="AK527">
        <v>0</v>
      </c>
      <c r="AL527">
        <v>5</v>
      </c>
      <c r="AM527">
        <v>0</v>
      </c>
      <c r="AN527">
        <v>5</v>
      </c>
    </row>
    <row r="528" spans="1:40" x14ac:dyDescent="0.3">
      <c r="A528" t="s">
        <v>174</v>
      </c>
      <c r="B528" t="s">
        <v>644</v>
      </c>
      <c r="C528" t="s">
        <v>10</v>
      </c>
      <c r="D528" t="s">
        <v>14</v>
      </c>
      <c r="E528">
        <v>202602</v>
      </c>
      <c r="F528" t="s">
        <v>225</v>
      </c>
      <c r="G528">
        <v>0</v>
      </c>
      <c r="H528">
        <v>0</v>
      </c>
      <c r="I528">
        <v>1</v>
      </c>
      <c r="J528">
        <v>0</v>
      </c>
      <c r="K528">
        <v>0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>
        <v>0</v>
      </c>
      <c r="AI528">
        <v>0</v>
      </c>
      <c r="AJ528">
        <v>0</v>
      </c>
      <c r="AK528">
        <v>0</v>
      </c>
      <c r="AL528">
        <v>1</v>
      </c>
      <c r="AM528">
        <v>0</v>
      </c>
      <c r="AN528">
        <v>1</v>
      </c>
    </row>
    <row r="529" spans="1:40" x14ac:dyDescent="0.3">
      <c r="A529" t="s">
        <v>174</v>
      </c>
      <c r="B529" t="s">
        <v>644</v>
      </c>
      <c r="C529" t="s">
        <v>10</v>
      </c>
      <c r="D529" t="s">
        <v>14</v>
      </c>
      <c r="E529">
        <v>202602</v>
      </c>
      <c r="F529" t="s">
        <v>122</v>
      </c>
      <c r="G529">
        <v>0</v>
      </c>
      <c r="H529">
        <v>0</v>
      </c>
      <c r="I529">
        <v>0</v>
      </c>
      <c r="J529">
        <v>1</v>
      </c>
      <c r="K529">
        <v>1</v>
      </c>
      <c r="L529">
        <v>0</v>
      </c>
      <c r="M529">
        <v>0</v>
      </c>
      <c r="N529">
        <v>0</v>
      </c>
      <c r="O529">
        <v>0</v>
      </c>
      <c r="P529">
        <v>1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>
        <v>0</v>
      </c>
      <c r="AI529">
        <v>0</v>
      </c>
      <c r="AJ529">
        <v>0</v>
      </c>
      <c r="AK529">
        <v>0</v>
      </c>
      <c r="AL529">
        <v>3</v>
      </c>
      <c r="AM529">
        <v>0.33333333333333331</v>
      </c>
      <c r="AN529">
        <v>7.0417410714286133</v>
      </c>
    </row>
    <row r="530" spans="1:40" x14ac:dyDescent="0.3">
      <c r="A530" t="s">
        <v>174</v>
      </c>
      <c r="B530" t="s">
        <v>644</v>
      </c>
      <c r="C530" t="s">
        <v>10</v>
      </c>
      <c r="D530" t="s">
        <v>14</v>
      </c>
      <c r="E530">
        <v>202602</v>
      </c>
      <c r="F530" t="s">
        <v>124</v>
      </c>
      <c r="G530">
        <v>0</v>
      </c>
      <c r="H530">
        <v>0</v>
      </c>
      <c r="I530">
        <v>1</v>
      </c>
      <c r="J530">
        <v>0</v>
      </c>
      <c r="K530">
        <v>0</v>
      </c>
      <c r="L530">
        <v>0</v>
      </c>
      <c r="M530">
        <v>0</v>
      </c>
      <c r="N530">
        <v>0</v>
      </c>
      <c r="O530">
        <v>0</v>
      </c>
      <c r="P530">
        <v>0</v>
      </c>
      <c r="Q530">
        <v>2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>
        <v>0</v>
      </c>
      <c r="AI530">
        <v>0</v>
      </c>
      <c r="AJ530">
        <v>0</v>
      </c>
      <c r="AK530">
        <v>0</v>
      </c>
      <c r="AL530">
        <v>3</v>
      </c>
      <c r="AM530">
        <v>0.66666666666666663</v>
      </c>
      <c r="AN530">
        <v>11.083482142857227</v>
      </c>
    </row>
    <row r="531" spans="1:40" x14ac:dyDescent="0.3">
      <c r="A531" t="s">
        <v>174</v>
      </c>
      <c r="B531" t="s">
        <v>644</v>
      </c>
      <c r="C531" t="s">
        <v>10</v>
      </c>
      <c r="D531" t="s">
        <v>14</v>
      </c>
      <c r="E531">
        <v>202602</v>
      </c>
      <c r="F531" t="s">
        <v>135</v>
      </c>
      <c r="G531">
        <v>0</v>
      </c>
      <c r="H531">
        <v>2</v>
      </c>
      <c r="I531">
        <v>0</v>
      </c>
      <c r="J531">
        <v>0</v>
      </c>
      <c r="K531">
        <v>1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>
        <v>0</v>
      </c>
      <c r="AI531">
        <v>0</v>
      </c>
      <c r="AJ531">
        <v>0</v>
      </c>
      <c r="AK531">
        <v>0</v>
      </c>
      <c r="AL531">
        <v>3</v>
      </c>
      <c r="AM531">
        <v>0</v>
      </c>
      <c r="AN531">
        <v>3</v>
      </c>
    </row>
    <row r="532" spans="1:40" x14ac:dyDescent="0.3">
      <c r="A532" t="s">
        <v>174</v>
      </c>
      <c r="B532" t="s">
        <v>644</v>
      </c>
      <c r="C532" t="s">
        <v>10</v>
      </c>
      <c r="D532" t="s">
        <v>14</v>
      </c>
      <c r="E532">
        <v>202602</v>
      </c>
      <c r="F532" t="s">
        <v>127</v>
      </c>
      <c r="G532">
        <v>0</v>
      </c>
      <c r="H532">
        <v>0</v>
      </c>
      <c r="I532">
        <v>0</v>
      </c>
      <c r="J532">
        <v>1</v>
      </c>
      <c r="K532">
        <v>1</v>
      </c>
      <c r="L532">
        <v>0</v>
      </c>
      <c r="M532">
        <v>0</v>
      </c>
      <c r="N532">
        <v>0</v>
      </c>
      <c r="O532">
        <v>1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>
        <v>0</v>
      </c>
      <c r="AI532">
        <v>0</v>
      </c>
      <c r="AJ532">
        <v>0</v>
      </c>
      <c r="AK532">
        <v>0</v>
      </c>
      <c r="AL532">
        <v>3</v>
      </c>
      <c r="AM532">
        <v>0.33333333333333331</v>
      </c>
      <c r="AN532">
        <v>7.0417410714286133</v>
      </c>
    </row>
    <row r="533" spans="1:40" x14ac:dyDescent="0.3">
      <c r="A533" t="s">
        <v>174</v>
      </c>
      <c r="B533" t="s">
        <v>644</v>
      </c>
      <c r="C533" t="s">
        <v>10</v>
      </c>
      <c r="D533" t="s">
        <v>14</v>
      </c>
      <c r="E533">
        <v>202602</v>
      </c>
      <c r="F533" t="s">
        <v>227</v>
      </c>
      <c r="G533">
        <v>0</v>
      </c>
      <c r="H533">
        <v>1</v>
      </c>
      <c r="I533">
        <v>1</v>
      </c>
      <c r="J533">
        <v>1</v>
      </c>
      <c r="K533">
        <v>0</v>
      </c>
      <c r="L533">
        <v>0</v>
      </c>
      <c r="M533">
        <v>2</v>
      </c>
      <c r="N533">
        <v>0</v>
      </c>
      <c r="O533">
        <v>0</v>
      </c>
      <c r="P533">
        <v>0</v>
      </c>
      <c r="Q533">
        <v>1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>
        <v>0</v>
      </c>
      <c r="AI533">
        <v>0</v>
      </c>
      <c r="AJ533">
        <v>0</v>
      </c>
      <c r="AK533">
        <v>0</v>
      </c>
      <c r="AL533">
        <v>6</v>
      </c>
      <c r="AM533">
        <v>0.33333333333333331</v>
      </c>
      <c r="AN533">
        <v>10.041741071428614</v>
      </c>
    </row>
    <row r="534" spans="1:40" x14ac:dyDescent="0.3">
      <c r="A534" t="s">
        <v>174</v>
      </c>
      <c r="B534" t="s">
        <v>644</v>
      </c>
      <c r="C534" t="s">
        <v>16</v>
      </c>
      <c r="D534" t="s">
        <v>14</v>
      </c>
      <c r="E534">
        <v>202602</v>
      </c>
      <c r="F534" t="s">
        <v>207</v>
      </c>
      <c r="G534">
        <v>0</v>
      </c>
      <c r="H534">
        <v>0</v>
      </c>
      <c r="I534">
        <v>1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>
        <v>0</v>
      </c>
      <c r="AI534">
        <v>0</v>
      </c>
      <c r="AJ534">
        <v>0</v>
      </c>
      <c r="AK534">
        <v>0</v>
      </c>
      <c r="AL534">
        <v>1</v>
      </c>
      <c r="AM534">
        <v>0</v>
      </c>
      <c r="AN534">
        <v>1</v>
      </c>
    </row>
    <row r="535" spans="1:40" x14ac:dyDescent="0.3">
      <c r="A535" t="s">
        <v>174</v>
      </c>
      <c r="B535" t="s">
        <v>136</v>
      </c>
      <c r="C535" t="s">
        <v>10</v>
      </c>
      <c r="D535" t="s">
        <v>11</v>
      </c>
      <c r="E535">
        <v>202602</v>
      </c>
      <c r="F535" t="s">
        <v>102</v>
      </c>
      <c r="G535">
        <v>0</v>
      </c>
      <c r="H535">
        <v>7</v>
      </c>
      <c r="I535">
        <v>8</v>
      </c>
      <c r="J535">
        <v>5</v>
      </c>
      <c r="K535">
        <v>3</v>
      </c>
      <c r="L535">
        <v>4</v>
      </c>
      <c r="M535">
        <v>3</v>
      </c>
      <c r="N535">
        <v>0</v>
      </c>
      <c r="O535">
        <v>5</v>
      </c>
      <c r="P535">
        <v>7</v>
      </c>
      <c r="Q535">
        <v>5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>
        <v>0</v>
      </c>
      <c r="AI535">
        <v>0</v>
      </c>
      <c r="AJ535">
        <v>0</v>
      </c>
      <c r="AK535">
        <v>0</v>
      </c>
      <c r="AL535">
        <v>47</v>
      </c>
      <c r="AM535">
        <v>5.666666666666667</v>
      </c>
      <c r="AN535">
        <v>125.27862737784289</v>
      </c>
    </row>
    <row r="536" spans="1:40" x14ac:dyDescent="0.3">
      <c r="A536" t="s">
        <v>174</v>
      </c>
      <c r="B536" t="s">
        <v>136</v>
      </c>
      <c r="C536" t="s">
        <v>10</v>
      </c>
      <c r="D536" t="s">
        <v>14</v>
      </c>
      <c r="E536">
        <v>202602</v>
      </c>
      <c r="F536" t="s">
        <v>42</v>
      </c>
      <c r="G536">
        <v>0</v>
      </c>
      <c r="H536">
        <v>0</v>
      </c>
      <c r="I536">
        <v>0</v>
      </c>
      <c r="J536">
        <v>0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1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>
        <v>0</v>
      </c>
      <c r="AI536">
        <v>0</v>
      </c>
      <c r="AJ536">
        <v>0</v>
      </c>
      <c r="AK536">
        <v>0</v>
      </c>
      <c r="AL536">
        <v>1</v>
      </c>
      <c r="AM536">
        <v>0.33333333333333331</v>
      </c>
      <c r="AN536">
        <v>5.0417410714286133</v>
      </c>
    </row>
    <row r="537" spans="1:40" x14ac:dyDescent="0.3">
      <c r="A537" t="s">
        <v>174</v>
      </c>
      <c r="B537" t="s">
        <v>136</v>
      </c>
      <c r="C537" t="s">
        <v>10</v>
      </c>
      <c r="D537" t="s">
        <v>14</v>
      </c>
      <c r="E537">
        <v>202602</v>
      </c>
      <c r="F537" t="s">
        <v>102</v>
      </c>
      <c r="G537">
        <v>0</v>
      </c>
      <c r="H537">
        <v>3</v>
      </c>
      <c r="I537">
        <v>3</v>
      </c>
      <c r="J537">
        <v>0</v>
      </c>
      <c r="K537">
        <v>20</v>
      </c>
      <c r="L537">
        <v>11</v>
      </c>
      <c r="M537">
        <v>1</v>
      </c>
      <c r="N537">
        <v>0</v>
      </c>
      <c r="O537">
        <v>5</v>
      </c>
      <c r="P537">
        <v>2</v>
      </c>
      <c r="Q537">
        <v>6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0</v>
      </c>
      <c r="AH537">
        <v>0</v>
      </c>
      <c r="AI537">
        <v>0</v>
      </c>
      <c r="AJ537">
        <v>0</v>
      </c>
      <c r="AK537">
        <v>0</v>
      </c>
      <c r="AL537">
        <v>51</v>
      </c>
      <c r="AM537">
        <v>4.333333333333333</v>
      </c>
      <c r="AN537">
        <v>103.54263392857197</v>
      </c>
    </row>
    <row r="538" spans="1:40" x14ac:dyDescent="0.3">
      <c r="A538" t="s">
        <v>174</v>
      </c>
      <c r="B538" t="s">
        <v>136</v>
      </c>
      <c r="C538" t="s">
        <v>10</v>
      </c>
      <c r="D538" t="s">
        <v>14</v>
      </c>
      <c r="E538">
        <v>202602</v>
      </c>
      <c r="F538" t="s">
        <v>101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  <c r="M538">
        <v>0</v>
      </c>
      <c r="N538">
        <v>0</v>
      </c>
      <c r="O538">
        <v>1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0</v>
      </c>
      <c r="AH538">
        <v>0</v>
      </c>
      <c r="AI538">
        <v>0</v>
      </c>
      <c r="AJ538">
        <v>0</v>
      </c>
      <c r="AK538">
        <v>0</v>
      </c>
      <c r="AL538">
        <v>1</v>
      </c>
      <c r="AM538">
        <v>0.33333333333333331</v>
      </c>
      <c r="AN538">
        <v>5.0417410714286133</v>
      </c>
    </row>
    <row r="539" spans="1:40" x14ac:dyDescent="0.3">
      <c r="A539" t="s">
        <v>174</v>
      </c>
      <c r="B539" t="s">
        <v>684</v>
      </c>
      <c r="C539" t="s">
        <v>10</v>
      </c>
      <c r="D539" t="s">
        <v>11</v>
      </c>
      <c r="E539">
        <v>202602</v>
      </c>
      <c r="F539" t="s">
        <v>101</v>
      </c>
      <c r="G539">
        <v>0</v>
      </c>
      <c r="H539">
        <v>1</v>
      </c>
      <c r="I539">
        <v>0</v>
      </c>
      <c r="J539">
        <v>0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1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0</v>
      </c>
      <c r="AH539">
        <v>0</v>
      </c>
      <c r="AI539">
        <v>0</v>
      </c>
      <c r="AJ539">
        <v>0</v>
      </c>
      <c r="AK539">
        <v>0</v>
      </c>
      <c r="AL539">
        <v>2</v>
      </c>
      <c r="AM539">
        <v>0.33333333333333331</v>
      </c>
      <c r="AN539">
        <v>6.6046251398731117</v>
      </c>
    </row>
    <row r="540" spans="1:40" x14ac:dyDescent="0.3">
      <c r="A540" t="s">
        <v>174</v>
      </c>
      <c r="B540" t="s">
        <v>684</v>
      </c>
      <c r="C540" t="s">
        <v>10</v>
      </c>
      <c r="D540" t="s">
        <v>11</v>
      </c>
      <c r="E540">
        <v>202602</v>
      </c>
      <c r="F540" t="s">
        <v>138</v>
      </c>
      <c r="G540">
        <v>0</v>
      </c>
      <c r="H540">
        <v>0</v>
      </c>
      <c r="I540">
        <v>0</v>
      </c>
      <c r="J540">
        <v>0</v>
      </c>
      <c r="K540">
        <v>1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0</v>
      </c>
      <c r="AH540">
        <v>0</v>
      </c>
      <c r="AI540">
        <v>0</v>
      </c>
      <c r="AJ540">
        <v>0</v>
      </c>
      <c r="AK540">
        <v>0</v>
      </c>
      <c r="AL540">
        <v>1</v>
      </c>
      <c r="AM540">
        <v>0</v>
      </c>
      <c r="AN540">
        <v>1</v>
      </c>
    </row>
    <row r="541" spans="1:40" x14ac:dyDescent="0.3">
      <c r="A541" t="s">
        <v>174</v>
      </c>
      <c r="B541" t="s">
        <v>684</v>
      </c>
      <c r="C541" t="s">
        <v>10</v>
      </c>
      <c r="D541" t="s">
        <v>14</v>
      </c>
      <c r="E541">
        <v>202602</v>
      </c>
      <c r="F541" t="s">
        <v>101</v>
      </c>
      <c r="G541">
        <v>0</v>
      </c>
      <c r="H541">
        <v>0</v>
      </c>
      <c r="I541">
        <v>0</v>
      </c>
      <c r="J541">
        <v>0</v>
      </c>
      <c r="K541">
        <v>1</v>
      </c>
      <c r="L541">
        <v>1</v>
      </c>
      <c r="M541">
        <v>0</v>
      </c>
      <c r="N541">
        <v>0</v>
      </c>
      <c r="O541">
        <v>0</v>
      </c>
      <c r="P541">
        <v>1</v>
      </c>
      <c r="Q541">
        <v>1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0</v>
      </c>
      <c r="AH541">
        <v>0</v>
      </c>
      <c r="AI541">
        <v>0</v>
      </c>
      <c r="AJ541">
        <v>0</v>
      </c>
      <c r="AK541">
        <v>0</v>
      </c>
      <c r="AL541">
        <v>4</v>
      </c>
      <c r="AM541">
        <v>0.66666666666666663</v>
      </c>
      <c r="AN541">
        <v>12.083482142857227</v>
      </c>
    </row>
    <row r="542" spans="1:40" x14ac:dyDescent="0.3">
      <c r="A542" t="s">
        <v>174</v>
      </c>
      <c r="B542" t="s">
        <v>684</v>
      </c>
      <c r="C542" t="s">
        <v>10</v>
      </c>
      <c r="D542" t="s">
        <v>14</v>
      </c>
      <c r="E542">
        <v>202602</v>
      </c>
      <c r="F542" t="s">
        <v>138</v>
      </c>
      <c r="G542">
        <v>0</v>
      </c>
      <c r="H542">
        <v>1</v>
      </c>
      <c r="I542">
        <v>0</v>
      </c>
      <c r="J542">
        <v>1</v>
      </c>
      <c r="K542">
        <v>0</v>
      </c>
      <c r="L542">
        <v>1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0</v>
      </c>
      <c r="AH542">
        <v>0</v>
      </c>
      <c r="AI542">
        <v>0</v>
      </c>
      <c r="AJ542">
        <v>0</v>
      </c>
      <c r="AK542">
        <v>0</v>
      </c>
      <c r="AL542">
        <v>3</v>
      </c>
      <c r="AM542">
        <v>0</v>
      </c>
      <c r="AN542">
        <v>3</v>
      </c>
    </row>
    <row r="543" spans="1:40" x14ac:dyDescent="0.3">
      <c r="A543" t="s">
        <v>174</v>
      </c>
      <c r="B543" t="s">
        <v>139</v>
      </c>
      <c r="C543" t="s">
        <v>10</v>
      </c>
      <c r="D543" t="s">
        <v>11</v>
      </c>
      <c r="E543">
        <v>202602</v>
      </c>
      <c r="F543" t="s">
        <v>156</v>
      </c>
      <c r="G543">
        <v>0</v>
      </c>
      <c r="H543">
        <v>0</v>
      </c>
      <c r="I543">
        <v>0</v>
      </c>
      <c r="J543">
        <v>0</v>
      </c>
      <c r="K543">
        <v>1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0</v>
      </c>
      <c r="AH543">
        <v>0</v>
      </c>
      <c r="AI543">
        <v>0</v>
      </c>
      <c r="AJ543">
        <v>0</v>
      </c>
      <c r="AK543">
        <v>0</v>
      </c>
      <c r="AL543">
        <v>1</v>
      </c>
      <c r="AM543">
        <v>0</v>
      </c>
      <c r="AN543">
        <v>1</v>
      </c>
    </row>
    <row r="544" spans="1:40" x14ac:dyDescent="0.3">
      <c r="A544" t="s">
        <v>174</v>
      </c>
      <c r="B544" t="s">
        <v>139</v>
      </c>
      <c r="C544" t="s">
        <v>10</v>
      </c>
      <c r="D544" t="s">
        <v>11</v>
      </c>
      <c r="E544">
        <v>202602</v>
      </c>
      <c r="F544" t="s">
        <v>228</v>
      </c>
      <c r="G544">
        <v>0</v>
      </c>
      <c r="H544">
        <v>0</v>
      </c>
      <c r="I544">
        <v>0</v>
      </c>
      <c r="J544">
        <v>0</v>
      </c>
      <c r="K544">
        <v>0</v>
      </c>
      <c r="L544">
        <v>0</v>
      </c>
      <c r="M544">
        <v>0</v>
      </c>
      <c r="N544">
        <v>0</v>
      </c>
      <c r="O544">
        <v>1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0</v>
      </c>
      <c r="AH544">
        <v>0</v>
      </c>
      <c r="AI544">
        <v>0</v>
      </c>
      <c r="AJ544">
        <v>0</v>
      </c>
      <c r="AK544">
        <v>0</v>
      </c>
      <c r="AL544">
        <v>1</v>
      </c>
      <c r="AM544">
        <v>0.33333333333333331</v>
      </c>
      <c r="AN544">
        <v>5.6046251398731117</v>
      </c>
    </row>
    <row r="545" spans="1:40" x14ac:dyDescent="0.3">
      <c r="A545" t="s">
        <v>174</v>
      </c>
      <c r="B545" t="s">
        <v>139</v>
      </c>
      <c r="C545" t="s">
        <v>10</v>
      </c>
      <c r="D545" t="s">
        <v>11</v>
      </c>
      <c r="E545">
        <v>202602</v>
      </c>
      <c r="F545" t="s">
        <v>229</v>
      </c>
      <c r="G545">
        <v>0</v>
      </c>
      <c r="H545">
        <v>0</v>
      </c>
      <c r="I545">
        <v>0</v>
      </c>
      <c r="J545">
        <v>1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0</v>
      </c>
      <c r="AF545">
        <v>0</v>
      </c>
      <c r="AG545">
        <v>0</v>
      </c>
      <c r="AH545">
        <v>0</v>
      </c>
      <c r="AI545">
        <v>0</v>
      </c>
      <c r="AJ545">
        <v>0</v>
      </c>
      <c r="AK545">
        <v>0</v>
      </c>
      <c r="AL545">
        <v>1</v>
      </c>
      <c r="AM545">
        <v>0</v>
      </c>
      <c r="AN545">
        <v>1</v>
      </c>
    </row>
    <row r="546" spans="1:40" x14ac:dyDescent="0.3">
      <c r="A546" t="s">
        <v>174</v>
      </c>
      <c r="B546" t="s">
        <v>139</v>
      </c>
      <c r="C546" t="s">
        <v>10</v>
      </c>
      <c r="D546" t="s">
        <v>11</v>
      </c>
      <c r="E546">
        <v>202602</v>
      </c>
      <c r="F546" t="s">
        <v>230</v>
      </c>
      <c r="G546">
        <v>0</v>
      </c>
      <c r="H546">
        <v>0</v>
      </c>
      <c r="I546">
        <v>0</v>
      </c>
      <c r="J546">
        <v>0</v>
      </c>
      <c r="K546">
        <v>0</v>
      </c>
      <c r="L546">
        <v>0</v>
      </c>
      <c r="M546">
        <v>1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0</v>
      </c>
      <c r="AF546">
        <v>0</v>
      </c>
      <c r="AG546">
        <v>0</v>
      </c>
      <c r="AH546">
        <v>0</v>
      </c>
      <c r="AI546">
        <v>0</v>
      </c>
      <c r="AJ546">
        <v>0</v>
      </c>
      <c r="AK546">
        <v>0</v>
      </c>
      <c r="AL546">
        <v>1</v>
      </c>
      <c r="AM546">
        <v>0</v>
      </c>
      <c r="AN546">
        <v>1</v>
      </c>
    </row>
    <row r="547" spans="1:40" x14ac:dyDescent="0.3">
      <c r="A547" t="s">
        <v>174</v>
      </c>
      <c r="B547" t="s">
        <v>139</v>
      </c>
      <c r="C547" t="s">
        <v>10</v>
      </c>
      <c r="D547" t="s">
        <v>11</v>
      </c>
      <c r="E547">
        <v>202602</v>
      </c>
      <c r="F547" t="s">
        <v>231</v>
      </c>
      <c r="G547">
        <v>0</v>
      </c>
      <c r="H547">
        <v>0</v>
      </c>
      <c r="I547">
        <v>0</v>
      </c>
      <c r="J547">
        <v>0</v>
      </c>
      <c r="K547">
        <v>1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0</v>
      </c>
      <c r="AF547">
        <v>0</v>
      </c>
      <c r="AG547">
        <v>0</v>
      </c>
      <c r="AH547">
        <v>0</v>
      </c>
      <c r="AI547">
        <v>0</v>
      </c>
      <c r="AJ547">
        <v>0</v>
      </c>
      <c r="AK547">
        <v>0</v>
      </c>
      <c r="AL547">
        <v>1</v>
      </c>
      <c r="AM547">
        <v>0</v>
      </c>
      <c r="AN547">
        <v>1</v>
      </c>
    </row>
    <row r="548" spans="1:40" x14ac:dyDescent="0.3">
      <c r="A548" t="s">
        <v>174</v>
      </c>
      <c r="B548" t="s">
        <v>139</v>
      </c>
      <c r="C548" t="s">
        <v>10</v>
      </c>
      <c r="D548" t="s">
        <v>11</v>
      </c>
      <c r="E548">
        <v>202602</v>
      </c>
      <c r="F548" t="s">
        <v>232</v>
      </c>
      <c r="G548">
        <v>0</v>
      </c>
      <c r="H548">
        <v>0</v>
      </c>
      <c r="I548">
        <v>1</v>
      </c>
      <c r="J548">
        <v>0</v>
      </c>
      <c r="K548">
        <v>1</v>
      </c>
      <c r="L548">
        <v>0</v>
      </c>
      <c r="M548">
        <v>0</v>
      </c>
      <c r="N548">
        <v>0</v>
      </c>
      <c r="O548">
        <v>2</v>
      </c>
      <c r="P548">
        <v>0</v>
      </c>
      <c r="Q548">
        <v>1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0</v>
      </c>
      <c r="AF548">
        <v>0</v>
      </c>
      <c r="AG548">
        <v>0</v>
      </c>
      <c r="AH548">
        <v>0</v>
      </c>
      <c r="AI548">
        <v>0</v>
      </c>
      <c r="AJ548">
        <v>0</v>
      </c>
      <c r="AK548">
        <v>0</v>
      </c>
      <c r="AL548">
        <v>5</v>
      </c>
      <c r="AM548">
        <v>1</v>
      </c>
      <c r="AN548">
        <v>18.813875419619336</v>
      </c>
    </row>
    <row r="549" spans="1:40" x14ac:dyDescent="0.3">
      <c r="A549" t="s">
        <v>174</v>
      </c>
      <c r="B549" t="s">
        <v>139</v>
      </c>
      <c r="C549" t="s">
        <v>10</v>
      </c>
      <c r="D549" t="s">
        <v>11</v>
      </c>
      <c r="E549">
        <v>202602</v>
      </c>
      <c r="F549" t="s">
        <v>237</v>
      </c>
      <c r="G549">
        <v>0</v>
      </c>
      <c r="H549">
        <v>0</v>
      </c>
      <c r="I549">
        <v>0</v>
      </c>
      <c r="J549">
        <v>0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1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0</v>
      </c>
      <c r="AF549">
        <v>0</v>
      </c>
      <c r="AG549">
        <v>0</v>
      </c>
      <c r="AH549">
        <v>0</v>
      </c>
      <c r="AI549">
        <v>0</v>
      </c>
      <c r="AJ549">
        <v>0</v>
      </c>
      <c r="AK549">
        <v>0</v>
      </c>
      <c r="AL549">
        <v>1</v>
      </c>
      <c r="AM549">
        <v>0.33333333333333331</v>
      </c>
      <c r="AN549">
        <v>5.6046251398731117</v>
      </c>
    </row>
    <row r="550" spans="1:40" x14ac:dyDescent="0.3">
      <c r="A550" t="s">
        <v>174</v>
      </c>
      <c r="B550" t="s">
        <v>139</v>
      </c>
      <c r="C550" t="s">
        <v>10</v>
      </c>
      <c r="D550" t="s">
        <v>11</v>
      </c>
      <c r="E550">
        <v>202602</v>
      </c>
      <c r="F550" t="s">
        <v>148</v>
      </c>
      <c r="G550">
        <v>0</v>
      </c>
      <c r="H550">
        <v>0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1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v>0</v>
      </c>
      <c r="AH550">
        <v>0</v>
      </c>
      <c r="AI550">
        <v>0</v>
      </c>
      <c r="AJ550">
        <v>0</v>
      </c>
      <c r="AK550">
        <v>0</v>
      </c>
      <c r="AL550">
        <v>1</v>
      </c>
      <c r="AM550">
        <v>0.33333333333333331</v>
      </c>
      <c r="AN550">
        <v>5.6046251398731117</v>
      </c>
    </row>
    <row r="551" spans="1:40" x14ac:dyDescent="0.3">
      <c r="A551" t="s">
        <v>174</v>
      </c>
      <c r="B551" t="s">
        <v>139</v>
      </c>
      <c r="C551" t="s">
        <v>10</v>
      </c>
      <c r="D551" t="s">
        <v>11</v>
      </c>
      <c r="E551">
        <v>202602</v>
      </c>
      <c r="F551" t="s">
        <v>233</v>
      </c>
      <c r="G551">
        <v>0</v>
      </c>
      <c r="H551">
        <v>0</v>
      </c>
      <c r="I551">
        <v>0</v>
      </c>
      <c r="J551">
        <v>0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1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>
        <v>0</v>
      </c>
      <c r="AI551">
        <v>0</v>
      </c>
      <c r="AJ551">
        <v>0</v>
      </c>
      <c r="AK551">
        <v>0</v>
      </c>
      <c r="AL551">
        <v>1</v>
      </c>
      <c r="AM551">
        <v>0.33333333333333331</v>
      </c>
      <c r="AN551">
        <v>5.6046251398731117</v>
      </c>
    </row>
    <row r="552" spans="1:40" x14ac:dyDescent="0.3">
      <c r="A552" t="s">
        <v>174</v>
      </c>
      <c r="B552" t="s">
        <v>139</v>
      </c>
      <c r="C552" t="s">
        <v>10</v>
      </c>
      <c r="D552" t="s">
        <v>11</v>
      </c>
      <c r="E552">
        <v>202602</v>
      </c>
      <c r="F552" t="s">
        <v>234</v>
      </c>
      <c r="G552">
        <v>0</v>
      </c>
      <c r="H552">
        <v>0</v>
      </c>
      <c r="I552">
        <v>0</v>
      </c>
      <c r="J552">
        <v>0</v>
      </c>
      <c r="K552">
        <v>0</v>
      </c>
      <c r="L552">
        <v>0</v>
      </c>
      <c r="M552">
        <v>1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>
        <v>0</v>
      </c>
      <c r="AI552">
        <v>0</v>
      </c>
      <c r="AJ552">
        <v>0</v>
      </c>
      <c r="AK552">
        <v>0</v>
      </c>
      <c r="AL552">
        <v>1</v>
      </c>
      <c r="AM552">
        <v>0</v>
      </c>
      <c r="AN552">
        <v>1</v>
      </c>
    </row>
    <row r="553" spans="1:40" x14ac:dyDescent="0.3">
      <c r="A553" t="s">
        <v>174</v>
      </c>
      <c r="B553" t="s">
        <v>139</v>
      </c>
      <c r="C553" t="s">
        <v>10</v>
      </c>
      <c r="D553" t="s">
        <v>11</v>
      </c>
      <c r="E553">
        <v>202602</v>
      </c>
      <c r="F553" t="s">
        <v>235</v>
      </c>
      <c r="G553">
        <v>0</v>
      </c>
      <c r="H553">
        <v>0</v>
      </c>
      <c r="I553">
        <v>0</v>
      </c>
      <c r="J553">
        <v>0</v>
      </c>
      <c r="K553">
        <v>0</v>
      </c>
      <c r="L553">
        <v>1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>
        <v>0</v>
      </c>
      <c r="AI553">
        <v>0</v>
      </c>
      <c r="AJ553">
        <v>0</v>
      </c>
      <c r="AK553">
        <v>0</v>
      </c>
      <c r="AL553">
        <v>1</v>
      </c>
      <c r="AM553">
        <v>0</v>
      </c>
      <c r="AN553">
        <v>1</v>
      </c>
    </row>
    <row r="554" spans="1:40" x14ac:dyDescent="0.3">
      <c r="A554" t="s">
        <v>174</v>
      </c>
      <c r="B554" t="s">
        <v>139</v>
      </c>
      <c r="C554" t="s">
        <v>10</v>
      </c>
      <c r="D554" t="s">
        <v>11</v>
      </c>
      <c r="E554">
        <v>202602</v>
      </c>
      <c r="F554" t="s">
        <v>236</v>
      </c>
      <c r="G554">
        <v>0</v>
      </c>
      <c r="H554">
        <v>0</v>
      </c>
      <c r="I554">
        <v>0</v>
      </c>
      <c r="J554">
        <v>0</v>
      </c>
      <c r="K554">
        <v>1</v>
      </c>
      <c r="L554">
        <v>0</v>
      </c>
      <c r="M554">
        <v>0</v>
      </c>
      <c r="N554">
        <v>0</v>
      </c>
      <c r="O554">
        <v>2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>
        <v>0</v>
      </c>
      <c r="AI554">
        <v>0</v>
      </c>
      <c r="AJ554">
        <v>0</v>
      </c>
      <c r="AK554">
        <v>0</v>
      </c>
      <c r="AL554">
        <v>3</v>
      </c>
      <c r="AM554">
        <v>0.66666666666666663</v>
      </c>
      <c r="AN554">
        <v>12.209250279746223</v>
      </c>
    </row>
    <row r="555" spans="1:40" x14ac:dyDescent="0.3">
      <c r="A555" t="s">
        <v>174</v>
      </c>
      <c r="B555" t="s">
        <v>139</v>
      </c>
      <c r="C555" t="s">
        <v>10</v>
      </c>
      <c r="D555" t="s">
        <v>14</v>
      </c>
      <c r="E555">
        <v>202602</v>
      </c>
      <c r="F555" t="s">
        <v>156</v>
      </c>
      <c r="G555">
        <v>0</v>
      </c>
      <c r="H555">
        <v>0</v>
      </c>
      <c r="I555">
        <v>2</v>
      </c>
      <c r="J555">
        <v>0</v>
      </c>
      <c r="K555">
        <v>1</v>
      </c>
      <c r="L555">
        <v>2</v>
      </c>
      <c r="M555">
        <v>0</v>
      </c>
      <c r="N555">
        <v>0</v>
      </c>
      <c r="O555">
        <v>2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>
        <v>0</v>
      </c>
      <c r="AI555">
        <v>0</v>
      </c>
      <c r="AJ555">
        <v>0</v>
      </c>
      <c r="AK555">
        <v>0</v>
      </c>
      <c r="AL555">
        <v>7</v>
      </c>
      <c r="AM555">
        <v>0.66666666666666663</v>
      </c>
      <c r="AN555">
        <v>15.083482142857227</v>
      </c>
    </row>
    <row r="556" spans="1:40" x14ac:dyDescent="0.3">
      <c r="A556" t="s">
        <v>174</v>
      </c>
      <c r="B556" t="s">
        <v>139</v>
      </c>
      <c r="C556" t="s">
        <v>10</v>
      </c>
      <c r="D556" t="s">
        <v>14</v>
      </c>
      <c r="E556">
        <v>202602</v>
      </c>
      <c r="F556" t="s">
        <v>689</v>
      </c>
      <c r="G556">
        <v>0</v>
      </c>
      <c r="H556">
        <v>0</v>
      </c>
      <c r="I556">
        <v>0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1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>
        <v>0</v>
      </c>
      <c r="AI556">
        <v>0</v>
      </c>
      <c r="AJ556">
        <v>0</v>
      </c>
      <c r="AK556">
        <v>0</v>
      </c>
      <c r="AL556">
        <v>1</v>
      </c>
      <c r="AM556">
        <v>0.33333333333333331</v>
      </c>
      <c r="AN556">
        <v>5.0417410714286133</v>
      </c>
    </row>
    <row r="557" spans="1:40" x14ac:dyDescent="0.3">
      <c r="A557" t="s">
        <v>174</v>
      </c>
      <c r="B557" t="s">
        <v>139</v>
      </c>
      <c r="C557" t="s">
        <v>10</v>
      </c>
      <c r="D557" t="s">
        <v>14</v>
      </c>
      <c r="E557">
        <v>202602</v>
      </c>
      <c r="F557" t="s">
        <v>228</v>
      </c>
      <c r="G557">
        <v>0</v>
      </c>
      <c r="H557">
        <v>0</v>
      </c>
      <c r="I557">
        <v>1</v>
      </c>
      <c r="J557">
        <v>1</v>
      </c>
      <c r="K557">
        <v>1</v>
      </c>
      <c r="L557">
        <v>0</v>
      </c>
      <c r="M557">
        <v>0</v>
      </c>
      <c r="N557">
        <v>0</v>
      </c>
      <c r="O557">
        <v>0</v>
      </c>
      <c r="P557">
        <v>1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0</v>
      </c>
      <c r="AG557">
        <v>0</v>
      </c>
      <c r="AH557">
        <v>0</v>
      </c>
      <c r="AI557">
        <v>0</v>
      </c>
      <c r="AJ557">
        <v>0</v>
      </c>
      <c r="AK557">
        <v>0</v>
      </c>
      <c r="AL557">
        <v>4</v>
      </c>
      <c r="AM557">
        <v>0.33333333333333331</v>
      </c>
      <c r="AN557">
        <v>8.0417410714286142</v>
      </c>
    </row>
    <row r="558" spans="1:40" x14ac:dyDescent="0.3">
      <c r="A558" t="s">
        <v>174</v>
      </c>
      <c r="B558" t="s">
        <v>139</v>
      </c>
      <c r="C558" t="s">
        <v>10</v>
      </c>
      <c r="D558" t="s">
        <v>14</v>
      </c>
      <c r="E558">
        <v>202602</v>
      </c>
      <c r="F558" t="s">
        <v>230</v>
      </c>
      <c r="G558">
        <v>0</v>
      </c>
      <c r="H558">
        <v>0</v>
      </c>
      <c r="I558">
        <v>0</v>
      </c>
      <c r="J558">
        <v>0</v>
      </c>
      <c r="K558">
        <v>2</v>
      </c>
      <c r="L558">
        <v>1</v>
      </c>
      <c r="M558">
        <v>0</v>
      </c>
      <c r="N558">
        <v>0</v>
      </c>
      <c r="O558">
        <v>0</v>
      </c>
      <c r="P558">
        <v>0</v>
      </c>
      <c r="Q558">
        <v>2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0</v>
      </c>
      <c r="AD558">
        <v>0</v>
      </c>
      <c r="AE558">
        <v>0</v>
      </c>
      <c r="AF558">
        <v>0</v>
      </c>
      <c r="AG558">
        <v>0</v>
      </c>
      <c r="AH558">
        <v>0</v>
      </c>
      <c r="AI558">
        <v>0</v>
      </c>
      <c r="AJ558">
        <v>0</v>
      </c>
      <c r="AK558">
        <v>0</v>
      </c>
      <c r="AL558">
        <v>5</v>
      </c>
      <c r="AM558">
        <v>0.66666666666666663</v>
      </c>
      <c r="AN558">
        <v>13.083482142857227</v>
      </c>
    </row>
    <row r="559" spans="1:40" x14ac:dyDescent="0.3">
      <c r="A559" t="s">
        <v>174</v>
      </c>
      <c r="B559" t="s">
        <v>139</v>
      </c>
      <c r="C559" t="s">
        <v>10</v>
      </c>
      <c r="D559" t="s">
        <v>14</v>
      </c>
      <c r="E559">
        <v>202602</v>
      </c>
      <c r="F559" t="s">
        <v>232</v>
      </c>
      <c r="G559">
        <v>0</v>
      </c>
      <c r="H559">
        <v>1</v>
      </c>
      <c r="I559">
        <v>3</v>
      </c>
      <c r="J559">
        <v>0</v>
      </c>
      <c r="K559">
        <v>2</v>
      </c>
      <c r="L559">
        <v>1</v>
      </c>
      <c r="M559">
        <v>0</v>
      </c>
      <c r="N559">
        <v>0</v>
      </c>
      <c r="O559">
        <v>2</v>
      </c>
      <c r="P559">
        <v>2</v>
      </c>
      <c r="Q559">
        <v>4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0</v>
      </c>
      <c r="AG559">
        <v>0</v>
      </c>
      <c r="AH559">
        <v>0</v>
      </c>
      <c r="AI559">
        <v>0</v>
      </c>
      <c r="AJ559">
        <v>0</v>
      </c>
      <c r="AK559">
        <v>0</v>
      </c>
      <c r="AL559">
        <v>15</v>
      </c>
      <c r="AM559">
        <v>2.6666666666666665</v>
      </c>
      <c r="AN559">
        <v>47.333928571428906</v>
      </c>
    </row>
    <row r="560" spans="1:40" x14ac:dyDescent="0.3">
      <c r="A560" t="s">
        <v>174</v>
      </c>
      <c r="B560" t="s">
        <v>139</v>
      </c>
      <c r="C560" t="s">
        <v>10</v>
      </c>
      <c r="D560" t="s">
        <v>14</v>
      </c>
      <c r="E560">
        <v>202602</v>
      </c>
      <c r="F560" t="s">
        <v>237</v>
      </c>
      <c r="G560">
        <v>0</v>
      </c>
      <c r="H560">
        <v>0</v>
      </c>
      <c r="I560">
        <v>0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1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0</v>
      </c>
      <c r="AG560">
        <v>0</v>
      </c>
      <c r="AH560">
        <v>0</v>
      </c>
      <c r="AI560">
        <v>0</v>
      </c>
      <c r="AJ560">
        <v>0</v>
      </c>
      <c r="AK560">
        <v>0</v>
      </c>
      <c r="AL560">
        <v>1</v>
      </c>
      <c r="AM560">
        <v>0.33333333333333331</v>
      </c>
      <c r="AN560">
        <v>5.0417410714286133</v>
      </c>
    </row>
    <row r="561" spans="1:40" x14ac:dyDescent="0.3">
      <c r="A561" t="s">
        <v>174</v>
      </c>
      <c r="B561" t="s">
        <v>139</v>
      </c>
      <c r="C561" t="s">
        <v>10</v>
      </c>
      <c r="D561" t="s">
        <v>14</v>
      </c>
      <c r="E561">
        <v>202602</v>
      </c>
      <c r="F561" t="s">
        <v>148</v>
      </c>
      <c r="G561">
        <v>0</v>
      </c>
      <c r="H561">
        <v>0</v>
      </c>
      <c r="I561">
        <v>0</v>
      </c>
      <c r="J561">
        <v>0</v>
      </c>
      <c r="K561">
        <v>1</v>
      </c>
      <c r="L561">
        <v>3</v>
      </c>
      <c r="M561">
        <v>0</v>
      </c>
      <c r="N561">
        <v>0</v>
      </c>
      <c r="O561">
        <v>0</v>
      </c>
      <c r="P561">
        <v>0</v>
      </c>
      <c r="Q561">
        <v>1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>
        <v>0</v>
      </c>
      <c r="AI561">
        <v>0</v>
      </c>
      <c r="AJ561">
        <v>0</v>
      </c>
      <c r="AK561">
        <v>0</v>
      </c>
      <c r="AL561">
        <v>5</v>
      </c>
      <c r="AM561">
        <v>0.33333333333333331</v>
      </c>
      <c r="AN561">
        <v>9.0417410714286142</v>
      </c>
    </row>
    <row r="562" spans="1:40" x14ac:dyDescent="0.3">
      <c r="A562" t="s">
        <v>174</v>
      </c>
      <c r="B562" t="s">
        <v>139</v>
      </c>
      <c r="C562" t="s">
        <v>10</v>
      </c>
      <c r="D562" t="s">
        <v>14</v>
      </c>
      <c r="E562">
        <v>202602</v>
      </c>
      <c r="F562" t="s">
        <v>233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0</v>
      </c>
      <c r="O562">
        <v>1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>
        <v>0</v>
      </c>
      <c r="AI562">
        <v>0</v>
      </c>
      <c r="AJ562">
        <v>0</v>
      </c>
      <c r="AK562">
        <v>0</v>
      </c>
      <c r="AL562">
        <v>1</v>
      </c>
      <c r="AM562">
        <v>0.33333333333333331</v>
      </c>
      <c r="AN562">
        <v>5.0417410714286133</v>
      </c>
    </row>
    <row r="563" spans="1:40" x14ac:dyDescent="0.3">
      <c r="A563" t="s">
        <v>174</v>
      </c>
      <c r="B563" t="s">
        <v>139</v>
      </c>
      <c r="C563" t="s">
        <v>10</v>
      </c>
      <c r="D563" t="s">
        <v>14</v>
      </c>
      <c r="E563">
        <v>202602</v>
      </c>
      <c r="F563" t="s">
        <v>234</v>
      </c>
      <c r="G563">
        <v>0</v>
      </c>
      <c r="H563">
        <v>0</v>
      </c>
      <c r="I563">
        <v>0</v>
      </c>
      <c r="J563">
        <v>0</v>
      </c>
      <c r="K563">
        <v>0</v>
      </c>
      <c r="L563">
        <v>1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>
        <v>0</v>
      </c>
      <c r="AI563">
        <v>0</v>
      </c>
      <c r="AJ563">
        <v>0</v>
      </c>
      <c r="AK563">
        <v>0</v>
      </c>
      <c r="AL563">
        <v>1</v>
      </c>
      <c r="AM563">
        <v>0</v>
      </c>
      <c r="AN563">
        <v>1</v>
      </c>
    </row>
    <row r="564" spans="1:40" x14ac:dyDescent="0.3">
      <c r="A564" t="s">
        <v>174</v>
      </c>
      <c r="B564" t="s">
        <v>139</v>
      </c>
      <c r="C564" t="s">
        <v>10</v>
      </c>
      <c r="D564" t="s">
        <v>14</v>
      </c>
      <c r="E564">
        <v>202602</v>
      </c>
      <c r="F564" t="s">
        <v>235</v>
      </c>
      <c r="G564">
        <v>0</v>
      </c>
      <c r="H564">
        <v>0</v>
      </c>
      <c r="I564">
        <v>0</v>
      </c>
      <c r="J564">
        <v>1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>
        <v>0</v>
      </c>
      <c r="AI564">
        <v>0</v>
      </c>
      <c r="AJ564">
        <v>0</v>
      </c>
      <c r="AK564">
        <v>0</v>
      </c>
      <c r="AL564">
        <v>1</v>
      </c>
      <c r="AM564">
        <v>0</v>
      </c>
      <c r="AN564">
        <v>1</v>
      </c>
    </row>
    <row r="565" spans="1:40" x14ac:dyDescent="0.3">
      <c r="A565" t="s">
        <v>174</v>
      </c>
      <c r="B565" t="s">
        <v>139</v>
      </c>
      <c r="C565" t="s">
        <v>10</v>
      </c>
      <c r="D565" t="s">
        <v>14</v>
      </c>
      <c r="E565">
        <v>202602</v>
      </c>
      <c r="F565" t="s">
        <v>236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3</v>
      </c>
      <c r="M565">
        <v>0</v>
      </c>
      <c r="N565">
        <v>0</v>
      </c>
      <c r="O565">
        <v>0</v>
      </c>
      <c r="P565">
        <v>0</v>
      </c>
      <c r="Q565">
        <v>1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>
        <v>0</v>
      </c>
      <c r="AI565">
        <v>0</v>
      </c>
      <c r="AJ565">
        <v>0</v>
      </c>
      <c r="AK565">
        <v>0</v>
      </c>
      <c r="AL565">
        <v>4</v>
      </c>
      <c r="AM565">
        <v>0.33333333333333331</v>
      </c>
      <c r="AN565">
        <v>8.0417410714286142</v>
      </c>
    </row>
    <row r="566" spans="1:40" x14ac:dyDescent="0.3">
      <c r="A566" t="s">
        <v>174</v>
      </c>
      <c r="B566" t="s">
        <v>139</v>
      </c>
      <c r="C566" t="s">
        <v>10</v>
      </c>
      <c r="D566" t="s">
        <v>14</v>
      </c>
      <c r="E566">
        <v>202602</v>
      </c>
      <c r="F566" t="s">
        <v>238</v>
      </c>
      <c r="G566">
        <v>0</v>
      </c>
      <c r="H566">
        <v>0</v>
      </c>
      <c r="I566">
        <v>0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1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>
        <v>0</v>
      </c>
      <c r="AI566">
        <v>0</v>
      </c>
      <c r="AJ566">
        <v>0</v>
      </c>
      <c r="AK566">
        <v>0</v>
      </c>
      <c r="AL566">
        <v>1</v>
      </c>
      <c r="AM566">
        <v>0.33333333333333331</v>
      </c>
      <c r="AN566">
        <v>5.0417410714286133</v>
      </c>
    </row>
    <row r="567" spans="1:40" x14ac:dyDescent="0.3">
      <c r="A567" t="s">
        <v>174</v>
      </c>
      <c r="B567" t="s">
        <v>139</v>
      </c>
      <c r="C567" t="s">
        <v>16</v>
      </c>
      <c r="D567" t="s">
        <v>11</v>
      </c>
      <c r="E567">
        <v>202602</v>
      </c>
      <c r="F567" t="s">
        <v>228</v>
      </c>
      <c r="G567">
        <v>0</v>
      </c>
      <c r="H567">
        <v>0</v>
      </c>
      <c r="I567">
        <v>0</v>
      </c>
      <c r="J567">
        <v>0</v>
      </c>
      <c r="K567">
        <v>1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>
        <v>0</v>
      </c>
      <c r="AI567">
        <v>0</v>
      </c>
      <c r="AJ567">
        <v>0</v>
      </c>
      <c r="AK567">
        <v>0</v>
      </c>
      <c r="AL567">
        <v>1</v>
      </c>
      <c r="AM567">
        <v>0</v>
      </c>
      <c r="AN567">
        <v>1</v>
      </c>
    </row>
    <row r="568" spans="1:40" x14ac:dyDescent="0.3">
      <c r="A568" t="s">
        <v>174</v>
      </c>
      <c r="B568" t="s">
        <v>139</v>
      </c>
      <c r="C568" t="s">
        <v>16</v>
      </c>
      <c r="D568" t="s">
        <v>14</v>
      </c>
      <c r="E568">
        <v>202602</v>
      </c>
      <c r="F568" t="s">
        <v>228</v>
      </c>
      <c r="G568">
        <v>0</v>
      </c>
      <c r="H568">
        <v>0</v>
      </c>
      <c r="I568">
        <v>0</v>
      </c>
      <c r="J568">
        <v>1</v>
      </c>
      <c r="K568">
        <v>1</v>
      </c>
      <c r="L568">
        <v>1</v>
      </c>
      <c r="M568">
        <v>0</v>
      </c>
      <c r="N568">
        <v>1</v>
      </c>
      <c r="O568">
        <v>0</v>
      </c>
      <c r="P568">
        <v>1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>
        <v>0</v>
      </c>
      <c r="AI568">
        <v>0</v>
      </c>
      <c r="AJ568">
        <v>0</v>
      </c>
      <c r="AK568">
        <v>0</v>
      </c>
      <c r="AL568">
        <v>5</v>
      </c>
      <c r="AM568">
        <v>0.33333333333333331</v>
      </c>
      <c r="AN568">
        <v>9.0417410714286142</v>
      </c>
    </row>
    <row r="569" spans="1:40" x14ac:dyDescent="0.3">
      <c r="A569" t="s">
        <v>174</v>
      </c>
      <c r="B569" t="s">
        <v>239</v>
      </c>
      <c r="C569" t="s">
        <v>10</v>
      </c>
      <c r="D569" t="s">
        <v>11</v>
      </c>
      <c r="E569">
        <v>202602</v>
      </c>
      <c r="F569" t="s">
        <v>204</v>
      </c>
      <c r="G569">
        <v>0</v>
      </c>
      <c r="H569">
        <v>0</v>
      </c>
      <c r="I569">
        <v>0</v>
      </c>
      <c r="J569">
        <v>1</v>
      </c>
      <c r="K569">
        <v>2</v>
      </c>
      <c r="L569">
        <v>0</v>
      </c>
      <c r="M569">
        <v>0</v>
      </c>
      <c r="N569">
        <v>0</v>
      </c>
      <c r="O569">
        <v>0</v>
      </c>
      <c r="P569">
        <v>2</v>
      </c>
      <c r="Q569">
        <v>1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>
        <v>0</v>
      </c>
      <c r="AI569">
        <v>0</v>
      </c>
      <c r="AJ569">
        <v>0</v>
      </c>
      <c r="AK569">
        <v>0</v>
      </c>
      <c r="AL569">
        <v>6</v>
      </c>
      <c r="AM569">
        <v>1</v>
      </c>
      <c r="AN569">
        <v>19.813875419619336</v>
      </c>
    </row>
    <row r="570" spans="1:40" x14ac:dyDescent="0.3">
      <c r="A570" t="s">
        <v>174</v>
      </c>
      <c r="B570" t="s">
        <v>239</v>
      </c>
      <c r="C570" t="s">
        <v>10</v>
      </c>
      <c r="D570" t="s">
        <v>14</v>
      </c>
      <c r="E570">
        <v>202602</v>
      </c>
      <c r="F570" t="s">
        <v>204</v>
      </c>
      <c r="G570">
        <v>0</v>
      </c>
      <c r="H570">
        <v>0</v>
      </c>
      <c r="I570">
        <v>0</v>
      </c>
      <c r="J570">
        <v>1</v>
      </c>
      <c r="K570">
        <v>0</v>
      </c>
      <c r="L570">
        <v>2</v>
      </c>
      <c r="M570">
        <v>1</v>
      </c>
      <c r="N570">
        <v>0</v>
      </c>
      <c r="O570">
        <v>4</v>
      </c>
      <c r="P570">
        <v>1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>
        <v>0</v>
      </c>
      <c r="AI570">
        <v>0</v>
      </c>
      <c r="AJ570">
        <v>0</v>
      </c>
      <c r="AK570">
        <v>0</v>
      </c>
      <c r="AL570">
        <v>9</v>
      </c>
      <c r="AM570">
        <v>1.6666666666666667</v>
      </c>
      <c r="AN570">
        <v>29.208705357143064</v>
      </c>
    </row>
    <row r="571" spans="1:40" x14ac:dyDescent="0.3">
      <c r="A571" t="s">
        <v>174</v>
      </c>
      <c r="B571" t="s">
        <v>239</v>
      </c>
      <c r="C571" t="s">
        <v>10</v>
      </c>
      <c r="D571" t="s">
        <v>14</v>
      </c>
      <c r="E571">
        <v>202602</v>
      </c>
      <c r="F571" t="s">
        <v>240</v>
      </c>
      <c r="G571">
        <v>0</v>
      </c>
      <c r="H571">
        <v>0</v>
      </c>
      <c r="I571">
        <v>0</v>
      </c>
      <c r="J571">
        <v>0</v>
      </c>
      <c r="K571">
        <v>0</v>
      </c>
      <c r="L571">
        <v>0</v>
      </c>
      <c r="M571">
        <v>0</v>
      </c>
      <c r="N571">
        <v>0</v>
      </c>
      <c r="O571">
        <v>1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>
        <v>0</v>
      </c>
      <c r="AI571">
        <v>0</v>
      </c>
      <c r="AJ571">
        <v>0</v>
      </c>
      <c r="AK571">
        <v>0</v>
      </c>
      <c r="AL571">
        <v>1</v>
      </c>
      <c r="AM571">
        <v>0.33333333333333331</v>
      </c>
      <c r="AN571">
        <v>5.0417410714286133</v>
      </c>
    </row>
    <row r="572" spans="1:40" x14ac:dyDescent="0.3">
      <c r="A572" t="s">
        <v>174</v>
      </c>
      <c r="B572" t="s">
        <v>239</v>
      </c>
      <c r="C572" t="s">
        <v>16</v>
      </c>
      <c r="D572" t="s">
        <v>11</v>
      </c>
      <c r="E572">
        <v>202602</v>
      </c>
      <c r="F572" t="s">
        <v>241</v>
      </c>
      <c r="G572">
        <v>0</v>
      </c>
      <c r="H572">
        <v>0</v>
      </c>
      <c r="I572">
        <v>0</v>
      </c>
      <c r="J572">
        <v>1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>
        <v>0</v>
      </c>
      <c r="AI572">
        <v>0</v>
      </c>
      <c r="AJ572">
        <v>0</v>
      </c>
      <c r="AK572">
        <v>0</v>
      </c>
      <c r="AL572">
        <v>1</v>
      </c>
      <c r="AM572">
        <v>0</v>
      </c>
      <c r="AN572">
        <v>1</v>
      </c>
    </row>
    <row r="573" spans="1:40" x14ac:dyDescent="0.3">
      <c r="A573" t="s">
        <v>174</v>
      </c>
      <c r="B573" t="s">
        <v>239</v>
      </c>
      <c r="C573" t="s">
        <v>16</v>
      </c>
      <c r="D573" t="s">
        <v>14</v>
      </c>
      <c r="E573">
        <v>202602</v>
      </c>
      <c r="F573" t="s">
        <v>241</v>
      </c>
      <c r="G573">
        <v>0</v>
      </c>
      <c r="H573">
        <v>0</v>
      </c>
      <c r="I573">
        <v>1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  <c r="AG573">
        <v>0</v>
      </c>
      <c r="AH573">
        <v>0</v>
      </c>
      <c r="AI573">
        <v>0</v>
      </c>
      <c r="AJ573">
        <v>0</v>
      </c>
      <c r="AK573">
        <v>0</v>
      </c>
      <c r="AL573">
        <v>1</v>
      </c>
      <c r="AM573">
        <v>0</v>
      </c>
      <c r="AN573">
        <v>1</v>
      </c>
    </row>
    <row r="574" spans="1:40" x14ac:dyDescent="0.3">
      <c r="A574" t="s">
        <v>174</v>
      </c>
      <c r="B574" t="s">
        <v>164</v>
      </c>
      <c r="C574" t="s">
        <v>10</v>
      </c>
      <c r="D574" t="s">
        <v>11</v>
      </c>
      <c r="E574">
        <v>202602</v>
      </c>
      <c r="F574" t="s">
        <v>18</v>
      </c>
      <c r="G574">
        <v>0</v>
      </c>
      <c r="H574">
        <v>6</v>
      </c>
      <c r="I574">
        <v>12</v>
      </c>
      <c r="J574">
        <v>4</v>
      </c>
      <c r="K574">
        <v>8</v>
      </c>
      <c r="L574">
        <v>10</v>
      </c>
      <c r="M574">
        <v>3</v>
      </c>
      <c r="N574">
        <v>0</v>
      </c>
      <c r="O574">
        <v>9</v>
      </c>
      <c r="P574">
        <v>6</v>
      </c>
      <c r="Q574">
        <v>7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0</v>
      </c>
      <c r="AG574">
        <v>0</v>
      </c>
      <c r="AH574">
        <v>0</v>
      </c>
      <c r="AI574">
        <v>0</v>
      </c>
      <c r="AJ574">
        <v>0</v>
      </c>
      <c r="AK574">
        <v>0</v>
      </c>
      <c r="AL574">
        <v>65</v>
      </c>
      <c r="AM574">
        <v>7.333333333333333</v>
      </c>
      <c r="AN574">
        <v>166.30175307720845</v>
      </c>
    </row>
    <row r="575" spans="1:40" x14ac:dyDescent="0.3">
      <c r="A575" t="s">
        <v>174</v>
      </c>
      <c r="B575" t="s">
        <v>164</v>
      </c>
      <c r="C575" t="s">
        <v>10</v>
      </c>
      <c r="D575" t="s">
        <v>11</v>
      </c>
      <c r="E575">
        <v>202602</v>
      </c>
      <c r="F575" t="s">
        <v>138</v>
      </c>
      <c r="G575">
        <v>0</v>
      </c>
      <c r="H575">
        <v>7</v>
      </c>
      <c r="I575">
        <v>4</v>
      </c>
      <c r="J575">
        <v>6</v>
      </c>
      <c r="K575">
        <v>9</v>
      </c>
      <c r="L575">
        <v>2</v>
      </c>
      <c r="M575">
        <v>5</v>
      </c>
      <c r="N575">
        <v>0</v>
      </c>
      <c r="O575">
        <v>5</v>
      </c>
      <c r="P575">
        <v>6</v>
      </c>
      <c r="Q575">
        <v>3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0</v>
      </c>
      <c r="AD575">
        <v>0</v>
      </c>
      <c r="AE575">
        <v>0</v>
      </c>
      <c r="AF575">
        <v>0</v>
      </c>
      <c r="AG575">
        <v>0</v>
      </c>
      <c r="AH575">
        <v>0</v>
      </c>
      <c r="AI575">
        <v>0</v>
      </c>
      <c r="AJ575">
        <v>0</v>
      </c>
      <c r="AK575">
        <v>0</v>
      </c>
      <c r="AL575">
        <v>47</v>
      </c>
      <c r="AM575">
        <v>4.666666666666667</v>
      </c>
      <c r="AN575">
        <v>111.46475195822356</v>
      </c>
    </row>
    <row r="576" spans="1:40" x14ac:dyDescent="0.3">
      <c r="A576" t="s">
        <v>174</v>
      </c>
      <c r="B576" t="s">
        <v>164</v>
      </c>
      <c r="C576" t="s">
        <v>10</v>
      </c>
      <c r="D576" t="s">
        <v>14</v>
      </c>
      <c r="E576">
        <v>202602</v>
      </c>
      <c r="F576" t="s">
        <v>18</v>
      </c>
      <c r="G576">
        <v>2</v>
      </c>
      <c r="H576">
        <v>9</v>
      </c>
      <c r="I576">
        <v>12</v>
      </c>
      <c r="J576">
        <v>16</v>
      </c>
      <c r="K576">
        <v>4</v>
      </c>
      <c r="L576">
        <v>8</v>
      </c>
      <c r="M576">
        <v>5</v>
      </c>
      <c r="N576">
        <v>3</v>
      </c>
      <c r="O576">
        <v>15</v>
      </c>
      <c r="P576">
        <v>18</v>
      </c>
      <c r="Q576">
        <v>14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0</v>
      </c>
      <c r="AD576">
        <v>0</v>
      </c>
      <c r="AE576">
        <v>0</v>
      </c>
      <c r="AF576">
        <v>0</v>
      </c>
      <c r="AG576">
        <v>0</v>
      </c>
      <c r="AH576">
        <v>0</v>
      </c>
      <c r="AI576">
        <v>0</v>
      </c>
      <c r="AJ576">
        <v>0</v>
      </c>
      <c r="AK576">
        <v>0</v>
      </c>
      <c r="AL576">
        <v>106</v>
      </c>
      <c r="AM576">
        <v>15.666666666666666</v>
      </c>
      <c r="AN576">
        <v>295.96183035714478</v>
      </c>
    </row>
    <row r="577" spans="1:40" x14ac:dyDescent="0.3">
      <c r="A577" t="s">
        <v>174</v>
      </c>
      <c r="B577" t="s">
        <v>164</v>
      </c>
      <c r="C577" t="s">
        <v>10</v>
      </c>
      <c r="D577" t="s">
        <v>14</v>
      </c>
      <c r="E577">
        <v>202602</v>
      </c>
      <c r="F577" t="s">
        <v>138</v>
      </c>
      <c r="G577">
        <v>0</v>
      </c>
      <c r="H577">
        <v>8</v>
      </c>
      <c r="I577">
        <v>17</v>
      </c>
      <c r="J577">
        <v>8</v>
      </c>
      <c r="K577">
        <v>11</v>
      </c>
      <c r="L577">
        <v>7</v>
      </c>
      <c r="M577">
        <v>7</v>
      </c>
      <c r="N577">
        <v>0</v>
      </c>
      <c r="O577">
        <v>9</v>
      </c>
      <c r="P577">
        <v>10</v>
      </c>
      <c r="Q577">
        <v>12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0</v>
      </c>
      <c r="AD577">
        <v>0</v>
      </c>
      <c r="AE577">
        <v>0</v>
      </c>
      <c r="AF577">
        <v>0</v>
      </c>
      <c r="AG577">
        <v>0</v>
      </c>
      <c r="AH577">
        <v>0</v>
      </c>
      <c r="AI577">
        <v>0</v>
      </c>
      <c r="AJ577">
        <v>0</v>
      </c>
      <c r="AK577">
        <v>0</v>
      </c>
      <c r="AL577">
        <v>89</v>
      </c>
      <c r="AM577">
        <v>10.333333333333334</v>
      </c>
      <c r="AN577">
        <v>214.29397321428701</v>
      </c>
    </row>
    <row r="578" spans="1:40" x14ac:dyDescent="0.3">
      <c r="A578" t="s">
        <v>174</v>
      </c>
      <c r="B578" t="s">
        <v>164</v>
      </c>
      <c r="C578" t="s">
        <v>16</v>
      </c>
      <c r="D578" t="s">
        <v>11</v>
      </c>
      <c r="E578">
        <v>202602</v>
      </c>
      <c r="F578" t="s">
        <v>18</v>
      </c>
      <c r="G578">
        <v>0</v>
      </c>
      <c r="H578">
        <v>0</v>
      </c>
      <c r="I578">
        <v>0</v>
      </c>
      <c r="J578">
        <v>1</v>
      </c>
      <c r="K578">
        <v>0</v>
      </c>
      <c r="L578">
        <v>0</v>
      </c>
      <c r="M578">
        <v>1</v>
      </c>
      <c r="N578">
        <v>0</v>
      </c>
      <c r="O578">
        <v>0</v>
      </c>
      <c r="P578">
        <v>0</v>
      </c>
      <c r="Q578">
        <v>1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>
        <v>0</v>
      </c>
      <c r="AI578">
        <v>0</v>
      </c>
      <c r="AJ578">
        <v>0</v>
      </c>
      <c r="AK578">
        <v>0</v>
      </c>
      <c r="AL578">
        <v>3</v>
      </c>
      <c r="AM578">
        <v>0.33333333333333331</v>
      </c>
      <c r="AN578">
        <v>7.6046251398731117</v>
      </c>
    </row>
    <row r="579" spans="1:40" x14ac:dyDescent="0.3">
      <c r="A579" t="s">
        <v>174</v>
      </c>
      <c r="B579" t="s">
        <v>164</v>
      </c>
      <c r="C579" t="s">
        <v>16</v>
      </c>
      <c r="D579" t="s">
        <v>11</v>
      </c>
      <c r="E579">
        <v>202602</v>
      </c>
      <c r="F579" t="s">
        <v>138</v>
      </c>
      <c r="G579">
        <v>0</v>
      </c>
      <c r="H579">
        <v>0</v>
      </c>
      <c r="I579">
        <v>1</v>
      </c>
      <c r="J579">
        <v>0</v>
      </c>
      <c r="K579">
        <v>0</v>
      </c>
      <c r="L579">
        <v>1</v>
      </c>
      <c r="M579">
        <v>0</v>
      </c>
      <c r="N579">
        <v>0</v>
      </c>
      <c r="O579">
        <v>1</v>
      </c>
      <c r="P579">
        <v>0</v>
      </c>
      <c r="Q579">
        <v>2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0</v>
      </c>
      <c r="AH579">
        <v>0</v>
      </c>
      <c r="AI579">
        <v>0</v>
      </c>
      <c r="AJ579">
        <v>0</v>
      </c>
      <c r="AK579">
        <v>0</v>
      </c>
      <c r="AL579">
        <v>5</v>
      </c>
      <c r="AM579">
        <v>1</v>
      </c>
      <c r="AN579">
        <v>18.813875419619336</v>
      </c>
    </row>
    <row r="580" spans="1:40" x14ac:dyDescent="0.3">
      <c r="A580" t="s">
        <v>174</v>
      </c>
      <c r="B580" t="s">
        <v>164</v>
      </c>
      <c r="C580" t="s">
        <v>16</v>
      </c>
      <c r="D580" t="s">
        <v>14</v>
      </c>
      <c r="E580">
        <v>202602</v>
      </c>
      <c r="F580" t="s">
        <v>18</v>
      </c>
      <c r="G580">
        <v>0</v>
      </c>
      <c r="H580">
        <v>0</v>
      </c>
      <c r="I580">
        <v>1</v>
      </c>
      <c r="J580">
        <v>0</v>
      </c>
      <c r="K580">
        <v>1</v>
      </c>
      <c r="L580">
        <v>0</v>
      </c>
      <c r="M580">
        <v>0</v>
      </c>
      <c r="N580">
        <v>0</v>
      </c>
      <c r="O580">
        <v>2</v>
      </c>
      <c r="P580">
        <v>1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  <c r="AI580">
        <v>0</v>
      </c>
      <c r="AJ580">
        <v>0</v>
      </c>
      <c r="AK580">
        <v>0</v>
      </c>
      <c r="AL580">
        <v>5</v>
      </c>
      <c r="AM580">
        <v>1</v>
      </c>
      <c r="AN580">
        <v>17.125223214285839</v>
      </c>
    </row>
    <row r="581" spans="1:40" x14ac:dyDescent="0.3">
      <c r="A581" t="s">
        <v>174</v>
      </c>
      <c r="B581" t="s">
        <v>164</v>
      </c>
      <c r="C581" t="s">
        <v>16</v>
      </c>
      <c r="D581" t="s">
        <v>14</v>
      </c>
      <c r="E581">
        <v>202602</v>
      </c>
      <c r="F581" t="s">
        <v>138</v>
      </c>
      <c r="G581">
        <v>0</v>
      </c>
      <c r="H581">
        <v>0</v>
      </c>
      <c r="I581">
        <v>1</v>
      </c>
      <c r="J581">
        <v>1</v>
      </c>
      <c r="K581">
        <v>1</v>
      </c>
      <c r="L581">
        <v>0</v>
      </c>
      <c r="M581">
        <v>0</v>
      </c>
      <c r="N581">
        <v>0</v>
      </c>
      <c r="O581">
        <v>1</v>
      </c>
      <c r="P581">
        <v>2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  <c r="AI581">
        <v>0</v>
      </c>
      <c r="AJ581">
        <v>0</v>
      </c>
      <c r="AK581">
        <v>0</v>
      </c>
      <c r="AL581">
        <v>6</v>
      </c>
      <c r="AM581">
        <v>1</v>
      </c>
      <c r="AN581">
        <v>18.125223214285839</v>
      </c>
    </row>
    <row r="582" spans="1:40" x14ac:dyDescent="0.3">
      <c r="A582" t="s">
        <v>174</v>
      </c>
      <c r="B582" t="s">
        <v>168</v>
      </c>
      <c r="C582" t="s">
        <v>10</v>
      </c>
      <c r="D582" t="s">
        <v>11</v>
      </c>
      <c r="E582">
        <v>202602</v>
      </c>
      <c r="F582" t="s">
        <v>169</v>
      </c>
      <c r="G582">
        <v>0</v>
      </c>
      <c r="H582">
        <v>1</v>
      </c>
      <c r="I582">
        <v>0</v>
      </c>
      <c r="J582">
        <v>0</v>
      </c>
      <c r="K582">
        <v>1</v>
      </c>
      <c r="L582">
        <v>1</v>
      </c>
      <c r="M582">
        <v>1</v>
      </c>
      <c r="N582">
        <v>0</v>
      </c>
      <c r="O582">
        <v>0</v>
      </c>
      <c r="P582">
        <v>2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>
        <v>0</v>
      </c>
      <c r="AI582">
        <v>0</v>
      </c>
      <c r="AJ582">
        <v>0</v>
      </c>
      <c r="AK582">
        <v>0</v>
      </c>
      <c r="AL582">
        <v>6</v>
      </c>
      <c r="AM582">
        <v>0.66666666666666663</v>
      </c>
      <c r="AN582">
        <v>15.209250279746223</v>
      </c>
    </row>
    <row r="583" spans="1:40" x14ac:dyDescent="0.3">
      <c r="A583" t="s">
        <v>174</v>
      </c>
      <c r="B583" t="s">
        <v>168</v>
      </c>
      <c r="C583" t="s">
        <v>10</v>
      </c>
      <c r="D583" t="s">
        <v>11</v>
      </c>
      <c r="E583">
        <v>202602</v>
      </c>
      <c r="F583" t="s">
        <v>102</v>
      </c>
      <c r="G583">
        <v>0</v>
      </c>
      <c r="H583">
        <v>0</v>
      </c>
      <c r="I583">
        <v>0</v>
      </c>
      <c r="J583">
        <v>0</v>
      </c>
      <c r="K583">
        <v>0</v>
      </c>
      <c r="L583">
        <v>0</v>
      </c>
      <c r="M583">
        <v>0</v>
      </c>
      <c r="N583">
        <v>0</v>
      </c>
      <c r="O583">
        <v>1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>
        <v>0</v>
      </c>
      <c r="AI583">
        <v>0</v>
      </c>
      <c r="AJ583">
        <v>0</v>
      </c>
      <c r="AK583">
        <v>0</v>
      </c>
      <c r="AL583">
        <v>1</v>
      </c>
      <c r="AM583">
        <v>0.33333333333333331</v>
      </c>
      <c r="AN583">
        <v>5.6046251398731117</v>
      </c>
    </row>
    <row r="584" spans="1:40" x14ac:dyDescent="0.3">
      <c r="A584" t="s">
        <v>174</v>
      </c>
      <c r="B584" t="s">
        <v>168</v>
      </c>
      <c r="C584" t="s">
        <v>10</v>
      </c>
      <c r="D584" t="s">
        <v>11</v>
      </c>
      <c r="E584">
        <v>202602</v>
      </c>
      <c r="F584" t="s">
        <v>242</v>
      </c>
      <c r="G584">
        <v>0</v>
      </c>
      <c r="H584">
        <v>0</v>
      </c>
      <c r="I584">
        <v>0</v>
      </c>
      <c r="J584">
        <v>0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1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>
        <v>0</v>
      </c>
      <c r="AI584">
        <v>0</v>
      </c>
      <c r="AJ584">
        <v>0</v>
      </c>
      <c r="AK584">
        <v>0</v>
      </c>
      <c r="AL584">
        <v>1</v>
      </c>
      <c r="AM584">
        <v>0.33333333333333331</v>
      </c>
      <c r="AN584">
        <v>5.6046251398731117</v>
      </c>
    </row>
    <row r="585" spans="1:40" x14ac:dyDescent="0.3">
      <c r="A585" t="s">
        <v>174</v>
      </c>
      <c r="B585" t="s">
        <v>168</v>
      </c>
      <c r="C585" t="s">
        <v>10</v>
      </c>
      <c r="D585" t="s">
        <v>14</v>
      </c>
      <c r="E585">
        <v>202602</v>
      </c>
      <c r="F585" t="s">
        <v>169</v>
      </c>
      <c r="G585">
        <v>0</v>
      </c>
      <c r="H585">
        <v>0</v>
      </c>
      <c r="I585">
        <v>2</v>
      </c>
      <c r="J585">
        <v>3</v>
      </c>
      <c r="K585">
        <v>0</v>
      </c>
      <c r="L585">
        <v>0</v>
      </c>
      <c r="M585">
        <v>0</v>
      </c>
      <c r="N585">
        <v>0</v>
      </c>
      <c r="O585">
        <v>1</v>
      </c>
      <c r="P585">
        <v>2</v>
      </c>
      <c r="Q585">
        <v>1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>
        <v>0</v>
      </c>
      <c r="AI585">
        <v>0</v>
      </c>
      <c r="AJ585">
        <v>0</v>
      </c>
      <c r="AK585">
        <v>0</v>
      </c>
      <c r="AL585">
        <v>9</v>
      </c>
      <c r="AM585">
        <v>1.3333333333333333</v>
      </c>
      <c r="AN585">
        <v>25.166964285714453</v>
      </c>
    </row>
    <row r="586" spans="1:40" x14ac:dyDescent="0.3">
      <c r="A586" t="s">
        <v>174</v>
      </c>
      <c r="B586" t="s">
        <v>168</v>
      </c>
      <c r="C586" t="s">
        <v>10</v>
      </c>
      <c r="D586" t="s">
        <v>14</v>
      </c>
      <c r="E586">
        <v>202602</v>
      </c>
      <c r="F586" t="s">
        <v>102</v>
      </c>
      <c r="G586">
        <v>0</v>
      </c>
      <c r="H586">
        <v>1</v>
      </c>
      <c r="I586">
        <v>0</v>
      </c>
      <c r="J586">
        <v>0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1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>
        <v>0</v>
      </c>
      <c r="AI586">
        <v>0</v>
      </c>
      <c r="AJ586">
        <v>0</v>
      </c>
      <c r="AK586">
        <v>0</v>
      </c>
      <c r="AL586">
        <v>2</v>
      </c>
      <c r="AM586">
        <v>0.33333333333333331</v>
      </c>
      <c r="AN586">
        <v>6.0417410714286133</v>
      </c>
    </row>
    <row r="587" spans="1:40" x14ac:dyDescent="0.3">
      <c r="A587" t="s">
        <v>174</v>
      </c>
      <c r="B587" t="s">
        <v>168</v>
      </c>
      <c r="C587" t="s">
        <v>10</v>
      </c>
      <c r="D587" t="s">
        <v>14</v>
      </c>
      <c r="E587">
        <v>202602</v>
      </c>
      <c r="F587" t="s">
        <v>242</v>
      </c>
      <c r="G587">
        <v>0</v>
      </c>
      <c r="H587">
        <v>0</v>
      </c>
      <c r="I587">
        <v>0</v>
      </c>
      <c r="J587">
        <v>0</v>
      </c>
      <c r="K587">
        <v>1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>
        <v>0</v>
      </c>
      <c r="AI587">
        <v>0</v>
      </c>
      <c r="AJ587">
        <v>0</v>
      </c>
      <c r="AK587">
        <v>0</v>
      </c>
      <c r="AL587">
        <v>1</v>
      </c>
      <c r="AM587">
        <v>0</v>
      </c>
      <c r="AN587">
        <v>1</v>
      </c>
    </row>
    <row r="588" spans="1:40" x14ac:dyDescent="0.3">
      <c r="A588" t="s">
        <v>174</v>
      </c>
      <c r="B588" t="s">
        <v>170</v>
      </c>
      <c r="C588" t="s">
        <v>10</v>
      </c>
      <c r="D588" t="s">
        <v>11</v>
      </c>
      <c r="E588">
        <v>202602</v>
      </c>
      <c r="F588" t="s">
        <v>50</v>
      </c>
      <c r="G588">
        <v>0</v>
      </c>
      <c r="H588">
        <v>0</v>
      </c>
      <c r="I588">
        <v>0</v>
      </c>
      <c r="J588">
        <v>1</v>
      </c>
      <c r="K588">
        <v>4</v>
      </c>
      <c r="L588">
        <v>0</v>
      </c>
      <c r="M588">
        <v>2</v>
      </c>
      <c r="N588">
        <v>0</v>
      </c>
      <c r="O588">
        <v>1</v>
      </c>
      <c r="P588">
        <v>0</v>
      </c>
      <c r="Q588">
        <v>1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>
        <v>0</v>
      </c>
      <c r="AH588">
        <v>0</v>
      </c>
      <c r="AI588">
        <v>0</v>
      </c>
      <c r="AJ588">
        <v>0</v>
      </c>
      <c r="AK588">
        <v>0</v>
      </c>
      <c r="AL588">
        <v>9</v>
      </c>
      <c r="AM588">
        <v>0.66666666666666663</v>
      </c>
      <c r="AN588">
        <v>18.209250279746222</v>
      </c>
    </row>
    <row r="589" spans="1:40" x14ac:dyDescent="0.3">
      <c r="A589" t="s">
        <v>174</v>
      </c>
      <c r="B589" t="s">
        <v>170</v>
      </c>
      <c r="C589" t="s">
        <v>10</v>
      </c>
      <c r="D589" t="s">
        <v>14</v>
      </c>
      <c r="E589">
        <v>202602</v>
      </c>
      <c r="F589" t="s">
        <v>50</v>
      </c>
      <c r="G589">
        <v>0</v>
      </c>
      <c r="H589">
        <v>1</v>
      </c>
      <c r="I589">
        <v>3</v>
      </c>
      <c r="J589">
        <v>1</v>
      </c>
      <c r="K589">
        <v>2</v>
      </c>
      <c r="L589">
        <v>2</v>
      </c>
      <c r="M589">
        <v>0</v>
      </c>
      <c r="N589">
        <v>0</v>
      </c>
      <c r="O589">
        <v>2</v>
      </c>
      <c r="P589">
        <v>1</v>
      </c>
      <c r="Q589">
        <v>1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>
        <v>0</v>
      </c>
      <c r="AH589">
        <v>0</v>
      </c>
      <c r="AI589">
        <v>0</v>
      </c>
      <c r="AJ589">
        <v>0</v>
      </c>
      <c r="AK589">
        <v>0</v>
      </c>
      <c r="AL589">
        <v>13</v>
      </c>
      <c r="AM589">
        <v>1.3333333333333333</v>
      </c>
      <c r="AN589">
        <v>29.166964285714453</v>
      </c>
    </row>
    <row r="590" spans="1:40" x14ac:dyDescent="0.3">
      <c r="A590" t="s">
        <v>174</v>
      </c>
      <c r="B590" t="s">
        <v>171</v>
      </c>
      <c r="C590" t="s">
        <v>10</v>
      </c>
      <c r="D590" t="s">
        <v>11</v>
      </c>
      <c r="E590">
        <v>202602</v>
      </c>
      <c r="F590" t="s">
        <v>172</v>
      </c>
      <c r="G590">
        <v>0</v>
      </c>
      <c r="H590">
        <v>0</v>
      </c>
      <c r="I590">
        <v>3</v>
      </c>
      <c r="J590">
        <v>4</v>
      </c>
      <c r="K590">
        <v>5</v>
      </c>
      <c r="L590">
        <v>8</v>
      </c>
      <c r="M590">
        <v>2</v>
      </c>
      <c r="N590">
        <v>0</v>
      </c>
      <c r="O590">
        <v>8</v>
      </c>
      <c r="P590">
        <v>7</v>
      </c>
      <c r="Q590">
        <v>6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0</v>
      </c>
      <c r="AI590">
        <v>0</v>
      </c>
      <c r="AJ590">
        <v>0</v>
      </c>
      <c r="AK590">
        <v>0</v>
      </c>
      <c r="AL590">
        <v>43</v>
      </c>
      <c r="AM590">
        <v>7</v>
      </c>
      <c r="AN590">
        <v>139.69712793733532</v>
      </c>
    </row>
    <row r="591" spans="1:40" x14ac:dyDescent="0.3">
      <c r="A591" t="s">
        <v>174</v>
      </c>
      <c r="B591" t="s">
        <v>171</v>
      </c>
      <c r="C591" t="s">
        <v>10</v>
      </c>
      <c r="D591" t="s">
        <v>14</v>
      </c>
      <c r="E591">
        <v>202602</v>
      </c>
      <c r="F591" t="s">
        <v>172</v>
      </c>
      <c r="G591">
        <v>0</v>
      </c>
      <c r="H591">
        <v>6</v>
      </c>
      <c r="I591">
        <v>9</v>
      </c>
      <c r="J591">
        <v>14</v>
      </c>
      <c r="K591">
        <v>9</v>
      </c>
      <c r="L591">
        <v>9</v>
      </c>
      <c r="M591">
        <v>4</v>
      </c>
      <c r="N591">
        <v>0</v>
      </c>
      <c r="O591">
        <v>9</v>
      </c>
      <c r="P591">
        <v>20</v>
      </c>
      <c r="Q591">
        <v>7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>
        <v>0</v>
      </c>
      <c r="AI591">
        <v>0</v>
      </c>
      <c r="AJ591">
        <v>0</v>
      </c>
      <c r="AK591">
        <v>0</v>
      </c>
      <c r="AL591">
        <v>87</v>
      </c>
      <c r="AM591">
        <v>12</v>
      </c>
      <c r="AN591">
        <v>232.50267857143007</v>
      </c>
    </row>
    <row r="592" spans="1:40" x14ac:dyDescent="0.3">
      <c r="A592" t="s">
        <v>174</v>
      </c>
      <c r="B592" t="s">
        <v>171</v>
      </c>
      <c r="C592" t="s">
        <v>16</v>
      </c>
      <c r="D592" t="s">
        <v>14</v>
      </c>
      <c r="E592">
        <v>202602</v>
      </c>
      <c r="F592" t="s">
        <v>172</v>
      </c>
      <c r="G592">
        <v>0</v>
      </c>
      <c r="H592">
        <v>0</v>
      </c>
      <c r="I592">
        <v>0</v>
      </c>
      <c r="J592">
        <v>0</v>
      </c>
      <c r="K592">
        <v>0</v>
      </c>
      <c r="L592">
        <v>1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>
        <v>0</v>
      </c>
      <c r="AI592">
        <v>0</v>
      </c>
      <c r="AJ592">
        <v>0</v>
      </c>
      <c r="AK592">
        <v>0</v>
      </c>
      <c r="AL592">
        <v>1</v>
      </c>
      <c r="AM592">
        <v>0</v>
      </c>
      <c r="AN592">
        <v>1</v>
      </c>
    </row>
    <row r="593" spans="1:40" x14ac:dyDescent="0.3">
      <c r="A593" t="s">
        <v>174</v>
      </c>
      <c r="B593" t="s">
        <v>173</v>
      </c>
      <c r="C593" t="s">
        <v>10</v>
      </c>
      <c r="D593" t="s">
        <v>11</v>
      </c>
      <c r="E593">
        <v>202602</v>
      </c>
      <c r="F593" t="s">
        <v>172</v>
      </c>
      <c r="G593">
        <v>0</v>
      </c>
      <c r="H593">
        <v>3</v>
      </c>
      <c r="I593">
        <v>1</v>
      </c>
      <c r="J593">
        <v>4</v>
      </c>
      <c r="K593">
        <v>5</v>
      </c>
      <c r="L593">
        <v>10</v>
      </c>
      <c r="M593">
        <v>4</v>
      </c>
      <c r="N593">
        <v>0</v>
      </c>
      <c r="O593">
        <v>11</v>
      </c>
      <c r="P593">
        <v>8</v>
      </c>
      <c r="Q593">
        <v>8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>
        <v>0</v>
      </c>
      <c r="AI593">
        <v>0</v>
      </c>
      <c r="AJ593">
        <v>0</v>
      </c>
      <c r="AK593">
        <v>0</v>
      </c>
      <c r="AL593">
        <v>54</v>
      </c>
      <c r="AM593">
        <v>9</v>
      </c>
      <c r="AN593">
        <v>178.324878776574</v>
      </c>
    </row>
    <row r="594" spans="1:40" x14ac:dyDescent="0.3">
      <c r="A594" t="s">
        <v>174</v>
      </c>
      <c r="B594" t="s">
        <v>173</v>
      </c>
      <c r="C594" t="s">
        <v>10</v>
      </c>
      <c r="D594" t="s">
        <v>14</v>
      </c>
      <c r="E594">
        <v>202602</v>
      </c>
      <c r="F594" t="s">
        <v>172</v>
      </c>
      <c r="G594">
        <v>0</v>
      </c>
      <c r="H594">
        <v>9</v>
      </c>
      <c r="I594">
        <v>8</v>
      </c>
      <c r="J594">
        <v>10</v>
      </c>
      <c r="K594">
        <v>14</v>
      </c>
      <c r="L594">
        <v>14</v>
      </c>
      <c r="M594">
        <v>8</v>
      </c>
      <c r="N594">
        <v>0</v>
      </c>
      <c r="O594">
        <v>9</v>
      </c>
      <c r="P594">
        <v>15</v>
      </c>
      <c r="Q594">
        <v>7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0</v>
      </c>
      <c r="AD594">
        <v>0</v>
      </c>
      <c r="AE594">
        <v>0</v>
      </c>
      <c r="AF594">
        <v>0</v>
      </c>
      <c r="AG594">
        <v>0</v>
      </c>
      <c r="AH594">
        <v>0</v>
      </c>
      <c r="AI594">
        <v>0</v>
      </c>
      <c r="AJ594">
        <v>0</v>
      </c>
      <c r="AK594">
        <v>0</v>
      </c>
      <c r="AL594">
        <v>94</v>
      </c>
      <c r="AM594">
        <v>10.333333333333334</v>
      </c>
      <c r="AN594">
        <v>219.29397321428701</v>
      </c>
    </row>
    <row r="595" spans="1:40" x14ac:dyDescent="0.3">
      <c r="A595" t="s">
        <v>174</v>
      </c>
      <c r="B595" t="s">
        <v>173</v>
      </c>
      <c r="C595" t="s">
        <v>16</v>
      </c>
      <c r="D595" t="s">
        <v>11</v>
      </c>
      <c r="E595">
        <v>202602</v>
      </c>
      <c r="F595" t="s">
        <v>172</v>
      </c>
      <c r="G595">
        <v>0</v>
      </c>
      <c r="H595">
        <v>0</v>
      </c>
      <c r="I595">
        <v>0</v>
      </c>
      <c r="J595">
        <v>1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0</v>
      </c>
      <c r="AD595">
        <v>0</v>
      </c>
      <c r="AE595">
        <v>0</v>
      </c>
      <c r="AF595">
        <v>0</v>
      </c>
      <c r="AG595">
        <v>0</v>
      </c>
      <c r="AH595">
        <v>0</v>
      </c>
      <c r="AI595">
        <v>0</v>
      </c>
      <c r="AJ595">
        <v>0</v>
      </c>
      <c r="AK595">
        <v>0</v>
      </c>
      <c r="AL595">
        <v>1</v>
      </c>
      <c r="AM595">
        <v>0</v>
      </c>
      <c r="AN595">
        <v>1</v>
      </c>
    </row>
    <row r="596" spans="1:40" x14ac:dyDescent="0.3">
      <c r="A596" t="s">
        <v>174</v>
      </c>
      <c r="B596" t="s">
        <v>173</v>
      </c>
      <c r="C596" t="s">
        <v>16</v>
      </c>
      <c r="D596" t="s">
        <v>14</v>
      </c>
      <c r="E596">
        <v>202602</v>
      </c>
      <c r="F596" t="s">
        <v>172</v>
      </c>
      <c r="G596">
        <v>0</v>
      </c>
      <c r="H596">
        <v>1</v>
      </c>
      <c r="I596">
        <v>0</v>
      </c>
      <c r="J596">
        <v>0</v>
      </c>
      <c r="K596">
        <v>0</v>
      </c>
      <c r="L596">
        <v>1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0</v>
      </c>
      <c r="AD596">
        <v>0</v>
      </c>
      <c r="AE596">
        <v>0</v>
      </c>
      <c r="AF596">
        <v>0</v>
      </c>
      <c r="AG596">
        <v>0</v>
      </c>
      <c r="AH596">
        <v>0</v>
      </c>
      <c r="AI596">
        <v>0</v>
      </c>
      <c r="AJ596">
        <v>0</v>
      </c>
      <c r="AK596">
        <v>0</v>
      </c>
      <c r="AL596">
        <v>2</v>
      </c>
      <c r="AM596">
        <v>0</v>
      </c>
      <c r="AN596">
        <v>2</v>
      </c>
    </row>
    <row r="597" spans="1:40" x14ac:dyDescent="0.3">
      <c r="A597" t="s">
        <v>243</v>
      </c>
      <c r="B597" t="s">
        <v>9</v>
      </c>
      <c r="C597" t="s">
        <v>10</v>
      </c>
      <c r="D597" t="s">
        <v>11</v>
      </c>
      <c r="E597">
        <v>202602</v>
      </c>
      <c r="F597" t="s">
        <v>244</v>
      </c>
      <c r="G597">
        <v>0</v>
      </c>
      <c r="H597">
        <v>1</v>
      </c>
      <c r="I597">
        <v>2</v>
      </c>
      <c r="J597">
        <v>1</v>
      </c>
      <c r="K597">
        <v>3</v>
      </c>
      <c r="L597">
        <v>2</v>
      </c>
      <c r="M597">
        <v>2</v>
      </c>
      <c r="N597">
        <v>0</v>
      </c>
      <c r="O597">
        <v>1</v>
      </c>
      <c r="P597">
        <v>2</v>
      </c>
      <c r="Q597">
        <v>4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>
        <v>0</v>
      </c>
      <c r="AD597">
        <v>0</v>
      </c>
      <c r="AE597">
        <v>0</v>
      </c>
      <c r="AF597">
        <v>0</v>
      </c>
      <c r="AG597">
        <v>0</v>
      </c>
      <c r="AH597">
        <v>0</v>
      </c>
      <c r="AI597">
        <v>0</v>
      </c>
      <c r="AJ597">
        <v>0</v>
      </c>
      <c r="AK597">
        <v>0</v>
      </c>
      <c r="AL597">
        <v>18</v>
      </c>
      <c r="AM597">
        <v>2.3333333333333335</v>
      </c>
      <c r="AN597">
        <v>50.232375979111779</v>
      </c>
    </row>
    <row r="598" spans="1:40" x14ac:dyDescent="0.3">
      <c r="A598" t="s">
        <v>243</v>
      </c>
      <c r="B598" t="s">
        <v>9</v>
      </c>
      <c r="C598" t="s">
        <v>10</v>
      </c>
      <c r="D598" t="s">
        <v>14</v>
      </c>
      <c r="E598">
        <v>202602</v>
      </c>
      <c r="F598" t="s">
        <v>177</v>
      </c>
      <c r="G598">
        <v>0</v>
      </c>
      <c r="H598">
        <v>0</v>
      </c>
      <c r="I598">
        <v>0</v>
      </c>
      <c r="J598">
        <v>0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1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0</v>
      </c>
      <c r="AD598">
        <v>0</v>
      </c>
      <c r="AE598">
        <v>0</v>
      </c>
      <c r="AF598">
        <v>0</v>
      </c>
      <c r="AG598">
        <v>0</v>
      </c>
      <c r="AH598">
        <v>0</v>
      </c>
      <c r="AI598">
        <v>0</v>
      </c>
      <c r="AJ598">
        <v>0</v>
      </c>
      <c r="AK598">
        <v>0</v>
      </c>
      <c r="AL598">
        <v>1</v>
      </c>
      <c r="AM598">
        <v>0.33333333333333331</v>
      </c>
      <c r="AN598">
        <v>5.0417410714286133</v>
      </c>
    </row>
    <row r="599" spans="1:40" x14ac:dyDescent="0.3">
      <c r="A599" t="s">
        <v>243</v>
      </c>
      <c r="B599" t="s">
        <v>9</v>
      </c>
      <c r="C599" t="s">
        <v>10</v>
      </c>
      <c r="D599" t="s">
        <v>14</v>
      </c>
      <c r="E599">
        <v>202602</v>
      </c>
      <c r="F599" t="s">
        <v>244</v>
      </c>
      <c r="G599">
        <v>0</v>
      </c>
      <c r="H599">
        <v>4</v>
      </c>
      <c r="I599">
        <v>3</v>
      </c>
      <c r="J599">
        <v>3</v>
      </c>
      <c r="K599">
        <v>6</v>
      </c>
      <c r="L599">
        <v>3</v>
      </c>
      <c r="M599">
        <v>1</v>
      </c>
      <c r="N599">
        <v>0</v>
      </c>
      <c r="O599">
        <v>1</v>
      </c>
      <c r="P599">
        <v>6</v>
      </c>
      <c r="Q599">
        <v>3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0</v>
      </c>
      <c r="AD599">
        <v>0</v>
      </c>
      <c r="AE599">
        <v>0</v>
      </c>
      <c r="AF599">
        <v>0</v>
      </c>
      <c r="AG599">
        <v>0</v>
      </c>
      <c r="AH599">
        <v>0</v>
      </c>
      <c r="AI599">
        <v>0</v>
      </c>
      <c r="AJ599">
        <v>0</v>
      </c>
      <c r="AK599">
        <v>0</v>
      </c>
      <c r="AL599">
        <v>30</v>
      </c>
      <c r="AM599">
        <v>3.3333333333333335</v>
      </c>
      <c r="AN599">
        <v>70.41741071428612</v>
      </c>
    </row>
    <row r="600" spans="1:40" x14ac:dyDescent="0.3">
      <c r="A600" t="s">
        <v>243</v>
      </c>
      <c r="B600" t="s">
        <v>9</v>
      </c>
      <c r="C600" t="s">
        <v>16</v>
      </c>
      <c r="D600" t="s">
        <v>11</v>
      </c>
      <c r="E600">
        <v>202602</v>
      </c>
      <c r="F600" t="s">
        <v>177</v>
      </c>
      <c r="G600">
        <v>0</v>
      </c>
      <c r="H600">
        <v>0</v>
      </c>
      <c r="I600">
        <v>0</v>
      </c>
      <c r="J600">
        <v>1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v>0</v>
      </c>
      <c r="AD600">
        <v>0</v>
      </c>
      <c r="AE600">
        <v>0</v>
      </c>
      <c r="AF600">
        <v>0</v>
      </c>
      <c r="AG600">
        <v>0</v>
      </c>
      <c r="AH600">
        <v>0</v>
      </c>
      <c r="AI600">
        <v>0</v>
      </c>
      <c r="AJ600">
        <v>0</v>
      </c>
      <c r="AK600">
        <v>0</v>
      </c>
      <c r="AL600">
        <v>1</v>
      </c>
      <c r="AM600">
        <v>0</v>
      </c>
      <c r="AN600">
        <v>1</v>
      </c>
    </row>
    <row r="601" spans="1:40" x14ac:dyDescent="0.3">
      <c r="A601" t="s">
        <v>243</v>
      </c>
      <c r="B601" t="s">
        <v>9</v>
      </c>
      <c r="C601" t="s">
        <v>16</v>
      </c>
      <c r="D601" t="s">
        <v>11</v>
      </c>
      <c r="E601">
        <v>202602</v>
      </c>
      <c r="F601" t="s">
        <v>244</v>
      </c>
      <c r="G601">
        <v>0</v>
      </c>
      <c r="H601">
        <v>0</v>
      </c>
      <c r="I601">
        <v>0</v>
      </c>
      <c r="J601">
        <v>0</v>
      </c>
      <c r="K601">
        <v>1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>
        <v>0</v>
      </c>
      <c r="AI601">
        <v>0</v>
      </c>
      <c r="AJ601">
        <v>0</v>
      </c>
      <c r="AK601">
        <v>0</v>
      </c>
      <c r="AL601">
        <v>1</v>
      </c>
      <c r="AM601">
        <v>0</v>
      </c>
      <c r="AN601">
        <v>1</v>
      </c>
    </row>
    <row r="602" spans="1:40" x14ac:dyDescent="0.3">
      <c r="A602" t="s">
        <v>243</v>
      </c>
      <c r="B602" t="s">
        <v>9</v>
      </c>
      <c r="C602" t="s">
        <v>16</v>
      </c>
      <c r="D602" t="s">
        <v>14</v>
      </c>
      <c r="E602">
        <v>202602</v>
      </c>
      <c r="F602" t="s">
        <v>177</v>
      </c>
      <c r="G602">
        <v>0</v>
      </c>
      <c r="H602">
        <v>0</v>
      </c>
      <c r="I602">
        <v>1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>
        <v>0</v>
      </c>
      <c r="AI602">
        <v>0</v>
      </c>
      <c r="AJ602">
        <v>0</v>
      </c>
      <c r="AK602">
        <v>0</v>
      </c>
      <c r="AL602">
        <v>1</v>
      </c>
      <c r="AM602">
        <v>0</v>
      </c>
      <c r="AN602">
        <v>1</v>
      </c>
    </row>
    <row r="603" spans="1:40" x14ac:dyDescent="0.3">
      <c r="A603" t="s">
        <v>243</v>
      </c>
      <c r="B603" t="s">
        <v>9</v>
      </c>
      <c r="C603" t="s">
        <v>16</v>
      </c>
      <c r="D603" t="s">
        <v>14</v>
      </c>
      <c r="E603">
        <v>202602</v>
      </c>
      <c r="F603" t="s">
        <v>244</v>
      </c>
      <c r="G603">
        <v>0</v>
      </c>
      <c r="H603">
        <v>1</v>
      </c>
      <c r="I603">
        <v>0</v>
      </c>
      <c r="J603">
        <v>0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0</v>
      </c>
      <c r="AH603">
        <v>0</v>
      </c>
      <c r="AI603">
        <v>0</v>
      </c>
      <c r="AJ603">
        <v>0</v>
      </c>
      <c r="AK603">
        <v>0</v>
      </c>
      <c r="AL603">
        <v>2</v>
      </c>
      <c r="AM603">
        <v>0.33333333333333331</v>
      </c>
      <c r="AN603">
        <v>6.0417410714286133</v>
      </c>
    </row>
    <row r="604" spans="1:40" x14ac:dyDescent="0.3">
      <c r="A604" t="s">
        <v>243</v>
      </c>
      <c r="B604" t="s">
        <v>17</v>
      </c>
      <c r="C604" t="s">
        <v>10</v>
      </c>
      <c r="D604" t="s">
        <v>11</v>
      </c>
      <c r="E604">
        <v>202602</v>
      </c>
      <c r="F604" t="s">
        <v>18</v>
      </c>
      <c r="G604">
        <v>0</v>
      </c>
      <c r="H604">
        <v>0</v>
      </c>
      <c r="I604">
        <v>0</v>
      </c>
      <c r="J604">
        <v>1</v>
      </c>
      <c r="K604">
        <v>0</v>
      </c>
      <c r="L604">
        <v>1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>
        <v>0</v>
      </c>
      <c r="AI604">
        <v>0</v>
      </c>
      <c r="AJ604">
        <v>0</v>
      </c>
      <c r="AK604">
        <v>0</v>
      </c>
      <c r="AL604">
        <v>2</v>
      </c>
      <c r="AM604">
        <v>0</v>
      </c>
      <c r="AN604">
        <v>2</v>
      </c>
    </row>
    <row r="605" spans="1:40" x14ac:dyDescent="0.3">
      <c r="A605" t="s">
        <v>243</v>
      </c>
      <c r="B605" t="s">
        <v>17</v>
      </c>
      <c r="C605" t="s">
        <v>10</v>
      </c>
      <c r="D605" t="s">
        <v>11</v>
      </c>
      <c r="E605">
        <v>202602</v>
      </c>
      <c r="F605" t="s">
        <v>19</v>
      </c>
      <c r="G605">
        <v>0</v>
      </c>
      <c r="H605">
        <v>0</v>
      </c>
      <c r="I605">
        <v>0</v>
      </c>
      <c r="J605">
        <v>1</v>
      </c>
      <c r="K605">
        <v>3</v>
      </c>
      <c r="L605">
        <v>0</v>
      </c>
      <c r="M605">
        <v>0</v>
      </c>
      <c r="N605">
        <v>0</v>
      </c>
      <c r="O605">
        <v>1</v>
      </c>
      <c r="P605">
        <v>0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0</v>
      </c>
      <c r="AH605">
        <v>0</v>
      </c>
      <c r="AI605">
        <v>0</v>
      </c>
      <c r="AJ605">
        <v>0</v>
      </c>
      <c r="AK605">
        <v>0</v>
      </c>
      <c r="AL605">
        <v>5</v>
      </c>
      <c r="AM605">
        <v>0.33333333333333331</v>
      </c>
      <c r="AN605">
        <v>9.6046251398731108</v>
      </c>
    </row>
    <row r="606" spans="1:40" x14ac:dyDescent="0.3">
      <c r="A606" t="s">
        <v>243</v>
      </c>
      <c r="B606" t="s">
        <v>17</v>
      </c>
      <c r="C606" t="s">
        <v>10</v>
      </c>
      <c r="D606" t="s">
        <v>11</v>
      </c>
      <c r="E606">
        <v>202602</v>
      </c>
      <c r="F606" t="s">
        <v>245</v>
      </c>
      <c r="G606">
        <v>0</v>
      </c>
      <c r="H606">
        <v>0</v>
      </c>
      <c r="I606">
        <v>0</v>
      </c>
      <c r="J606">
        <v>0</v>
      </c>
      <c r="K606">
        <v>1</v>
      </c>
      <c r="L606">
        <v>0</v>
      </c>
      <c r="M606">
        <v>0</v>
      </c>
      <c r="N606">
        <v>0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0</v>
      </c>
      <c r="AH606">
        <v>0</v>
      </c>
      <c r="AI606">
        <v>0</v>
      </c>
      <c r="AJ606">
        <v>0</v>
      </c>
      <c r="AK606">
        <v>0</v>
      </c>
      <c r="AL606">
        <v>1</v>
      </c>
      <c r="AM606">
        <v>0</v>
      </c>
      <c r="AN606">
        <v>1</v>
      </c>
    </row>
    <row r="607" spans="1:40" x14ac:dyDescent="0.3">
      <c r="A607" t="s">
        <v>243</v>
      </c>
      <c r="B607" t="s">
        <v>17</v>
      </c>
      <c r="C607" t="s">
        <v>10</v>
      </c>
      <c r="D607" t="s">
        <v>11</v>
      </c>
      <c r="E607">
        <v>202602</v>
      </c>
      <c r="F607" t="s">
        <v>246</v>
      </c>
      <c r="G607">
        <v>0</v>
      </c>
      <c r="H607">
        <v>1</v>
      </c>
      <c r="I607">
        <v>0</v>
      </c>
      <c r="J607">
        <v>0</v>
      </c>
      <c r="K607">
        <v>0</v>
      </c>
      <c r="L607">
        <v>1</v>
      </c>
      <c r="M607">
        <v>0</v>
      </c>
      <c r="N607">
        <v>0</v>
      </c>
      <c r="O607">
        <v>2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>
        <v>0</v>
      </c>
      <c r="AB607">
        <v>0</v>
      </c>
      <c r="AC607">
        <v>0</v>
      </c>
      <c r="AD607">
        <v>0</v>
      </c>
      <c r="AE607">
        <v>0</v>
      </c>
      <c r="AF607">
        <v>0</v>
      </c>
      <c r="AG607">
        <v>0</v>
      </c>
      <c r="AH607">
        <v>0</v>
      </c>
      <c r="AI607">
        <v>0</v>
      </c>
      <c r="AJ607">
        <v>0</v>
      </c>
      <c r="AK607">
        <v>0</v>
      </c>
      <c r="AL607">
        <v>4</v>
      </c>
      <c r="AM607">
        <v>0.66666666666666663</v>
      </c>
      <c r="AN607">
        <v>13.209250279746223</v>
      </c>
    </row>
    <row r="608" spans="1:40" x14ac:dyDescent="0.3">
      <c r="A608" t="s">
        <v>243</v>
      </c>
      <c r="B608" t="s">
        <v>17</v>
      </c>
      <c r="C608" t="s">
        <v>10</v>
      </c>
      <c r="D608" t="s">
        <v>11</v>
      </c>
      <c r="E608">
        <v>202602</v>
      </c>
      <c r="F608" t="s">
        <v>247</v>
      </c>
      <c r="G608">
        <v>0</v>
      </c>
      <c r="H608">
        <v>0</v>
      </c>
      <c r="I608">
        <v>0</v>
      </c>
      <c r="J608">
        <v>0</v>
      </c>
      <c r="K608">
        <v>0</v>
      </c>
      <c r="L608">
        <v>1</v>
      </c>
      <c r="M608">
        <v>0</v>
      </c>
      <c r="N608">
        <v>0</v>
      </c>
      <c r="O608">
        <v>1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>
        <v>0</v>
      </c>
      <c r="AB608">
        <v>0</v>
      </c>
      <c r="AC608">
        <v>0</v>
      </c>
      <c r="AD608">
        <v>0</v>
      </c>
      <c r="AE608">
        <v>0</v>
      </c>
      <c r="AF608">
        <v>0</v>
      </c>
      <c r="AG608">
        <v>0</v>
      </c>
      <c r="AH608">
        <v>0</v>
      </c>
      <c r="AI608">
        <v>0</v>
      </c>
      <c r="AJ608">
        <v>0</v>
      </c>
      <c r="AK608">
        <v>0</v>
      </c>
      <c r="AL608">
        <v>2</v>
      </c>
      <c r="AM608">
        <v>0.33333333333333331</v>
      </c>
      <c r="AN608">
        <v>6.6046251398731117</v>
      </c>
    </row>
    <row r="609" spans="1:40" x14ac:dyDescent="0.3">
      <c r="A609" t="s">
        <v>243</v>
      </c>
      <c r="B609" t="s">
        <v>17</v>
      </c>
      <c r="C609" t="s">
        <v>10</v>
      </c>
      <c r="D609" t="s">
        <v>11</v>
      </c>
      <c r="E609">
        <v>202602</v>
      </c>
      <c r="F609" t="s">
        <v>256</v>
      </c>
      <c r="G609">
        <v>0</v>
      </c>
      <c r="H609">
        <v>0</v>
      </c>
      <c r="I609">
        <v>0</v>
      </c>
      <c r="J609">
        <v>0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1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0</v>
      </c>
      <c r="AB609">
        <v>0</v>
      </c>
      <c r="AC609">
        <v>0</v>
      </c>
      <c r="AD609">
        <v>0</v>
      </c>
      <c r="AE609">
        <v>0</v>
      </c>
      <c r="AF609">
        <v>0</v>
      </c>
      <c r="AG609">
        <v>0</v>
      </c>
      <c r="AH609">
        <v>0</v>
      </c>
      <c r="AI609">
        <v>0</v>
      </c>
      <c r="AJ609">
        <v>0</v>
      </c>
      <c r="AK609">
        <v>0</v>
      </c>
      <c r="AL609">
        <v>1</v>
      </c>
      <c r="AM609">
        <v>0.33333333333333331</v>
      </c>
      <c r="AN609">
        <v>5.6046251398731117</v>
      </c>
    </row>
    <row r="610" spans="1:40" x14ac:dyDescent="0.3">
      <c r="A610" t="s">
        <v>243</v>
      </c>
      <c r="B610" t="s">
        <v>17</v>
      </c>
      <c r="C610" t="s">
        <v>10</v>
      </c>
      <c r="D610" t="s">
        <v>11</v>
      </c>
      <c r="E610">
        <v>202602</v>
      </c>
      <c r="F610" t="s">
        <v>248</v>
      </c>
      <c r="G610">
        <v>0</v>
      </c>
      <c r="H610">
        <v>0</v>
      </c>
      <c r="I610">
        <v>1</v>
      </c>
      <c r="J610">
        <v>0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  <c r="AC610">
        <v>0</v>
      </c>
      <c r="AD610">
        <v>0</v>
      </c>
      <c r="AE610">
        <v>0</v>
      </c>
      <c r="AF610">
        <v>0</v>
      </c>
      <c r="AG610">
        <v>0</v>
      </c>
      <c r="AH610">
        <v>0</v>
      </c>
      <c r="AI610">
        <v>0</v>
      </c>
      <c r="AJ610">
        <v>0</v>
      </c>
      <c r="AK610">
        <v>0</v>
      </c>
      <c r="AL610">
        <v>1</v>
      </c>
      <c r="AM610">
        <v>0</v>
      </c>
      <c r="AN610">
        <v>1</v>
      </c>
    </row>
    <row r="611" spans="1:40" x14ac:dyDescent="0.3">
      <c r="A611" t="s">
        <v>243</v>
      </c>
      <c r="B611" t="s">
        <v>17</v>
      </c>
      <c r="C611" t="s">
        <v>10</v>
      </c>
      <c r="D611" t="s">
        <v>11</v>
      </c>
      <c r="E611">
        <v>202602</v>
      </c>
      <c r="F611" t="s">
        <v>249</v>
      </c>
      <c r="G611">
        <v>0</v>
      </c>
      <c r="H611">
        <v>1</v>
      </c>
      <c r="I611">
        <v>0</v>
      </c>
      <c r="J611">
        <v>0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1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>
        <v>0</v>
      </c>
      <c r="AB611">
        <v>0</v>
      </c>
      <c r="AC611">
        <v>0</v>
      </c>
      <c r="AD611">
        <v>0</v>
      </c>
      <c r="AE611">
        <v>0</v>
      </c>
      <c r="AF611">
        <v>0</v>
      </c>
      <c r="AG611">
        <v>0</v>
      </c>
      <c r="AH611">
        <v>0</v>
      </c>
      <c r="AI611">
        <v>0</v>
      </c>
      <c r="AJ611">
        <v>0</v>
      </c>
      <c r="AK611">
        <v>0</v>
      </c>
      <c r="AL611">
        <v>2</v>
      </c>
      <c r="AM611">
        <v>0.33333333333333331</v>
      </c>
      <c r="AN611">
        <v>6.6046251398731117</v>
      </c>
    </row>
    <row r="612" spans="1:40" x14ac:dyDescent="0.3">
      <c r="A612" t="s">
        <v>243</v>
      </c>
      <c r="B612" t="s">
        <v>17</v>
      </c>
      <c r="C612" t="s">
        <v>10</v>
      </c>
      <c r="D612" t="s">
        <v>11</v>
      </c>
      <c r="E612">
        <v>202602</v>
      </c>
      <c r="F612" t="s">
        <v>250</v>
      </c>
      <c r="G612">
        <v>0</v>
      </c>
      <c r="H612">
        <v>0</v>
      </c>
      <c r="I612">
        <v>0</v>
      </c>
      <c r="J612">
        <v>0</v>
      </c>
      <c r="K612">
        <v>2</v>
      </c>
      <c r="L612">
        <v>0</v>
      </c>
      <c r="M612">
        <v>0</v>
      </c>
      <c r="N612">
        <v>0</v>
      </c>
      <c r="O612">
        <v>0</v>
      </c>
      <c r="P612">
        <v>1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0</v>
      </c>
      <c r="AD612">
        <v>0</v>
      </c>
      <c r="AE612">
        <v>0</v>
      </c>
      <c r="AF612">
        <v>0</v>
      </c>
      <c r="AG612">
        <v>0</v>
      </c>
      <c r="AH612">
        <v>0</v>
      </c>
      <c r="AI612">
        <v>0</v>
      </c>
      <c r="AJ612">
        <v>0</v>
      </c>
      <c r="AK612">
        <v>0</v>
      </c>
      <c r="AL612">
        <v>3</v>
      </c>
      <c r="AM612">
        <v>0.33333333333333331</v>
      </c>
      <c r="AN612">
        <v>7.6046251398731117</v>
      </c>
    </row>
    <row r="613" spans="1:40" x14ac:dyDescent="0.3">
      <c r="A613" t="s">
        <v>243</v>
      </c>
      <c r="B613" t="s">
        <v>17</v>
      </c>
      <c r="C613" t="s">
        <v>10</v>
      </c>
      <c r="D613" t="s">
        <v>11</v>
      </c>
      <c r="E613">
        <v>202602</v>
      </c>
      <c r="F613" t="s">
        <v>251</v>
      </c>
      <c r="G613">
        <v>0</v>
      </c>
      <c r="H613">
        <v>0</v>
      </c>
      <c r="I613">
        <v>0</v>
      </c>
      <c r="J613">
        <v>0</v>
      </c>
      <c r="K613">
        <v>0</v>
      </c>
      <c r="L613">
        <v>1</v>
      </c>
      <c r="M613">
        <v>0</v>
      </c>
      <c r="N613">
        <v>0</v>
      </c>
      <c r="O613">
        <v>0</v>
      </c>
      <c r="P613">
        <v>1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0</v>
      </c>
      <c r="AE613">
        <v>0</v>
      </c>
      <c r="AF613">
        <v>0</v>
      </c>
      <c r="AG613">
        <v>0</v>
      </c>
      <c r="AH613">
        <v>0</v>
      </c>
      <c r="AI613">
        <v>0</v>
      </c>
      <c r="AJ613">
        <v>0</v>
      </c>
      <c r="AK613">
        <v>0</v>
      </c>
      <c r="AL613">
        <v>2</v>
      </c>
      <c r="AM613">
        <v>0.33333333333333331</v>
      </c>
      <c r="AN613">
        <v>6.6046251398731117</v>
      </c>
    </row>
    <row r="614" spans="1:40" x14ac:dyDescent="0.3">
      <c r="A614" t="s">
        <v>243</v>
      </c>
      <c r="B614" t="s">
        <v>17</v>
      </c>
      <c r="C614" t="s">
        <v>10</v>
      </c>
      <c r="D614" t="s">
        <v>11</v>
      </c>
      <c r="E614">
        <v>202602</v>
      </c>
      <c r="F614" t="s">
        <v>252</v>
      </c>
      <c r="G614">
        <v>0</v>
      </c>
      <c r="H614">
        <v>0</v>
      </c>
      <c r="I614">
        <v>0</v>
      </c>
      <c r="J614">
        <v>1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0</v>
      </c>
      <c r="AE614">
        <v>0</v>
      </c>
      <c r="AF614">
        <v>0</v>
      </c>
      <c r="AG614">
        <v>0</v>
      </c>
      <c r="AH614">
        <v>0</v>
      </c>
      <c r="AI614">
        <v>0</v>
      </c>
      <c r="AJ614">
        <v>0</v>
      </c>
      <c r="AK614">
        <v>0</v>
      </c>
      <c r="AL614">
        <v>1</v>
      </c>
      <c r="AM614">
        <v>0</v>
      </c>
      <c r="AN614">
        <v>1</v>
      </c>
    </row>
    <row r="615" spans="1:40" x14ac:dyDescent="0.3">
      <c r="A615" t="s">
        <v>243</v>
      </c>
      <c r="B615" t="s">
        <v>17</v>
      </c>
      <c r="C615" t="s">
        <v>10</v>
      </c>
      <c r="D615" t="s">
        <v>11</v>
      </c>
      <c r="E615">
        <v>202602</v>
      </c>
      <c r="F615" t="s">
        <v>253</v>
      </c>
      <c r="G615">
        <v>0</v>
      </c>
      <c r="H615">
        <v>0</v>
      </c>
      <c r="I615">
        <v>0</v>
      </c>
      <c r="J615">
        <v>0</v>
      </c>
      <c r="K615">
        <v>0</v>
      </c>
      <c r="L615">
        <v>0</v>
      </c>
      <c r="M615">
        <v>0</v>
      </c>
      <c r="N615">
        <v>0</v>
      </c>
      <c r="O615">
        <v>1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0</v>
      </c>
      <c r="AE615">
        <v>0</v>
      </c>
      <c r="AF615">
        <v>0</v>
      </c>
      <c r="AG615">
        <v>0</v>
      </c>
      <c r="AH615">
        <v>0</v>
      </c>
      <c r="AI615">
        <v>0</v>
      </c>
      <c r="AJ615">
        <v>0</v>
      </c>
      <c r="AK615">
        <v>0</v>
      </c>
      <c r="AL615">
        <v>1</v>
      </c>
      <c r="AM615">
        <v>0.33333333333333331</v>
      </c>
      <c r="AN615">
        <v>5.6046251398731117</v>
      </c>
    </row>
    <row r="616" spans="1:40" x14ac:dyDescent="0.3">
      <c r="A616" t="s">
        <v>243</v>
      </c>
      <c r="B616" t="s">
        <v>17</v>
      </c>
      <c r="C616" t="s">
        <v>10</v>
      </c>
      <c r="D616" t="s">
        <v>11</v>
      </c>
      <c r="E616">
        <v>202602</v>
      </c>
      <c r="F616" t="s">
        <v>254</v>
      </c>
      <c r="G616">
        <v>0</v>
      </c>
      <c r="H616">
        <v>0</v>
      </c>
      <c r="I616">
        <v>0</v>
      </c>
      <c r="J616">
        <v>1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0</v>
      </c>
      <c r="AE616">
        <v>0</v>
      </c>
      <c r="AF616">
        <v>0</v>
      </c>
      <c r="AG616">
        <v>0</v>
      </c>
      <c r="AH616">
        <v>0</v>
      </c>
      <c r="AI616">
        <v>0</v>
      </c>
      <c r="AJ616">
        <v>0</v>
      </c>
      <c r="AK616">
        <v>0</v>
      </c>
      <c r="AL616">
        <v>1</v>
      </c>
      <c r="AM616">
        <v>0</v>
      </c>
      <c r="AN616">
        <v>1</v>
      </c>
    </row>
    <row r="617" spans="1:40" x14ac:dyDescent="0.3">
      <c r="A617" t="s">
        <v>243</v>
      </c>
      <c r="B617" t="s">
        <v>17</v>
      </c>
      <c r="C617" t="s">
        <v>10</v>
      </c>
      <c r="D617" t="s">
        <v>14</v>
      </c>
      <c r="E617">
        <v>202602</v>
      </c>
      <c r="F617" t="s">
        <v>18</v>
      </c>
      <c r="G617">
        <v>0</v>
      </c>
      <c r="H617">
        <v>0</v>
      </c>
      <c r="I617">
        <v>1</v>
      </c>
      <c r="J617">
        <v>1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0</v>
      </c>
      <c r="AE617">
        <v>0</v>
      </c>
      <c r="AF617">
        <v>0</v>
      </c>
      <c r="AG617">
        <v>0</v>
      </c>
      <c r="AH617">
        <v>0</v>
      </c>
      <c r="AI617">
        <v>0</v>
      </c>
      <c r="AJ617">
        <v>0</v>
      </c>
      <c r="AK617">
        <v>0</v>
      </c>
      <c r="AL617">
        <v>2</v>
      </c>
      <c r="AM617">
        <v>0</v>
      </c>
      <c r="AN617">
        <v>2</v>
      </c>
    </row>
    <row r="618" spans="1:40" x14ac:dyDescent="0.3">
      <c r="A618" t="s">
        <v>243</v>
      </c>
      <c r="B618" t="s">
        <v>17</v>
      </c>
      <c r="C618" t="s">
        <v>10</v>
      </c>
      <c r="D618" t="s">
        <v>14</v>
      </c>
      <c r="E618">
        <v>202602</v>
      </c>
      <c r="F618" t="s">
        <v>19</v>
      </c>
      <c r="G618">
        <v>0</v>
      </c>
      <c r="H618">
        <v>1</v>
      </c>
      <c r="I618">
        <v>2</v>
      </c>
      <c r="J618">
        <v>1</v>
      </c>
      <c r="K618">
        <v>0</v>
      </c>
      <c r="L618">
        <v>1</v>
      </c>
      <c r="M618">
        <v>0</v>
      </c>
      <c r="N618">
        <v>0</v>
      </c>
      <c r="O618">
        <v>0</v>
      </c>
      <c r="P618">
        <v>1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0</v>
      </c>
      <c r="AE618">
        <v>0</v>
      </c>
      <c r="AF618">
        <v>0</v>
      </c>
      <c r="AG618">
        <v>0</v>
      </c>
      <c r="AH618">
        <v>0</v>
      </c>
      <c r="AI618">
        <v>0</v>
      </c>
      <c r="AJ618">
        <v>0</v>
      </c>
      <c r="AK618">
        <v>0</v>
      </c>
      <c r="AL618">
        <v>6</v>
      </c>
      <c r="AM618">
        <v>0.33333333333333331</v>
      </c>
      <c r="AN618">
        <v>10.041741071428614</v>
      </c>
    </row>
    <row r="619" spans="1:40" x14ac:dyDescent="0.3">
      <c r="A619" t="s">
        <v>243</v>
      </c>
      <c r="B619" t="s">
        <v>17</v>
      </c>
      <c r="C619" t="s">
        <v>10</v>
      </c>
      <c r="D619" t="s">
        <v>14</v>
      </c>
      <c r="E619">
        <v>202602</v>
      </c>
      <c r="F619" t="s">
        <v>245</v>
      </c>
      <c r="G619">
        <v>0</v>
      </c>
      <c r="H619">
        <v>0</v>
      </c>
      <c r="I619">
        <v>1</v>
      </c>
      <c r="J619">
        <v>0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0</v>
      </c>
      <c r="AC619">
        <v>0</v>
      </c>
      <c r="AD619">
        <v>0</v>
      </c>
      <c r="AE619">
        <v>0</v>
      </c>
      <c r="AF619">
        <v>0</v>
      </c>
      <c r="AG619">
        <v>0</v>
      </c>
      <c r="AH619">
        <v>0</v>
      </c>
      <c r="AI619">
        <v>0</v>
      </c>
      <c r="AJ619">
        <v>0</v>
      </c>
      <c r="AK619">
        <v>0</v>
      </c>
      <c r="AL619">
        <v>1</v>
      </c>
      <c r="AM619">
        <v>0</v>
      </c>
      <c r="AN619">
        <v>1</v>
      </c>
    </row>
    <row r="620" spans="1:40" x14ac:dyDescent="0.3">
      <c r="A620" t="s">
        <v>243</v>
      </c>
      <c r="B620" t="s">
        <v>17</v>
      </c>
      <c r="C620" t="s">
        <v>10</v>
      </c>
      <c r="D620" t="s">
        <v>14</v>
      </c>
      <c r="E620">
        <v>202602</v>
      </c>
      <c r="F620" t="s">
        <v>246</v>
      </c>
      <c r="G620">
        <v>0</v>
      </c>
      <c r="H620">
        <v>0</v>
      </c>
      <c r="I620">
        <v>0</v>
      </c>
      <c r="J620">
        <v>0</v>
      </c>
      <c r="K620">
        <v>0</v>
      </c>
      <c r="L620">
        <v>4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0</v>
      </c>
      <c r="AD620">
        <v>0</v>
      </c>
      <c r="AE620">
        <v>0</v>
      </c>
      <c r="AF620">
        <v>0</v>
      </c>
      <c r="AG620">
        <v>0</v>
      </c>
      <c r="AH620">
        <v>0</v>
      </c>
      <c r="AI620">
        <v>0</v>
      </c>
      <c r="AJ620">
        <v>0</v>
      </c>
      <c r="AK620">
        <v>0</v>
      </c>
      <c r="AL620">
        <v>4</v>
      </c>
      <c r="AM620">
        <v>0</v>
      </c>
      <c r="AN620">
        <v>4</v>
      </c>
    </row>
    <row r="621" spans="1:40" x14ac:dyDescent="0.3">
      <c r="A621" t="s">
        <v>243</v>
      </c>
      <c r="B621" t="s">
        <v>17</v>
      </c>
      <c r="C621" t="s">
        <v>10</v>
      </c>
      <c r="D621" t="s">
        <v>14</v>
      </c>
      <c r="E621">
        <v>202602</v>
      </c>
      <c r="F621" t="s">
        <v>255</v>
      </c>
      <c r="G621">
        <v>0</v>
      </c>
      <c r="H621">
        <v>0</v>
      </c>
      <c r="I621">
        <v>0</v>
      </c>
      <c r="J621">
        <v>0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1</v>
      </c>
      <c r="Q621">
        <v>1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</v>
      </c>
      <c r="AC621">
        <v>0</v>
      </c>
      <c r="AD621">
        <v>0</v>
      </c>
      <c r="AE621">
        <v>0</v>
      </c>
      <c r="AF621">
        <v>0</v>
      </c>
      <c r="AG621">
        <v>0</v>
      </c>
      <c r="AH621">
        <v>0</v>
      </c>
      <c r="AI621">
        <v>0</v>
      </c>
      <c r="AJ621">
        <v>0</v>
      </c>
      <c r="AK621">
        <v>0</v>
      </c>
      <c r="AL621">
        <v>2</v>
      </c>
      <c r="AM621">
        <v>0.66666666666666663</v>
      </c>
      <c r="AN621">
        <v>10.083482142857227</v>
      </c>
    </row>
    <row r="622" spans="1:40" x14ac:dyDescent="0.3">
      <c r="A622" t="s">
        <v>243</v>
      </c>
      <c r="B622" t="s">
        <v>17</v>
      </c>
      <c r="C622" t="s">
        <v>10</v>
      </c>
      <c r="D622" t="s">
        <v>14</v>
      </c>
      <c r="E622">
        <v>202602</v>
      </c>
      <c r="F622" t="s">
        <v>247</v>
      </c>
      <c r="G622">
        <v>0</v>
      </c>
      <c r="H622">
        <v>0</v>
      </c>
      <c r="I622">
        <v>0</v>
      </c>
      <c r="J622">
        <v>1</v>
      </c>
      <c r="K622">
        <v>0</v>
      </c>
      <c r="L622">
        <v>1</v>
      </c>
      <c r="M622">
        <v>0</v>
      </c>
      <c r="N622">
        <v>0</v>
      </c>
      <c r="O622">
        <v>0</v>
      </c>
      <c r="P622">
        <v>0</v>
      </c>
      <c r="Q622">
        <v>3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0</v>
      </c>
      <c r="AF622">
        <v>0</v>
      </c>
      <c r="AG622">
        <v>0</v>
      </c>
      <c r="AH622">
        <v>0</v>
      </c>
      <c r="AI622">
        <v>0</v>
      </c>
      <c r="AJ622">
        <v>0</v>
      </c>
      <c r="AK622">
        <v>0</v>
      </c>
      <c r="AL622">
        <v>5</v>
      </c>
      <c r="AM622">
        <v>1</v>
      </c>
      <c r="AN622">
        <v>17.125223214285839</v>
      </c>
    </row>
    <row r="623" spans="1:40" x14ac:dyDescent="0.3">
      <c r="A623" t="s">
        <v>243</v>
      </c>
      <c r="B623" t="s">
        <v>17</v>
      </c>
      <c r="C623" t="s">
        <v>10</v>
      </c>
      <c r="D623" t="s">
        <v>14</v>
      </c>
      <c r="E623">
        <v>202602</v>
      </c>
      <c r="F623" t="s">
        <v>256</v>
      </c>
      <c r="G623">
        <v>0</v>
      </c>
      <c r="H623">
        <v>2</v>
      </c>
      <c r="I623">
        <v>0</v>
      </c>
      <c r="J623">
        <v>0</v>
      </c>
      <c r="K623">
        <v>0</v>
      </c>
      <c r="L623">
        <v>0</v>
      </c>
      <c r="M623">
        <v>0</v>
      </c>
      <c r="N623">
        <v>0</v>
      </c>
      <c r="O623">
        <v>1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0</v>
      </c>
      <c r="AF623">
        <v>0</v>
      </c>
      <c r="AG623">
        <v>0</v>
      </c>
      <c r="AH623">
        <v>0</v>
      </c>
      <c r="AI623">
        <v>0</v>
      </c>
      <c r="AJ623">
        <v>0</v>
      </c>
      <c r="AK623">
        <v>0</v>
      </c>
      <c r="AL623">
        <v>3</v>
      </c>
      <c r="AM623">
        <v>0.33333333333333331</v>
      </c>
      <c r="AN623">
        <v>7.0417410714286133</v>
      </c>
    </row>
    <row r="624" spans="1:40" x14ac:dyDescent="0.3">
      <c r="A624" t="s">
        <v>243</v>
      </c>
      <c r="B624" t="s">
        <v>17</v>
      </c>
      <c r="C624" t="s">
        <v>10</v>
      </c>
      <c r="D624" t="s">
        <v>14</v>
      </c>
      <c r="E624">
        <v>202602</v>
      </c>
      <c r="F624" t="s">
        <v>248</v>
      </c>
      <c r="G624">
        <v>1</v>
      </c>
      <c r="H624">
        <v>0</v>
      </c>
      <c r="I624">
        <v>0</v>
      </c>
      <c r="J624">
        <v>0</v>
      </c>
      <c r="K624">
        <v>1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1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0</v>
      </c>
      <c r="AF624">
        <v>0</v>
      </c>
      <c r="AG624">
        <v>0</v>
      </c>
      <c r="AH624">
        <v>0</v>
      </c>
      <c r="AI624">
        <v>0</v>
      </c>
      <c r="AJ624">
        <v>0</v>
      </c>
      <c r="AK624">
        <v>0</v>
      </c>
      <c r="AL624">
        <v>3</v>
      </c>
      <c r="AM624">
        <v>0.33333333333333331</v>
      </c>
      <c r="AN624">
        <v>7.0417410714286133</v>
      </c>
    </row>
    <row r="625" spans="1:40" x14ac:dyDescent="0.3">
      <c r="A625" t="s">
        <v>243</v>
      </c>
      <c r="B625" t="s">
        <v>17</v>
      </c>
      <c r="C625" t="s">
        <v>10</v>
      </c>
      <c r="D625" t="s">
        <v>14</v>
      </c>
      <c r="E625">
        <v>202602</v>
      </c>
      <c r="F625" t="s">
        <v>249</v>
      </c>
      <c r="G625">
        <v>0</v>
      </c>
      <c r="H625">
        <v>0</v>
      </c>
      <c r="I625">
        <v>0</v>
      </c>
      <c r="J625">
        <v>0</v>
      </c>
      <c r="K625">
        <v>0</v>
      </c>
      <c r="L625">
        <v>2</v>
      </c>
      <c r="M625">
        <v>0</v>
      </c>
      <c r="N625">
        <v>0</v>
      </c>
      <c r="O625">
        <v>1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0</v>
      </c>
      <c r="AC625">
        <v>0</v>
      </c>
      <c r="AD625">
        <v>0</v>
      </c>
      <c r="AE625">
        <v>0</v>
      </c>
      <c r="AF625">
        <v>0</v>
      </c>
      <c r="AG625">
        <v>0</v>
      </c>
      <c r="AH625">
        <v>0</v>
      </c>
      <c r="AI625">
        <v>0</v>
      </c>
      <c r="AJ625">
        <v>0</v>
      </c>
      <c r="AK625">
        <v>0</v>
      </c>
      <c r="AL625">
        <v>3</v>
      </c>
      <c r="AM625">
        <v>0.33333333333333331</v>
      </c>
      <c r="AN625">
        <v>7.0417410714286133</v>
      </c>
    </row>
    <row r="626" spans="1:40" x14ac:dyDescent="0.3">
      <c r="A626" t="s">
        <v>243</v>
      </c>
      <c r="B626" t="s">
        <v>17</v>
      </c>
      <c r="C626" t="s">
        <v>10</v>
      </c>
      <c r="D626" t="s">
        <v>14</v>
      </c>
      <c r="E626">
        <v>202602</v>
      </c>
      <c r="F626" t="s">
        <v>250</v>
      </c>
      <c r="G626">
        <v>0</v>
      </c>
      <c r="H626">
        <v>1</v>
      </c>
      <c r="I626">
        <v>1</v>
      </c>
      <c r="J626">
        <v>0</v>
      </c>
      <c r="K626">
        <v>0</v>
      </c>
      <c r="L626">
        <v>1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>
        <v>0</v>
      </c>
      <c r="AI626">
        <v>0</v>
      </c>
      <c r="AJ626">
        <v>0</v>
      </c>
      <c r="AK626">
        <v>0</v>
      </c>
      <c r="AL626">
        <v>3</v>
      </c>
      <c r="AM626">
        <v>0</v>
      </c>
      <c r="AN626">
        <v>3</v>
      </c>
    </row>
    <row r="627" spans="1:40" x14ac:dyDescent="0.3">
      <c r="A627" t="s">
        <v>243</v>
      </c>
      <c r="B627" t="s">
        <v>17</v>
      </c>
      <c r="C627" t="s">
        <v>10</v>
      </c>
      <c r="D627" t="s">
        <v>14</v>
      </c>
      <c r="E627">
        <v>202602</v>
      </c>
      <c r="F627" t="s">
        <v>251</v>
      </c>
      <c r="G627">
        <v>0</v>
      </c>
      <c r="H627">
        <v>0</v>
      </c>
      <c r="I627">
        <v>0</v>
      </c>
      <c r="J627">
        <v>2</v>
      </c>
      <c r="K627">
        <v>0</v>
      </c>
      <c r="L627">
        <v>0</v>
      </c>
      <c r="M627">
        <v>0</v>
      </c>
      <c r="N627">
        <v>2</v>
      </c>
      <c r="O627">
        <v>0</v>
      </c>
      <c r="P627">
        <v>0</v>
      </c>
      <c r="Q627">
        <v>1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>
        <v>0</v>
      </c>
      <c r="AH627">
        <v>0</v>
      </c>
      <c r="AI627">
        <v>0</v>
      </c>
      <c r="AJ627">
        <v>0</v>
      </c>
      <c r="AK627">
        <v>0</v>
      </c>
      <c r="AL627">
        <v>5</v>
      </c>
      <c r="AM627">
        <v>0.33333333333333331</v>
      </c>
      <c r="AN627">
        <v>9.0417410714286142</v>
      </c>
    </row>
    <row r="628" spans="1:40" x14ac:dyDescent="0.3">
      <c r="A628" t="s">
        <v>243</v>
      </c>
      <c r="B628" t="s">
        <v>17</v>
      </c>
      <c r="C628" t="s">
        <v>10</v>
      </c>
      <c r="D628" t="s">
        <v>14</v>
      </c>
      <c r="E628">
        <v>202602</v>
      </c>
      <c r="F628" t="s">
        <v>252</v>
      </c>
      <c r="G628">
        <v>0</v>
      </c>
      <c r="H628">
        <v>1</v>
      </c>
      <c r="I628">
        <v>0</v>
      </c>
      <c r="J628">
        <v>0</v>
      </c>
      <c r="K628">
        <v>1</v>
      </c>
      <c r="L628">
        <v>0</v>
      </c>
      <c r="M628">
        <v>1</v>
      </c>
      <c r="N628">
        <v>0</v>
      </c>
      <c r="O628">
        <v>0</v>
      </c>
      <c r="P628">
        <v>0</v>
      </c>
      <c r="Q628">
        <v>1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>
        <v>0</v>
      </c>
      <c r="AI628">
        <v>0</v>
      </c>
      <c r="AJ628">
        <v>0</v>
      </c>
      <c r="AK628">
        <v>0</v>
      </c>
      <c r="AL628">
        <v>4</v>
      </c>
      <c r="AM628">
        <v>0.33333333333333331</v>
      </c>
      <c r="AN628">
        <v>8.0417410714286142</v>
      </c>
    </row>
    <row r="629" spans="1:40" x14ac:dyDescent="0.3">
      <c r="A629" t="s">
        <v>243</v>
      </c>
      <c r="B629" t="s">
        <v>17</v>
      </c>
      <c r="C629" t="s">
        <v>10</v>
      </c>
      <c r="D629" t="s">
        <v>14</v>
      </c>
      <c r="E629">
        <v>202602</v>
      </c>
      <c r="F629" t="s">
        <v>253</v>
      </c>
      <c r="G629">
        <v>0</v>
      </c>
      <c r="H629">
        <v>0</v>
      </c>
      <c r="I629">
        <v>0</v>
      </c>
      <c r="J629">
        <v>0</v>
      </c>
      <c r="K629">
        <v>1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>
        <v>0</v>
      </c>
      <c r="AI629">
        <v>0</v>
      </c>
      <c r="AJ629">
        <v>0</v>
      </c>
      <c r="AK629">
        <v>0</v>
      </c>
      <c r="AL629">
        <v>1</v>
      </c>
      <c r="AM629">
        <v>0</v>
      </c>
      <c r="AN629">
        <v>1</v>
      </c>
    </row>
    <row r="630" spans="1:40" x14ac:dyDescent="0.3">
      <c r="A630" t="s">
        <v>243</v>
      </c>
      <c r="B630" t="s">
        <v>17</v>
      </c>
      <c r="C630" t="s">
        <v>10</v>
      </c>
      <c r="D630" t="s">
        <v>14</v>
      </c>
      <c r="E630">
        <v>202602</v>
      </c>
      <c r="F630" t="s">
        <v>254</v>
      </c>
      <c r="G630">
        <v>0</v>
      </c>
      <c r="H630">
        <v>1</v>
      </c>
      <c r="I630">
        <v>0</v>
      </c>
      <c r="J630">
        <v>0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>
        <v>0</v>
      </c>
      <c r="AI630">
        <v>0</v>
      </c>
      <c r="AJ630">
        <v>0</v>
      </c>
      <c r="AK630">
        <v>0</v>
      </c>
      <c r="AL630">
        <v>1</v>
      </c>
      <c r="AM630">
        <v>0</v>
      </c>
      <c r="AN630">
        <v>1</v>
      </c>
    </row>
    <row r="631" spans="1:40" x14ac:dyDescent="0.3">
      <c r="A631" t="s">
        <v>243</v>
      </c>
      <c r="B631" t="s">
        <v>17</v>
      </c>
      <c r="C631" t="s">
        <v>10</v>
      </c>
      <c r="D631" t="s">
        <v>14</v>
      </c>
      <c r="E631">
        <v>202602</v>
      </c>
      <c r="F631" t="s">
        <v>41</v>
      </c>
      <c r="G631">
        <v>0</v>
      </c>
      <c r="H631">
        <v>0</v>
      </c>
      <c r="I631">
        <v>0</v>
      </c>
      <c r="J631">
        <v>0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1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>
        <v>0</v>
      </c>
      <c r="AI631">
        <v>0</v>
      </c>
      <c r="AJ631">
        <v>0</v>
      </c>
      <c r="AK631">
        <v>0</v>
      </c>
      <c r="AL631">
        <v>1</v>
      </c>
      <c r="AM631">
        <v>0.33333333333333331</v>
      </c>
      <c r="AN631">
        <v>5.0417410714286133</v>
      </c>
    </row>
    <row r="632" spans="1:40" x14ac:dyDescent="0.3">
      <c r="A632" t="s">
        <v>243</v>
      </c>
      <c r="B632" t="s">
        <v>17</v>
      </c>
      <c r="C632" t="s">
        <v>16</v>
      </c>
      <c r="D632" t="s">
        <v>11</v>
      </c>
      <c r="E632">
        <v>202602</v>
      </c>
      <c r="F632" t="s">
        <v>246</v>
      </c>
      <c r="G632">
        <v>0</v>
      </c>
      <c r="H632">
        <v>2</v>
      </c>
      <c r="I632">
        <v>0</v>
      </c>
      <c r="J632">
        <v>0</v>
      </c>
      <c r="K632">
        <v>1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>
        <v>0</v>
      </c>
      <c r="AI632">
        <v>0</v>
      </c>
      <c r="AJ632">
        <v>0</v>
      </c>
      <c r="AK632">
        <v>0</v>
      </c>
      <c r="AL632">
        <v>3</v>
      </c>
      <c r="AM632">
        <v>0</v>
      </c>
      <c r="AN632">
        <v>3</v>
      </c>
    </row>
    <row r="633" spans="1:40" x14ac:dyDescent="0.3">
      <c r="A633" t="s">
        <v>243</v>
      </c>
      <c r="B633" t="s">
        <v>17</v>
      </c>
      <c r="C633" t="s">
        <v>16</v>
      </c>
      <c r="D633" t="s">
        <v>11</v>
      </c>
      <c r="E633">
        <v>202602</v>
      </c>
      <c r="F633" t="s">
        <v>257</v>
      </c>
      <c r="G633">
        <v>0</v>
      </c>
      <c r="H633">
        <v>0</v>
      </c>
      <c r="I633">
        <v>0</v>
      </c>
      <c r="J633">
        <v>0</v>
      </c>
      <c r="K633">
        <v>0</v>
      </c>
      <c r="L633">
        <v>1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0</v>
      </c>
      <c r="AG633">
        <v>0</v>
      </c>
      <c r="AH633">
        <v>0</v>
      </c>
      <c r="AI633">
        <v>0</v>
      </c>
      <c r="AJ633">
        <v>0</v>
      </c>
      <c r="AK633">
        <v>0</v>
      </c>
      <c r="AL633">
        <v>1</v>
      </c>
      <c r="AM633">
        <v>0</v>
      </c>
      <c r="AN633">
        <v>1</v>
      </c>
    </row>
    <row r="634" spans="1:40" x14ac:dyDescent="0.3">
      <c r="A634" t="s">
        <v>243</v>
      </c>
      <c r="B634" t="s">
        <v>17</v>
      </c>
      <c r="C634" t="s">
        <v>16</v>
      </c>
      <c r="D634" t="s">
        <v>11</v>
      </c>
      <c r="E634">
        <v>202602</v>
      </c>
      <c r="F634" t="s">
        <v>250</v>
      </c>
      <c r="G634">
        <v>0</v>
      </c>
      <c r="H634">
        <v>0</v>
      </c>
      <c r="I634">
        <v>0</v>
      </c>
      <c r="J634">
        <v>0</v>
      </c>
      <c r="K634">
        <v>0</v>
      </c>
      <c r="L634">
        <v>0</v>
      </c>
      <c r="M634">
        <v>0</v>
      </c>
      <c r="N634">
        <v>0</v>
      </c>
      <c r="O634">
        <v>1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>
        <v>0</v>
      </c>
      <c r="AB634">
        <v>0</v>
      </c>
      <c r="AC634">
        <v>0</v>
      </c>
      <c r="AD634">
        <v>0</v>
      </c>
      <c r="AE634">
        <v>0</v>
      </c>
      <c r="AF634">
        <v>0</v>
      </c>
      <c r="AG634">
        <v>0</v>
      </c>
      <c r="AH634">
        <v>0</v>
      </c>
      <c r="AI634">
        <v>0</v>
      </c>
      <c r="AJ634">
        <v>0</v>
      </c>
      <c r="AK634">
        <v>0</v>
      </c>
      <c r="AL634">
        <v>1</v>
      </c>
      <c r="AM634">
        <v>0.33333333333333331</v>
      </c>
      <c r="AN634">
        <v>5.6046251398731117</v>
      </c>
    </row>
    <row r="635" spans="1:40" x14ac:dyDescent="0.3">
      <c r="A635" t="s">
        <v>243</v>
      </c>
      <c r="B635" t="s">
        <v>17</v>
      </c>
      <c r="C635" t="s">
        <v>16</v>
      </c>
      <c r="D635" t="s">
        <v>14</v>
      </c>
      <c r="E635">
        <v>202602</v>
      </c>
      <c r="F635" t="s">
        <v>246</v>
      </c>
      <c r="G635">
        <v>0</v>
      </c>
      <c r="H635">
        <v>0</v>
      </c>
      <c r="I635">
        <v>1</v>
      </c>
      <c r="J635">
        <v>0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>
        <v>0</v>
      </c>
      <c r="AB635">
        <v>0</v>
      </c>
      <c r="AC635">
        <v>0</v>
      </c>
      <c r="AD635">
        <v>0</v>
      </c>
      <c r="AE635">
        <v>0</v>
      </c>
      <c r="AF635">
        <v>0</v>
      </c>
      <c r="AG635">
        <v>0</v>
      </c>
      <c r="AH635">
        <v>0</v>
      </c>
      <c r="AI635">
        <v>0</v>
      </c>
      <c r="AJ635">
        <v>0</v>
      </c>
      <c r="AK635">
        <v>0</v>
      </c>
      <c r="AL635">
        <v>1</v>
      </c>
      <c r="AM635">
        <v>0</v>
      </c>
      <c r="AN635">
        <v>1</v>
      </c>
    </row>
    <row r="636" spans="1:40" x14ac:dyDescent="0.3">
      <c r="A636" t="s">
        <v>243</v>
      </c>
      <c r="B636" t="s">
        <v>17</v>
      </c>
      <c r="C636" t="s">
        <v>16</v>
      </c>
      <c r="D636" t="s">
        <v>14</v>
      </c>
      <c r="E636">
        <v>202602</v>
      </c>
      <c r="F636" t="s">
        <v>257</v>
      </c>
      <c r="G636">
        <v>0</v>
      </c>
      <c r="H636">
        <v>0</v>
      </c>
      <c r="I636">
        <v>0</v>
      </c>
      <c r="J636">
        <v>0</v>
      </c>
      <c r="K636">
        <v>1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0</v>
      </c>
      <c r="AB636">
        <v>0</v>
      </c>
      <c r="AC636">
        <v>0</v>
      </c>
      <c r="AD636">
        <v>0</v>
      </c>
      <c r="AE636">
        <v>0</v>
      </c>
      <c r="AF636">
        <v>0</v>
      </c>
      <c r="AG636">
        <v>0</v>
      </c>
      <c r="AH636">
        <v>0</v>
      </c>
      <c r="AI636">
        <v>0</v>
      </c>
      <c r="AJ636">
        <v>0</v>
      </c>
      <c r="AK636">
        <v>0</v>
      </c>
      <c r="AL636">
        <v>1</v>
      </c>
      <c r="AM636">
        <v>0</v>
      </c>
      <c r="AN636">
        <v>1</v>
      </c>
    </row>
    <row r="637" spans="1:40" x14ac:dyDescent="0.3">
      <c r="A637" t="s">
        <v>243</v>
      </c>
      <c r="B637" t="s">
        <v>17</v>
      </c>
      <c r="C637" t="s">
        <v>16</v>
      </c>
      <c r="D637" t="s">
        <v>14</v>
      </c>
      <c r="E637">
        <v>202602</v>
      </c>
      <c r="F637" t="s">
        <v>250</v>
      </c>
      <c r="G637">
        <v>0</v>
      </c>
      <c r="H637">
        <v>0</v>
      </c>
      <c r="I637">
        <v>0</v>
      </c>
      <c r="J637">
        <v>1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>
        <v>0</v>
      </c>
      <c r="AB637">
        <v>0</v>
      </c>
      <c r="AC637">
        <v>0</v>
      </c>
      <c r="AD637">
        <v>0</v>
      </c>
      <c r="AE637">
        <v>0</v>
      </c>
      <c r="AF637">
        <v>0</v>
      </c>
      <c r="AG637">
        <v>0</v>
      </c>
      <c r="AH637">
        <v>0</v>
      </c>
      <c r="AI637">
        <v>0</v>
      </c>
      <c r="AJ637">
        <v>0</v>
      </c>
      <c r="AK637">
        <v>0</v>
      </c>
      <c r="AL637">
        <v>1</v>
      </c>
      <c r="AM637">
        <v>0</v>
      </c>
      <c r="AN637">
        <v>1</v>
      </c>
    </row>
    <row r="638" spans="1:40" x14ac:dyDescent="0.3">
      <c r="A638" t="s">
        <v>243</v>
      </c>
      <c r="B638" t="s">
        <v>49</v>
      </c>
      <c r="C638" t="s">
        <v>10</v>
      </c>
      <c r="D638" t="s">
        <v>11</v>
      </c>
      <c r="E638">
        <v>202602</v>
      </c>
      <c r="F638" t="s">
        <v>51</v>
      </c>
      <c r="G638">
        <v>0</v>
      </c>
      <c r="H638">
        <v>0</v>
      </c>
      <c r="I638">
        <v>1</v>
      </c>
      <c r="J638">
        <v>0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>
        <v>0</v>
      </c>
      <c r="AB638">
        <v>0</v>
      </c>
      <c r="AC638">
        <v>0</v>
      </c>
      <c r="AD638">
        <v>0</v>
      </c>
      <c r="AE638">
        <v>0</v>
      </c>
      <c r="AF638">
        <v>0</v>
      </c>
      <c r="AG638">
        <v>0</v>
      </c>
      <c r="AH638">
        <v>0</v>
      </c>
      <c r="AI638">
        <v>0</v>
      </c>
      <c r="AJ638">
        <v>0</v>
      </c>
      <c r="AK638">
        <v>0</v>
      </c>
      <c r="AL638">
        <v>1</v>
      </c>
      <c r="AM638">
        <v>0</v>
      </c>
      <c r="AN638">
        <v>1</v>
      </c>
    </row>
    <row r="639" spans="1:40" x14ac:dyDescent="0.3">
      <c r="A639" t="s">
        <v>243</v>
      </c>
      <c r="B639" t="s">
        <v>49</v>
      </c>
      <c r="C639" t="s">
        <v>10</v>
      </c>
      <c r="D639" t="s">
        <v>11</v>
      </c>
      <c r="E639">
        <v>202602</v>
      </c>
      <c r="F639" t="s">
        <v>58</v>
      </c>
      <c r="G639">
        <v>0</v>
      </c>
      <c r="H639">
        <v>0</v>
      </c>
      <c r="I639">
        <v>0</v>
      </c>
      <c r="J639">
        <v>0</v>
      </c>
      <c r="K639">
        <v>0</v>
      </c>
      <c r="L639">
        <v>0</v>
      </c>
      <c r="M639">
        <v>0</v>
      </c>
      <c r="N639">
        <v>0</v>
      </c>
      <c r="O639">
        <v>1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>
        <v>0</v>
      </c>
      <c r="AB639">
        <v>0</v>
      </c>
      <c r="AC639">
        <v>0</v>
      </c>
      <c r="AD639">
        <v>0</v>
      </c>
      <c r="AE639">
        <v>0</v>
      </c>
      <c r="AF639">
        <v>0</v>
      </c>
      <c r="AG639">
        <v>0</v>
      </c>
      <c r="AH639">
        <v>0</v>
      </c>
      <c r="AI639">
        <v>0</v>
      </c>
      <c r="AJ639">
        <v>0</v>
      </c>
      <c r="AK639">
        <v>0</v>
      </c>
      <c r="AL639">
        <v>1</v>
      </c>
      <c r="AM639">
        <v>0.33333333333333331</v>
      </c>
      <c r="AN639">
        <v>5.6046251398731117</v>
      </c>
    </row>
    <row r="640" spans="1:40" x14ac:dyDescent="0.3">
      <c r="A640" t="s">
        <v>243</v>
      </c>
      <c r="B640" t="s">
        <v>49</v>
      </c>
      <c r="C640" t="s">
        <v>10</v>
      </c>
      <c r="D640" t="s">
        <v>14</v>
      </c>
      <c r="E640">
        <v>202602</v>
      </c>
      <c r="F640" t="s">
        <v>50</v>
      </c>
      <c r="G640">
        <v>0</v>
      </c>
      <c r="H640">
        <v>0</v>
      </c>
      <c r="I640">
        <v>0</v>
      </c>
      <c r="J640">
        <v>0</v>
      </c>
      <c r="K640">
        <v>1</v>
      </c>
      <c r="L640">
        <v>0</v>
      </c>
      <c r="M640">
        <v>0</v>
      </c>
      <c r="N640">
        <v>0</v>
      </c>
      <c r="O640">
        <v>0</v>
      </c>
      <c r="P640">
        <v>1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</v>
      </c>
      <c r="AC640">
        <v>0</v>
      </c>
      <c r="AD640">
        <v>0</v>
      </c>
      <c r="AE640">
        <v>0</v>
      </c>
      <c r="AF640">
        <v>0</v>
      </c>
      <c r="AG640">
        <v>0</v>
      </c>
      <c r="AH640">
        <v>0</v>
      </c>
      <c r="AI640">
        <v>0</v>
      </c>
      <c r="AJ640">
        <v>0</v>
      </c>
      <c r="AK640">
        <v>0</v>
      </c>
      <c r="AL640">
        <v>2</v>
      </c>
      <c r="AM640">
        <v>0.33333333333333331</v>
      </c>
      <c r="AN640">
        <v>6.0417410714286133</v>
      </c>
    </row>
    <row r="641" spans="1:40" x14ac:dyDescent="0.3">
      <c r="A641" t="s">
        <v>243</v>
      </c>
      <c r="B641" t="s">
        <v>49</v>
      </c>
      <c r="C641" t="s">
        <v>10</v>
      </c>
      <c r="D641" t="s">
        <v>14</v>
      </c>
      <c r="E641">
        <v>202602</v>
      </c>
      <c r="F641" t="s">
        <v>51</v>
      </c>
      <c r="G641">
        <v>0</v>
      </c>
      <c r="H641">
        <v>1</v>
      </c>
      <c r="I641">
        <v>0</v>
      </c>
      <c r="J641">
        <v>0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>
        <v>0</v>
      </c>
      <c r="AH641">
        <v>0</v>
      </c>
      <c r="AI641">
        <v>0</v>
      </c>
      <c r="AJ641">
        <v>0</v>
      </c>
      <c r="AK641">
        <v>0</v>
      </c>
      <c r="AL641">
        <v>1</v>
      </c>
      <c r="AM641">
        <v>0</v>
      </c>
      <c r="AN641">
        <v>1</v>
      </c>
    </row>
    <row r="642" spans="1:40" x14ac:dyDescent="0.3">
      <c r="A642" t="s">
        <v>243</v>
      </c>
      <c r="B642" t="s">
        <v>49</v>
      </c>
      <c r="C642" t="s">
        <v>10</v>
      </c>
      <c r="D642" t="s">
        <v>14</v>
      </c>
      <c r="E642">
        <v>202602</v>
      </c>
      <c r="F642" t="s">
        <v>58</v>
      </c>
      <c r="G642">
        <v>0</v>
      </c>
      <c r="H642">
        <v>0</v>
      </c>
      <c r="I642">
        <v>0</v>
      </c>
      <c r="J642">
        <v>0</v>
      </c>
      <c r="K642">
        <v>0</v>
      </c>
      <c r="L642">
        <v>0</v>
      </c>
      <c r="M642">
        <v>1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>
        <v>0</v>
      </c>
      <c r="AH642">
        <v>0</v>
      </c>
      <c r="AI642">
        <v>0</v>
      </c>
      <c r="AJ642">
        <v>0</v>
      </c>
      <c r="AK642">
        <v>0</v>
      </c>
      <c r="AL642">
        <v>1</v>
      </c>
      <c r="AM642">
        <v>0</v>
      </c>
      <c r="AN642">
        <v>1</v>
      </c>
    </row>
    <row r="643" spans="1:40" x14ac:dyDescent="0.3">
      <c r="A643" t="s">
        <v>243</v>
      </c>
      <c r="B643" t="s">
        <v>49</v>
      </c>
      <c r="C643" t="s">
        <v>16</v>
      </c>
      <c r="D643" t="s">
        <v>11</v>
      </c>
      <c r="E643">
        <v>202602</v>
      </c>
      <c r="F643" t="s">
        <v>50</v>
      </c>
      <c r="G643">
        <v>0</v>
      </c>
      <c r="H643">
        <v>1</v>
      </c>
      <c r="I643">
        <v>0</v>
      </c>
      <c r="J643">
        <v>0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>
        <v>0</v>
      </c>
      <c r="AH643">
        <v>0</v>
      </c>
      <c r="AI643">
        <v>0</v>
      </c>
      <c r="AJ643">
        <v>0</v>
      </c>
      <c r="AK643">
        <v>0</v>
      </c>
      <c r="AL643">
        <v>1</v>
      </c>
      <c r="AM643">
        <v>0</v>
      </c>
      <c r="AN643">
        <v>1</v>
      </c>
    </row>
    <row r="644" spans="1:40" x14ac:dyDescent="0.3">
      <c r="A644" t="s">
        <v>243</v>
      </c>
      <c r="B644" t="s">
        <v>49</v>
      </c>
      <c r="C644" t="s">
        <v>16</v>
      </c>
      <c r="D644" t="s">
        <v>14</v>
      </c>
      <c r="E644">
        <v>202602</v>
      </c>
      <c r="F644" t="s">
        <v>50</v>
      </c>
      <c r="G644">
        <v>1</v>
      </c>
      <c r="H644">
        <v>0</v>
      </c>
      <c r="I644">
        <v>0</v>
      </c>
      <c r="J644">
        <v>0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1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0</v>
      </c>
      <c r="AH644">
        <v>0</v>
      </c>
      <c r="AI644">
        <v>0</v>
      </c>
      <c r="AJ644">
        <v>0</v>
      </c>
      <c r="AK644">
        <v>0</v>
      </c>
      <c r="AL644">
        <v>2</v>
      </c>
      <c r="AM644">
        <v>0.33333333333333331</v>
      </c>
      <c r="AN644">
        <v>6.0417410714286133</v>
      </c>
    </row>
    <row r="645" spans="1:40" x14ac:dyDescent="0.3">
      <c r="A645" t="s">
        <v>243</v>
      </c>
      <c r="B645" t="s">
        <v>54</v>
      </c>
      <c r="C645" t="s">
        <v>10</v>
      </c>
      <c r="D645" t="s">
        <v>11</v>
      </c>
      <c r="E645">
        <v>202602</v>
      </c>
      <c r="F645" t="s">
        <v>55</v>
      </c>
      <c r="G645">
        <v>0</v>
      </c>
      <c r="H645">
        <v>2</v>
      </c>
      <c r="I645">
        <v>2</v>
      </c>
      <c r="J645">
        <v>0</v>
      </c>
      <c r="K645">
        <v>1</v>
      </c>
      <c r="L645">
        <v>0</v>
      </c>
      <c r="M645">
        <v>0</v>
      </c>
      <c r="N645">
        <v>0</v>
      </c>
      <c r="O645">
        <v>3</v>
      </c>
      <c r="P645">
        <v>1</v>
      </c>
      <c r="Q645">
        <v>1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>
        <v>0</v>
      </c>
      <c r="AH645">
        <v>0</v>
      </c>
      <c r="AI645">
        <v>0</v>
      </c>
      <c r="AJ645">
        <v>0</v>
      </c>
      <c r="AK645">
        <v>0</v>
      </c>
      <c r="AL645">
        <v>10</v>
      </c>
      <c r="AM645">
        <v>1.6666666666666667</v>
      </c>
      <c r="AN645">
        <v>33.023125699365558</v>
      </c>
    </row>
    <row r="646" spans="1:40" x14ac:dyDescent="0.3">
      <c r="A646" t="s">
        <v>243</v>
      </c>
      <c r="B646" t="s">
        <v>54</v>
      </c>
      <c r="C646" t="s">
        <v>10</v>
      </c>
      <c r="D646" t="s">
        <v>11</v>
      </c>
      <c r="E646">
        <v>202602</v>
      </c>
      <c r="F646" t="s">
        <v>56</v>
      </c>
      <c r="G646">
        <v>0</v>
      </c>
      <c r="H646">
        <v>4</v>
      </c>
      <c r="I646">
        <v>2</v>
      </c>
      <c r="J646">
        <v>6</v>
      </c>
      <c r="K646">
        <v>5</v>
      </c>
      <c r="L646">
        <v>3</v>
      </c>
      <c r="M646">
        <v>0</v>
      </c>
      <c r="N646">
        <v>0</v>
      </c>
      <c r="O646">
        <v>2</v>
      </c>
      <c r="P646">
        <v>2</v>
      </c>
      <c r="Q646">
        <v>3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>
        <v>0</v>
      </c>
      <c r="AH646">
        <v>0</v>
      </c>
      <c r="AI646">
        <v>0</v>
      </c>
      <c r="AJ646">
        <v>0</v>
      </c>
      <c r="AK646">
        <v>0</v>
      </c>
      <c r="AL646">
        <v>27</v>
      </c>
      <c r="AM646">
        <v>2.3333333333333335</v>
      </c>
      <c r="AN646">
        <v>59.232375979111779</v>
      </c>
    </row>
    <row r="647" spans="1:40" x14ac:dyDescent="0.3">
      <c r="A647" t="s">
        <v>243</v>
      </c>
      <c r="B647" t="s">
        <v>54</v>
      </c>
      <c r="C647" t="s">
        <v>10</v>
      </c>
      <c r="D647" t="s">
        <v>11</v>
      </c>
      <c r="E647">
        <v>202602</v>
      </c>
      <c r="F647" t="s">
        <v>57</v>
      </c>
      <c r="G647">
        <v>0</v>
      </c>
      <c r="H647">
        <v>1</v>
      </c>
      <c r="I647">
        <v>4</v>
      </c>
      <c r="J647">
        <v>3</v>
      </c>
      <c r="K647">
        <v>0</v>
      </c>
      <c r="L647">
        <v>0</v>
      </c>
      <c r="M647">
        <v>0</v>
      </c>
      <c r="N647">
        <v>0</v>
      </c>
      <c r="O647">
        <v>1</v>
      </c>
      <c r="P647">
        <v>1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>
        <v>0</v>
      </c>
      <c r="AH647">
        <v>0</v>
      </c>
      <c r="AI647">
        <v>0</v>
      </c>
      <c r="AJ647">
        <v>0</v>
      </c>
      <c r="AK647">
        <v>0</v>
      </c>
      <c r="AL647">
        <v>10</v>
      </c>
      <c r="AM647">
        <v>0.66666666666666663</v>
      </c>
      <c r="AN647">
        <v>19.209250279746222</v>
      </c>
    </row>
    <row r="648" spans="1:40" x14ac:dyDescent="0.3">
      <c r="A648" t="s">
        <v>243</v>
      </c>
      <c r="B648" t="s">
        <v>54</v>
      </c>
      <c r="C648" t="s">
        <v>10</v>
      </c>
      <c r="D648" t="s">
        <v>11</v>
      </c>
      <c r="E648">
        <v>202602</v>
      </c>
      <c r="F648" t="s">
        <v>58</v>
      </c>
      <c r="G648">
        <v>0</v>
      </c>
      <c r="H648">
        <v>0</v>
      </c>
      <c r="I648">
        <v>0</v>
      </c>
      <c r="J648">
        <v>1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>
        <v>0</v>
      </c>
      <c r="AI648">
        <v>0</v>
      </c>
      <c r="AJ648">
        <v>0</v>
      </c>
      <c r="AK648">
        <v>0</v>
      </c>
      <c r="AL648">
        <v>1</v>
      </c>
      <c r="AM648">
        <v>0</v>
      </c>
      <c r="AN648">
        <v>1</v>
      </c>
    </row>
    <row r="649" spans="1:40" x14ac:dyDescent="0.3">
      <c r="A649" t="s">
        <v>243</v>
      </c>
      <c r="B649" t="s">
        <v>54</v>
      </c>
      <c r="C649" t="s">
        <v>10</v>
      </c>
      <c r="D649" t="s">
        <v>14</v>
      </c>
      <c r="E649">
        <v>202602</v>
      </c>
      <c r="F649" t="s">
        <v>55</v>
      </c>
      <c r="G649">
        <v>0</v>
      </c>
      <c r="H649">
        <v>0</v>
      </c>
      <c r="I649">
        <v>0</v>
      </c>
      <c r="J649">
        <v>1</v>
      </c>
      <c r="K649">
        <v>2</v>
      </c>
      <c r="L649">
        <v>4</v>
      </c>
      <c r="M649">
        <v>0</v>
      </c>
      <c r="N649">
        <v>0</v>
      </c>
      <c r="O649">
        <v>1</v>
      </c>
      <c r="P649">
        <v>4</v>
      </c>
      <c r="Q649">
        <v>1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>
        <v>0</v>
      </c>
      <c r="AH649">
        <v>0</v>
      </c>
      <c r="AI649">
        <v>0</v>
      </c>
      <c r="AJ649">
        <v>0</v>
      </c>
      <c r="AK649">
        <v>0</v>
      </c>
      <c r="AL649">
        <v>13</v>
      </c>
      <c r="AM649">
        <v>2</v>
      </c>
      <c r="AN649">
        <v>37.250446428571678</v>
      </c>
    </row>
    <row r="650" spans="1:40" x14ac:dyDescent="0.3">
      <c r="A650" t="s">
        <v>243</v>
      </c>
      <c r="B650" t="s">
        <v>54</v>
      </c>
      <c r="C650" t="s">
        <v>10</v>
      </c>
      <c r="D650" t="s">
        <v>14</v>
      </c>
      <c r="E650">
        <v>202602</v>
      </c>
      <c r="F650" t="s">
        <v>56</v>
      </c>
      <c r="G650">
        <v>0</v>
      </c>
      <c r="H650">
        <v>4</v>
      </c>
      <c r="I650">
        <v>7</v>
      </c>
      <c r="J650">
        <v>5</v>
      </c>
      <c r="K650">
        <v>3</v>
      </c>
      <c r="L650">
        <v>7</v>
      </c>
      <c r="M650">
        <v>0</v>
      </c>
      <c r="N650">
        <v>0</v>
      </c>
      <c r="O650">
        <v>6</v>
      </c>
      <c r="P650">
        <v>8</v>
      </c>
      <c r="Q650">
        <v>6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>
        <v>0</v>
      </c>
      <c r="AI650">
        <v>0</v>
      </c>
      <c r="AJ650">
        <v>0</v>
      </c>
      <c r="AK650">
        <v>0</v>
      </c>
      <c r="AL650">
        <v>46</v>
      </c>
      <c r="AM650">
        <v>6.666666666666667</v>
      </c>
      <c r="AN650">
        <v>126.83482142857225</v>
      </c>
    </row>
    <row r="651" spans="1:40" x14ac:dyDescent="0.3">
      <c r="A651" t="s">
        <v>243</v>
      </c>
      <c r="B651" t="s">
        <v>54</v>
      </c>
      <c r="C651" t="s">
        <v>10</v>
      </c>
      <c r="D651" t="s">
        <v>14</v>
      </c>
      <c r="E651">
        <v>202602</v>
      </c>
      <c r="F651" t="s">
        <v>57</v>
      </c>
      <c r="G651">
        <v>0</v>
      </c>
      <c r="H651">
        <v>7</v>
      </c>
      <c r="I651">
        <v>1</v>
      </c>
      <c r="J651">
        <v>1</v>
      </c>
      <c r="K651">
        <v>0</v>
      </c>
      <c r="L651">
        <v>1</v>
      </c>
      <c r="M651">
        <v>1</v>
      </c>
      <c r="N651">
        <v>0</v>
      </c>
      <c r="O651">
        <v>0</v>
      </c>
      <c r="P651">
        <v>1</v>
      </c>
      <c r="Q651">
        <v>3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>
        <v>0</v>
      </c>
      <c r="AI651">
        <v>0</v>
      </c>
      <c r="AJ651">
        <v>0</v>
      </c>
      <c r="AK651">
        <v>0</v>
      </c>
      <c r="AL651">
        <v>15</v>
      </c>
      <c r="AM651">
        <v>1.3333333333333333</v>
      </c>
      <c r="AN651">
        <v>31.166964285714453</v>
      </c>
    </row>
    <row r="652" spans="1:40" x14ac:dyDescent="0.3">
      <c r="A652" t="s">
        <v>243</v>
      </c>
      <c r="B652" t="s">
        <v>54</v>
      </c>
      <c r="C652" t="s">
        <v>10</v>
      </c>
      <c r="D652" t="s">
        <v>14</v>
      </c>
      <c r="E652">
        <v>202602</v>
      </c>
      <c r="F652" t="s">
        <v>58</v>
      </c>
      <c r="G652">
        <v>0</v>
      </c>
      <c r="H652">
        <v>0</v>
      </c>
      <c r="I652">
        <v>1</v>
      </c>
      <c r="J652">
        <v>0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>
        <v>0</v>
      </c>
      <c r="AI652">
        <v>0</v>
      </c>
      <c r="AJ652">
        <v>0</v>
      </c>
      <c r="AK652">
        <v>0</v>
      </c>
      <c r="AL652">
        <v>1</v>
      </c>
      <c r="AM652">
        <v>0</v>
      </c>
      <c r="AN652">
        <v>1</v>
      </c>
    </row>
    <row r="653" spans="1:40" x14ac:dyDescent="0.3">
      <c r="A653" t="s">
        <v>243</v>
      </c>
      <c r="B653" t="s">
        <v>54</v>
      </c>
      <c r="C653" t="s">
        <v>16</v>
      </c>
      <c r="D653" t="s">
        <v>14</v>
      </c>
      <c r="E653">
        <v>202602</v>
      </c>
      <c r="F653" t="s">
        <v>57</v>
      </c>
      <c r="G653">
        <v>0</v>
      </c>
      <c r="H653">
        <v>0</v>
      </c>
      <c r="I653">
        <v>1</v>
      </c>
      <c r="J653">
        <v>0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>
        <v>0</v>
      </c>
      <c r="AI653">
        <v>0</v>
      </c>
      <c r="AJ653">
        <v>0</v>
      </c>
      <c r="AK653">
        <v>0</v>
      </c>
      <c r="AL653">
        <v>1</v>
      </c>
      <c r="AM653">
        <v>0</v>
      </c>
      <c r="AN653">
        <v>1</v>
      </c>
    </row>
    <row r="654" spans="1:40" x14ac:dyDescent="0.3">
      <c r="A654" t="s">
        <v>243</v>
      </c>
      <c r="B654" t="s">
        <v>59</v>
      </c>
      <c r="C654" t="s">
        <v>10</v>
      </c>
      <c r="D654" t="s">
        <v>11</v>
      </c>
      <c r="E654">
        <v>202602</v>
      </c>
      <c r="F654" t="s">
        <v>61</v>
      </c>
      <c r="G654">
        <v>0</v>
      </c>
      <c r="H654">
        <v>0</v>
      </c>
      <c r="I654">
        <v>1</v>
      </c>
      <c r="J654">
        <v>1</v>
      </c>
      <c r="K654">
        <v>1</v>
      </c>
      <c r="L654">
        <v>3</v>
      </c>
      <c r="M654">
        <v>0</v>
      </c>
      <c r="N654">
        <v>0</v>
      </c>
      <c r="O654">
        <v>1</v>
      </c>
      <c r="P654">
        <v>0</v>
      </c>
      <c r="Q654">
        <v>1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>
        <v>0</v>
      </c>
      <c r="AI654">
        <v>0</v>
      </c>
      <c r="AJ654">
        <v>0</v>
      </c>
      <c r="AK654">
        <v>0</v>
      </c>
      <c r="AL654">
        <v>8</v>
      </c>
      <c r="AM654">
        <v>0.66666666666666663</v>
      </c>
      <c r="AN654">
        <v>17.209250279746222</v>
      </c>
    </row>
    <row r="655" spans="1:40" x14ac:dyDescent="0.3">
      <c r="A655" t="s">
        <v>243</v>
      </c>
      <c r="B655" t="s">
        <v>59</v>
      </c>
      <c r="C655" t="s">
        <v>10</v>
      </c>
      <c r="D655" t="s">
        <v>11</v>
      </c>
      <c r="E655">
        <v>202602</v>
      </c>
      <c r="F655" t="s">
        <v>63</v>
      </c>
      <c r="G655">
        <v>0</v>
      </c>
      <c r="H655">
        <v>0</v>
      </c>
      <c r="I655">
        <v>0</v>
      </c>
      <c r="J655">
        <v>1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>
        <v>0</v>
      </c>
      <c r="AI655">
        <v>0</v>
      </c>
      <c r="AJ655">
        <v>0</v>
      </c>
      <c r="AK655">
        <v>0</v>
      </c>
      <c r="AL655">
        <v>1</v>
      </c>
      <c r="AM655">
        <v>0</v>
      </c>
      <c r="AN655">
        <v>1</v>
      </c>
    </row>
    <row r="656" spans="1:40" x14ac:dyDescent="0.3">
      <c r="A656" t="s">
        <v>243</v>
      </c>
      <c r="B656" t="s">
        <v>59</v>
      </c>
      <c r="C656" t="s">
        <v>10</v>
      </c>
      <c r="D656" t="s">
        <v>11</v>
      </c>
      <c r="E656">
        <v>202602</v>
      </c>
      <c r="F656" t="s">
        <v>75</v>
      </c>
      <c r="G656">
        <v>0</v>
      </c>
      <c r="H656">
        <v>2</v>
      </c>
      <c r="I656">
        <v>1</v>
      </c>
      <c r="J656">
        <v>4</v>
      </c>
      <c r="K656">
        <v>1</v>
      </c>
      <c r="L656">
        <v>0</v>
      </c>
      <c r="M656">
        <v>1</v>
      </c>
      <c r="N656">
        <v>0</v>
      </c>
      <c r="O656">
        <v>0</v>
      </c>
      <c r="P656">
        <v>0</v>
      </c>
      <c r="Q656">
        <v>2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>
        <v>0</v>
      </c>
      <c r="AI656">
        <v>0</v>
      </c>
      <c r="AJ656">
        <v>0</v>
      </c>
      <c r="AK656">
        <v>0</v>
      </c>
      <c r="AL656">
        <v>11</v>
      </c>
      <c r="AM656">
        <v>0.66666666666666663</v>
      </c>
      <c r="AN656">
        <v>20.209250279746222</v>
      </c>
    </row>
    <row r="657" spans="1:40" x14ac:dyDescent="0.3">
      <c r="A657" t="s">
        <v>243</v>
      </c>
      <c r="B657" t="s">
        <v>59</v>
      </c>
      <c r="C657" t="s">
        <v>10</v>
      </c>
      <c r="D657" t="s">
        <v>11</v>
      </c>
      <c r="E657">
        <v>202602</v>
      </c>
      <c r="F657" t="s">
        <v>258</v>
      </c>
      <c r="G657">
        <v>0</v>
      </c>
      <c r="H657">
        <v>0</v>
      </c>
      <c r="I657">
        <v>0</v>
      </c>
      <c r="J657">
        <v>1</v>
      </c>
      <c r="K657">
        <v>1</v>
      </c>
      <c r="L657">
        <v>2</v>
      </c>
      <c r="M657">
        <v>0</v>
      </c>
      <c r="N657">
        <v>0</v>
      </c>
      <c r="O657">
        <v>0</v>
      </c>
      <c r="P657">
        <v>2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>
        <v>0</v>
      </c>
      <c r="AH657">
        <v>0</v>
      </c>
      <c r="AI657">
        <v>0</v>
      </c>
      <c r="AJ657">
        <v>0</v>
      </c>
      <c r="AK657">
        <v>0</v>
      </c>
      <c r="AL657">
        <v>6</v>
      </c>
      <c r="AM657">
        <v>0.66666666666666663</v>
      </c>
      <c r="AN657">
        <v>15.209250279746223</v>
      </c>
    </row>
    <row r="658" spans="1:40" x14ac:dyDescent="0.3">
      <c r="A658" t="s">
        <v>243</v>
      </c>
      <c r="B658" t="s">
        <v>59</v>
      </c>
      <c r="C658" t="s">
        <v>10</v>
      </c>
      <c r="D658" t="s">
        <v>11</v>
      </c>
      <c r="E658">
        <v>202602</v>
      </c>
      <c r="F658" t="s">
        <v>76</v>
      </c>
      <c r="G658">
        <v>0</v>
      </c>
      <c r="H658">
        <v>0</v>
      </c>
      <c r="I658">
        <v>0</v>
      </c>
      <c r="J658">
        <v>1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>
        <v>0</v>
      </c>
      <c r="AI658">
        <v>0</v>
      </c>
      <c r="AJ658">
        <v>0</v>
      </c>
      <c r="AK658">
        <v>0</v>
      </c>
      <c r="AL658">
        <v>1</v>
      </c>
      <c r="AM658">
        <v>0</v>
      </c>
      <c r="AN658">
        <v>1</v>
      </c>
    </row>
    <row r="659" spans="1:40" x14ac:dyDescent="0.3">
      <c r="A659" t="s">
        <v>243</v>
      </c>
      <c r="B659" t="s">
        <v>59</v>
      </c>
      <c r="C659" t="s">
        <v>10</v>
      </c>
      <c r="D659" t="s">
        <v>11</v>
      </c>
      <c r="E659">
        <v>202602</v>
      </c>
      <c r="F659" t="s">
        <v>259</v>
      </c>
      <c r="G659">
        <v>0</v>
      </c>
      <c r="H659">
        <v>1</v>
      </c>
      <c r="I659">
        <v>0</v>
      </c>
      <c r="J659">
        <v>1</v>
      </c>
      <c r="K659">
        <v>0</v>
      </c>
      <c r="L659">
        <v>1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>
        <v>0</v>
      </c>
      <c r="AI659">
        <v>0</v>
      </c>
      <c r="AJ659">
        <v>0</v>
      </c>
      <c r="AK659">
        <v>0</v>
      </c>
      <c r="AL659">
        <v>3</v>
      </c>
      <c r="AM659">
        <v>0</v>
      </c>
      <c r="AN659">
        <v>3</v>
      </c>
    </row>
    <row r="660" spans="1:40" x14ac:dyDescent="0.3">
      <c r="A660" t="s">
        <v>243</v>
      </c>
      <c r="B660" t="s">
        <v>59</v>
      </c>
      <c r="C660" t="s">
        <v>10</v>
      </c>
      <c r="D660" t="s">
        <v>11</v>
      </c>
      <c r="E660">
        <v>202602</v>
      </c>
      <c r="F660" t="s">
        <v>260</v>
      </c>
      <c r="G660">
        <v>0</v>
      </c>
      <c r="H660">
        <v>0</v>
      </c>
      <c r="I660">
        <v>2</v>
      </c>
      <c r="J660">
        <v>2</v>
      </c>
      <c r="K660">
        <v>1</v>
      </c>
      <c r="L660">
        <v>5</v>
      </c>
      <c r="M660">
        <v>0</v>
      </c>
      <c r="N660">
        <v>0</v>
      </c>
      <c r="O660">
        <v>4</v>
      </c>
      <c r="P660">
        <v>1</v>
      </c>
      <c r="Q660">
        <v>2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>
        <v>0</v>
      </c>
      <c r="AI660">
        <v>0</v>
      </c>
      <c r="AJ660">
        <v>0</v>
      </c>
      <c r="AK660">
        <v>0</v>
      </c>
      <c r="AL660">
        <v>17</v>
      </c>
      <c r="AM660">
        <v>2.3333333333333335</v>
      </c>
      <c r="AN660">
        <v>49.232375979111779</v>
      </c>
    </row>
    <row r="661" spans="1:40" x14ac:dyDescent="0.3">
      <c r="A661" t="s">
        <v>243</v>
      </c>
      <c r="B661" t="s">
        <v>59</v>
      </c>
      <c r="C661" t="s">
        <v>10</v>
      </c>
      <c r="D661" t="s">
        <v>11</v>
      </c>
      <c r="E661">
        <v>202602</v>
      </c>
      <c r="F661" t="s">
        <v>64</v>
      </c>
      <c r="G661">
        <v>0</v>
      </c>
      <c r="H661">
        <v>0</v>
      </c>
      <c r="I661">
        <v>0</v>
      </c>
      <c r="J661">
        <v>0</v>
      </c>
      <c r="K661">
        <v>1</v>
      </c>
      <c r="L661">
        <v>1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>
        <v>0</v>
      </c>
      <c r="AI661">
        <v>0</v>
      </c>
      <c r="AJ661">
        <v>0</v>
      </c>
      <c r="AK661">
        <v>0</v>
      </c>
      <c r="AL661">
        <v>2</v>
      </c>
      <c r="AM661">
        <v>0</v>
      </c>
      <c r="AN661">
        <v>2</v>
      </c>
    </row>
    <row r="662" spans="1:40" x14ac:dyDescent="0.3">
      <c r="A662" t="s">
        <v>243</v>
      </c>
      <c r="B662" t="s">
        <v>59</v>
      </c>
      <c r="C662" t="s">
        <v>10</v>
      </c>
      <c r="D662" t="s">
        <v>11</v>
      </c>
      <c r="E662">
        <v>202602</v>
      </c>
      <c r="F662" t="s">
        <v>261</v>
      </c>
      <c r="G662">
        <v>0</v>
      </c>
      <c r="H662">
        <v>2</v>
      </c>
      <c r="I662">
        <v>0</v>
      </c>
      <c r="J662">
        <v>3</v>
      </c>
      <c r="K662">
        <v>0</v>
      </c>
      <c r="L662">
        <v>3</v>
      </c>
      <c r="M662">
        <v>2</v>
      </c>
      <c r="N662">
        <v>0</v>
      </c>
      <c r="O662">
        <v>7</v>
      </c>
      <c r="P662">
        <v>1</v>
      </c>
      <c r="Q662">
        <v>4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>
        <v>0</v>
      </c>
      <c r="AI662">
        <v>0</v>
      </c>
      <c r="AJ662">
        <v>0</v>
      </c>
      <c r="AK662">
        <v>0</v>
      </c>
      <c r="AL662">
        <v>22</v>
      </c>
      <c r="AM662">
        <v>4</v>
      </c>
      <c r="AN662">
        <v>77.255501678477344</v>
      </c>
    </row>
    <row r="663" spans="1:40" x14ac:dyDescent="0.3">
      <c r="A663" t="s">
        <v>243</v>
      </c>
      <c r="B663" t="s">
        <v>59</v>
      </c>
      <c r="C663" t="s">
        <v>10</v>
      </c>
      <c r="D663" t="s">
        <v>11</v>
      </c>
      <c r="E663">
        <v>202602</v>
      </c>
      <c r="F663" t="s">
        <v>69</v>
      </c>
      <c r="G663">
        <v>0</v>
      </c>
      <c r="H663">
        <v>1</v>
      </c>
      <c r="I663">
        <v>0</v>
      </c>
      <c r="J663">
        <v>2</v>
      </c>
      <c r="K663">
        <v>4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2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0</v>
      </c>
      <c r="AH663">
        <v>0</v>
      </c>
      <c r="AI663">
        <v>0</v>
      </c>
      <c r="AJ663">
        <v>0</v>
      </c>
      <c r="AK663">
        <v>0</v>
      </c>
      <c r="AL663">
        <v>9</v>
      </c>
      <c r="AM663">
        <v>0.66666666666666663</v>
      </c>
      <c r="AN663">
        <v>18.209250279746222</v>
      </c>
    </row>
    <row r="664" spans="1:40" x14ac:dyDescent="0.3">
      <c r="A664" t="s">
        <v>243</v>
      </c>
      <c r="B664" t="s">
        <v>59</v>
      </c>
      <c r="C664" t="s">
        <v>10</v>
      </c>
      <c r="D664" t="s">
        <v>11</v>
      </c>
      <c r="E664">
        <v>202602</v>
      </c>
      <c r="F664" t="s">
        <v>262</v>
      </c>
      <c r="G664">
        <v>0</v>
      </c>
      <c r="H664">
        <v>0</v>
      </c>
      <c r="I664">
        <v>1</v>
      </c>
      <c r="J664">
        <v>6</v>
      </c>
      <c r="K664">
        <v>6</v>
      </c>
      <c r="L664">
        <v>2</v>
      </c>
      <c r="M664">
        <v>2</v>
      </c>
      <c r="N664">
        <v>0</v>
      </c>
      <c r="O664">
        <v>2</v>
      </c>
      <c r="P664">
        <v>1</v>
      </c>
      <c r="Q664">
        <v>10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0</v>
      </c>
      <c r="AH664">
        <v>0</v>
      </c>
      <c r="AI664">
        <v>0</v>
      </c>
      <c r="AJ664">
        <v>0</v>
      </c>
      <c r="AK664">
        <v>0</v>
      </c>
      <c r="AL664">
        <v>30</v>
      </c>
      <c r="AM664">
        <v>4.333333333333333</v>
      </c>
      <c r="AN664">
        <v>89.860126818350437</v>
      </c>
    </row>
    <row r="665" spans="1:40" x14ac:dyDescent="0.3">
      <c r="A665" t="s">
        <v>243</v>
      </c>
      <c r="B665" t="s">
        <v>59</v>
      </c>
      <c r="C665" t="s">
        <v>10</v>
      </c>
      <c r="D665" t="s">
        <v>11</v>
      </c>
      <c r="E665">
        <v>202602</v>
      </c>
      <c r="F665" t="s">
        <v>72</v>
      </c>
      <c r="G665">
        <v>0</v>
      </c>
      <c r="H665">
        <v>0</v>
      </c>
      <c r="I665">
        <v>0</v>
      </c>
      <c r="J665">
        <v>0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1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0</v>
      </c>
      <c r="AH665">
        <v>0</v>
      </c>
      <c r="AI665">
        <v>0</v>
      </c>
      <c r="AJ665">
        <v>0</v>
      </c>
      <c r="AK665">
        <v>0</v>
      </c>
      <c r="AL665">
        <v>1</v>
      </c>
      <c r="AM665">
        <v>0.33333333333333331</v>
      </c>
      <c r="AN665">
        <v>5.6046251398731117</v>
      </c>
    </row>
    <row r="666" spans="1:40" x14ac:dyDescent="0.3">
      <c r="A666" t="s">
        <v>243</v>
      </c>
      <c r="B666" t="s">
        <v>59</v>
      </c>
      <c r="C666" t="s">
        <v>10</v>
      </c>
      <c r="D666" t="s">
        <v>11</v>
      </c>
      <c r="E666">
        <v>202602</v>
      </c>
      <c r="F666" t="s">
        <v>212</v>
      </c>
      <c r="G666">
        <v>0</v>
      </c>
      <c r="H666">
        <v>0</v>
      </c>
      <c r="I666">
        <v>0</v>
      </c>
      <c r="J666">
        <v>0</v>
      </c>
      <c r="K666">
        <v>0</v>
      </c>
      <c r="L666">
        <v>2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0</v>
      </c>
      <c r="AH666">
        <v>0</v>
      </c>
      <c r="AI666">
        <v>0</v>
      </c>
      <c r="AJ666">
        <v>0</v>
      </c>
      <c r="AK666">
        <v>0</v>
      </c>
      <c r="AL666">
        <v>2</v>
      </c>
      <c r="AM666">
        <v>0</v>
      </c>
      <c r="AN666">
        <v>2</v>
      </c>
    </row>
    <row r="667" spans="1:40" x14ac:dyDescent="0.3">
      <c r="A667" t="s">
        <v>243</v>
      </c>
      <c r="B667" t="s">
        <v>59</v>
      </c>
      <c r="C667" t="s">
        <v>10</v>
      </c>
      <c r="D667" t="s">
        <v>11</v>
      </c>
      <c r="E667">
        <v>202602</v>
      </c>
      <c r="F667" t="s">
        <v>263</v>
      </c>
      <c r="G667">
        <v>0</v>
      </c>
      <c r="H667">
        <v>0</v>
      </c>
      <c r="I667">
        <v>0</v>
      </c>
      <c r="J667">
        <v>0</v>
      </c>
      <c r="K667">
        <v>0</v>
      </c>
      <c r="L667">
        <v>0</v>
      </c>
      <c r="M667">
        <v>0</v>
      </c>
      <c r="N667">
        <v>0</v>
      </c>
      <c r="O667">
        <v>1</v>
      </c>
      <c r="P667">
        <v>0</v>
      </c>
      <c r="Q667">
        <v>2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0</v>
      </c>
      <c r="AH667">
        <v>0</v>
      </c>
      <c r="AI667">
        <v>0</v>
      </c>
      <c r="AJ667">
        <v>0</v>
      </c>
      <c r="AK667">
        <v>0</v>
      </c>
      <c r="AL667">
        <v>3</v>
      </c>
      <c r="AM667">
        <v>1</v>
      </c>
      <c r="AN667">
        <v>16.813875419619336</v>
      </c>
    </row>
    <row r="668" spans="1:40" x14ac:dyDescent="0.3">
      <c r="A668" t="s">
        <v>243</v>
      </c>
      <c r="B668" t="s">
        <v>59</v>
      </c>
      <c r="C668" t="s">
        <v>10</v>
      </c>
      <c r="D668" t="s">
        <v>11</v>
      </c>
      <c r="E668">
        <v>202602</v>
      </c>
      <c r="F668" t="s">
        <v>264</v>
      </c>
      <c r="G668">
        <v>0</v>
      </c>
      <c r="H668">
        <v>0</v>
      </c>
      <c r="I668">
        <v>1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1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>
        <v>0</v>
      </c>
      <c r="AI668">
        <v>0</v>
      </c>
      <c r="AJ668">
        <v>0</v>
      </c>
      <c r="AK668">
        <v>0</v>
      </c>
      <c r="AL668">
        <v>2</v>
      </c>
      <c r="AM668">
        <v>0.33333333333333331</v>
      </c>
      <c r="AN668">
        <v>6.6046251398731117</v>
      </c>
    </row>
    <row r="669" spans="1:40" x14ac:dyDescent="0.3">
      <c r="A669" t="s">
        <v>243</v>
      </c>
      <c r="B669" t="s">
        <v>59</v>
      </c>
      <c r="C669" t="s">
        <v>10</v>
      </c>
      <c r="D669" t="s">
        <v>11</v>
      </c>
      <c r="E669">
        <v>202602</v>
      </c>
      <c r="F669" t="s">
        <v>265</v>
      </c>
      <c r="G669">
        <v>0</v>
      </c>
      <c r="H669">
        <v>0</v>
      </c>
      <c r="I669">
        <v>1</v>
      </c>
      <c r="J669">
        <v>3</v>
      </c>
      <c r="K669">
        <v>2</v>
      </c>
      <c r="L669">
        <v>1</v>
      </c>
      <c r="M669">
        <v>0</v>
      </c>
      <c r="N669">
        <v>0</v>
      </c>
      <c r="O669">
        <v>1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0</v>
      </c>
      <c r="AD669">
        <v>0</v>
      </c>
      <c r="AE669">
        <v>0</v>
      </c>
      <c r="AF669">
        <v>0</v>
      </c>
      <c r="AG669">
        <v>0</v>
      </c>
      <c r="AH669">
        <v>0</v>
      </c>
      <c r="AI669">
        <v>0</v>
      </c>
      <c r="AJ669">
        <v>0</v>
      </c>
      <c r="AK669">
        <v>0</v>
      </c>
      <c r="AL669">
        <v>8</v>
      </c>
      <c r="AM669">
        <v>0.33333333333333331</v>
      </c>
      <c r="AN669">
        <v>12.604625139873111</v>
      </c>
    </row>
    <row r="670" spans="1:40" x14ac:dyDescent="0.3">
      <c r="A670" t="s">
        <v>243</v>
      </c>
      <c r="B670" t="s">
        <v>59</v>
      </c>
      <c r="C670" t="s">
        <v>10</v>
      </c>
      <c r="D670" t="s">
        <v>11</v>
      </c>
      <c r="E670">
        <v>202602</v>
      </c>
      <c r="F670" t="s">
        <v>266</v>
      </c>
      <c r="G670">
        <v>0</v>
      </c>
      <c r="H670">
        <v>0</v>
      </c>
      <c r="I670">
        <v>0</v>
      </c>
      <c r="J670">
        <v>1</v>
      </c>
      <c r="K670">
        <v>1</v>
      </c>
      <c r="L670">
        <v>3</v>
      </c>
      <c r="M670">
        <v>2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0</v>
      </c>
      <c r="AF670">
        <v>0</v>
      </c>
      <c r="AG670">
        <v>0</v>
      </c>
      <c r="AH670">
        <v>0</v>
      </c>
      <c r="AI670">
        <v>0</v>
      </c>
      <c r="AJ670">
        <v>0</v>
      </c>
      <c r="AK670">
        <v>0</v>
      </c>
      <c r="AL670">
        <v>7</v>
      </c>
      <c r="AM670">
        <v>0</v>
      </c>
      <c r="AN670">
        <v>7</v>
      </c>
    </row>
    <row r="671" spans="1:40" x14ac:dyDescent="0.3">
      <c r="A671" t="s">
        <v>243</v>
      </c>
      <c r="B671" t="s">
        <v>59</v>
      </c>
      <c r="C671" t="s">
        <v>10</v>
      </c>
      <c r="D671" t="s">
        <v>11</v>
      </c>
      <c r="E671">
        <v>202602</v>
      </c>
      <c r="F671" t="s">
        <v>267</v>
      </c>
      <c r="G671">
        <v>0</v>
      </c>
      <c r="H671">
        <v>0</v>
      </c>
      <c r="I671">
        <v>0</v>
      </c>
      <c r="J671">
        <v>0</v>
      </c>
      <c r="K671">
        <v>1</v>
      </c>
      <c r="L671">
        <v>1</v>
      </c>
      <c r="M671">
        <v>0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0</v>
      </c>
      <c r="AF671">
        <v>0</v>
      </c>
      <c r="AG671">
        <v>0</v>
      </c>
      <c r="AH671">
        <v>0</v>
      </c>
      <c r="AI671">
        <v>0</v>
      </c>
      <c r="AJ671">
        <v>0</v>
      </c>
      <c r="AK671">
        <v>0</v>
      </c>
      <c r="AL671">
        <v>2</v>
      </c>
      <c r="AM671">
        <v>0</v>
      </c>
      <c r="AN671">
        <v>2</v>
      </c>
    </row>
    <row r="672" spans="1:40" x14ac:dyDescent="0.3">
      <c r="A672" t="s">
        <v>243</v>
      </c>
      <c r="B672" t="s">
        <v>59</v>
      </c>
      <c r="C672" t="s">
        <v>10</v>
      </c>
      <c r="D672" t="s">
        <v>11</v>
      </c>
      <c r="E672">
        <v>202602</v>
      </c>
      <c r="F672" t="s">
        <v>78</v>
      </c>
      <c r="G672">
        <v>0</v>
      </c>
      <c r="H672">
        <v>0</v>
      </c>
      <c r="I672">
        <v>0</v>
      </c>
      <c r="J672">
        <v>0</v>
      </c>
      <c r="K672">
        <v>2</v>
      </c>
      <c r="L672">
        <v>0</v>
      </c>
      <c r="M672">
        <v>0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0</v>
      </c>
      <c r="AF672">
        <v>0</v>
      </c>
      <c r="AG672">
        <v>0</v>
      </c>
      <c r="AH672">
        <v>0</v>
      </c>
      <c r="AI672">
        <v>0</v>
      </c>
      <c r="AJ672">
        <v>0</v>
      </c>
      <c r="AK672">
        <v>0</v>
      </c>
      <c r="AL672">
        <v>2</v>
      </c>
      <c r="AM672">
        <v>0</v>
      </c>
      <c r="AN672">
        <v>2</v>
      </c>
    </row>
    <row r="673" spans="1:40" x14ac:dyDescent="0.3">
      <c r="A673" t="s">
        <v>243</v>
      </c>
      <c r="B673" t="s">
        <v>59</v>
      </c>
      <c r="C673" t="s">
        <v>10</v>
      </c>
      <c r="D673" t="s">
        <v>14</v>
      </c>
      <c r="E673">
        <v>202602</v>
      </c>
      <c r="F673" t="s">
        <v>61</v>
      </c>
      <c r="G673">
        <v>0</v>
      </c>
      <c r="H673">
        <v>1</v>
      </c>
      <c r="I673">
        <v>3</v>
      </c>
      <c r="J673">
        <v>4</v>
      </c>
      <c r="K673">
        <v>3</v>
      </c>
      <c r="L673">
        <v>1</v>
      </c>
      <c r="M673">
        <v>0</v>
      </c>
      <c r="N673">
        <v>0</v>
      </c>
      <c r="O673">
        <v>2</v>
      </c>
      <c r="P673">
        <v>1</v>
      </c>
      <c r="Q673">
        <v>4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0</v>
      </c>
      <c r="AD673">
        <v>0</v>
      </c>
      <c r="AE673">
        <v>0</v>
      </c>
      <c r="AF673">
        <v>0</v>
      </c>
      <c r="AG673">
        <v>0</v>
      </c>
      <c r="AH673">
        <v>0</v>
      </c>
      <c r="AI673">
        <v>0</v>
      </c>
      <c r="AJ673">
        <v>0</v>
      </c>
      <c r="AK673">
        <v>0</v>
      </c>
      <c r="AL673">
        <v>19</v>
      </c>
      <c r="AM673">
        <v>2.3333333333333335</v>
      </c>
      <c r="AN673">
        <v>47.292187500000296</v>
      </c>
    </row>
    <row r="674" spans="1:40" x14ac:dyDescent="0.3">
      <c r="A674" t="s">
        <v>243</v>
      </c>
      <c r="B674" t="s">
        <v>59</v>
      </c>
      <c r="C674" t="s">
        <v>10</v>
      </c>
      <c r="D674" t="s">
        <v>14</v>
      </c>
      <c r="E674">
        <v>202602</v>
      </c>
      <c r="F674" t="s">
        <v>63</v>
      </c>
      <c r="G674">
        <v>0</v>
      </c>
      <c r="H674">
        <v>1</v>
      </c>
      <c r="I674">
        <v>0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0</v>
      </c>
      <c r="AF674">
        <v>0</v>
      </c>
      <c r="AG674">
        <v>0</v>
      </c>
      <c r="AH674">
        <v>0</v>
      </c>
      <c r="AI674">
        <v>0</v>
      </c>
      <c r="AJ674">
        <v>0</v>
      </c>
      <c r="AK674">
        <v>0</v>
      </c>
      <c r="AL674">
        <v>1</v>
      </c>
      <c r="AM674">
        <v>0</v>
      </c>
      <c r="AN674">
        <v>1</v>
      </c>
    </row>
    <row r="675" spans="1:40" x14ac:dyDescent="0.3">
      <c r="A675" t="s">
        <v>243</v>
      </c>
      <c r="B675" t="s">
        <v>59</v>
      </c>
      <c r="C675" t="s">
        <v>10</v>
      </c>
      <c r="D675" t="s">
        <v>14</v>
      </c>
      <c r="E675">
        <v>202602</v>
      </c>
      <c r="F675" t="s">
        <v>75</v>
      </c>
      <c r="G675">
        <v>0</v>
      </c>
      <c r="H675">
        <v>4</v>
      </c>
      <c r="I675">
        <v>1</v>
      </c>
      <c r="J675">
        <v>2</v>
      </c>
      <c r="K675">
        <v>1</v>
      </c>
      <c r="L675">
        <v>3</v>
      </c>
      <c r="M675">
        <v>0</v>
      </c>
      <c r="N675">
        <v>0</v>
      </c>
      <c r="O675">
        <v>6</v>
      </c>
      <c r="P675">
        <v>2</v>
      </c>
      <c r="Q675">
        <v>3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0</v>
      </c>
      <c r="AF675">
        <v>0</v>
      </c>
      <c r="AG675">
        <v>0</v>
      </c>
      <c r="AH675">
        <v>0</v>
      </c>
      <c r="AI675">
        <v>0</v>
      </c>
      <c r="AJ675">
        <v>0</v>
      </c>
      <c r="AK675">
        <v>0</v>
      </c>
      <c r="AL675">
        <v>22</v>
      </c>
      <c r="AM675">
        <v>3.6666666666666665</v>
      </c>
      <c r="AN675">
        <v>66.459151785714738</v>
      </c>
    </row>
    <row r="676" spans="1:40" x14ac:dyDescent="0.3">
      <c r="A676" t="s">
        <v>243</v>
      </c>
      <c r="B676" t="s">
        <v>59</v>
      </c>
      <c r="C676" t="s">
        <v>10</v>
      </c>
      <c r="D676" t="s">
        <v>14</v>
      </c>
      <c r="E676">
        <v>202602</v>
      </c>
      <c r="F676" t="s">
        <v>258</v>
      </c>
      <c r="G676">
        <v>0</v>
      </c>
      <c r="H676">
        <v>3</v>
      </c>
      <c r="I676">
        <v>2</v>
      </c>
      <c r="J676">
        <v>2</v>
      </c>
      <c r="K676">
        <v>0</v>
      </c>
      <c r="L676">
        <v>3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0</v>
      </c>
      <c r="AD676">
        <v>0</v>
      </c>
      <c r="AE676">
        <v>0</v>
      </c>
      <c r="AF676">
        <v>0</v>
      </c>
      <c r="AG676">
        <v>0</v>
      </c>
      <c r="AH676">
        <v>0</v>
      </c>
      <c r="AI676">
        <v>0</v>
      </c>
      <c r="AJ676">
        <v>0</v>
      </c>
      <c r="AK676">
        <v>0</v>
      </c>
      <c r="AL676">
        <v>10</v>
      </c>
      <c r="AM676">
        <v>0</v>
      </c>
      <c r="AN676">
        <v>10</v>
      </c>
    </row>
    <row r="677" spans="1:40" x14ac:dyDescent="0.3">
      <c r="A677" t="s">
        <v>243</v>
      </c>
      <c r="B677" t="s">
        <v>59</v>
      </c>
      <c r="C677" t="s">
        <v>10</v>
      </c>
      <c r="D677" t="s">
        <v>14</v>
      </c>
      <c r="E677">
        <v>202602</v>
      </c>
      <c r="F677" t="s">
        <v>259</v>
      </c>
      <c r="G677">
        <v>0</v>
      </c>
      <c r="H677">
        <v>1</v>
      </c>
      <c r="I677">
        <v>1</v>
      </c>
      <c r="J677">
        <v>1</v>
      </c>
      <c r="K677">
        <v>2</v>
      </c>
      <c r="L677">
        <v>1</v>
      </c>
      <c r="M677">
        <v>0</v>
      </c>
      <c r="N677">
        <v>0</v>
      </c>
      <c r="O677">
        <v>0</v>
      </c>
      <c r="P677">
        <v>1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0</v>
      </c>
      <c r="AD677">
        <v>0</v>
      </c>
      <c r="AE677">
        <v>0</v>
      </c>
      <c r="AF677">
        <v>0</v>
      </c>
      <c r="AG677">
        <v>0</v>
      </c>
      <c r="AH677">
        <v>0</v>
      </c>
      <c r="AI677">
        <v>0</v>
      </c>
      <c r="AJ677">
        <v>0</v>
      </c>
      <c r="AK677">
        <v>0</v>
      </c>
      <c r="AL677">
        <v>7</v>
      </c>
      <c r="AM677">
        <v>0.33333333333333331</v>
      </c>
      <c r="AN677">
        <v>11.041741071428614</v>
      </c>
    </row>
    <row r="678" spans="1:40" x14ac:dyDescent="0.3">
      <c r="A678" t="s">
        <v>243</v>
      </c>
      <c r="B678" t="s">
        <v>59</v>
      </c>
      <c r="C678" t="s">
        <v>10</v>
      </c>
      <c r="D678" t="s">
        <v>14</v>
      </c>
      <c r="E678">
        <v>202602</v>
      </c>
      <c r="F678" t="s">
        <v>260</v>
      </c>
      <c r="G678">
        <v>0</v>
      </c>
      <c r="H678">
        <v>4</v>
      </c>
      <c r="I678">
        <v>3</v>
      </c>
      <c r="J678">
        <v>3</v>
      </c>
      <c r="K678">
        <v>1</v>
      </c>
      <c r="L678">
        <v>7</v>
      </c>
      <c r="M678">
        <v>0</v>
      </c>
      <c r="N678">
        <v>0</v>
      </c>
      <c r="O678">
        <v>4</v>
      </c>
      <c r="P678">
        <v>6</v>
      </c>
      <c r="Q678">
        <v>4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>
        <v>0</v>
      </c>
      <c r="AH678">
        <v>0</v>
      </c>
      <c r="AI678">
        <v>0</v>
      </c>
      <c r="AJ678">
        <v>0</v>
      </c>
      <c r="AK678">
        <v>0</v>
      </c>
      <c r="AL678">
        <v>32</v>
      </c>
      <c r="AM678">
        <v>4.666666666666667</v>
      </c>
      <c r="AN678">
        <v>88.584375000000591</v>
      </c>
    </row>
    <row r="679" spans="1:40" x14ac:dyDescent="0.3">
      <c r="A679" t="s">
        <v>243</v>
      </c>
      <c r="B679" t="s">
        <v>59</v>
      </c>
      <c r="C679" t="s">
        <v>10</v>
      </c>
      <c r="D679" t="s">
        <v>14</v>
      </c>
      <c r="E679">
        <v>202602</v>
      </c>
      <c r="F679" t="s">
        <v>64</v>
      </c>
      <c r="G679">
        <v>0</v>
      </c>
      <c r="H679">
        <v>0</v>
      </c>
      <c r="I679">
        <v>1</v>
      </c>
      <c r="J679">
        <v>0</v>
      </c>
      <c r="K679">
        <v>1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1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>
        <v>0</v>
      </c>
      <c r="AH679">
        <v>0</v>
      </c>
      <c r="AI679">
        <v>0</v>
      </c>
      <c r="AJ679">
        <v>0</v>
      </c>
      <c r="AK679">
        <v>0</v>
      </c>
      <c r="AL679">
        <v>3</v>
      </c>
      <c r="AM679">
        <v>0.33333333333333331</v>
      </c>
      <c r="AN679">
        <v>7.0417410714286133</v>
      </c>
    </row>
    <row r="680" spans="1:40" x14ac:dyDescent="0.3">
      <c r="A680" t="s">
        <v>243</v>
      </c>
      <c r="B680" t="s">
        <v>59</v>
      </c>
      <c r="C680" t="s">
        <v>10</v>
      </c>
      <c r="D680" t="s">
        <v>14</v>
      </c>
      <c r="E680">
        <v>202602</v>
      </c>
      <c r="F680" t="s">
        <v>261</v>
      </c>
      <c r="G680">
        <v>0</v>
      </c>
      <c r="H680">
        <v>2</v>
      </c>
      <c r="I680">
        <v>1</v>
      </c>
      <c r="J680">
        <v>2</v>
      </c>
      <c r="K680">
        <v>7</v>
      </c>
      <c r="L680">
        <v>6</v>
      </c>
      <c r="M680">
        <v>0</v>
      </c>
      <c r="N680">
        <v>0</v>
      </c>
      <c r="O680">
        <v>6</v>
      </c>
      <c r="P680">
        <v>5</v>
      </c>
      <c r="Q680">
        <v>4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>
        <v>0</v>
      </c>
      <c r="AH680">
        <v>0</v>
      </c>
      <c r="AI680">
        <v>0</v>
      </c>
      <c r="AJ680">
        <v>0</v>
      </c>
      <c r="AK680">
        <v>0</v>
      </c>
      <c r="AL680">
        <v>33</v>
      </c>
      <c r="AM680">
        <v>5</v>
      </c>
      <c r="AN680">
        <v>93.62611607142918</v>
      </c>
    </row>
    <row r="681" spans="1:40" x14ac:dyDescent="0.3">
      <c r="A681" t="s">
        <v>243</v>
      </c>
      <c r="B681" t="s">
        <v>59</v>
      </c>
      <c r="C681" t="s">
        <v>10</v>
      </c>
      <c r="D681" t="s">
        <v>14</v>
      </c>
      <c r="E681">
        <v>202602</v>
      </c>
      <c r="F681" t="s">
        <v>69</v>
      </c>
      <c r="G681">
        <v>0</v>
      </c>
      <c r="H681">
        <v>2</v>
      </c>
      <c r="I681">
        <v>3</v>
      </c>
      <c r="J681">
        <v>1</v>
      </c>
      <c r="K681">
        <v>0</v>
      </c>
      <c r="L681">
        <v>0</v>
      </c>
      <c r="M681">
        <v>0</v>
      </c>
      <c r="N681">
        <v>0</v>
      </c>
      <c r="O681">
        <v>4</v>
      </c>
      <c r="P681">
        <v>4</v>
      </c>
      <c r="Q681">
        <v>3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>
        <v>0</v>
      </c>
      <c r="AH681">
        <v>0</v>
      </c>
      <c r="AI681">
        <v>0</v>
      </c>
      <c r="AJ681">
        <v>0</v>
      </c>
      <c r="AK681">
        <v>0</v>
      </c>
      <c r="AL681">
        <v>17</v>
      </c>
      <c r="AM681">
        <v>3.6666666666666665</v>
      </c>
      <c r="AN681">
        <v>61.459151785714738</v>
      </c>
    </row>
    <row r="682" spans="1:40" x14ac:dyDescent="0.3">
      <c r="A682" t="s">
        <v>243</v>
      </c>
      <c r="B682" t="s">
        <v>59</v>
      </c>
      <c r="C682" t="s">
        <v>10</v>
      </c>
      <c r="D682" t="s">
        <v>14</v>
      </c>
      <c r="E682">
        <v>202602</v>
      </c>
      <c r="F682" t="s">
        <v>262</v>
      </c>
      <c r="G682">
        <v>0</v>
      </c>
      <c r="H682">
        <v>13</v>
      </c>
      <c r="I682">
        <v>6</v>
      </c>
      <c r="J682">
        <v>4</v>
      </c>
      <c r="K682">
        <v>2</v>
      </c>
      <c r="L682">
        <v>0</v>
      </c>
      <c r="M682">
        <v>0</v>
      </c>
      <c r="N682">
        <v>0</v>
      </c>
      <c r="O682">
        <v>11</v>
      </c>
      <c r="P682">
        <v>5</v>
      </c>
      <c r="Q682">
        <v>1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>
        <v>0</v>
      </c>
      <c r="AH682">
        <v>0</v>
      </c>
      <c r="AI682">
        <v>0</v>
      </c>
      <c r="AJ682">
        <v>0</v>
      </c>
      <c r="AK682">
        <v>0</v>
      </c>
      <c r="AL682">
        <v>42</v>
      </c>
      <c r="AM682">
        <v>5.666666666666667</v>
      </c>
      <c r="AN682">
        <v>110.70959821428642</v>
      </c>
    </row>
    <row r="683" spans="1:40" x14ac:dyDescent="0.3">
      <c r="A683" t="s">
        <v>243</v>
      </c>
      <c r="B683" t="s">
        <v>59</v>
      </c>
      <c r="C683" t="s">
        <v>10</v>
      </c>
      <c r="D683" t="s">
        <v>14</v>
      </c>
      <c r="E683">
        <v>202602</v>
      </c>
      <c r="F683" t="s">
        <v>72</v>
      </c>
      <c r="G683">
        <v>0</v>
      </c>
      <c r="H683">
        <v>0</v>
      </c>
      <c r="I683">
        <v>0</v>
      </c>
      <c r="J683">
        <v>0</v>
      </c>
      <c r="K683">
        <v>0</v>
      </c>
      <c r="L683">
        <v>0</v>
      </c>
      <c r="M683">
        <v>0</v>
      </c>
      <c r="N683">
        <v>0</v>
      </c>
      <c r="O683">
        <v>1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>
        <v>0</v>
      </c>
      <c r="AI683">
        <v>0</v>
      </c>
      <c r="AJ683">
        <v>0</v>
      </c>
      <c r="AK683">
        <v>0</v>
      </c>
      <c r="AL683">
        <v>1</v>
      </c>
      <c r="AM683">
        <v>0.33333333333333331</v>
      </c>
      <c r="AN683">
        <v>5.0417410714286133</v>
      </c>
    </row>
    <row r="684" spans="1:40" x14ac:dyDescent="0.3">
      <c r="A684" t="s">
        <v>243</v>
      </c>
      <c r="B684" t="s">
        <v>59</v>
      </c>
      <c r="C684" t="s">
        <v>10</v>
      </c>
      <c r="D684" t="s">
        <v>14</v>
      </c>
      <c r="E684">
        <v>202602</v>
      </c>
      <c r="F684" t="s">
        <v>212</v>
      </c>
      <c r="G684">
        <v>0</v>
      </c>
      <c r="H684">
        <v>0</v>
      </c>
      <c r="I684">
        <v>0</v>
      </c>
      <c r="J684">
        <v>0</v>
      </c>
      <c r="K684">
        <v>3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1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>
        <v>0</v>
      </c>
      <c r="AI684">
        <v>0</v>
      </c>
      <c r="AJ684">
        <v>0</v>
      </c>
      <c r="AK684">
        <v>0</v>
      </c>
      <c r="AL684">
        <v>4</v>
      </c>
      <c r="AM684">
        <v>0.33333333333333331</v>
      </c>
      <c r="AN684">
        <v>8.0417410714286142</v>
      </c>
    </row>
    <row r="685" spans="1:40" x14ac:dyDescent="0.3">
      <c r="A685" t="s">
        <v>243</v>
      </c>
      <c r="B685" t="s">
        <v>59</v>
      </c>
      <c r="C685" t="s">
        <v>10</v>
      </c>
      <c r="D685" t="s">
        <v>14</v>
      </c>
      <c r="E685">
        <v>202602</v>
      </c>
      <c r="F685" t="s">
        <v>263</v>
      </c>
      <c r="G685">
        <v>0</v>
      </c>
      <c r="H685">
        <v>0</v>
      </c>
      <c r="I685">
        <v>0</v>
      </c>
      <c r="J685">
        <v>0</v>
      </c>
      <c r="K685">
        <v>1</v>
      </c>
      <c r="L685">
        <v>0</v>
      </c>
      <c r="M685">
        <v>0</v>
      </c>
      <c r="N685">
        <v>0</v>
      </c>
      <c r="O685">
        <v>1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>
        <v>0</v>
      </c>
      <c r="AI685">
        <v>0</v>
      </c>
      <c r="AJ685">
        <v>0</v>
      </c>
      <c r="AK685">
        <v>0</v>
      </c>
      <c r="AL685">
        <v>2</v>
      </c>
      <c r="AM685">
        <v>0.33333333333333331</v>
      </c>
      <c r="AN685">
        <v>6.0417410714286133</v>
      </c>
    </row>
    <row r="686" spans="1:40" x14ac:dyDescent="0.3">
      <c r="A686" t="s">
        <v>243</v>
      </c>
      <c r="B686" t="s">
        <v>59</v>
      </c>
      <c r="C686" t="s">
        <v>10</v>
      </c>
      <c r="D686" t="s">
        <v>14</v>
      </c>
      <c r="E686">
        <v>202602</v>
      </c>
      <c r="F686" t="s">
        <v>264</v>
      </c>
      <c r="G686">
        <v>0</v>
      </c>
      <c r="H686">
        <v>0</v>
      </c>
      <c r="I686">
        <v>0</v>
      </c>
      <c r="J686">
        <v>0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1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>
        <v>0</v>
      </c>
      <c r="AI686">
        <v>0</v>
      </c>
      <c r="AJ686">
        <v>0</v>
      </c>
      <c r="AK686">
        <v>0</v>
      </c>
      <c r="AL686">
        <v>1</v>
      </c>
      <c r="AM686">
        <v>0.33333333333333331</v>
      </c>
      <c r="AN686">
        <v>5.0417410714286133</v>
      </c>
    </row>
    <row r="687" spans="1:40" x14ac:dyDescent="0.3">
      <c r="A687" t="s">
        <v>243</v>
      </c>
      <c r="B687" t="s">
        <v>59</v>
      </c>
      <c r="C687" t="s">
        <v>10</v>
      </c>
      <c r="D687" t="s">
        <v>14</v>
      </c>
      <c r="E687">
        <v>202602</v>
      </c>
      <c r="F687" t="s">
        <v>265</v>
      </c>
      <c r="G687">
        <v>0</v>
      </c>
      <c r="H687">
        <v>4</v>
      </c>
      <c r="I687">
        <v>0</v>
      </c>
      <c r="J687">
        <v>1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1</v>
      </c>
      <c r="Q687">
        <v>2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>
        <v>0</v>
      </c>
      <c r="AI687">
        <v>0</v>
      </c>
      <c r="AJ687">
        <v>0</v>
      </c>
      <c r="AK687">
        <v>0</v>
      </c>
      <c r="AL687">
        <v>8</v>
      </c>
      <c r="AM687">
        <v>1</v>
      </c>
      <c r="AN687">
        <v>20.125223214285839</v>
      </c>
    </row>
    <row r="688" spans="1:40" x14ac:dyDescent="0.3">
      <c r="A688" t="s">
        <v>243</v>
      </c>
      <c r="B688" t="s">
        <v>59</v>
      </c>
      <c r="C688" t="s">
        <v>10</v>
      </c>
      <c r="D688" t="s">
        <v>14</v>
      </c>
      <c r="E688">
        <v>202602</v>
      </c>
      <c r="F688" t="s">
        <v>266</v>
      </c>
      <c r="G688">
        <v>0</v>
      </c>
      <c r="H688">
        <v>0</v>
      </c>
      <c r="I688">
        <v>3</v>
      </c>
      <c r="J688">
        <v>2</v>
      </c>
      <c r="K688">
        <v>4</v>
      </c>
      <c r="L688">
        <v>0</v>
      </c>
      <c r="M688">
        <v>0</v>
      </c>
      <c r="N688">
        <v>0</v>
      </c>
      <c r="O688">
        <v>0</v>
      </c>
      <c r="P688">
        <v>1</v>
      </c>
      <c r="Q688">
        <v>1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>
        <v>0</v>
      </c>
      <c r="AI688">
        <v>0</v>
      </c>
      <c r="AJ688">
        <v>0</v>
      </c>
      <c r="AK688">
        <v>0</v>
      </c>
      <c r="AL688">
        <v>11</v>
      </c>
      <c r="AM688">
        <v>0.66666666666666663</v>
      </c>
      <c r="AN688">
        <v>19.083482142857228</v>
      </c>
    </row>
    <row r="689" spans="1:40" x14ac:dyDescent="0.3">
      <c r="A689" t="s">
        <v>243</v>
      </c>
      <c r="B689" t="s">
        <v>59</v>
      </c>
      <c r="C689" t="s">
        <v>10</v>
      </c>
      <c r="D689" t="s">
        <v>14</v>
      </c>
      <c r="E689">
        <v>202602</v>
      </c>
      <c r="F689" t="s">
        <v>267</v>
      </c>
      <c r="G689">
        <v>0</v>
      </c>
      <c r="H689">
        <v>0</v>
      </c>
      <c r="I689">
        <v>0</v>
      </c>
      <c r="J689">
        <v>1</v>
      </c>
      <c r="K689">
        <v>1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>
        <v>0</v>
      </c>
      <c r="AH689">
        <v>0</v>
      </c>
      <c r="AI689">
        <v>0</v>
      </c>
      <c r="AJ689">
        <v>0</v>
      </c>
      <c r="AK689">
        <v>0</v>
      </c>
      <c r="AL689">
        <v>2</v>
      </c>
      <c r="AM689">
        <v>0</v>
      </c>
      <c r="AN689">
        <v>2</v>
      </c>
    </row>
    <row r="690" spans="1:40" x14ac:dyDescent="0.3">
      <c r="A690" t="s">
        <v>243</v>
      </c>
      <c r="B690" t="s">
        <v>59</v>
      </c>
      <c r="C690" t="s">
        <v>10</v>
      </c>
      <c r="D690" t="s">
        <v>14</v>
      </c>
      <c r="E690">
        <v>202602</v>
      </c>
      <c r="F690" t="s">
        <v>78</v>
      </c>
      <c r="G690">
        <v>0</v>
      </c>
      <c r="H690">
        <v>0</v>
      </c>
      <c r="I690">
        <v>0</v>
      </c>
      <c r="J690">
        <v>2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0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>
        <v>0</v>
      </c>
      <c r="AH690">
        <v>0</v>
      </c>
      <c r="AI690">
        <v>0</v>
      </c>
      <c r="AJ690">
        <v>0</v>
      </c>
      <c r="AK690">
        <v>0</v>
      </c>
      <c r="AL690">
        <v>2</v>
      </c>
      <c r="AM690">
        <v>0</v>
      </c>
      <c r="AN690">
        <v>2</v>
      </c>
    </row>
    <row r="691" spans="1:40" x14ac:dyDescent="0.3">
      <c r="A691" t="s">
        <v>243</v>
      </c>
      <c r="B691" t="s">
        <v>59</v>
      </c>
      <c r="C691" t="s">
        <v>10</v>
      </c>
      <c r="D691" t="s">
        <v>14</v>
      </c>
      <c r="E691">
        <v>202602</v>
      </c>
      <c r="F691" t="s">
        <v>79</v>
      </c>
      <c r="G691">
        <v>0</v>
      </c>
      <c r="H691">
        <v>0</v>
      </c>
      <c r="I691">
        <v>0</v>
      </c>
      <c r="J691">
        <v>0</v>
      </c>
      <c r="K691">
        <v>0</v>
      </c>
      <c r="L691">
        <v>0</v>
      </c>
      <c r="M691">
        <v>1</v>
      </c>
      <c r="N691">
        <v>0</v>
      </c>
      <c r="O691">
        <v>0</v>
      </c>
      <c r="P691">
        <v>0</v>
      </c>
      <c r="Q691">
        <v>1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0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>
        <v>0</v>
      </c>
      <c r="AH691">
        <v>0</v>
      </c>
      <c r="AI691">
        <v>0</v>
      </c>
      <c r="AJ691">
        <v>0</v>
      </c>
      <c r="AK691">
        <v>0</v>
      </c>
      <c r="AL691">
        <v>2</v>
      </c>
      <c r="AM691">
        <v>0.33333333333333331</v>
      </c>
      <c r="AN691">
        <v>6.0417410714286133</v>
      </c>
    </row>
    <row r="692" spans="1:40" x14ac:dyDescent="0.3">
      <c r="A692" t="s">
        <v>243</v>
      </c>
      <c r="B692" t="s">
        <v>81</v>
      </c>
      <c r="C692" t="s">
        <v>10</v>
      </c>
      <c r="D692" t="s">
        <v>11</v>
      </c>
      <c r="E692">
        <v>202602</v>
      </c>
      <c r="F692" t="s">
        <v>268</v>
      </c>
      <c r="G692">
        <v>0</v>
      </c>
      <c r="H692">
        <v>0</v>
      </c>
      <c r="I692">
        <v>0</v>
      </c>
      <c r="J692">
        <v>0</v>
      </c>
      <c r="K692">
        <v>1</v>
      </c>
      <c r="L692">
        <v>0</v>
      </c>
      <c r="M692">
        <v>0</v>
      </c>
      <c r="N692">
        <v>0</v>
      </c>
      <c r="O692">
        <v>1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>
        <v>0</v>
      </c>
      <c r="AH692">
        <v>0</v>
      </c>
      <c r="AI692">
        <v>0</v>
      </c>
      <c r="AJ692">
        <v>0</v>
      </c>
      <c r="AK692">
        <v>0</v>
      </c>
      <c r="AL692">
        <v>2</v>
      </c>
      <c r="AM692">
        <v>0.33333333333333331</v>
      </c>
      <c r="AN692">
        <v>6.6046251398731117</v>
      </c>
    </row>
    <row r="693" spans="1:40" x14ac:dyDescent="0.3">
      <c r="A693" t="s">
        <v>243</v>
      </c>
      <c r="B693" t="s">
        <v>81</v>
      </c>
      <c r="C693" t="s">
        <v>10</v>
      </c>
      <c r="D693" t="s">
        <v>11</v>
      </c>
      <c r="E693">
        <v>202602</v>
      </c>
      <c r="F693" t="s">
        <v>83</v>
      </c>
      <c r="G693">
        <v>0</v>
      </c>
      <c r="H693">
        <v>0</v>
      </c>
      <c r="I693">
        <v>0</v>
      </c>
      <c r="J693">
        <v>0</v>
      </c>
      <c r="K693">
        <v>0</v>
      </c>
      <c r="L693">
        <v>0</v>
      </c>
      <c r="M693">
        <v>1</v>
      </c>
      <c r="N693">
        <v>0</v>
      </c>
      <c r="O693">
        <v>1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0</v>
      </c>
      <c r="Y693">
        <v>0</v>
      </c>
      <c r="Z693">
        <v>0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>
        <v>0</v>
      </c>
      <c r="AH693">
        <v>0</v>
      </c>
      <c r="AI693">
        <v>0</v>
      </c>
      <c r="AJ693">
        <v>0</v>
      </c>
      <c r="AK693">
        <v>0</v>
      </c>
      <c r="AL693">
        <v>2</v>
      </c>
      <c r="AM693">
        <v>0.33333333333333331</v>
      </c>
      <c r="AN693">
        <v>6.6046251398731117</v>
      </c>
    </row>
    <row r="694" spans="1:40" x14ac:dyDescent="0.3">
      <c r="A694" t="s">
        <v>243</v>
      </c>
      <c r="B694" t="s">
        <v>81</v>
      </c>
      <c r="C694" t="s">
        <v>10</v>
      </c>
      <c r="D694" t="s">
        <v>11</v>
      </c>
      <c r="E694">
        <v>202602</v>
      </c>
      <c r="F694" t="s">
        <v>269</v>
      </c>
      <c r="G694">
        <v>0</v>
      </c>
      <c r="H694">
        <v>0</v>
      </c>
      <c r="I694">
        <v>0</v>
      </c>
      <c r="J694">
        <v>1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>
        <v>0</v>
      </c>
      <c r="AH694">
        <v>0</v>
      </c>
      <c r="AI694">
        <v>0</v>
      </c>
      <c r="AJ694">
        <v>0</v>
      </c>
      <c r="AK694">
        <v>0</v>
      </c>
      <c r="AL694">
        <v>1</v>
      </c>
      <c r="AM694">
        <v>0</v>
      </c>
      <c r="AN694">
        <v>1</v>
      </c>
    </row>
    <row r="695" spans="1:40" x14ac:dyDescent="0.3">
      <c r="A695" t="s">
        <v>243</v>
      </c>
      <c r="B695" t="s">
        <v>81</v>
      </c>
      <c r="C695" t="s">
        <v>10</v>
      </c>
      <c r="D695" t="s">
        <v>11</v>
      </c>
      <c r="E695">
        <v>202602</v>
      </c>
      <c r="F695" t="s">
        <v>86</v>
      </c>
      <c r="G695">
        <v>0</v>
      </c>
      <c r="H695">
        <v>1</v>
      </c>
      <c r="I695">
        <v>1</v>
      </c>
      <c r="J695">
        <v>1</v>
      </c>
      <c r="K695">
        <v>1</v>
      </c>
      <c r="L695">
        <v>0</v>
      </c>
      <c r="M695">
        <v>1</v>
      </c>
      <c r="N695">
        <v>0</v>
      </c>
      <c r="O695">
        <v>3</v>
      </c>
      <c r="P695">
        <v>0</v>
      </c>
      <c r="Q695">
        <v>2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>
        <v>0</v>
      </c>
      <c r="AI695">
        <v>0</v>
      </c>
      <c r="AJ695">
        <v>0</v>
      </c>
      <c r="AK695">
        <v>0</v>
      </c>
      <c r="AL695">
        <v>10</v>
      </c>
      <c r="AM695">
        <v>1.6666666666666667</v>
      </c>
      <c r="AN695">
        <v>33.023125699365558</v>
      </c>
    </row>
    <row r="696" spans="1:40" x14ac:dyDescent="0.3">
      <c r="A696" t="s">
        <v>243</v>
      </c>
      <c r="B696" t="s">
        <v>81</v>
      </c>
      <c r="C696" t="s">
        <v>10</v>
      </c>
      <c r="D696" t="s">
        <v>11</v>
      </c>
      <c r="E696">
        <v>202602</v>
      </c>
      <c r="F696" t="s">
        <v>270</v>
      </c>
      <c r="G696">
        <v>0</v>
      </c>
      <c r="H696">
        <v>1</v>
      </c>
      <c r="I696">
        <v>0</v>
      </c>
      <c r="J696">
        <v>0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>
        <v>0</v>
      </c>
      <c r="AI696">
        <v>0</v>
      </c>
      <c r="AJ696">
        <v>0</v>
      </c>
      <c r="AK696">
        <v>0</v>
      </c>
      <c r="AL696">
        <v>1</v>
      </c>
      <c r="AM696">
        <v>0</v>
      </c>
      <c r="AN696">
        <v>1</v>
      </c>
    </row>
    <row r="697" spans="1:40" x14ac:dyDescent="0.3">
      <c r="A697" t="s">
        <v>243</v>
      </c>
      <c r="B697" t="s">
        <v>81</v>
      </c>
      <c r="C697" t="s">
        <v>10</v>
      </c>
      <c r="D697" t="s">
        <v>11</v>
      </c>
      <c r="E697">
        <v>202602</v>
      </c>
      <c r="F697" t="s">
        <v>271</v>
      </c>
      <c r="G697">
        <v>0</v>
      </c>
      <c r="H697">
        <v>0</v>
      </c>
      <c r="I697">
        <v>1</v>
      </c>
      <c r="J697">
        <v>0</v>
      </c>
      <c r="K697">
        <v>0</v>
      </c>
      <c r="L697">
        <v>0</v>
      </c>
      <c r="M697">
        <v>0</v>
      </c>
      <c r="N697">
        <v>0</v>
      </c>
      <c r="O697">
        <v>1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>
        <v>0</v>
      </c>
      <c r="AI697">
        <v>0</v>
      </c>
      <c r="AJ697">
        <v>0</v>
      </c>
      <c r="AK697">
        <v>0</v>
      </c>
      <c r="AL697">
        <v>2</v>
      </c>
      <c r="AM697">
        <v>0.33333333333333331</v>
      </c>
      <c r="AN697">
        <v>6.6046251398731117</v>
      </c>
    </row>
    <row r="698" spans="1:40" x14ac:dyDescent="0.3">
      <c r="A698" t="s">
        <v>243</v>
      </c>
      <c r="B698" t="s">
        <v>81</v>
      </c>
      <c r="C698" t="s">
        <v>10</v>
      </c>
      <c r="D698" t="s">
        <v>11</v>
      </c>
      <c r="E698">
        <v>202602</v>
      </c>
      <c r="F698" t="s">
        <v>272</v>
      </c>
      <c r="G698">
        <v>0</v>
      </c>
      <c r="H698">
        <v>1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1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0</v>
      </c>
      <c r="AG698">
        <v>0</v>
      </c>
      <c r="AH698">
        <v>0</v>
      </c>
      <c r="AI698">
        <v>0</v>
      </c>
      <c r="AJ698">
        <v>0</v>
      </c>
      <c r="AK698">
        <v>0</v>
      </c>
      <c r="AL698">
        <v>2</v>
      </c>
      <c r="AM698">
        <v>0.33333333333333331</v>
      </c>
      <c r="AN698">
        <v>6.6046251398731117</v>
      </c>
    </row>
    <row r="699" spans="1:40" x14ac:dyDescent="0.3">
      <c r="A699" t="s">
        <v>243</v>
      </c>
      <c r="B699" t="s">
        <v>81</v>
      </c>
      <c r="C699" t="s">
        <v>10</v>
      </c>
      <c r="D699" t="s">
        <v>11</v>
      </c>
      <c r="E699">
        <v>202602</v>
      </c>
      <c r="F699" t="s">
        <v>273</v>
      </c>
      <c r="G699">
        <v>0</v>
      </c>
      <c r="H699">
        <v>0</v>
      </c>
      <c r="I699">
        <v>0</v>
      </c>
      <c r="J699">
        <v>1</v>
      </c>
      <c r="K699">
        <v>1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1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0</v>
      </c>
      <c r="AG699">
        <v>0</v>
      </c>
      <c r="AH699">
        <v>0</v>
      </c>
      <c r="AI699">
        <v>0</v>
      </c>
      <c r="AJ699">
        <v>0</v>
      </c>
      <c r="AK699">
        <v>0</v>
      </c>
      <c r="AL699">
        <v>3</v>
      </c>
      <c r="AM699">
        <v>0.33333333333333331</v>
      </c>
      <c r="AN699">
        <v>7.6046251398731117</v>
      </c>
    </row>
    <row r="700" spans="1:40" x14ac:dyDescent="0.3">
      <c r="A700" t="s">
        <v>243</v>
      </c>
      <c r="B700" t="s">
        <v>81</v>
      </c>
      <c r="C700" t="s">
        <v>10</v>
      </c>
      <c r="D700" t="s">
        <v>11</v>
      </c>
      <c r="E700">
        <v>202602</v>
      </c>
      <c r="F700" t="s">
        <v>274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1</v>
      </c>
      <c r="M700">
        <v>0</v>
      </c>
      <c r="N700">
        <v>0</v>
      </c>
      <c r="O700">
        <v>1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0</v>
      </c>
      <c r="AG700">
        <v>0</v>
      </c>
      <c r="AH700">
        <v>0</v>
      </c>
      <c r="AI700">
        <v>0</v>
      </c>
      <c r="AJ700">
        <v>0</v>
      </c>
      <c r="AK700">
        <v>0</v>
      </c>
      <c r="AL700">
        <v>2</v>
      </c>
      <c r="AM700">
        <v>0.33333333333333331</v>
      </c>
      <c r="AN700">
        <v>6.6046251398731117</v>
      </c>
    </row>
    <row r="701" spans="1:40" x14ac:dyDescent="0.3">
      <c r="A701" t="s">
        <v>243</v>
      </c>
      <c r="B701" t="s">
        <v>81</v>
      </c>
      <c r="C701" t="s">
        <v>10</v>
      </c>
      <c r="D701" t="s">
        <v>11</v>
      </c>
      <c r="E701">
        <v>202602</v>
      </c>
      <c r="F701" t="s">
        <v>275</v>
      </c>
      <c r="G701">
        <v>0</v>
      </c>
      <c r="H701">
        <v>0</v>
      </c>
      <c r="I701">
        <v>0</v>
      </c>
      <c r="J701">
        <v>0</v>
      </c>
      <c r="K701">
        <v>1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0</v>
      </c>
      <c r="AD701">
        <v>0</v>
      </c>
      <c r="AE701">
        <v>0</v>
      </c>
      <c r="AF701">
        <v>0</v>
      </c>
      <c r="AG701">
        <v>0</v>
      </c>
      <c r="AH701">
        <v>0</v>
      </c>
      <c r="AI701">
        <v>0</v>
      </c>
      <c r="AJ701">
        <v>0</v>
      </c>
      <c r="AK701">
        <v>0</v>
      </c>
      <c r="AL701">
        <v>1</v>
      </c>
      <c r="AM701">
        <v>0</v>
      </c>
      <c r="AN701">
        <v>1</v>
      </c>
    </row>
    <row r="702" spans="1:40" x14ac:dyDescent="0.3">
      <c r="A702" t="s">
        <v>243</v>
      </c>
      <c r="B702" t="s">
        <v>81</v>
      </c>
      <c r="C702" t="s">
        <v>10</v>
      </c>
      <c r="D702" t="s">
        <v>14</v>
      </c>
      <c r="E702">
        <v>202602</v>
      </c>
      <c r="F702" t="s">
        <v>268</v>
      </c>
      <c r="G702">
        <v>0</v>
      </c>
      <c r="H702">
        <v>0</v>
      </c>
      <c r="I702">
        <v>0</v>
      </c>
      <c r="J702">
        <v>1</v>
      </c>
      <c r="K702">
        <v>0</v>
      </c>
      <c r="L702">
        <v>0</v>
      </c>
      <c r="M702">
        <v>0</v>
      </c>
      <c r="N702">
        <v>0</v>
      </c>
      <c r="O702">
        <v>1</v>
      </c>
      <c r="P702">
        <v>1</v>
      </c>
      <c r="Q702">
        <v>1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0</v>
      </c>
      <c r="AG702">
        <v>0</v>
      </c>
      <c r="AH702">
        <v>0</v>
      </c>
      <c r="AI702">
        <v>0</v>
      </c>
      <c r="AJ702">
        <v>0</v>
      </c>
      <c r="AK702">
        <v>0</v>
      </c>
      <c r="AL702">
        <v>4</v>
      </c>
      <c r="AM702">
        <v>1</v>
      </c>
      <c r="AN702">
        <v>16.125223214285839</v>
      </c>
    </row>
    <row r="703" spans="1:40" x14ac:dyDescent="0.3">
      <c r="A703" t="s">
        <v>243</v>
      </c>
      <c r="B703" t="s">
        <v>81</v>
      </c>
      <c r="C703" t="s">
        <v>10</v>
      </c>
      <c r="D703" t="s">
        <v>14</v>
      </c>
      <c r="E703">
        <v>202602</v>
      </c>
      <c r="F703" t="s">
        <v>83</v>
      </c>
      <c r="G703">
        <v>0</v>
      </c>
      <c r="H703">
        <v>0</v>
      </c>
      <c r="I703">
        <v>0</v>
      </c>
      <c r="J703">
        <v>0</v>
      </c>
      <c r="K703">
        <v>0</v>
      </c>
      <c r="L703">
        <v>2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0</v>
      </c>
      <c r="AD703">
        <v>0</v>
      </c>
      <c r="AE703">
        <v>0</v>
      </c>
      <c r="AF703">
        <v>0</v>
      </c>
      <c r="AG703">
        <v>0</v>
      </c>
      <c r="AH703">
        <v>0</v>
      </c>
      <c r="AI703">
        <v>0</v>
      </c>
      <c r="AJ703">
        <v>0</v>
      </c>
      <c r="AK703">
        <v>0</v>
      </c>
      <c r="AL703">
        <v>2</v>
      </c>
      <c r="AM703">
        <v>0</v>
      </c>
      <c r="AN703">
        <v>2</v>
      </c>
    </row>
    <row r="704" spans="1:40" x14ac:dyDescent="0.3">
      <c r="A704" t="s">
        <v>243</v>
      </c>
      <c r="B704" t="s">
        <v>81</v>
      </c>
      <c r="C704" t="s">
        <v>10</v>
      </c>
      <c r="D704" t="s">
        <v>14</v>
      </c>
      <c r="E704">
        <v>202602</v>
      </c>
      <c r="F704" t="s">
        <v>269</v>
      </c>
      <c r="G704">
        <v>0</v>
      </c>
      <c r="H704">
        <v>0</v>
      </c>
      <c r="I704">
        <v>0</v>
      </c>
      <c r="J704">
        <v>0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1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0</v>
      </c>
      <c r="AG704">
        <v>0</v>
      </c>
      <c r="AH704">
        <v>0</v>
      </c>
      <c r="AI704">
        <v>0</v>
      </c>
      <c r="AJ704">
        <v>0</v>
      </c>
      <c r="AK704">
        <v>0</v>
      </c>
      <c r="AL704">
        <v>1</v>
      </c>
      <c r="AM704">
        <v>0.33333333333333331</v>
      </c>
      <c r="AN704">
        <v>5.0417410714286133</v>
      </c>
    </row>
    <row r="705" spans="1:40" x14ac:dyDescent="0.3">
      <c r="A705" t="s">
        <v>243</v>
      </c>
      <c r="B705" t="s">
        <v>81</v>
      </c>
      <c r="C705" t="s">
        <v>10</v>
      </c>
      <c r="D705" t="s">
        <v>14</v>
      </c>
      <c r="E705">
        <v>202602</v>
      </c>
      <c r="F705" t="s">
        <v>86</v>
      </c>
      <c r="G705">
        <v>0</v>
      </c>
      <c r="H705">
        <v>1</v>
      </c>
      <c r="I705">
        <v>2</v>
      </c>
      <c r="J705">
        <v>2</v>
      </c>
      <c r="K705">
        <v>2</v>
      </c>
      <c r="L705">
        <v>2</v>
      </c>
      <c r="M705">
        <v>1</v>
      </c>
      <c r="N705">
        <v>0</v>
      </c>
      <c r="O705">
        <v>3</v>
      </c>
      <c r="P705">
        <v>7</v>
      </c>
      <c r="Q705">
        <v>4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0</v>
      </c>
      <c r="AG705">
        <v>0</v>
      </c>
      <c r="AH705">
        <v>0</v>
      </c>
      <c r="AI705">
        <v>0</v>
      </c>
      <c r="AJ705">
        <v>0</v>
      </c>
      <c r="AK705">
        <v>0</v>
      </c>
      <c r="AL705">
        <v>24</v>
      </c>
      <c r="AM705">
        <v>4.666666666666667</v>
      </c>
      <c r="AN705">
        <v>80.584375000000591</v>
      </c>
    </row>
    <row r="706" spans="1:40" x14ac:dyDescent="0.3">
      <c r="A706" t="s">
        <v>243</v>
      </c>
      <c r="B706" t="s">
        <v>81</v>
      </c>
      <c r="C706" t="s">
        <v>10</v>
      </c>
      <c r="D706" t="s">
        <v>14</v>
      </c>
      <c r="E706">
        <v>202602</v>
      </c>
      <c r="F706" t="s">
        <v>276</v>
      </c>
      <c r="G706">
        <v>0</v>
      </c>
      <c r="H706">
        <v>0</v>
      </c>
      <c r="I706">
        <v>0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1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>
        <v>0</v>
      </c>
      <c r="AI706">
        <v>0</v>
      </c>
      <c r="AJ706">
        <v>0</v>
      </c>
      <c r="AK706">
        <v>0</v>
      </c>
      <c r="AL706">
        <v>1</v>
      </c>
      <c r="AM706">
        <v>0.33333333333333331</v>
      </c>
      <c r="AN706">
        <v>5.0417410714286133</v>
      </c>
    </row>
    <row r="707" spans="1:40" x14ac:dyDescent="0.3">
      <c r="A707" t="s">
        <v>243</v>
      </c>
      <c r="B707" t="s">
        <v>81</v>
      </c>
      <c r="C707" t="s">
        <v>10</v>
      </c>
      <c r="D707" t="s">
        <v>14</v>
      </c>
      <c r="E707">
        <v>202602</v>
      </c>
      <c r="F707" t="s">
        <v>271</v>
      </c>
      <c r="G707">
        <v>0</v>
      </c>
      <c r="H707">
        <v>1</v>
      </c>
      <c r="I707">
        <v>0</v>
      </c>
      <c r="J707">
        <v>0</v>
      </c>
      <c r="K707">
        <v>0</v>
      </c>
      <c r="L707">
        <v>1</v>
      </c>
      <c r="M707">
        <v>0</v>
      </c>
      <c r="N707">
        <v>0</v>
      </c>
      <c r="O707">
        <v>1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>
        <v>0</v>
      </c>
      <c r="AH707">
        <v>0</v>
      </c>
      <c r="AI707">
        <v>0</v>
      </c>
      <c r="AJ707">
        <v>0</v>
      </c>
      <c r="AK707">
        <v>0</v>
      </c>
      <c r="AL707">
        <v>3</v>
      </c>
      <c r="AM707">
        <v>0.33333333333333331</v>
      </c>
      <c r="AN707">
        <v>7.0417410714286133</v>
      </c>
    </row>
    <row r="708" spans="1:40" x14ac:dyDescent="0.3">
      <c r="A708" t="s">
        <v>243</v>
      </c>
      <c r="B708" t="s">
        <v>81</v>
      </c>
      <c r="C708" t="s">
        <v>10</v>
      </c>
      <c r="D708" t="s">
        <v>14</v>
      </c>
      <c r="E708">
        <v>202602</v>
      </c>
      <c r="F708" t="s">
        <v>272</v>
      </c>
      <c r="G708">
        <v>0</v>
      </c>
      <c r="H708">
        <v>0</v>
      </c>
      <c r="I708">
        <v>1</v>
      </c>
      <c r="J708">
        <v>0</v>
      </c>
      <c r="K708">
        <v>0</v>
      </c>
      <c r="L708">
        <v>1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>
        <v>0</v>
      </c>
      <c r="AH708">
        <v>0</v>
      </c>
      <c r="AI708">
        <v>0</v>
      </c>
      <c r="AJ708">
        <v>0</v>
      </c>
      <c r="AK708">
        <v>0</v>
      </c>
      <c r="AL708">
        <v>2</v>
      </c>
      <c r="AM708">
        <v>0</v>
      </c>
      <c r="AN708">
        <v>2</v>
      </c>
    </row>
    <row r="709" spans="1:40" x14ac:dyDescent="0.3">
      <c r="A709" t="s">
        <v>243</v>
      </c>
      <c r="B709" t="s">
        <v>81</v>
      </c>
      <c r="C709" t="s">
        <v>10</v>
      </c>
      <c r="D709" t="s">
        <v>14</v>
      </c>
      <c r="E709">
        <v>202602</v>
      </c>
      <c r="F709" t="s">
        <v>273</v>
      </c>
      <c r="G709">
        <v>0</v>
      </c>
      <c r="H709">
        <v>0</v>
      </c>
      <c r="I709">
        <v>0</v>
      </c>
      <c r="J709">
        <v>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1</v>
      </c>
      <c r="Q709">
        <v>1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>
        <v>0</v>
      </c>
      <c r="AH709">
        <v>0</v>
      </c>
      <c r="AI709">
        <v>0</v>
      </c>
      <c r="AJ709">
        <v>0</v>
      </c>
      <c r="AK709">
        <v>0</v>
      </c>
      <c r="AL709">
        <v>3</v>
      </c>
      <c r="AM709">
        <v>0.66666666666666663</v>
      </c>
      <c r="AN709">
        <v>11.083482142857227</v>
      </c>
    </row>
    <row r="710" spans="1:40" x14ac:dyDescent="0.3">
      <c r="A710" t="s">
        <v>243</v>
      </c>
      <c r="B710" t="s">
        <v>81</v>
      </c>
      <c r="C710" t="s">
        <v>10</v>
      </c>
      <c r="D710" t="s">
        <v>14</v>
      </c>
      <c r="E710">
        <v>202602</v>
      </c>
      <c r="F710" t="s">
        <v>274</v>
      </c>
      <c r="G710">
        <v>0</v>
      </c>
      <c r="H710">
        <v>0</v>
      </c>
      <c r="I710">
        <v>2</v>
      </c>
      <c r="J710">
        <v>1</v>
      </c>
      <c r="K710">
        <v>2</v>
      </c>
      <c r="L710">
        <v>1</v>
      </c>
      <c r="M710">
        <v>0</v>
      </c>
      <c r="N710">
        <v>0</v>
      </c>
      <c r="O710">
        <v>0</v>
      </c>
      <c r="P710">
        <v>0</v>
      </c>
      <c r="Q710">
        <v>1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>
        <v>0</v>
      </c>
      <c r="AH710">
        <v>0</v>
      </c>
      <c r="AI710">
        <v>0</v>
      </c>
      <c r="AJ710">
        <v>0</v>
      </c>
      <c r="AK710">
        <v>0</v>
      </c>
      <c r="AL710">
        <v>7</v>
      </c>
      <c r="AM710">
        <v>0.33333333333333331</v>
      </c>
      <c r="AN710">
        <v>11.041741071428614</v>
      </c>
    </row>
    <row r="711" spans="1:40" x14ac:dyDescent="0.3">
      <c r="A711" t="s">
        <v>243</v>
      </c>
      <c r="B711" t="s">
        <v>81</v>
      </c>
      <c r="C711" t="s">
        <v>10</v>
      </c>
      <c r="D711" t="s">
        <v>14</v>
      </c>
      <c r="E711">
        <v>202602</v>
      </c>
      <c r="F711" t="s">
        <v>277</v>
      </c>
      <c r="G711">
        <v>0</v>
      </c>
      <c r="H711">
        <v>0</v>
      </c>
      <c r="I711">
        <v>0</v>
      </c>
      <c r="J711">
        <v>0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1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0</v>
      </c>
      <c r="AE711">
        <v>0</v>
      </c>
      <c r="AF711">
        <v>0</v>
      </c>
      <c r="AG711">
        <v>0</v>
      </c>
      <c r="AH711">
        <v>0</v>
      </c>
      <c r="AI711">
        <v>0</v>
      </c>
      <c r="AJ711">
        <v>0</v>
      </c>
      <c r="AK711">
        <v>0</v>
      </c>
      <c r="AL711">
        <v>1</v>
      </c>
      <c r="AM711">
        <v>0.33333333333333331</v>
      </c>
      <c r="AN711">
        <v>5.0417410714286133</v>
      </c>
    </row>
    <row r="712" spans="1:40" x14ac:dyDescent="0.3">
      <c r="A712" t="s">
        <v>243</v>
      </c>
      <c r="B712" t="s">
        <v>81</v>
      </c>
      <c r="C712" t="s">
        <v>10</v>
      </c>
      <c r="D712" t="s">
        <v>14</v>
      </c>
      <c r="E712">
        <v>202602</v>
      </c>
      <c r="F712" t="s">
        <v>275</v>
      </c>
      <c r="G712">
        <v>0</v>
      </c>
      <c r="H712">
        <v>0</v>
      </c>
      <c r="I712">
        <v>0</v>
      </c>
      <c r="J712">
        <v>1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0</v>
      </c>
      <c r="AE712">
        <v>0</v>
      </c>
      <c r="AF712">
        <v>0</v>
      </c>
      <c r="AG712">
        <v>0</v>
      </c>
      <c r="AH712">
        <v>0</v>
      </c>
      <c r="AI712">
        <v>0</v>
      </c>
      <c r="AJ712">
        <v>0</v>
      </c>
      <c r="AK712">
        <v>0</v>
      </c>
      <c r="AL712">
        <v>1</v>
      </c>
      <c r="AM712">
        <v>0</v>
      </c>
      <c r="AN712">
        <v>1</v>
      </c>
    </row>
    <row r="713" spans="1:40" x14ac:dyDescent="0.3">
      <c r="A713" t="s">
        <v>243</v>
      </c>
      <c r="B713" t="s">
        <v>81</v>
      </c>
      <c r="C713" t="s">
        <v>16</v>
      </c>
      <c r="D713" t="s">
        <v>14</v>
      </c>
      <c r="E713">
        <v>202602</v>
      </c>
      <c r="F713" t="s">
        <v>273</v>
      </c>
      <c r="G713">
        <v>0</v>
      </c>
      <c r="H713">
        <v>1</v>
      </c>
      <c r="I713">
        <v>0</v>
      </c>
      <c r="J713">
        <v>0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0</v>
      </c>
      <c r="AD713">
        <v>0</v>
      </c>
      <c r="AE713">
        <v>0</v>
      </c>
      <c r="AF713">
        <v>0</v>
      </c>
      <c r="AG713">
        <v>0</v>
      </c>
      <c r="AH713">
        <v>0</v>
      </c>
      <c r="AI713">
        <v>0</v>
      </c>
      <c r="AJ713">
        <v>0</v>
      </c>
      <c r="AK713">
        <v>0</v>
      </c>
      <c r="AL713">
        <v>1</v>
      </c>
      <c r="AM713">
        <v>0</v>
      </c>
      <c r="AN713">
        <v>1</v>
      </c>
    </row>
    <row r="714" spans="1:40" x14ac:dyDescent="0.3">
      <c r="A714" t="s">
        <v>243</v>
      </c>
      <c r="B714" t="s">
        <v>100</v>
      </c>
      <c r="C714" t="s">
        <v>10</v>
      </c>
      <c r="D714" t="s">
        <v>11</v>
      </c>
      <c r="E714">
        <v>202602</v>
      </c>
      <c r="F714" t="s">
        <v>42</v>
      </c>
      <c r="G714">
        <v>0</v>
      </c>
      <c r="H714">
        <v>5</v>
      </c>
      <c r="I714">
        <v>9</v>
      </c>
      <c r="J714">
        <v>10</v>
      </c>
      <c r="K714">
        <v>4</v>
      </c>
      <c r="L714">
        <v>15</v>
      </c>
      <c r="M714">
        <v>8</v>
      </c>
      <c r="N714">
        <v>0</v>
      </c>
      <c r="O714">
        <v>14</v>
      </c>
      <c r="P714">
        <v>14</v>
      </c>
      <c r="Q714">
        <v>26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0</v>
      </c>
      <c r="AD714">
        <v>0</v>
      </c>
      <c r="AE714">
        <v>0</v>
      </c>
      <c r="AF714">
        <v>0</v>
      </c>
      <c r="AG714">
        <v>0</v>
      </c>
      <c r="AH714">
        <v>0</v>
      </c>
      <c r="AI714">
        <v>0</v>
      </c>
      <c r="AJ714">
        <v>0</v>
      </c>
      <c r="AK714">
        <v>0</v>
      </c>
      <c r="AL714">
        <v>105</v>
      </c>
      <c r="AM714">
        <v>18</v>
      </c>
      <c r="AN714">
        <v>353.64975755314799</v>
      </c>
    </row>
    <row r="715" spans="1:40" x14ac:dyDescent="0.3">
      <c r="A715" t="s">
        <v>243</v>
      </c>
      <c r="B715" t="s">
        <v>100</v>
      </c>
      <c r="C715" t="s">
        <v>10</v>
      </c>
      <c r="D715" t="s">
        <v>11</v>
      </c>
      <c r="E715">
        <v>202602</v>
      </c>
      <c r="F715" t="s">
        <v>102</v>
      </c>
      <c r="G715">
        <v>0</v>
      </c>
      <c r="H715">
        <v>1</v>
      </c>
      <c r="I715">
        <v>0</v>
      </c>
      <c r="J715">
        <v>0</v>
      </c>
      <c r="K715">
        <v>2</v>
      </c>
      <c r="L715">
        <v>1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0</v>
      </c>
      <c r="AD715">
        <v>0</v>
      </c>
      <c r="AE715">
        <v>0</v>
      </c>
      <c r="AF715">
        <v>0</v>
      </c>
      <c r="AG715">
        <v>0</v>
      </c>
      <c r="AH715">
        <v>0</v>
      </c>
      <c r="AI715">
        <v>0</v>
      </c>
      <c r="AJ715">
        <v>0</v>
      </c>
      <c r="AK715">
        <v>0</v>
      </c>
      <c r="AL715">
        <v>4</v>
      </c>
      <c r="AM715">
        <v>0</v>
      </c>
      <c r="AN715">
        <v>4</v>
      </c>
    </row>
    <row r="716" spans="1:40" x14ac:dyDescent="0.3">
      <c r="A716" t="s">
        <v>243</v>
      </c>
      <c r="B716" t="s">
        <v>100</v>
      </c>
      <c r="C716" t="s">
        <v>10</v>
      </c>
      <c r="D716" t="s">
        <v>14</v>
      </c>
      <c r="E716">
        <v>202602</v>
      </c>
      <c r="F716" t="s">
        <v>42</v>
      </c>
      <c r="G716">
        <v>0</v>
      </c>
      <c r="H716">
        <v>14</v>
      </c>
      <c r="I716">
        <v>13</v>
      </c>
      <c r="J716">
        <v>13</v>
      </c>
      <c r="K716">
        <v>20</v>
      </c>
      <c r="L716">
        <v>10</v>
      </c>
      <c r="M716">
        <v>11</v>
      </c>
      <c r="N716">
        <v>0</v>
      </c>
      <c r="O716">
        <v>23</v>
      </c>
      <c r="P716">
        <v>32</v>
      </c>
      <c r="Q716">
        <v>16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>
        <v>0</v>
      </c>
      <c r="AH716">
        <v>0</v>
      </c>
      <c r="AI716">
        <v>0</v>
      </c>
      <c r="AJ716">
        <v>0</v>
      </c>
      <c r="AK716">
        <v>0</v>
      </c>
      <c r="AL716">
        <v>152</v>
      </c>
      <c r="AM716">
        <v>23.666666666666668</v>
      </c>
      <c r="AN716">
        <v>438.96361607143149</v>
      </c>
    </row>
    <row r="717" spans="1:40" x14ac:dyDescent="0.3">
      <c r="A717" t="s">
        <v>243</v>
      </c>
      <c r="B717" t="s">
        <v>100</v>
      </c>
      <c r="C717" t="s">
        <v>10</v>
      </c>
      <c r="D717" t="s">
        <v>14</v>
      </c>
      <c r="E717">
        <v>202602</v>
      </c>
      <c r="F717" t="s">
        <v>102</v>
      </c>
      <c r="G717">
        <v>0</v>
      </c>
      <c r="H717">
        <v>0</v>
      </c>
      <c r="I717">
        <v>2</v>
      </c>
      <c r="J717">
        <v>0</v>
      </c>
      <c r="K717">
        <v>0</v>
      </c>
      <c r="L717">
        <v>1</v>
      </c>
      <c r="M717">
        <v>0</v>
      </c>
      <c r="N717">
        <v>0</v>
      </c>
      <c r="O717">
        <v>0</v>
      </c>
      <c r="P717">
        <v>0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>
        <v>0</v>
      </c>
      <c r="AH717">
        <v>0</v>
      </c>
      <c r="AI717">
        <v>0</v>
      </c>
      <c r="AJ717">
        <v>0</v>
      </c>
      <c r="AK717">
        <v>0</v>
      </c>
      <c r="AL717">
        <v>3</v>
      </c>
      <c r="AM717">
        <v>0</v>
      </c>
      <c r="AN717">
        <v>3</v>
      </c>
    </row>
    <row r="718" spans="1:40" x14ac:dyDescent="0.3">
      <c r="A718" t="s">
        <v>243</v>
      </c>
      <c r="B718" t="s">
        <v>100</v>
      </c>
      <c r="C718" t="s">
        <v>16</v>
      </c>
      <c r="D718" t="s">
        <v>11</v>
      </c>
      <c r="E718">
        <v>202602</v>
      </c>
      <c r="F718" t="s">
        <v>42</v>
      </c>
      <c r="G718">
        <v>0</v>
      </c>
      <c r="H718">
        <v>0</v>
      </c>
      <c r="I718">
        <v>5</v>
      </c>
      <c r="J718">
        <v>5</v>
      </c>
      <c r="K718">
        <v>3</v>
      </c>
      <c r="L718">
        <v>2</v>
      </c>
      <c r="M718">
        <v>2</v>
      </c>
      <c r="N718">
        <v>0</v>
      </c>
      <c r="O718">
        <v>5</v>
      </c>
      <c r="P718">
        <v>12</v>
      </c>
      <c r="Q718">
        <v>4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>
        <v>0</v>
      </c>
      <c r="AH718">
        <v>0</v>
      </c>
      <c r="AI718">
        <v>0</v>
      </c>
      <c r="AJ718">
        <v>0</v>
      </c>
      <c r="AK718">
        <v>0</v>
      </c>
      <c r="AL718">
        <v>38</v>
      </c>
      <c r="AM718">
        <v>7</v>
      </c>
      <c r="AN718">
        <v>134.69712793733532</v>
      </c>
    </row>
    <row r="719" spans="1:40" x14ac:dyDescent="0.3">
      <c r="A719" t="s">
        <v>243</v>
      </c>
      <c r="B719" t="s">
        <v>100</v>
      </c>
      <c r="C719" t="s">
        <v>16</v>
      </c>
      <c r="D719" t="s">
        <v>14</v>
      </c>
      <c r="E719">
        <v>202602</v>
      </c>
      <c r="F719" t="s">
        <v>42</v>
      </c>
      <c r="G719">
        <v>0</v>
      </c>
      <c r="H719">
        <v>9</v>
      </c>
      <c r="I719">
        <v>4</v>
      </c>
      <c r="J719">
        <v>7</v>
      </c>
      <c r="K719">
        <v>6</v>
      </c>
      <c r="L719">
        <v>4</v>
      </c>
      <c r="M719">
        <v>5</v>
      </c>
      <c r="N719">
        <v>0</v>
      </c>
      <c r="O719">
        <v>7</v>
      </c>
      <c r="P719">
        <v>4</v>
      </c>
      <c r="Q719">
        <v>7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>
        <v>0</v>
      </c>
      <c r="AI719">
        <v>0</v>
      </c>
      <c r="AJ719">
        <v>0</v>
      </c>
      <c r="AK719">
        <v>0</v>
      </c>
      <c r="AL719">
        <v>53</v>
      </c>
      <c r="AM719">
        <v>6</v>
      </c>
      <c r="AN719">
        <v>125.75133928571503</v>
      </c>
    </row>
    <row r="720" spans="1:40" x14ac:dyDescent="0.3">
      <c r="A720" t="s">
        <v>243</v>
      </c>
      <c r="B720" t="s">
        <v>644</v>
      </c>
      <c r="C720" t="s">
        <v>10</v>
      </c>
      <c r="D720" t="s">
        <v>11</v>
      </c>
      <c r="E720">
        <v>202602</v>
      </c>
      <c r="F720" t="s">
        <v>110</v>
      </c>
      <c r="G720">
        <v>0</v>
      </c>
      <c r="H720">
        <v>0</v>
      </c>
      <c r="I720">
        <v>0</v>
      </c>
      <c r="J720">
        <v>0</v>
      </c>
      <c r="K720">
        <v>0</v>
      </c>
      <c r="L720">
        <v>0</v>
      </c>
      <c r="M720">
        <v>0</v>
      </c>
      <c r="N720">
        <v>0</v>
      </c>
      <c r="O720">
        <v>1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>
        <v>0</v>
      </c>
      <c r="AH720">
        <v>0</v>
      </c>
      <c r="AI720">
        <v>0</v>
      </c>
      <c r="AJ720">
        <v>0</v>
      </c>
      <c r="AK720">
        <v>0</v>
      </c>
      <c r="AL720">
        <v>1</v>
      </c>
      <c r="AM720">
        <v>0.33333333333333331</v>
      </c>
      <c r="AN720">
        <v>5.6046251398731117</v>
      </c>
    </row>
    <row r="721" spans="1:40" x14ac:dyDescent="0.3">
      <c r="A721" t="s">
        <v>243</v>
      </c>
      <c r="B721" t="s">
        <v>644</v>
      </c>
      <c r="C721" t="s">
        <v>10</v>
      </c>
      <c r="D721" t="s">
        <v>11</v>
      </c>
      <c r="E721">
        <v>202602</v>
      </c>
      <c r="F721" t="s">
        <v>61</v>
      </c>
      <c r="G721">
        <v>0</v>
      </c>
      <c r="H721">
        <v>0</v>
      </c>
      <c r="I721">
        <v>0</v>
      </c>
      <c r="J721">
        <v>1</v>
      </c>
      <c r="K721">
        <v>1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2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0</v>
      </c>
      <c r="AD721">
        <v>0</v>
      </c>
      <c r="AE721">
        <v>0</v>
      </c>
      <c r="AF721">
        <v>0</v>
      </c>
      <c r="AG721">
        <v>0</v>
      </c>
      <c r="AH721">
        <v>0</v>
      </c>
      <c r="AI721">
        <v>0</v>
      </c>
      <c r="AJ721">
        <v>0</v>
      </c>
      <c r="AK721">
        <v>0</v>
      </c>
      <c r="AL721">
        <v>4</v>
      </c>
      <c r="AM721">
        <v>0.66666666666666663</v>
      </c>
      <c r="AN721">
        <v>13.209250279746223</v>
      </c>
    </row>
    <row r="722" spans="1:40" x14ac:dyDescent="0.3">
      <c r="A722" t="s">
        <v>243</v>
      </c>
      <c r="B722" t="s">
        <v>644</v>
      </c>
      <c r="C722" t="s">
        <v>10</v>
      </c>
      <c r="D722" t="s">
        <v>11</v>
      </c>
      <c r="E722">
        <v>202602</v>
      </c>
      <c r="F722" t="s">
        <v>112</v>
      </c>
      <c r="G722">
        <v>0</v>
      </c>
      <c r="H722">
        <v>0</v>
      </c>
      <c r="I722">
        <v>1</v>
      </c>
      <c r="J722">
        <v>0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2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0</v>
      </c>
      <c r="AG722">
        <v>0</v>
      </c>
      <c r="AH722">
        <v>0</v>
      </c>
      <c r="AI722">
        <v>0</v>
      </c>
      <c r="AJ722">
        <v>0</v>
      </c>
      <c r="AK722">
        <v>0</v>
      </c>
      <c r="AL722">
        <v>3</v>
      </c>
      <c r="AM722">
        <v>0.66666666666666663</v>
      </c>
      <c r="AN722">
        <v>12.209250279746223</v>
      </c>
    </row>
    <row r="723" spans="1:40" x14ac:dyDescent="0.3">
      <c r="A723" t="s">
        <v>243</v>
      </c>
      <c r="B723" t="s">
        <v>644</v>
      </c>
      <c r="C723" t="s">
        <v>10</v>
      </c>
      <c r="D723" t="s">
        <v>11</v>
      </c>
      <c r="E723">
        <v>202602</v>
      </c>
      <c r="F723" t="s">
        <v>278</v>
      </c>
      <c r="G723">
        <v>0</v>
      </c>
      <c r="H723">
        <v>0</v>
      </c>
      <c r="I723">
        <v>0</v>
      </c>
      <c r="J723">
        <v>0</v>
      </c>
      <c r="K723">
        <v>0</v>
      </c>
      <c r="L723">
        <v>1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0</v>
      </c>
      <c r="AD723">
        <v>0</v>
      </c>
      <c r="AE723">
        <v>0</v>
      </c>
      <c r="AF723">
        <v>0</v>
      </c>
      <c r="AG723">
        <v>0</v>
      </c>
      <c r="AH723">
        <v>0</v>
      </c>
      <c r="AI723">
        <v>0</v>
      </c>
      <c r="AJ723">
        <v>0</v>
      </c>
      <c r="AK723">
        <v>0</v>
      </c>
      <c r="AL723">
        <v>1</v>
      </c>
      <c r="AM723">
        <v>0</v>
      </c>
      <c r="AN723">
        <v>1</v>
      </c>
    </row>
    <row r="724" spans="1:40" x14ac:dyDescent="0.3">
      <c r="A724" t="s">
        <v>243</v>
      </c>
      <c r="B724" t="s">
        <v>644</v>
      </c>
      <c r="C724" t="s">
        <v>10</v>
      </c>
      <c r="D724" t="s">
        <v>11</v>
      </c>
      <c r="E724">
        <v>202602</v>
      </c>
      <c r="F724" t="s">
        <v>279</v>
      </c>
      <c r="G724">
        <v>0</v>
      </c>
      <c r="H724">
        <v>0</v>
      </c>
      <c r="I724">
        <v>0</v>
      </c>
      <c r="J724">
        <v>0</v>
      </c>
      <c r="K724">
        <v>0</v>
      </c>
      <c r="L724">
        <v>0</v>
      </c>
      <c r="M724">
        <v>0</v>
      </c>
      <c r="N724">
        <v>0</v>
      </c>
      <c r="O724">
        <v>1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0</v>
      </c>
      <c r="AD724">
        <v>0</v>
      </c>
      <c r="AE724">
        <v>0</v>
      </c>
      <c r="AF724">
        <v>0</v>
      </c>
      <c r="AG724">
        <v>0</v>
      </c>
      <c r="AH724">
        <v>0</v>
      </c>
      <c r="AI724">
        <v>0</v>
      </c>
      <c r="AJ724">
        <v>0</v>
      </c>
      <c r="AK724">
        <v>0</v>
      </c>
      <c r="AL724">
        <v>1</v>
      </c>
      <c r="AM724">
        <v>0.33333333333333331</v>
      </c>
      <c r="AN724">
        <v>5.6046251398731117</v>
      </c>
    </row>
    <row r="725" spans="1:40" x14ac:dyDescent="0.3">
      <c r="A725" t="s">
        <v>243</v>
      </c>
      <c r="B725" t="s">
        <v>644</v>
      </c>
      <c r="C725" t="s">
        <v>10</v>
      </c>
      <c r="D725" t="s">
        <v>11</v>
      </c>
      <c r="E725">
        <v>202602</v>
      </c>
      <c r="F725" t="s">
        <v>114</v>
      </c>
      <c r="G725">
        <v>0</v>
      </c>
      <c r="H725">
        <v>0</v>
      </c>
      <c r="I725">
        <v>3</v>
      </c>
      <c r="J725">
        <v>1</v>
      </c>
      <c r="K725">
        <v>1</v>
      </c>
      <c r="L725">
        <v>3</v>
      </c>
      <c r="M725">
        <v>2</v>
      </c>
      <c r="N725">
        <v>0</v>
      </c>
      <c r="O725">
        <v>1</v>
      </c>
      <c r="P725">
        <v>0</v>
      </c>
      <c r="Q725">
        <v>1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0</v>
      </c>
      <c r="AC725">
        <v>0</v>
      </c>
      <c r="AD725">
        <v>0</v>
      </c>
      <c r="AE725">
        <v>0</v>
      </c>
      <c r="AF725">
        <v>0</v>
      </c>
      <c r="AG725">
        <v>0</v>
      </c>
      <c r="AH725">
        <v>0</v>
      </c>
      <c r="AI725">
        <v>0</v>
      </c>
      <c r="AJ725">
        <v>0</v>
      </c>
      <c r="AK725">
        <v>0</v>
      </c>
      <c r="AL725">
        <v>12</v>
      </c>
      <c r="AM725">
        <v>0.66666666666666663</v>
      </c>
      <c r="AN725">
        <v>21.209250279746222</v>
      </c>
    </row>
    <row r="726" spans="1:40" x14ac:dyDescent="0.3">
      <c r="A726" t="s">
        <v>243</v>
      </c>
      <c r="B726" t="s">
        <v>644</v>
      </c>
      <c r="C726" t="s">
        <v>10</v>
      </c>
      <c r="D726" t="s">
        <v>11</v>
      </c>
      <c r="E726">
        <v>202602</v>
      </c>
      <c r="F726" t="s">
        <v>130</v>
      </c>
      <c r="G726">
        <v>0</v>
      </c>
      <c r="H726">
        <v>1</v>
      </c>
      <c r="I726">
        <v>0</v>
      </c>
      <c r="J726">
        <v>1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>
        <v>0</v>
      </c>
      <c r="AD726">
        <v>0</v>
      </c>
      <c r="AE726">
        <v>0</v>
      </c>
      <c r="AF726">
        <v>0</v>
      </c>
      <c r="AG726">
        <v>0</v>
      </c>
      <c r="AH726">
        <v>0</v>
      </c>
      <c r="AI726">
        <v>0</v>
      </c>
      <c r="AJ726">
        <v>0</v>
      </c>
      <c r="AK726">
        <v>0</v>
      </c>
      <c r="AL726">
        <v>2</v>
      </c>
      <c r="AM726">
        <v>0</v>
      </c>
      <c r="AN726">
        <v>2</v>
      </c>
    </row>
    <row r="727" spans="1:40" x14ac:dyDescent="0.3">
      <c r="A727" t="s">
        <v>243</v>
      </c>
      <c r="B727" t="s">
        <v>644</v>
      </c>
      <c r="C727" t="s">
        <v>10</v>
      </c>
      <c r="D727" t="s">
        <v>11</v>
      </c>
      <c r="E727">
        <v>202602</v>
      </c>
      <c r="F727" t="s">
        <v>117</v>
      </c>
      <c r="G727">
        <v>0</v>
      </c>
      <c r="H727">
        <v>0</v>
      </c>
      <c r="I727">
        <v>0</v>
      </c>
      <c r="J727">
        <v>0</v>
      </c>
      <c r="K727">
        <v>1</v>
      </c>
      <c r="L727">
        <v>1</v>
      </c>
      <c r="M727">
        <v>0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0</v>
      </c>
      <c r="AC727">
        <v>0</v>
      </c>
      <c r="AD727">
        <v>0</v>
      </c>
      <c r="AE727">
        <v>0</v>
      </c>
      <c r="AF727">
        <v>0</v>
      </c>
      <c r="AG727">
        <v>0</v>
      </c>
      <c r="AH727">
        <v>0</v>
      </c>
      <c r="AI727">
        <v>0</v>
      </c>
      <c r="AJ727">
        <v>0</v>
      </c>
      <c r="AK727">
        <v>0</v>
      </c>
      <c r="AL727">
        <v>2</v>
      </c>
      <c r="AM727">
        <v>0</v>
      </c>
      <c r="AN727">
        <v>2</v>
      </c>
    </row>
    <row r="728" spans="1:40" x14ac:dyDescent="0.3">
      <c r="A728" t="s">
        <v>243</v>
      </c>
      <c r="B728" t="s">
        <v>644</v>
      </c>
      <c r="C728" t="s">
        <v>10</v>
      </c>
      <c r="D728" t="s">
        <v>11</v>
      </c>
      <c r="E728">
        <v>202602</v>
      </c>
      <c r="F728" t="s">
        <v>118</v>
      </c>
      <c r="G728">
        <v>0</v>
      </c>
      <c r="H728">
        <v>0</v>
      </c>
      <c r="I728">
        <v>0</v>
      </c>
      <c r="J728">
        <v>0</v>
      </c>
      <c r="K728">
        <v>1</v>
      </c>
      <c r="L728">
        <v>1</v>
      </c>
      <c r="M728">
        <v>0</v>
      </c>
      <c r="N728">
        <v>0</v>
      </c>
      <c r="O728">
        <v>2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>
        <v>0</v>
      </c>
      <c r="AD728">
        <v>0</v>
      </c>
      <c r="AE728">
        <v>0</v>
      </c>
      <c r="AF728">
        <v>0</v>
      </c>
      <c r="AG728">
        <v>0</v>
      </c>
      <c r="AH728">
        <v>0</v>
      </c>
      <c r="AI728">
        <v>0</v>
      </c>
      <c r="AJ728">
        <v>0</v>
      </c>
      <c r="AK728">
        <v>0</v>
      </c>
      <c r="AL728">
        <v>4</v>
      </c>
      <c r="AM728">
        <v>0.66666666666666663</v>
      </c>
      <c r="AN728">
        <v>13.209250279746223</v>
      </c>
    </row>
    <row r="729" spans="1:40" x14ac:dyDescent="0.3">
      <c r="A729" t="s">
        <v>243</v>
      </c>
      <c r="B729" t="s">
        <v>644</v>
      </c>
      <c r="C729" t="s">
        <v>10</v>
      </c>
      <c r="D729" t="s">
        <v>11</v>
      </c>
      <c r="E729">
        <v>202602</v>
      </c>
      <c r="F729" t="s">
        <v>119</v>
      </c>
      <c r="G729">
        <v>0</v>
      </c>
      <c r="H729">
        <v>0</v>
      </c>
      <c r="I729">
        <v>0</v>
      </c>
      <c r="J729">
        <v>0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1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>
        <v>0</v>
      </c>
      <c r="AD729">
        <v>0</v>
      </c>
      <c r="AE729">
        <v>0</v>
      </c>
      <c r="AF729">
        <v>0</v>
      </c>
      <c r="AG729">
        <v>0</v>
      </c>
      <c r="AH729">
        <v>0</v>
      </c>
      <c r="AI729">
        <v>0</v>
      </c>
      <c r="AJ729">
        <v>0</v>
      </c>
      <c r="AK729">
        <v>0</v>
      </c>
      <c r="AL729">
        <v>1</v>
      </c>
      <c r="AM729">
        <v>0.33333333333333331</v>
      </c>
      <c r="AN729">
        <v>5.6046251398731117</v>
      </c>
    </row>
    <row r="730" spans="1:40" x14ac:dyDescent="0.3">
      <c r="A730" t="s">
        <v>243</v>
      </c>
      <c r="B730" t="s">
        <v>644</v>
      </c>
      <c r="C730" t="s">
        <v>10</v>
      </c>
      <c r="D730" t="s">
        <v>11</v>
      </c>
      <c r="E730">
        <v>202602</v>
      </c>
      <c r="F730" t="s">
        <v>121</v>
      </c>
      <c r="G730">
        <v>0</v>
      </c>
      <c r="H730">
        <v>5</v>
      </c>
      <c r="I730">
        <v>1</v>
      </c>
      <c r="J730">
        <v>0</v>
      </c>
      <c r="K730">
        <v>1</v>
      </c>
      <c r="L730">
        <v>5</v>
      </c>
      <c r="M730">
        <v>1</v>
      </c>
      <c r="N730">
        <v>0</v>
      </c>
      <c r="O730">
        <v>3</v>
      </c>
      <c r="P730">
        <v>1</v>
      </c>
      <c r="Q730">
        <v>3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  <c r="AC730">
        <v>0</v>
      </c>
      <c r="AD730">
        <v>0</v>
      </c>
      <c r="AE730">
        <v>0</v>
      </c>
      <c r="AF730">
        <v>0</v>
      </c>
      <c r="AG730">
        <v>0</v>
      </c>
      <c r="AH730">
        <v>0</v>
      </c>
      <c r="AI730">
        <v>0</v>
      </c>
      <c r="AJ730">
        <v>0</v>
      </c>
      <c r="AK730">
        <v>0</v>
      </c>
      <c r="AL730">
        <v>20</v>
      </c>
      <c r="AM730">
        <v>2.3333333333333335</v>
      </c>
      <c r="AN730">
        <v>52.232375979111779</v>
      </c>
    </row>
    <row r="731" spans="1:40" x14ac:dyDescent="0.3">
      <c r="A731" t="s">
        <v>243</v>
      </c>
      <c r="B731" t="s">
        <v>644</v>
      </c>
      <c r="C731" t="s">
        <v>10</v>
      </c>
      <c r="D731" t="s">
        <v>11</v>
      </c>
      <c r="E731">
        <v>202602</v>
      </c>
      <c r="F731" t="s">
        <v>124</v>
      </c>
      <c r="G731">
        <v>0</v>
      </c>
      <c r="H731">
        <v>0</v>
      </c>
      <c r="I731">
        <v>1</v>
      </c>
      <c r="J731">
        <v>0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0</v>
      </c>
      <c r="AD731">
        <v>0</v>
      </c>
      <c r="AE731">
        <v>0</v>
      </c>
      <c r="AF731">
        <v>0</v>
      </c>
      <c r="AG731">
        <v>0</v>
      </c>
      <c r="AH731">
        <v>0</v>
      </c>
      <c r="AI731">
        <v>0</v>
      </c>
      <c r="AJ731">
        <v>0</v>
      </c>
      <c r="AK731">
        <v>0</v>
      </c>
      <c r="AL731">
        <v>1</v>
      </c>
      <c r="AM731">
        <v>0</v>
      </c>
      <c r="AN731">
        <v>1</v>
      </c>
    </row>
    <row r="732" spans="1:40" x14ac:dyDescent="0.3">
      <c r="A732" t="s">
        <v>243</v>
      </c>
      <c r="B732" t="s">
        <v>644</v>
      </c>
      <c r="C732" t="s">
        <v>10</v>
      </c>
      <c r="D732" t="s">
        <v>11</v>
      </c>
      <c r="E732">
        <v>202602</v>
      </c>
      <c r="F732" t="s">
        <v>280</v>
      </c>
      <c r="G732">
        <v>0</v>
      </c>
      <c r="H732">
        <v>0</v>
      </c>
      <c r="I732">
        <v>1</v>
      </c>
      <c r="J732">
        <v>0</v>
      </c>
      <c r="K732">
        <v>0</v>
      </c>
      <c r="L732">
        <v>0</v>
      </c>
      <c r="M732">
        <v>0</v>
      </c>
      <c r="N732">
        <v>0</v>
      </c>
      <c r="O732">
        <v>1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>
        <v>0</v>
      </c>
      <c r="AI732">
        <v>0</v>
      </c>
      <c r="AJ732">
        <v>0</v>
      </c>
      <c r="AK732">
        <v>0</v>
      </c>
      <c r="AL732">
        <v>2</v>
      </c>
      <c r="AM732">
        <v>0.33333333333333331</v>
      </c>
      <c r="AN732">
        <v>6.6046251398731117</v>
      </c>
    </row>
    <row r="733" spans="1:40" x14ac:dyDescent="0.3">
      <c r="A733" t="s">
        <v>243</v>
      </c>
      <c r="B733" t="s">
        <v>644</v>
      </c>
      <c r="C733" t="s">
        <v>10</v>
      </c>
      <c r="D733" t="s">
        <v>11</v>
      </c>
      <c r="E733">
        <v>202602</v>
      </c>
      <c r="F733" t="s">
        <v>281</v>
      </c>
      <c r="G733">
        <v>0</v>
      </c>
      <c r="H733">
        <v>0</v>
      </c>
      <c r="I733">
        <v>0</v>
      </c>
      <c r="J733">
        <v>0</v>
      </c>
      <c r="K733">
        <v>0</v>
      </c>
      <c r="L733">
        <v>1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>
        <v>0</v>
      </c>
      <c r="AH733">
        <v>0</v>
      </c>
      <c r="AI733">
        <v>0</v>
      </c>
      <c r="AJ733">
        <v>0</v>
      </c>
      <c r="AK733">
        <v>0</v>
      </c>
      <c r="AL733">
        <v>1</v>
      </c>
      <c r="AM733">
        <v>0</v>
      </c>
      <c r="AN733">
        <v>1</v>
      </c>
    </row>
    <row r="734" spans="1:40" x14ac:dyDescent="0.3">
      <c r="A734" t="s">
        <v>243</v>
      </c>
      <c r="B734" t="s">
        <v>644</v>
      </c>
      <c r="C734" t="s">
        <v>10</v>
      </c>
      <c r="D734" t="s">
        <v>11</v>
      </c>
      <c r="E734">
        <v>202602</v>
      </c>
      <c r="F734" t="s">
        <v>127</v>
      </c>
      <c r="G734">
        <v>0</v>
      </c>
      <c r="H734">
        <v>0</v>
      </c>
      <c r="I734">
        <v>0</v>
      </c>
      <c r="J734">
        <v>0</v>
      </c>
      <c r="K734">
        <v>1</v>
      </c>
      <c r="L734">
        <v>1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>
        <v>0</v>
      </c>
      <c r="AI734">
        <v>0</v>
      </c>
      <c r="AJ734">
        <v>0</v>
      </c>
      <c r="AK734">
        <v>0</v>
      </c>
      <c r="AL734">
        <v>2</v>
      </c>
      <c r="AM734">
        <v>0</v>
      </c>
      <c r="AN734">
        <v>2</v>
      </c>
    </row>
    <row r="735" spans="1:40" x14ac:dyDescent="0.3">
      <c r="A735" t="s">
        <v>243</v>
      </c>
      <c r="B735" t="s">
        <v>644</v>
      </c>
      <c r="C735" t="s">
        <v>10</v>
      </c>
      <c r="D735" t="s">
        <v>14</v>
      </c>
      <c r="E735">
        <v>202602</v>
      </c>
      <c r="F735" t="s">
        <v>110</v>
      </c>
      <c r="G735">
        <v>0</v>
      </c>
      <c r="H735">
        <v>0</v>
      </c>
      <c r="I735">
        <v>0</v>
      </c>
      <c r="J735">
        <v>0</v>
      </c>
      <c r="K735">
        <v>0</v>
      </c>
      <c r="L735">
        <v>1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>
        <v>0</v>
      </c>
      <c r="AI735">
        <v>0</v>
      </c>
      <c r="AJ735">
        <v>0</v>
      </c>
      <c r="AK735">
        <v>0</v>
      </c>
      <c r="AL735">
        <v>1</v>
      </c>
      <c r="AM735">
        <v>0</v>
      </c>
      <c r="AN735">
        <v>1</v>
      </c>
    </row>
    <row r="736" spans="1:40" x14ac:dyDescent="0.3">
      <c r="A736" t="s">
        <v>243</v>
      </c>
      <c r="B736" t="s">
        <v>644</v>
      </c>
      <c r="C736" t="s">
        <v>10</v>
      </c>
      <c r="D736" t="s">
        <v>14</v>
      </c>
      <c r="E736">
        <v>202602</v>
      </c>
      <c r="F736" t="s">
        <v>111</v>
      </c>
      <c r="G736">
        <v>0</v>
      </c>
      <c r="H736">
        <v>0</v>
      </c>
      <c r="I736">
        <v>0</v>
      </c>
      <c r="J736">
        <v>0</v>
      </c>
      <c r="K736">
        <v>0</v>
      </c>
      <c r="L736">
        <v>0</v>
      </c>
      <c r="M736">
        <v>0</v>
      </c>
      <c r="N736">
        <v>0</v>
      </c>
      <c r="O736">
        <v>1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>
        <v>0</v>
      </c>
      <c r="AI736">
        <v>0</v>
      </c>
      <c r="AJ736">
        <v>0</v>
      </c>
      <c r="AK736">
        <v>0</v>
      </c>
      <c r="AL736">
        <v>1</v>
      </c>
      <c r="AM736">
        <v>0.33333333333333331</v>
      </c>
      <c r="AN736">
        <v>5.0417410714286133</v>
      </c>
    </row>
    <row r="737" spans="1:40" x14ac:dyDescent="0.3">
      <c r="A737" t="s">
        <v>243</v>
      </c>
      <c r="B737" t="s">
        <v>644</v>
      </c>
      <c r="C737" t="s">
        <v>10</v>
      </c>
      <c r="D737" t="s">
        <v>14</v>
      </c>
      <c r="E737">
        <v>202602</v>
      </c>
      <c r="F737" t="s">
        <v>61</v>
      </c>
      <c r="G737">
        <v>0</v>
      </c>
      <c r="H737">
        <v>1</v>
      </c>
      <c r="I737">
        <v>1</v>
      </c>
      <c r="J737">
        <v>0</v>
      </c>
      <c r="K737">
        <v>0</v>
      </c>
      <c r="L737">
        <v>0</v>
      </c>
      <c r="M737">
        <v>0</v>
      </c>
      <c r="N737">
        <v>0</v>
      </c>
      <c r="O737">
        <v>2</v>
      </c>
      <c r="P737">
        <v>0</v>
      </c>
      <c r="Q737">
        <v>1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>
        <v>0</v>
      </c>
      <c r="AI737">
        <v>0</v>
      </c>
      <c r="AJ737">
        <v>0</v>
      </c>
      <c r="AK737">
        <v>0</v>
      </c>
      <c r="AL737">
        <v>5</v>
      </c>
      <c r="AM737">
        <v>1</v>
      </c>
      <c r="AN737">
        <v>17.125223214285839</v>
      </c>
    </row>
    <row r="738" spans="1:40" x14ac:dyDescent="0.3">
      <c r="A738" t="s">
        <v>243</v>
      </c>
      <c r="B738" t="s">
        <v>644</v>
      </c>
      <c r="C738" t="s">
        <v>10</v>
      </c>
      <c r="D738" t="s">
        <v>14</v>
      </c>
      <c r="E738">
        <v>202602</v>
      </c>
      <c r="F738" t="s">
        <v>112</v>
      </c>
      <c r="G738">
        <v>0</v>
      </c>
      <c r="H738">
        <v>1</v>
      </c>
      <c r="I738">
        <v>0</v>
      </c>
      <c r="J738">
        <v>0</v>
      </c>
      <c r="K738">
        <v>2</v>
      </c>
      <c r="L738">
        <v>1</v>
      </c>
      <c r="M738">
        <v>0</v>
      </c>
      <c r="N738">
        <v>0</v>
      </c>
      <c r="O738">
        <v>1</v>
      </c>
      <c r="P738">
        <v>0</v>
      </c>
      <c r="Q738">
        <v>2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>
        <v>0</v>
      </c>
      <c r="AI738">
        <v>0</v>
      </c>
      <c r="AJ738">
        <v>0</v>
      </c>
      <c r="AK738">
        <v>0</v>
      </c>
      <c r="AL738">
        <v>7</v>
      </c>
      <c r="AM738">
        <v>1</v>
      </c>
      <c r="AN738">
        <v>19.125223214285839</v>
      </c>
    </row>
    <row r="739" spans="1:40" x14ac:dyDescent="0.3">
      <c r="A739" t="s">
        <v>243</v>
      </c>
      <c r="B739" t="s">
        <v>644</v>
      </c>
      <c r="C739" t="s">
        <v>10</v>
      </c>
      <c r="D739" t="s">
        <v>14</v>
      </c>
      <c r="E739">
        <v>202602</v>
      </c>
      <c r="F739" t="s">
        <v>278</v>
      </c>
      <c r="G739">
        <v>0</v>
      </c>
      <c r="H739">
        <v>1</v>
      </c>
      <c r="I739">
        <v>0</v>
      </c>
      <c r="J739">
        <v>0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0</v>
      </c>
      <c r="AE739">
        <v>0</v>
      </c>
      <c r="AF739">
        <v>0</v>
      </c>
      <c r="AG739">
        <v>0</v>
      </c>
      <c r="AH739">
        <v>0</v>
      </c>
      <c r="AI739">
        <v>0</v>
      </c>
      <c r="AJ739">
        <v>0</v>
      </c>
      <c r="AK739">
        <v>0</v>
      </c>
      <c r="AL739">
        <v>1</v>
      </c>
      <c r="AM739">
        <v>0</v>
      </c>
      <c r="AN739">
        <v>1</v>
      </c>
    </row>
    <row r="740" spans="1:40" x14ac:dyDescent="0.3">
      <c r="A740" t="s">
        <v>243</v>
      </c>
      <c r="B740" t="s">
        <v>644</v>
      </c>
      <c r="C740" t="s">
        <v>10</v>
      </c>
      <c r="D740" t="s">
        <v>14</v>
      </c>
      <c r="E740">
        <v>202602</v>
      </c>
      <c r="F740" t="s">
        <v>279</v>
      </c>
      <c r="G740">
        <v>0</v>
      </c>
      <c r="H740">
        <v>0</v>
      </c>
      <c r="I740">
        <v>0</v>
      </c>
      <c r="J740">
        <v>0</v>
      </c>
      <c r="K740">
        <v>0</v>
      </c>
      <c r="L740">
        <v>1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</v>
      </c>
      <c r="AD740">
        <v>0</v>
      </c>
      <c r="AE740">
        <v>0</v>
      </c>
      <c r="AF740">
        <v>0</v>
      </c>
      <c r="AG740">
        <v>0</v>
      </c>
      <c r="AH740">
        <v>0</v>
      </c>
      <c r="AI740">
        <v>0</v>
      </c>
      <c r="AJ740">
        <v>0</v>
      </c>
      <c r="AK740">
        <v>0</v>
      </c>
      <c r="AL740">
        <v>1</v>
      </c>
      <c r="AM740">
        <v>0</v>
      </c>
      <c r="AN740">
        <v>1</v>
      </c>
    </row>
    <row r="741" spans="1:40" x14ac:dyDescent="0.3">
      <c r="A741" t="s">
        <v>243</v>
      </c>
      <c r="B741" t="s">
        <v>644</v>
      </c>
      <c r="C741" t="s">
        <v>10</v>
      </c>
      <c r="D741" t="s">
        <v>14</v>
      </c>
      <c r="E741">
        <v>202602</v>
      </c>
      <c r="F741" t="s">
        <v>114</v>
      </c>
      <c r="G741">
        <v>0</v>
      </c>
      <c r="H741">
        <v>6</v>
      </c>
      <c r="I741">
        <v>3</v>
      </c>
      <c r="J741">
        <v>2</v>
      </c>
      <c r="K741">
        <v>4</v>
      </c>
      <c r="L741">
        <v>4</v>
      </c>
      <c r="M741">
        <v>0</v>
      </c>
      <c r="N741">
        <v>0</v>
      </c>
      <c r="O741">
        <v>1</v>
      </c>
      <c r="P741">
        <v>4</v>
      </c>
      <c r="Q741">
        <v>4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0</v>
      </c>
      <c r="AE741">
        <v>0</v>
      </c>
      <c r="AF741">
        <v>0</v>
      </c>
      <c r="AG741">
        <v>0</v>
      </c>
      <c r="AH741">
        <v>0</v>
      </c>
      <c r="AI741">
        <v>0</v>
      </c>
      <c r="AJ741">
        <v>0</v>
      </c>
      <c r="AK741">
        <v>0</v>
      </c>
      <c r="AL741">
        <v>28</v>
      </c>
      <c r="AM741">
        <v>3</v>
      </c>
      <c r="AN741">
        <v>64.375669642857517</v>
      </c>
    </row>
    <row r="742" spans="1:40" x14ac:dyDescent="0.3">
      <c r="A742" t="s">
        <v>243</v>
      </c>
      <c r="B742" t="s">
        <v>644</v>
      </c>
      <c r="C742" t="s">
        <v>10</v>
      </c>
      <c r="D742" t="s">
        <v>14</v>
      </c>
      <c r="E742">
        <v>202602</v>
      </c>
      <c r="F742" t="s">
        <v>129</v>
      </c>
      <c r="G742">
        <v>0</v>
      </c>
      <c r="H742">
        <v>0</v>
      </c>
      <c r="I742">
        <v>0</v>
      </c>
      <c r="J742">
        <v>0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1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0</v>
      </c>
      <c r="AE742">
        <v>0</v>
      </c>
      <c r="AF742">
        <v>0</v>
      </c>
      <c r="AG742">
        <v>0</v>
      </c>
      <c r="AH742">
        <v>0</v>
      </c>
      <c r="AI742">
        <v>0</v>
      </c>
      <c r="AJ742">
        <v>0</v>
      </c>
      <c r="AK742">
        <v>0</v>
      </c>
      <c r="AL742">
        <v>1</v>
      </c>
      <c r="AM742">
        <v>0.33333333333333331</v>
      </c>
      <c r="AN742">
        <v>5.0417410714286133</v>
      </c>
    </row>
    <row r="743" spans="1:40" x14ac:dyDescent="0.3">
      <c r="A743" t="s">
        <v>243</v>
      </c>
      <c r="B743" t="s">
        <v>644</v>
      </c>
      <c r="C743" t="s">
        <v>10</v>
      </c>
      <c r="D743" t="s">
        <v>14</v>
      </c>
      <c r="E743">
        <v>202602</v>
      </c>
      <c r="F743" t="s">
        <v>115</v>
      </c>
      <c r="G743">
        <v>0</v>
      </c>
      <c r="H743">
        <v>0</v>
      </c>
      <c r="I743">
        <v>1</v>
      </c>
      <c r="J743">
        <v>0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0</v>
      </c>
      <c r="AE743">
        <v>0</v>
      </c>
      <c r="AF743">
        <v>0</v>
      </c>
      <c r="AG743">
        <v>0</v>
      </c>
      <c r="AH743">
        <v>0</v>
      </c>
      <c r="AI743">
        <v>0</v>
      </c>
      <c r="AJ743">
        <v>0</v>
      </c>
      <c r="AK743">
        <v>0</v>
      </c>
      <c r="AL743">
        <v>1</v>
      </c>
      <c r="AM743">
        <v>0</v>
      </c>
      <c r="AN743">
        <v>1</v>
      </c>
    </row>
    <row r="744" spans="1:40" x14ac:dyDescent="0.3">
      <c r="A744" t="s">
        <v>243</v>
      </c>
      <c r="B744" t="s">
        <v>644</v>
      </c>
      <c r="C744" t="s">
        <v>10</v>
      </c>
      <c r="D744" t="s">
        <v>14</v>
      </c>
      <c r="E744">
        <v>202602</v>
      </c>
      <c r="F744" t="s">
        <v>116</v>
      </c>
      <c r="G744">
        <v>0</v>
      </c>
      <c r="H744">
        <v>1</v>
      </c>
      <c r="I744">
        <v>0</v>
      </c>
      <c r="J744">
        <v>0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0</v>
      </c>
      <c r="AE744">
        <v>0</v>
      </c>
      <c r="AF744">
        <v>0</v>
      </c>
      <c r="AG744">
        <v>0</v>
      </c>
      <c r="AH744">
        <v>0</v>
      </c>
      <c r="AI744">
        <v>0</v>
      </c>
      <c r="AJ744">
        <v>0</v>
      </c>
      <c r="AK744">
        <v>0</v>
      </c>
      <c r="AL744">
        <v>1</v>
      </c>
      <c r="AM744">
        <v>0</v>
      </c>
      <c r="AN744">
        <v>1</v>
      </c>
    </row>
    <row r="745" spans="1:40" x14ac:dyDescent="0.3">
      <c r="A745" t="s">
        <v>243</v>
      </c>
      <c r="B745" t="s">
        <v>644</v>
      </c>
      <c r="C745" t="s">
        <v>10</v>
      </c>
      <c r="D745" t="s">
        <v>14</v>
      </c>
      <c r="E745">
        <v>202602</v>
      </c>
      <c r="F745" t="s">
        <v>130</v>
      </c>
      <c r="G745">
        <v>0</v>
      </c>
      <c r="H745">
        <v>0</v>
      </c>
      <c r="I745">
        <v>1</v>
      </c>
      <c r="J745">
        <v>0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0</v>
      </c>
      <c r="AH745">
        <v>0</v>
      </c>
      <c r="AI745">
        <v>0</v>
      </c>
      <c r="AJ745">
        <v>0</v>
      </c>
      <c r="AK745">
        <v>0</v>
      </c>
      <c r="AL745">
        <v>1</v>
      </c>
      <c r="AM745">
        <v>0</v>
      </c>
      <c r="AN745">
        <v>1</v>
      </c>
    </row>
    <row r="746" spans="1:40" x14ac:dyDescent="0.3">
      <c r="A746" t="s">
        <v>243</v>
      </c>
      <c r="B746" t="s">
        <v>644</v>
      </c>
      <c r="C746" t="s">
        <v>10</v>
      </c>
      <c r="D746" t="s">
        <v>14</v>
      </c>
      <c r="E746">
        <v>202602</v>
      </c>
      <c r="F746" t="s">
        <v>117</v>
      </c>
      <c r="G746">
        <v>0</v>
      </c>
      <c r="H746">
        <v>0</v>
      </c>
      <c r="I746">
        <v>0</v>
      </c>
      <c r="J746">
        <v>2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0</v>
      </c>
      <c r="AH746">
        <v>0</v>
      </c>
      <c r="AI746">
        <v>0</v>
      </c>
      <c r="AJ746">
        <v>0</v>
      </c>
      <c r="AK746">
        <v>0</v>
      </c>
      <c r="AL746">
        <v>2</v>
      </c>
      <c r="AM746">
        <v>0</v>
      </c>
      <c r="AN746">
        <v>2</v>
      </c>
    </row>
    <row r="747" spans="1:40" x14ac:dyDescent="0.3">
      <c r="A747" t="s">
        <v>243</v>
      </c>
      <c r="B747" t="s">
        <v>644</v>
      </c>
      <c r="C747" t="s">
        <v>10</v>
      </c>
      <c r="D747" t="s">
        <v>14</v>
      </c>
      <c r="E747">
        <v>202602</v>
      </c>
      <c r="F747" t="s">
        <v>118</v>
      </c>
      <c r="G747">
        <v>0</v>
      </c>
      <c r="H747">
        <v>0</v>
      </c>
      <c r="I747">
        <v>1</v>
      </c>
      <c r="J747">
        <v>0</v>
      </c>
      <c r="K747">
        <v>4</v>
      </c>
      <c r="L747">
        <v>1</v>
      </c>
      <c r="M747">
        <v>0</v>
      </c>
      <c r="N747">
        <v>0</v>
      </c>
      <c r="O747">
        <v>1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0</v>
      </c>
      <c r="AH747">
        <v>0</v>
      </c>
      <c r="AI747">
        <v>0</v>
      </c>
      <c r="AJ747">
        <v>0</v>
      </c>
      <c r="AK747">
        <v>0</v>
      </c>
      <c r="AL747">
        <v>7</v>
      </c>
      <c r="AM747">
        <v>0.33333333333333331</v>
      </c>
      <c r="AN747">
        <v>11.041741071428614</v>
      </c>
    </row>
    <row r="748" spans="1:40" x14ac:dyDescent="0.3">
      <c r="A748" t="s">
        <v>243</v>
      </c>
      <c r="B748" t="s">
        <v>644</v>
      </c>
      <c r="C748" t="s">
        <v>10</v>
      </c>
      <c r="D748" t="s">
        <v>14</v>
      </c>
      <c r="E748">
        <v>202602</v>
      </c>
      <c r="F748" t="s">
        <v>132</v>
      </c>
      <c r="G748">
        <v>0</v>
      </c>
      <c r="H748">
        <v>0</v>
      </c>
      <c r="I748">
        <v>0</v>
      </c>
      <c r="J748">
        <v>0</v>
      </c>
      <c r="K748">
        <v>0</v>
      </c>
      <c r="L748">
        <v>0</v>
      </c>
      <c r="M748">
        <v>0</v>
      </c>
      <c r="N748">
        <v>0</v>
      </c>
      <c r="O748">
        <v>1</v>
      </c>
      <c r="P748">
        <v>2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0</v>
      </c>
      <c r="AH748">
        <v>0</v>
      </c>
      <c r="AI748">
        <v>0</v>
      </c>
      <c r="AJ748">
        <v>0</v>
      </c>
      <c r="AK748">
        <v>0</v>
      </c>
      <c r="AL748">
        <v>3</v>
      </c>
      <c r="AM748">
        <v>1</v>
      </c>
      <c r="AN748">
        <v>15.125223214285839</v>
      </c>
    </row>
    <row r="749" spans="1:40" x14ac:dyDescent="0.3">
      <c r="A749" t="s">
        <v>243</v>
      </c>
      <c r="B749" t="s">
        <v>644</v>
      </c>
      <c r="C749" t="s">
        <v>10</v>
      </c>
      <c r="D749" t="s">
        <v>14</v>
      </c>
      <c r="E749">
        <v>202602</v>
      </c>
      <c r="F749" t="s">
        <v>224</v>
      </c>
      <c r="G749">
        <v>0</v>
      </c>
      <c r="H749">
        <v>0</v>
      </c>
      <c r="I749">
        <v>1</v>
      </c>
      <c r="J749">
        <v>0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1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>
        <v>0</v>
      </c>
      <c r="AI749">
        <v>0</v>
      </c>
      <c r="AJ749">
        <v>0</v>
      </c>
      <c r="AK749">
        <v>0</v>
      </c>
      <c r="AL749">
        <v>2</v>
      </c>
      <c r="AM749">
        <v>0.33333333333333331</v>
      </c>
      <c r="AN749">
        <v>6.0417410714286133</v>
      </c>
    </row>
    <row r="750" spans="1:40" x14ac:dyDescent="0.3">
      <c r="A750" t="s">
        <v>243</v>
      </c>
      <c r="B750" t="s">
        <v>644</v>
      </c>
      <c r="C750" t="s">
        <v>10</v>
      </c>
      <c r="D750" t="s">
        <v>14</v>
      </c>
      <c r="E750">
        <v>202602</v>
      </c>
      <c r="F750" t="s">
        <v>119</v>
      </c>
      <c r="G750">
        <v>0</v>
      </c>
      <c r="H750">
        <v>1</v>
      </c>
      <c r="I750">
        <v>1</v>
      </c>
      <c r="J750">
        <v>0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0</v>
      </c>
      <c r="AH750">
        <v>0</v>
      </c>
      <c r="AI750">
        <v>0</v>
      </c>
      <c r="AJ750">
        <v>0</v>
      </c>
      <c r="AK750">
        <v>0</v>
      </c>
      <c r="AL750">
        <v>2</v>
      </c>
      <c r="AM750">
        <v>0</v>
      </c>
      <c r="AN750">
        <v>2</v>
      </c>
    </row>
    <row r="751" spans="1:40" x14ac:dyDescent="0.3">
      <c r="A751" t="s">
        <v>243</v>
      </c>
      <c r="B751" t="s">
        <v>644</v>
      </c>
      <c r="C751" t="s">
        <v>10</v>
      </c>
      <c r="D751" t="s">
        <v>14</v>
      </c>
      <c r="E751">
        <v>202602</v>
      </c>
      <c r="F751" t="s">
        <v>121</v>
      </c>
      <c r="G751">
        <v>0</v>
      </c>
      <c r="H751">
        <v>0</v>
      </c>
      <c r="I751">
        <v>3</v>
      </c>
      <c r="J751">
        <v>4</v>
      </c>
      <c r="K751">
        <v>3</v>
      </c>
      <c r="L751">
        <v>1</v>
      </c>
      <c r="M751">
        <v>2</v>
      </c>
      <c r="N751">
        <v>0</v>
      </c>
      <c r="O751">
        <v>8</v>
      </c>
      <c r="P751">
        <v>0</v>
      </c>
      <c r="Q751">
        <v>4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>
        <v>0</v>
      </c>
      <c r="AH751">
        <v>0</v>
      </c>
      <c r="AI751">
        <v>0</v>
      </c>
      <c r="AJ751">
        <v>0</v>
      </c>
      <c r="AK751">
        <v>0</v>
      </c>
      <c r="AL751">
        <v>25</v>
      </c>
      <c r="AM751">
        <v>4</v>
      </c>
      <c r="AN751">
        <v>73.500892857143356</v>
      </c>
    </row>
    <row r="752" spans="1:40" x14ac:dyDescent="0.3">
      <c r="A752" t="s">
        <v>243</v>
      </c>
      <c r="B752" t="s">
        <v>644</v>
      </c>
      <c r="C752" t="s">
        <v>10</v>
      </c>
      <c r="D752" t="s">
        <v>14</v>
      </c>
      <c r="E752">
        <v>202602</v>
      </c>
      <c r="F752" t="s">
        <v>122</v>
      </c>
      <c r="G752">
        <v>0</v>
      </c>
      <c r="H752">
        <v>0</v>
      </c>
      <c r="I752">
        <v>0</v>
      </c>
      <c r="J752">
        <v>0</v>
      </c>
      <c r="K752">
        <v>0</v>
      </c>
      <c r="L752">
        <v>1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  <c r="AG752">
        <v>0</v>
      </c>
      <c r="AH752">
        <v>0</v>
      </c>
      <c r="AI752">
        <v>0</v>
      </c>
      <c r="AJ752">
        <v>0</v>
      </c>
      <c r="AK752">
        <v>0</v>
      </c>
      <c r="AL752">
        <v>1</v>
      </c>
      <c r="AM752">
        <v>0</v>
      </c>
      <c r="AN752">
        <v>1</v>
      </c>
    </row>
    <row r="753" spans="1:40" x14ac:dyDescent="0.3">
      <c r="A753" t="s">
        <v>243</v>
      </c>
      <c r="B753" t="s">
        <v>644</v>
      </c>
      <c r="C753" t="s">
        <v>10</v>
      </c>
      <c r="D753" t="s">
        <v>14</v>
      </c>
      <c r="E753">
        <v>202602</v>
      </c>
      <c r="F753" t="s">
        <v>123</v>
      </c>
      <c r="G753">
        <v>0</v>
      </c>
      <c r="H753">
        <v>0</v>
      </c>
      <c r="I753">
        <v>1</v>
      </c>
      <c r="J753">
        <v>0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0</v>
      </c>
      <c r="AB753">
        <v>0</v>
      </c>
      <c r="AC753">
        <v>0</v>
      </c>
      <c r="AD753">
        <v>0</v>
      </c>
      <c r="AE753">
        <v>0</v>
      </c>
      <c r="AF753">
        <v>0</v>
      </c>
      <c r="AG753">
        <v>0</v>
      </c>
      <c r="AH753">
        <v>0</v>
      </c>
      <c r="AI753">
        <v>0</v>
      </c>
      <c r="AJ753">
        <v>0</v>
      </c>
      <c r="AK753">
        <v>0</v>
      </c>
      <c r="AL753">
        <v>1</v>
      </c>
      <c r="AM753">
        <v>0</v>
      </c>
      <c r="AN753">
        <v>1</v>
      </c>
    </row>
    <row r="754" spans="1:40" x14ac:dyDescent="0.3">
      <c r="A754" t="s">
        <v>243</v>
      </c>
      <c r="B754" t="s">
        <v>644</v>
      </c>
      <c r="C754" t="s">
        <v>10</v>
      </c>
      <c r="D754" t="s">
        <v>14</v>
      </c>
      <c r="E754">
        <v>202602</v>
      </c>
      <c r="F754" t="s">
        <v>280</v>
      </c>
      <c r="G754">
        <v>0</v>
      </c>
      <c r="H754">
        <v>1</v>
      </c>
      <c r="I754">
        <v>0</v>
      </c>
      <c r="J754">
        <v>0</v>
      </c>
      <c r="K754">
        <v>0</v>
      </c>
      <c r="L754">
        <v>1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  <c r="AG754">
        <v>0</v>
      </c>
      <c r="AH754">
        <v>0</v>
      </c>
      <c r="AI754">
        <v>0</v>
      </c>
      <c r="AJ754">
        <v>0</v>
      </c>
      <c r="AK754">
        <v>0</v>
      </c>
      <c r="AL754">
        <v>2</v>
      </c>
      <c r="AM754">
        <v>0</v>
      </c>
      <c r="AN754">
        <v>2</v>
      </c>
    </row>
    <row r="755" spans="1:40" x14ac:dyDescent="0.3">
      <c r="A755" t="s">
        <v>243</v>
      </c>
      <c r="B755" t="s">
        <v>644</v>
      </c>
      <c r="C755" t="s">
        <v>10</v>
      </c>
      <c r="D755" t="s">
        <v>14</v>
      </c>
      <c r="E755">
        <v>202602</v>
      </c>
      <c r="F755" t="s">
        <v>281</v>
      </c>
      <c r="G755">
        <v>0</v>
      </c>
      <c r="H755">
        <v>0</v>
      </c>
      <c r="I755">
        <v>0</v>
      </c>
      <c r="J755">
        <v>0</v>
      </c>
      <c r="K755">
        <v>1</v>
      </c>
      <c r="L755">
        <v>0</v>
      </c>
      <c r="M755">
        <v>0</v>
      </c>
      <c r="N755">
        <v>0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0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>
        <v>0</v>
      </c>
      <c r="AH755">
        <v>0</v>
      </c>
      <c r="AI755">
        <v>0</v>
      </c>
      <c r="AJ755">
        <v>0</v>
      </c>
      <c r="AK755">
        <v>0</v>
      </c>
      <c r="AL755">
        <v>1</v>
      </c>
      <c r="AM755">
        <v>0</v>
      </c>
      <c r="AN755">
        <v>1</v>
      </c>
    </row>
    <row r="756" spans="1:40" x14ac:dyDescent="0.3">
      <c r="A756" t="s">
        <v>243</v>
      </c>
      <c r="B756" t="s">
        <v>644</v>
      </c>
      <c r="C756" t="s">
        <v>10</v>
      </c>
      <c r="D756" t="s">
        <v>14</v>
      </c>
      <c r="E756">
        <v>202602</v>
      </c>
      <c r="F756" t="s">
        <v>127</v>
      </c>
      <c r="G756">
        <v>0</v>
      </c>
      <c r="H756">
        <v>0</v>
      </c>
      <c r="I756">
        <v>0</v>
      </c>
      <c r="J756">
        <v>1</v>
      </c>
      <c r="K756">
        <v>1</v>
      </c>
      <c r="L756">
        <v>0</v>
      </c>
      <c r="M756">
        <v>0</v>
      </c>
      <c r="N756">
        <v>0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0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>
        <v>0</v>
      </c>
      <c r="AH756">
        <v>0</v>
      </c>
      <c r="AI756">
        <v>0</v>
      </c>
      <c r="AJ756">
        <v>0</v>
      </c>
      <c r="AK756">
        <v>0</v>
      </c>
      <c r="AL756">
        <v>2</v>
      </c>
      <c r="AM756">
        <v>0</v>
      </c>
      <c r="AN756">
        <v>2</v>
      </c>
    </row>
    <row r="757" spans="1:40" x14ac:dyDescent="0.3">
      <c r="A757" t="s">
        <v>243</v>
      </c>
      <c r="B757" t="s">
        <v>644</v>
      </c>
      <c r="C757" t="s">
        <v>10</v>
      </c>
      <c r="D757" t="s">
        <v>14</v>
      </c>
      <c r="E757">
        <v>202602</v>
      </c>
      <c r="F757" t="s">
        <v>227</v>
      </c>
      <c r="G757">
        <v>0</v>
      </c>
      <c r="H757">
        <v>1</v>
      </c>
      <c r="I757">
        <v>0</v>
      </c>
      <c r="J757">
        <v>0</v>
      </c>
      <c r="K757">
        <v>1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>
        <v>0</v>
      </c>
      <c r="AI757">
        <v>0</v>
      </c>
      <c r="AJ757">
        <v>0</v>
      </c>
      <c r="AK757">
        <v>0</v>
      </c>
      <c r="AL757">
        <v>2</v>
      </c>
      <c r="AM757">
        <v>0</v>
      </c>
      <c r="AN757">
        <v>2</v>
      </c>
    </row>
    <row r="758" spans="1:40" x14ac:dyDescent="0.3">
      <c r="A758" t="s">
        <v>243</v>
      </c>
      <c r="B758" t="s">
        <v>644</v>
      </c>
      <c r="C758" t="s">
        <v>10</v>
      </c>
      <c r="D758" t="s">
        <v>14</v>
      </c>
      <c r="E758">
        <v>202602</v>
      </c>
      <c r="F758" t="s">
        <v>282</v>
      </c>
      <c r="G758">
        <v>0</v>
      </c>
      <c r="H758">
        <v>0</v>
      </c>
      <c r="I758">
        <v>0</v>
      </c>
      <c r="J758">
        <v>0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1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>
        <v>0</v>
      </c>
      <c r="AI758">
        <v>0</v>
      </c>
      <c r="AJ758">
        <v>0</v>
      </c>
      <c r="AK758">
        <v>0</v>
      </c>
      <c r="AL758">
        <v>1</v>
      </c>
      <c r="AM758">
        <v>0.33333333333333331</v>
      </c>
      <c r="AN758">
        <v>5.0417410714286133</v>
      </c>
    </row>
    <row r="759" spans="1:40" x14ac:dyDescent="0.3">
      <c r="A759" t="s">
        <v>243</v>
      </c>
      <c r="B759" t="s">
        <v>644</v>
      </c>
      <c r="C759" t="s">
        <v>16</v>
      </c>
      <c r="D759" t="s">
        <v>11</v>
      </c>
      <c r="E759">
        <v>202602</v>
      </c>
      <c r="F759" t="s">
        <v>121</v>
      </c>
      <c r="G759">
        <v>0</v>
      </c>
      <c r="H759">
        <v>0</v>
      </c>
      <c r="I759">
        <v>0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1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>
        <v>0</v>
      </c>
      <c r="AI759">
        <v>0</v>
      </c>
      <c r="AJ759">
        <v>0</v>
      </c>
      <c r="AK759">
        <v>0</v>
      </c>
      <c r="AL759">
        <v>1</v>
      </c>
      <c r="AM759">
        <v>0.33333333333333331</v>
      </c>
      <c r="AN759">
        <v>5.6046251398731117</v>
      </c>
    </row>
    <row r="760" spans="1:40" x14ac:dyDescent="0.3">
      <c r="A760" t="s">
        <v>243</v>
      </c>
      <c r="B760" t="s">
        <v>644</v>
      </c>
      <c r="C760" t="s">
        <v>16</v>
      </c>
      <c r="D760" t="s">
        <v>14</v>
      </c>
      <c r="E760">
        <v>202602</v>
      </c>
      <c r="F760" t="s">
        <v>121</v>
      </c>
      <c r="G760">
        <v>0</v>
      </c>
      <c r="H760">
        <v>0</v>
      </c>
      <c r="I760">
        <v>0</v>
      </c>
      <c r="J760">
        <v>0</v>
      </c>
      <c r="K760">
        <v>0</v>
      </c>
      <c r="L760">
        <v>0</v>
      </c>
      <c r="M760">
        <v>1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>
        <v>0</v>
      </c>
      <c r="AI760">
        <v>0</v>
      </c>
      <c r="AJ760">
        <v>0</v>
      </c>
      <c r="AK760">
        <v>0</v>
      </c>
      <c r="AL760">
        <v>1</v>
      </c>
      <c r="AM760">
        <v>0</v>
      </c>
      <c r="AN760">
        <v>1</v>
      </c>
    </row>
    <row r="761" spans="1:40" x14ac:dyDescent="0.3">
      <c r="A761" t="s">
        <v>243</v>
      </c>
      <c r="B761" t="s">
        <v>136</v>
      </c>
      <c r="C761" t="s">
        <v>10</v>
      </c>
      <c r="D761" t="s">
        <v>11</v>
      </c>
      <c r="E761">
        <v>202602</v>
      </c>
      <c r="F761" t="s">
        <v>42</v>
      </c>
      <c r="G761">
        <v>0</v>
      </c>
      <c r="H761">
        <v>6</v>
      </c>
      <c r="I761">
        <v>1</v>
      </c>
      <c r="J761">
        <v>2</v>
      </c>
      <c r="K761">
        <v>2</v>
      </c>
      <c r="L761">
        <v>2</v>
      </c>
      <c r="M761">
        <v>0</v>
      </c>
      <c r="N761">
        <v>0</v>
      </c>
      <c r="O761">
        <v>0</v>
      </c>
      <c r="P761">
        <v>1</v>
      </c>
      <c r="Q761">
        <v>1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>
        <v>0</v>
      </c>
      <c r="AI761">
        <v>0</v>
      </c>
      <c r="AJ761">
        <v>0</v>
      </c>
      <c r="AK761">
        <v>0</v>
      </c>
      <c r="AL761">
        <v>15</v>
      </c>
      <c r="AM761">
        <v>0.66666666666666663</v>
      </c>
      <c r="AN761">
        <v>24.209250279746222</v>
      </c>
    </row>
    <row r="762" spans="1:40" x14ac:dyDescent="0.3">
      <c r="A762" t="s">
        <v>243</v>
      </c>
      <c r="B762" t="s">
        <v>136</v>
      </c>
      <c r="C762" t="s">
        <v>10</v>
      </c>
      <c r="D762" t="s">
        <v>14</v>
      </c>
      <c r="E762">
        <v>202602</v>
      </c>
      <c r="F762" t="s">
        <v>42</v>
      </c>
      <c r="G762">
        <v>0</v>
      </c>
      <c r="H762">
        <v>2</v>
      </c>
      <c r="I762">
        <v>2</v>
      </c>
      <c r="J762">
        <v>5</v>
      </c>
      <c r="K762">
        <v>2</v>
      </c>
      <c r="L762">
        <v>1</v>
      </c>
      <c r="M762">
        <v>0</v>
      </c>
      <c r="N762">
        <v>0</v>
      </c>
      <c r="O762">
        <v>1</v>
      </c>
      <c r="P762">
        <v>1</v>
      </c>
      <c r="Q762">
        <v>5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>
        <v>0</v>
      </c>
      <c r="AI762">
        <v>0</v>
      </c>
      <c r="AJ762">
        <v>0</v>
      </c>
      <c r="AK762">
        <v>0</v>
      </c>
      <c r="AL762">
        <v>19</v>
      </c>
      <c r="AM762">
        <v>2.3333333333333335</v>
      </c>
      <c r="AN762">
        <v>47.292187500000296</v>
      </c>
    </row>
    <row r="763" spans="1:40" x14ac:dyDescent="0.3">
      <c r="A763" t="s">
        <v>243</v>
      </c>
      <c r="B763" t="s">
        <v>684</v>
      </c>
      <c r="C763" t="s">
        <v>10</v>
      </c>
      <c r="D763" t="s">
        <v>11</v>
      </c>
      <c r="E763">
        <v>202602</v>
      </c>
      <c r="F763" t="s">
        <v>101</v>
      </c>
      <c r="G763">
        <v>0</v>
      </c>
      <c r="H763">
        <v>0</v>
      </c>
      <c r="I763">
        <v>1</v>
      </c>
      <c r="J763">
        <v>0</v>
      </c>
      <c r="K763">
        <v>0</v>
      </c>
      <c r="L763">
        <v>0</v>
      </c>
      <c r="M763">
        <v>0</v>
      </c>
      <c r="N763">
        <v>0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v>0</v>
      </c>
      <c r="AD763">
        <v>0</v>
      </c>
      <c r="AE763">
        <v>0</v>
      </c>
      <c r="AF763">
        <v>0</v>
      </c>
      <c r="AG763">
        <v>0</v>
      </c>
      <c r="AH763">
        <v>0</v>
      </c>
      <c r="AI763">
        <v>0</v>
      </c>
      <c r="AJ763">
        <v>0</v>
      </c>
      <c r="AK763">
        <v>0</v>
      </c>
      <c r="AL763">
        <v>1</v>
      </c>
      <c r="AM763">
        <v>0</v>
      </c>
      <c r="AN763">
        <v>1</v>
      </c>
    </row>
    <row r="764" spans="1:40" x14ac:dyDescent="0.3">
      <c r="A764" t="s">
        <v>243</v>
      </c>
      <c r="B764" t="s">
        <v>684</v>
      </c>
      <c r="C764" t="s">
        <v>10</v>
      </c>
      <c r="D764" t="s">
        <v>14</v>
      </c>
      <c r="E764">
        <v>202602</v>
      </c>
      <c r="F764" t="s">
        <v>101</v>
      </c>
      <c r="G764">
        <v>0</v>
      </c>
      <c r="H764">
        <v>1</v>
      </c>
      <c r="I764">
        <v>0</v>
      </c>
      <c r="J764">
        <v>0</v>
      </c>
      <c r="K764">
        <v>0</v>
      </c>
      <c r="L764">
        <v>0</v>
      </c>
      <c r="M764">
        <v>0</v>
      </c>
      <c r="N764">
        <v>0</v>
      </c>
      <c r="O764">
        <v>0</v>
      </c>
      <c r="P764">
        <v>1</v>
      </c>
      <c r="Q764">
        <v>1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0</v>
      </c>
      <c r="AD764">
        <v>0</v>
      </c>
      <c r="AE764">
        <v>0</v>
      </c>
      <c r="AF764">
        <v>0</v>
      </c>
      <c r="AG764">
        <v>0</v>
      </c>
      <c r="AH764">
        <v>0</v>
      </c>
      <c r="AI764">
        <v>0</v>
      </c>
      <c r="AJ764">
        <v>0</v>
      </c>
      <c r="AK764">
        <v>0</v>
      </c>
      <c r="AL764">
        <v>3</v>
      </c>
      <c r="AM764">
        <v>0.66666666666666663</v>
      </c>
      <c r="AN764">
        <v>11.083482142857227</v>
      </c>
    </row>
    <row r="765" spans="1:40" x14ac:dyDescent="0.3">
      <c r="A765" t="s">
        <v>243</v>
      </c>
      <c r="B765" t="s">
        <v>684</v>
      </c>
      <c r="C765" t="s">
        <v>10</v>
      </c>
      <c r="D765" t="s">
        <v>14</v>
      </c>
      <c r="E765">
        <v>202602</v>
      </c>
      <c r="F765" t="s">
        <v>138</v>
      </c>
      <c r="G765">
        <v>0</v>
      </c>
      <c r="H765">
        <v>0</v>
      </c>
      <c r="I765">
        <v>0</v>
      </c>
      <c r="J765">
        <v>0</v>
      </c>
      <c r="K765">
        <v>0</v>
      </c>
      <c r="L765">
        <v>0</v>
      </c>
      <c r="M765">
        <v>0</v>
      </c>
      <c r="N765">
        <v>0</v>
      </c>
      <c r="O765">
        <v>0</v>
      </c>
      <c r="P765">
        <v>1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0</v>
      </c>
      <c r="AD765">
        <v>0</v>
      </c>
      <c r="AE765">
        <v>0</v>
      </c>
      <c r="AF765">
        <v>0</v>
      </c>
      <c r="AG765">
        <v>0</v>
      </c>
      <c r="AH765">
        <v>0</v>
      </c>
      <c r="AI765">
        <v>0</v>
      </c>
      <c r="AJ765">
        <v>0</v>
      </c>
      <c r="AK765">
        <v>0</v>
      </c>
      <c r="AL765">
        <v>1</v>
      </c>
      <c r="AM765">
        <v>0.33333333333333331</v>
      </c>
      <c r="AN765">
        <v>5.0417410714286133</v>
      </c>
    </row>
    <row r="766" spans="1:40" x14ac:dyDescent="0.3">
      <c r="A766" t="s">
        <v>243</v>
      </c>
      <c r="B766" t="s">
        <v>139</v>
      </c>
      <c r="C766" t="s">
        <v>10</v>
      </c>
      <c r="D766" t="s">
        <v>11</v>
      </c>
      <c r="E766">
        <v>202602</v>
      </c>
      <c r="F766" t="s">
        <v>140</v>
      </c>
      <c r="G766">
        <v>0</v>
      </c>
      <c r="H766">
        <v>2</v>
      </c>
      <c r="I766">
        <v>0</v>
      </c>
      <c r="J766">
        <v>1</v>
      </c>
      <c r="K766">
        <v>0</v>
      </c>
      <c r="L766">
        <v>0</v>
      </c>
      <c r="M766">
        <v>0</v>
      </c>
      <c r="N766">
        <v>0</v>
      </c>
      <c r="O766">
        <v>1</v>
      </c>
      <c r="P766">
        <v>1</v>
      </c>
      <c r="Q766">
        <v>1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0</v>
      </c>
      <c r="AD766">
        <v>0</v>
      </c>
      <c r="AE766">
        <v>0</v>
      </c>
      <c r="AF766">
        <v>0</v>
      </c>
      <c r="AG766">
        <v>0</v>
      </c>
      <c r="AH766">
        <v>0</v>
      </c>
      <c r="AI766">
        <v>0</v>
      </c>
      <c r="AJ766">
        <v>0</v>
      </c>
      <c r="AK766">
        <v>0</v>
      </c>
      <c r="AL766">
        <v>6</v>
      </c>
      <c r="AM766">
        <v>1</v>
      </c>
      <c r="AN766">
        <v>19.813875419619336</v>
      </c>
    </row>
    <row r="767" spans="1:40" x14ac:dyDescent="0.3">
      <c r="A767" t="s">
        <v>243</v>
      </c>
      <c r="B767" t="s">
        <v>139</v>
      </c>
      <c r="C767" t="s">
        <v>10</v>
      </c>
      <c r="D767" t="s">
        <v>11</v>
      </c>
      <c r="E767">
        <v>202602</v>
      </c>
      <c r="F767" t="s">
        <v>228</v>
      </c>
      <c r="G767">
        <v>0</v>
      </c>
      <c r="H767">
        <v>0</v>
      </c>
      <c r="I767">
        <v>0</v>
      </c>
      <c r="J767">
        <v>0</v>
      </c>
      <c r="K767">
        <v>0</v>
      </c>
      <c r="L767">
        <v>1</v>
      </c>
      <c r="M767">
        <v>0</v>
      </c>
      <c r="N767">
        <v>0</v>
      </c>
      <c r="O767">
        <v>1</v>
      </c>
      <c r="P767">
        <v>0</v>
      </c>
      <c r="Q767">
        <v>1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0</v>
      </c>
      <c r="AD767">
        <v>0</v>
      </c>
      <c r="AE767">
        <v>0</v>
      </c>
      <c r="AF767">
        <v>0</v>
      </c>
      <c r="AG767">
        <v>0</v>
      </c>
      <c r="AH767">
        <v>0</v>
      </c>
      <c r="AI767">
        <v>0</v>
      </c>
      <c r="AJ767">
        <v>0</v>
      </c>
      <c r="AK767">
        <v>0</v>
      </c>
      <c r="AL767">
        <v>3</v>
      </c>
      <c r="AM767">
        <v>0.66666666666666663</v>
      </c>
      <c r="AN767">
        <v>12.209250279746223</v>
      </c>
    </row>
    <row r="768" spans="1:40" x14ac:dyDescent="0.3">
      <c r="A768" t="s">
        <v>243</v>
      </c>
      <c r="B768" t="s">
        <v>139</v>
      </c>
      <c r="C768" t="s">
        <v>10</v>
      </c>
      <c r="D768" t="s">
        <v>11</v>
      </c>
      <c r="E768">
        <v>202602</v>
      </c>
      <c r="F768" t="s">
        <v>283</v>
      </c>
      <c r="G768">
        <v>0</v>
      </c>
      <c r="H768">
        <v>0</v>
      </c>
      <c r="I768">
        <v>1</v>
      </c>
      <c r="J768">
        <v>0</v>
      </c>
      <c r="K768">
        <v>1</v>
      </c>
      <c r="L768">
        <v>0</v>
      </c>
      <c r="M768">
        <v>0</v>
      </c>
      <c r="N768">
        <v>0</v>
      </c>
      <c r="O768">
        <v>1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v>0</v>
      </c>
      <c r="AD768">
        <v>0</v>
      </c>
      <c r="AE768">
        <v>0</v>
      </c>
      <c r="AF768">
        <v>0</v>
      </c>
      <c r="AG768">
        <v>0</v>
      </c>
      <c r="AH768">
        <v>0</v>
      </c>
      <c r="AI768">
        <v>0</v>
      </c>
      <c r="AJ768">
        <v>0</v>
      </c>
      <c r="AK768">
        <v>0</v>
      </c>
      <c r="AL768">
        <v>3</v>
      </c>
      <c r="AM768">
        <v>0.33333333333333331</v>
      </c>
      <c r="AN768">
        <v>7.6046251398731117</v>
      </c>
    </row>
    <row r="769" spans="1:40" x14ac:dyDescent="0.3">
      <c r="A769" t="s">
        <v>243</v>
      </c>
      <c r="B769" t="s">
        <v>139</v>
      </c>
      <c r="C769" t="s">
        <v>10</v>
      </c>
      <c r="D769" t="s">
        <v>11</v>
      </c>
      <c r="E769">
        <v>202602</v>
      </c>
      <c r="F769" t="s">
        <v>284</v>
      </c>
      <c r="G769">
        <v>0</v>
      </c>
      <c r="H769">
        <v>0</v>
      </c>
      <c r="I769">
        <v>0</v>
      </c>
      <c r="J769">
        <v>0</v>
      </c>
      <c r="K769">
        <v>0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0</v>
      </c>
      <c r="AH769">
        <v>0</v>
      </c>
      <c r="AI769">
        <v>0</v>
      </c>
      <c r="AJ769">
        <v>0</v>
      </c>
      <c r="AK769">
        <v>0</v>
      </c>
      <c r="AL769">
        <v>1</v>
      </c>
      <c r="AM769">
        <v>0</v>
      </c>
      <c r="AN769">
        <v>1</v>
      </c>
    </row>
    <row r="770" spans="1:40" x14ac:dyDescent="0.3">
      <c r="A770" t="s">
        <v>243</v>
      </c>
      <c r="B770" t="s">
        <v>139</v>
      </c>
      <c r="C770" t="s">
        <v>10</v>
      </c>
      <c r="D770" t="s">
        <v>14</v>
      </c>
      <c r="E770">
        <v>202602</v>
      </c>
      <c r="F770" t="s">
        <v>140</v>
      </c>
      <c r="G770">
        <v>0</v>
      </c>
      <c r="H770">
        <v>1</v>
      </c>
      <c r="I770">
        <v>1</v>
      </c>
      <c r="J770">
        <v>1</v>
      </c>
      <c r="K770">
        <v>0</v>
      </c>
      <c r="L770">
        <v>1</v>
      </c>
      <c r="M770">
        <v>0</v>
      </c>
      <c r="N770">
        <v>0</v>
      </c>
      <c r="O770">
        <v>3</v>
      </c>
      <c r="P770">
        <v>0</v>
      </c>
      <c r="Q770">
        <v>2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0</v>
      </c>
      <c r="AH770">
        <v>0</v>
      </c>
      <c r="AI770">
        <v>0</v>
      </c>
      <c r="AJ770">
        <v>0</v>
      </c>
      <c r="AK770">
        <v>0</v>
      </c>
      <c r="AL770">
        <v>9</v>
      </c>
      <c r="AM770">
        <v>1.6666666666666667</v>
      </c>
      <c r="AN770">
        <v>29.208705357143064</v>
      </c>
    </row>
    <row r="771" spans="1:40" x14ac:dyDescent="0.3">
      <c r="A771" t="s">
        <v>243</v>
      </c>
      <c r="B771" t="s">
        <v>139</v>
      </c>
      <c r="C771" t="s">
        <v>10</v>
      </c>
      <c r="D771" t="s">
        <v>14</v>
      </c>
      <c r="E771">
        <v>202602</v>
      </c>
      <c r="F771" t="s">
        <v>228</v>
      </c>
      <c r="G771">
        <v>0</v>
      </c>
      <c r="H771">
        <v>1</v>
      </c>
      <c r="I771">
        <v>1</v>
      </c>
      <c r="J771">
        <v>1</v>
      </c>
      <c r="K771">
        <v>2</v>
      </c>
      <c r="L771">
        <v>0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0</v>
      </c>
      <c r="AH771">
        <v>0</v>
      </c>
      <c r="AI771">
        <v>0</v>
      </c>
      <c r="AJ771">
        <v>0</v>
      </c>
      <c r="AK771">
        <v>0</v>
      </c>
      <c r="AL771">
        <v>5</v>
      </c>
      <c r="AM771">
        <v>0</v>
      </c>
      <c r="AN771">
        <v>5</v>
      </c>
    </row>
    <row r="772" spans="1:40" x14ac:dyDescent="0.3">
      <c r="A772" t="s">
        <v>243</v>
      </c>
      <c r="B772" t="s">
        <v>139</v>
      </c>
      <c r="C772" t="s">
        <v>10</v>
      </c>
      <c r="D772" t="s">
        <v>14</v>
      </c>
      <c r="E772">
        <v>202602</v>
      </c>
      <c r="F772" t="s">
        <v>283</v>
      </c>
      <c r="G772">
        <v>0</v>
      </c>
      <c r="H772">
        <v>0</v>
      </c>
      <c r="I772">
        <v>0</v>
      </c>
      <c r="J772">
        <v>0</v>
      </c>
      <c r="K772">
        <v>0</v>
      </c>
      <c r="L772">
        <v>1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0</v>
      </c>
      <c r="AH772">
        <v>0</v>
      </c>
      <c r="AI772">
        <v>0</v>
      </c>
      <c r="AJ772">
        <v>0</v>
      </c>
      <c r="AK772">
        <v>0</v>
      </c>
      <c r="AL772">
        <v>2</v>
      </c>
      <c r="AM772">
        <v>0.33333333333333331</v>
      </c>
      <c r="AN772">
        <v>6.0417410714286133</v>
      </c>
    </row>
    <row r="773" spans="1:40" x14ac:dyDescent="0.3">
      <c r="A773" t="s">
        <v>243</v>
      </c>
      <c r="B773" t="s">
        <v>139</v>
      </c>
      <c r="C773" t="s">
        <v>10</v>
      </c>
      <c r="D773" t="s">
        <v>14</v>
      </c>
      <c r="E773">
        <v>202602</v>
      </c>
      <c r="F773" t="s">
        <v>285</v>
      </c>
      <c r="G773">
        <v>0</v>
      </c>
      <c r="H773">
        <v>0</v>
      </c>
      <c r="I773">
        <v>0</v>
      </c>
      <c r="J773">
        <v>0</v>
      </c>
      <c r="K773">
        <v>0</v>
      </c>
      <c r="L773">
        <v>0</v>
      </c>
      <c r="M773">
        <v>0</v>
      </c>
      <c r="N773">
        <v>0</v>
      </c>
      <c r="O773">
        <v>0</v>
      </c>
      <c r="P773">
        <v>2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0</v>
      </c>
      <c r="AH773">
        <v>0</v>
      </c>
      <c r="AI773">
        <v>0</v>
      </c>
      <c r="AJ773">
        <v>0</v>
      </c>
      <c r="AK773">
        <v>0</v>
      </c>
      <c r="AL773">
        <v>2</v>
      </c>
      <c r="AM773">
        <v>0.66666666666666663</v>
      </c>
      <c r="AN773">
        <v>10.083482142857227</v>
      </c>
    </row>
    <row r="774" spans="1:40" x14ac:dyDescent="0.3">
      <c r="A774" t="s">
        <v>243</v>
      </c>
      <c r="B774" t="s">
        <v>139</v>
      </c>
      <c r="C774" t="s">
        <v>10</v>
      </c>
      <c r="D774" t="s">
        <v>14</v>
      </c>
      <c r="E774">
        <v>202602</v>
      </c>
      <c r="F774" t="s">
        <v>286</v>
      </c>
      <c r="G774">
        <v>0</v>
      </c>
      <c r="H774">
        <v>0</v>
      </c>
      <c r="I774">
        <v>0</v>
      </c>
      <c r="J774">
        <v>0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1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0</v>
      </c>
      <c r="AH774">
        <v>0</v>
      </c>
      <c r="AI774">
        <v>0</v>
      </c>
      <c r="AJ774">
        <v>0</v>
      </c>
      <c r="AK774">
        <v>0</v>
      </c>
      <c r="AL774">
        <v>1</v>
      </c>
      <c r="AM774">
        <v>0.33333333333333331</v>
      </c>
      <c r="AN774">
        <v>5.0417410714286133</v>
      </c>
    </row>
    <row r="775" spans="1:40" x14ac:dyDescent="0.3">
      <c r="A775" t="s">
        <v>243</v>
      </c>
      <c r="B775" t="s">
        <v>139</v>
      </c>
      <c r="C775" t="s">
        <v>10</v>
      </c>
      <c r="D775" t="s">
        <v>14</v>
      </c>
      <c r="E775">
        <v>202602</v>
      </c>
      <c r="F775" t="s">
        <v>284</v>
      </c>
      <c r="G775">
        <v>0</v>
      </c>
      <c r="H775">
        <v>0</v>
      </c>
      <c r="I775">
        <v>0</v>
      </c>
      <c r="J775">
        <v>0</v>
      </c>
      <c r="K775">
        <v>1</v>
      </c>
      <c r="L775">
        <v>1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0</v>
      </c>
      <c r="AH775">
        <v>0</v>
      </c>
      <c r="AI775">
        <v>0</v>
      </c>
      <c r="AJ775">
        <v>0</v>
      </c>
      <c r="AK775">
        <v>0</v>
      </c>
      <c r="AL775">
        <v>2</v>
      </c>
      <c r="AM775">
        <v>0</v>
      </c>
      <c r="AN775">
        <v>2</v>
      </c>
    </row>
    <row r="776" spans="1:40" x14ac:dyDescent="0.3">
      <c r="A776" t="s">
        <v>243</v>
      </c>
      <c r="B776" t="s">
        <v>139</v>
      </c>
      <c r="C776" t="s">
        <v>16</v>
      </c>
      <c r="D776" t="s">
        <v>11</v>
      </c>
      <c r="E776">
        <v>202602</v>
      </c>
      <c r="F776" t="s">
        <v>140</v>
      </c>
      <c r="G776">
        <v>0</v>
      </c>
      <c r="H776">
        <v>0</v>
      </c>
      <c r="I776">
        <v>0</v>
      </c>
      <c r="J776">
        <v>0</v>
      </c>
      <c r="K776">
        <v>0</v>
      </c>
      <c r="L776">
        <v>1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0</v>
      </c>
      <c r="AE776">
        <v>0</v>
      </c>
      <c r="AF776">
        <v>0</v>
      </c>
      <c r="AG776">
        <v>0</v>
      </c>
      <c r="AH776">
        <v>0</v>
      </c>
      <c r="AI776">
        <v>0</v>
      </c>
      <c r="AJ776">
        <v>0</v>
      </c>
      <c r="AK776">
        <v>0</v>
      </c>
      <c r="AL776">
        <v>1</v>
      </c>
      <c r="AM776">
        <v>0</v>
      </c>
      <c r="AN776">
        <v>1</v>
      </c>
    </row>
    <row r="777" spans="1:40" x14ac:dyDescent="0.3">
      <c r="A777" t="s">
        <v>243</v>
      </c>
      <c r="B777" t="s">
        <v>139</v>
      </c>
      <c r="C777" t="s">
        <v>16</v>
      </c>
      <c r="D777" t="s">
        <v>14</v>
      </c>
      <c r="E777">
        <v>202602</v>
      </c>
      <c r="F777" t="s">
        <v>140</v>
      </c>
      <c r="G777">
        <v>0</v>
      </c>
      <c r="H777">
        <v>0</v>
      </c>
      <c r="I777">
        <v>0</v>
      </c>
      <c r="J777">
        <v>1</v>
      </c>
      <c r="K777">
        <v>0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0</v>
      </c>
      <c r="AD777">
        <v>0</v>
      </c>
      <c r="AE777">
        <v>0</v>
      </c>
      <c r="AF777">
        <v>0</v>
      </c>
      <c r="AG777">
        <v>0</v>
      </c>
      <c r="AH777">
        <v>0</v>
      </c>
      <c r="AI777">
        <v>0</v>
      </c>
      <c r="AJ777">
        <v>0</v>
      </c>
      <c r="AK777">
        <v>0</v>
      </c>
      <c r="AL777">
        <v>1</v>
      </c>
      <c r="AM777">
        <v>0</v>
      </c>
      <c r="AN777">
        <v>1</v>
      </c>
    </row>
    <row r="778" spans="1:40" x14ac:dyDescent="0.3">
      <c r="A778" t="s">
        <v>243</v>
      </c>
      <c r="B778" t="s">
        <v>139</v>
      </c>
      <c r="C778" t="s">
        <v>16</v>
      </c>
      <c r="D778" t="s">
        <v>14</v>
      </c>
      <c r="E778">
        <v>202602</v>
      </c>
      <c r="F778" t="s">
        <v>283</v>
      </c>
      <c r="G778">
        <v>0</v>
      </c>
      <c r="H778">
        <v>0</v>
      </c>
      <c r="I778">
        <v>0</v>
      </c>
      <c r="J778">
        <v>0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1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0</v>
      </c>
      <c r="AE778">
        <v>0</v>
      </c>
      <c r="AF778">
        <v>0</v>
      </c>
      <c r="AG778">
        <v>0</v>
      </c>
      <c r="AH778">
        <v>0</v>
      </c>
      <c r="AI778">
        <v>0</v>
      </c>
      <c r="AJ778">
        <v>0</v>
      </c>
      <c r="AK778">
        <v>0</v>
      </c>
      <c r="AL778">
        <v>1</v>
      </c>
      <c r="AM778">
        <v>0.33333333333333331</v>
      </c>
      <c r="AN778">
        <v>5.0417410714286133</v>
      </c>
    </row>
    <row r="779" spans="1:40" x14ac:dyDescent="0.3">
      <c r="A779" t="s">
        <v>243</v>
      </c>
      <c r="B779" t="s">
        <v>239</v>
      </c>
      <c r="C779" t="s">
        <v>10</v>
      </c>
      <c r="D779" t="s">
        <v>11</v>
      </c>
      <c r="E779">
        <v>202602</v>
      </c>
      <c r="F779" t="s">
        <v>204</v>
      </c>
      <c r="G779">
        <v>0</v>
      </c>
      <c r="H779">
        <v>0</v>
      </c>
      <c r="I779">
        <v>0</v>
      </c>
      <c r="J779">
        <v>0</v>
      </c>
      <c r="K779">
        <v>0</v>
      </c>
      <c r="L779">
        <v>2</v>
      </c>
      <c r="M779">
        <v>0</v>
      </c>
      <c r="N779">
        <v>0</v>
      </c>
      <c r="O779">
        <v>0</v>
      </c>
      <c r="P779">
        <v>0</v>
      </c>
      <c r="Q779">
        <v>1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0</v>
      </c>
      <c r="AD779">
        <v>0</v>
      </c>
      <c r="AE779">
        <v>0</v>
      </c>
      <c r="AF779">
        <v>0</v>
      </c>
      <c r="AG779">
        <v>0</v>
      </c>
      <c r="AH779">
        <v>0</v>
      </c>
      <c r="AI779">
        <v>0</v>
      </c>
      <c r="AJ779">
        <v>0</v>
      </c>
      <c r="AK779">
        <v>0</v>
      </c>
      <c r="AL779">
        <v>3</v>
      </c>
      <c r="AM779">
        <v>0.33333333333333331</v>
      </c>
      <c r="AN779">
        <v>7.6046251398731117</v>
      </c>
    </row>
    <row r="780" spans="1:40" x14ac:dyDescent="0.3">
      <c r="A780" t="s">
        <v>243</v>
      </c>
      <c r="B780" t="s">
        <v>239</v>
      </c>
      <c r="C780" t="s">
        <v>10</v>
      </c>
      <c r="D780" t="s">
        <v>14</v>
      </c>
      <c r="E780">
        <v>202602</v>
      </c>
      <c r="F780" t="s">
        <v>204</v>
      </c>
      <c r="G780">
        <v>0</v>
      </c>
      <c r="H780">
        <v>0</v>
      </c>
      <c r="I780">
        <v>7</v>
      </c>
      <c r="J780">
        <v>1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0</v>
      </c>
      <c r="AE780">
        <v>0</v>
      </c>
      <c r="AF780">
        <v>0</v>
      </c>
      <c r="AG780">
        <v>0</v>
      </c>
      <c r="AH780">
        <v>0</v>
      </c>
      <c r="AI780">
        <v>0</v>
      </c>
      <c r="AJ780">
        <v>0</v>
      </c>
      <c r="AK780">
        <v>0</v>
      </c>
      <c r="AL780">
        <v>8</v>
      </c>
      <c r="AM780">
        <v>0</v>
      </c>
      <c r="AN780">
        <v>8</v>
      </c>
    </row>
    <row r="781" spans="1:40" x14ac:dyDescent="0.3">
      <c r="A781" t="s">
        <v>243</v>
      </c>
      <c r="B781" t="s">
        <v>164</v>
      </c>
      <c r="C781" t="s">
        <v>10</v>
      </c>
      <c r="D781" t="s">
        <v>11</v>
      </c>
      <c r="E781">
        <v>202602</v>
      </c>
      <c r="F781" t="s">
        <v>18</v>
      </c>
      <c r="G781">
        <v>0</v>
      </c>
      <c r="H781">
        <v>7</v>
      </c>
      <c r="I781">
        <v>4</v>
      </c>
      <c r="J781">
        <v>6</v>
      </c>
      <c r="K781">
        <v>7</v>
      </c>
      <c r="L781">
        <v>3</v>
      </c>
      <c r="M781">
        <v>3</v>
      </c>
      <c r="N781">
        <v>0</v>
      </c>
      <c r="O781">
        <v>5</v>
      </c>
      <c r="P781">
        <v>6</v>
      </c>
      <c r="Q781">
        <v>3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0</v>
      </c>
      <c r="AD781">
        <v>0</v>
      </c>
      <c r="AE781">
        <v>0</v>
      </c>
      <c r="AF781">
        <v>0</v>
      </c>
      <c r="AG781">
        <v>0</v>
      </c>
      <c r="AH781">
        <v>0</v>
      </c>
      <c r="AI781">
        <v>0</v>
      </c>
      <c r="AJ781">
        <v>0</v>
      </c>
      <c r="AK781">
        <v>0</v>
      </c>
      <c r="AL781">
        <v>44</v>
      </c>
      <c r="AM781">
        <v>4.666666666666667</v>
      </c>
      <c r="AN781">
        <v>108.46475195822356</v>
      </c>
    </row>
    <row r="782" spans="1:40" x14ac:dyDescent="0.3">
      <c r="A782" t="s">
        <v>243</v>
      </c>
      <c r="B782" t="s">
        <v>164</v>
      </c>
      <c r="C782" t="s">
        <v>10</v>
      </c>
      <c r="D782" t="s">
        <v>11</v>
      </c>
      <c r="E782">
        <v>202602</v>
      </c>
      <c r="F782" t="s">
        <v>138</v>
      </c>
      <c r="G782">
        <v>0</v>
      </c>
      <c r="H782">
        <v>7</v>
      </c>
      <c r="I782">
        <v>5</v>
      </c>
      <c r="J782">
        <v>4</v>
      </c>
      <c r="K782">
        <v>7</v>
      </c>
      <c r="L782">
        <v>4</v>
      </c>
      <c r="M782">
        <v>5</v>
      </c>
      <c r="N782">
        <v>0</v>
      </c>
      <c r="O782">
        <v>5</v>
      </c>
      <c r="P782">
        <v>6</v>
      </c>
      <c r="Q782">
        <v>4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0</v>
      </c>
      <c r="AD782">
        <v>0</v>
      </c>
      <c r="AE782">
        <v>0</v>
      </c>
      <c r="AF782">
        <v>0</v>
      </c>
      <c r="AG782">
        <v>0</v>
      </c>
      <c r="AH782">
        <v>0</v>
      </c>
      <c r="AI782">
        <v>0</v>
      </c>
      <c r="AJ782">
        <v>0</v>
      </c>
      <c r="AK782">
        <v>0</v>
      </c>
      <c r="AL782">
        <v>47</v>
      </c>
      <c r="AM782">
        <v>5</v>
      </c>
      <c r="AN782">
        <v>116.06937709809668</v>
      </c>
    </row>
    <row r="783" spans="1:40" x14ac:dyDescent="0.3">
      <c r="A783" t="s">
        <v>243</v>
      </c>
      <c r="B783" t="s">
        <v>164</v>
      </c>
      <c r="C783" t="s">
        <v>10</v>
      </c>
      <c r="D783" t="s">
        <v>14</v>
      </c>
      <c r="E783">
        <v>202602</v>
      </c>
      <c r="F783" t="s">
        <v>18</v>
      </c>
      <c r="G783">
        <v>1</v>
      </c>
      <c r="H783">
        <v>7</v>
      </c>
      <c r="I783">
        <v>11</v>
      </c>
      <c r="J783">
        <v>1</v>
      </c>
      <c r="K783">
        <v>8</v>
      </c>
      <c r="L783">
        <v>4</v>
      </c>
      <c r="M783">
        <v>3</v>
      </c>
      <c r="N783">
        <v>0</v>
      </c>
      <c r="O783">
        <v>6</v>
      </c>
      <c r="P783">
        <v>1</v>
      </c>
      <c r="Q783">
        <v>5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0</v>
      </c>
      <c r="AD783">
        <v>0</v>
      </c>
      <c r="AE783">
        <v>0</v>
      </c>
      <c r="AF783">
        <v>0</v>
      </c>
      <c r="AG783">
        <v>0</v>
      </c>
      <c r="AH783">
        <v>0</v>
      </c>
      <c r="AI783">
        <v>0</v>
      </c>
      <c r="AJ783">
        <v>0</v>
      </c>
      <c r="AK783">
        <v>0</v>
      </c>
      <c r="AL783">
        <v>47</v>
      </c>
      <c r="AM783">
        <v>4</v>
      </c>
      <c r="AN783">
        <v>95.500892857143356</v>
      </c>
    </row>
    <row r="784" spans="1:40" x14ac:dyDescent="0.3">
      <c r="A784" t="s">
        <v>243</v>
      </c>
      <c r="B784" t="s">
        <v>164</v>
      </c>
      <c r="C784" t="s">
        <v>10</v>
      </c>
      <c r="D784" t="s">
        <v>14</v>
      </c>
      <c r="E784">
        <v>202602</v>
      </c>
      <c r="F784" t="s">
        <v>138</v>
      </c>
      <c r="G784">
        <v>0</v>
      </c>
      <c r="H784">
        <v>8</v>
      </c>
      <c r="I784">
        <v>4</v>
      </c>
      <c r="J784">
        <v>5</v>
      </c>
      <c r="K784">
        <v>7</v>
      </c>
      <c r="L784">
        <v>8</v>
      </c>
      <c r="M784">
        <v>5</v>
      </c>
      <c r="N784">
        <v>0</v>
      </c>
      <c r="O784">
        <v>11</v>
      </c>
      <c r="P784">
        <v>6</v>
      </c>
      <c r="Q784">
        <v>10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0</v>
      </c>
      <c r="AC784">
        <v>0</v>
      </c>
      <c r="AD784">
        <v>0</v>
      </c>
      <c r="AE784">
        <v>0</v>
      </c>
      <c r="AF784">
        <v>0</v>
      </c>
      <c r="AG784">
        <v>0</v>
      </c>
      <c r="AH784">
        <v>0</v>
      </c>
      <c r="AI784">
        <v>0</v>
      </c>
      <c r="AJ784">
        <v>0</v>
      </c>
      <c r="AK784">
        <v>0</v>
      </c>
      <c r="AL784">
        <v>64</v>
      </c>
      <c r="AM784">
        <v>9</v>
      </c>
      <c r="AN784">
        <v>173.12700892857254</v>
      </c>
    </row>
    <row r="785" spans="1:40" x14ac:dyDescent="0.3">
      <c r="A785" t="s">
        <v>243</v>
      </c>
      <c r="B785" t="s">
        <v>164</v>
      </c>
      <c r="C785" t="s">
        <v>16</v>
      </c>
      <c r="D785" t="s">
        <v>11</v>
      </c>
      <c r="E785">
        <v>202602</v>
      </c>
      <c r="F785" t="s">
        <v>18</v>
      </c>
      <c r="G785">
        <v>0</v>
      </c>
      <c r="H785">
        <v>0</v>
      </c>
      <c r="I785">
        <v>0</v>
      </c>
      <c r="J785">
        <v>1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1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0</v>
      </c>
      <c r="AC785">
        <v>0</v>
      </c>
      <c r="AD785">
        <v>0</v>
      </c>
      <c r="AE785">
        <v>0</v>
      </c>
      <c r="AF785">
        <v>0</v>
      </c>
      <c r="AG785">
        <v>0</v>
      </c>
      <c r="AH785">
        <v>0</v>
      </c>
      <c r="AI785">
        <v>0</v>
      </c>
      <c r="AJ785">
        <v>0</v>
      </c>
      <c r="AK785">
        <v>0</v>
      </c>
      <c r="AL785">
        <v>2</v>
      </c>
      <c r="AM785">
        <v>0.33333333333333331</v>
      </c>
      <c r="AN785">
        <v>6.6046251398731117</v>
      </c>
    </row>
    <row r="786" spans="1:40" x14ac:dyDescent="0.3">
      <c r="A786" t="s">
        <v>243</v>
      </c>
      <c r="B786" t="s">
        <v>164</v>
      </c>
      <c r="C786" t="s">
        <v>16</v>
      </c>
      <c r="D786" t="s">
        <v>14</v>
      </c>
      <c r="E786">
        <v>202602</v>
      </c>
      <c r="F786" t="s">
        <v>18</v>
      </c>
      <c r="G786">
        <v>0</v>
      </c>
      <c r="H786">
        <v>0</v>
      </c>
      <c r="I786">
        <v>1</v>
      </c>
      <c r="J786">
        <v>0</v>
      </c>
      <c r="K786">
        <v>0</v>
      </c>
      <c r="L786">
        <v>0</v>
      </c>
      <c r="M786">
        <v>0</v>
      </c>
      <c r="N786">
        <v>0</v>
      </c>
      <c r="O786">
        <v>1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0</v>
      </c>
      <c r="AC786">
        <v>0</v>
      </c>
      <c r="AD786">
        <v>0</v>
      </c>
      <c r="AE786">
        <v>0</v>
      </c>
      <c r="AF786">
        <v>0</v>
      </c>
      <c r="AG786">
        <v>0</v>
      </c>
      <c r="AH786">
        <v>0</v>
      </c>
      <c r="AI786">
        <v>0</v>
      </c>
      <c r="AJ786">
        <v>0</v>
      </c>
      <c r="AK786">
        <v>0</v>
      </c>
      <c r="AL786">
        <v>2</v>
      </c>
      <c r="AM786">
        <v>0.33333333333333331</v>
      </c>
      <c r="AN786">
        <v>6.0417410714286133</v>
      </c>
    </row>
    <row r="787" spans="1:40" x14ac:dyDescent="0.3">
      <c r="A787" t="s">
        <v>243</v>
      </c>
      <c r="B787" t="s">
        <v>164</v>
      </c>
      <c r="C787" t="s">
        <v>16</v>
      </c>
      <c r="D787" t="s">
        <v>14</v>
      </c>
      <c r="E787">
        <v>202602</v>
      </c>
      <c r="F787" t="s">
        <v>138</v>
      </c>
      <c r="G787">
        <v>0</v>
      </c>
      <c r="H787">
        <v>0</v>
      </c>
      <c r="I787">
        <v>0</v>
      </c>
      <c r="J787">
        <v>0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1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0</v>
      </c>
      <c r="AD787">
        <v>0</v>
      </c>
      <c r="AE787">
        <v>0</v>
      </c>
      <c r="AF787">
        <v>0</v>
      </c>
      <c r="AG787">
        <v>0</v>
      </c>
      <c r="AH787">
        <v>0</v>
      </c>
      <c r="AI787">
        <v>0</v>
      </c>
      <c r="AJ787">
        <v>0</v>
      </c>
      <c r="AK787">
        <v>0</v>
      </c>
      <c r="AL787">
        <v>1</v>
      </c>
      <c r="AM787">
        <v>0.33333333333333331</v>
      </c>
      <c r="AN787">
        <v>5.0417410714286133</v>
      </c>
    </row>
    <row r="788" spans="1:40" x14ac:dyDescent="0.3">
      <c r="A788" t="s">
        <v>243</v>
      </c>
      <c r="B788" t="s">
        <v>168</v>
      </c>
      <c r="C788" t="s">
        <v>10</v>
      </c>
      <c r="D788" t="s">
        <v>11</v>
      </c>
      <c r="E788">
        <v>202602</v>
      </c>
      <c r="F788" t="s">
        <v>169</v>
      </c>
      <c r="G788">
        <v>0</v>
      </c>
      <c r="H788">
        <v>0</v>
      </c>
      <c r="I788">
        <v>0</v>
      </c>
      <c r="J788">
        <v>0</v>
      </c>
      <c r="K788">
        <v>2</v>
      </c>
      <c r="L788">
        <v>1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v>0</v>
      </c>
      <c r="AD788">
        <v>0</v>
      </c>
      <c r="AE788">
        <v>0</v>
      </c>
      <c r="AF788">
        <v>0</v>
      </c>
      <c r="AG788">
        <v>0</v>
      </c>
      <c r="AH788">
        <v>0</v>
      </c>
      <c r="AI788">
        <v>0</v>
      </c>
      <c r="AJ788">
        <v>0</v>
      </c>
      <c r="AK788">
        <v>0</v>
      </c>
      <c r="AL788">
        <v>3</v>
      </c>
      <c r="AM788">
        <v>0</v>
      </c>
      <c r="AN788">
        <v>3</v>
      </c>
    </row>
    <row r="789" spans="1:40" x14ac:dyDescent="0.3">
      <c r="A789" t="s">
        <v>243</v>
      </c>
      <c r="B789" t="s">
        <v>168</v>
      </c>
      <c r="C789" t="s">
        <v>10</v>
      </c>
      <c r="D789" t="s">
        <v>14</v>
      </c>
      <c r="E789">
        <v>202602</v>
      </c>
      <c r="F789" t="s">
        <v>169</v>
      </c>
      <c r="G789">
        <v>0</v>
      </c>
      <c r="H789">
        <v>0</v>
      </c>
      <c r="I789">
        <v>2</v>
      </c>
      <c r="J789">
        <v>2</v>
      </c>
      <c r="K789">
        <v>1</v>
      </c>
      <c r="L789">
        <v>0</v>
      </c>
      <c r="M789">
        <v>0</v>
      </c>
      <c r="N789">
        <v>0</v>
      </c>
      <c r="O789">
        <v>1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v>0</v>
      </c>
      <c r="AD789">
        <v>0</v>
      </c>
      <c r="AE789">
        <v>0</v>
      </c>
      <c r="AF789">
        <v>0</v>
      </c>
      <c r="AG789">
        <v>0</v>
      </c>
      <c r="AH789">
        <v>0</v>
      </c>
      <c r="AI789">
        <v>0</v>
      </c>
      <c r="AJ789">
        <v>0</v>
      </c>
      <c r="AK789">
        <v>0</v>
      </c>
      <c r="AL789">
        <v>6</v>
      </c>
      <c r="AM789">
        <v>0.33333333333333331</v>
      </c>
      <c r="AN789">
        <v>10.041741071428614</v>
      </c>
    </row>
    <row r="790" spans="1:40" x14ac:dyDescent="0.3">
      <c r="A790" t="s">
        <v>243</v>
      </c>
      <c r="B790" t="s">
        <v>168</v>
      </c>
      <c r="C790" t="s">
        <v>10</v>
      </c>
      <c r="D790" t="s">
        <v>14</v>
      </c>
      <c r="E790">
        <v>202602</v>
      </c>
      <c r="F790" t="s">
        <v>242</v>
      </c>
      <c r="G790">
        <v>0</v>
      </c>
      <c r="H790">
        <v>0</v>
      </c>
      <c r="I790">
        <v>0</v>
      </c>
      <c r="J790">
        <v>0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1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C790">
        <v>0</v>
      </c>
      <c r="AD790">
        <v>0</v>
      </c>
      <c r="AE790">
        <v>0</v>
      </c>
      <c r="AF790">
        <v>0</v>
      </c>
      <c r="AG790">
        <v>0</v>
      </c>
      <c r="AH790">
        <v>0</v>
      </c>
      <c r="AI790">
        <v>0</v>
      </c>
      <c r="AJ790">
        <v>0</v>
      </c>
      <c r="AK790">
        <v>0</v>
      </c>
      <c r="AL790">
        <v>1</v>
      </c>
      <c r="AM790">
        <v>0.33333333333333331</v>
      </c>
      <c r="AN790">
        <v>5.0417410714286133</v>
      </c>
    </row>
    <row r="791" spans="1:40" x14ac:dyDescent="0.3">
      <c r="A791" t="s">
        <v>243</v>
      </c>
      <c r="B791" t="s">
        <v>170</v>
      </c>
      <c r="C791" t="s">
        <v>10</v>
      </c>
      <c r="D791" t="s">
        <v>11</v>
      </c>
      <c r="E791">
        <v>202602</v>
      </c>
      <c r="F791" t="s">
        <v>50</v>
      </c>
      <c r="G791">
        <v>0</v>
      </c>
      <c r="H791">
        <v>1</v>
      </c>
      <c r="I791">
        <v>0</v>
      </c>
      <c r="J791">
        <v>0</v>
      </c>
      <c r="K791">
        <v>1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0</v>
      </c>
      <c r="AC791">
        <v>0</v>
      </c>
      <c r="AD791">
        <v>0</v>
      </c>
      <c r="AE791">
        <v>0</v>
      </c>
      <c r="AF791">
        <v>0</v>
      </c>
      <c r="AG791">
        <v>0</v>
      </c>
      <c r="AH791">
        <v>0</v>
      </c>
      <c r="AI791">
        <v>0</v>
      </c>
      <c r="AJ791">
        <v>0</v>
      </c>
      <c r="AK791">
        <v>0</v>
      </c>
      <c r="AL791">
        <v>2</v>
      </c>
      <c r="AM791">
        <v>0</v>
      </c>
      <c r="AN791">
        <v>2</v>
      </c>
    </row>
    <row r="792" spans="1:40" x14ac:dyDescent="0.3">
      <c r="A792" t="s">
        <v>243</v>
      </c>
      <c r="B792" t="s">
        <v>170</v>
      </c>
      <c r="C792" t="s">
        <v>10</v>
      </c>
      <c r="D792" t="s">
        <v>14</v>
      </c>
      <c r="E792">
        <v>202602</v>
      </c>
      <c r="F792" t="s">
        <v>50</v>
      </c>
      <c r="G792">
        <v>0</v>
      </c>
      <c r="H792">
        <v>0</v>
      </c>
      <c r="I792">
        <v>1</v>
      </c>
      <c r="J792">
        <v>0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1</v>
      </c>
      <c r="Q792">
        <v>1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0</v>
      </c>
      <c r="AA792">
        <v>0</v>
      </c>
      <c r="AB792">
        <v>0</v>
      </c>
      <c r="AC792">
        <v>0</v>
      </c>
      <c r="AD792">
        <v>0</v>
      </c>
      <c r="AE792">
        <v>0</v>
      </c>
      <c r="AF792">
        <v>0</v>
      </c>
      <c r="AG792">
        <v>0</v>
      </c>
      <c r="AH792">
        <v>0</v>
      </c>
      <c r="AI792">
        <v>0</v>
      </c>
      <c r="AJ792">
        <v>0</v>
      </c>
      <c r="AK792">
        <v>0</v>
      </c>
      <c r="AL792">
        <v>3</v>
      </c>
      <c r="AM792">
        <v>0.66666666666666663</v>
      </c>
      <c r="AN792">
        <v>11.083482142857227</v>
      </c>
    </row>
    <row r="793" spans="1:40" x14ac:dyDescent="0.3">
      <c r="A793" t="s">
        <v>243</v>
      </c>
      <c r="B793" t="s">
        <v>690</v>
      </c>
      <c r="C793" t="s">
        <v>10</v>
      </c>
      <c r="D793" t="s">
        <v>11</v>
      </c>
      <c r="E793">
        <v>202602</v>
      </c>
      <c r="F793" t="s">
        <v>101</v>
      </c>
      <c r="G793">
        <v>0</v>
      </c>
      <c r="H793">
        <v>0</v>
      </c>
      <c r="I793">
        <v>0</v>
      </c>
      <c r="J793">
        <v>0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1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0</v>
      </c>
      <c r="AA793">
        <v>0</v>
      </c>
      <c r="AB793">
        <v>0</v>
      </c>
      <c r="AC793">
        <v>0</v>
      </c>
      <c r="AD793">
        <v>0</v>
      </c>
      <c r="AE793">
        <v>0</v>
      </c>
      <c r="AF793">
        <v>0</v>
      </c>
      <c r="AG793">
        <v>0</v>
      </c>
      <c r="AH793">
        <v>0</v>
      </c>
      <c r="AI793">
        <v>0</v>
      </c>
      <c r="AJ793">
        <v>0</v>
      </c>
      <c r="AK793">
        <v>0</v>
      </c>
      <c r="AL793">
        <v>1</v>
      </c>
      <c r="AM793">
        <v>0.33333333333333331</v>
      </c>
      <c r="AN793">
        <v>5.6046251398731117</v>
      </c>
    </row>
    <row r="794" spans="1:40" x14ac:dyDescent="0.3">
      <c r="A794" t="s">
        <v>243</v>
      </c>
      <c r="B794" t="s">
        <v>690</v>
      </c>
      <c r="C794" t="s">
        <v>10</v>
      </c>
      <c r="D794" t="s">
        <v>14</v>
      </c>
      <c r="E794">
        <v>202602</v>
      </c>
      <c r="F794" t="s">
        <v>101</v>
      </c>
      <c r="G794">
        <v>0</v>
      </c>
      <c r="H794">
        <v>0</v>
      </c>
      <c r="I794">
        <v>0</v>
      </c>
      <c r="J794">
        <v>0</v>
      </c>
      <c r="K794">
        <v>0</v>
      </c>
      <c r="L794">
        <v>0</v>
      </c>
      <c r="M794">
        <v>0</v>
      </c>
      <c r="N794">
        <v>0</v>
      </c>
      <c r="O794">
        <v>1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0</v>
      </c>
      <c r="AA794">
        <v>0</v>
      </c>
      <c r="AB794">
        <v>0</v>
      </c>
      <c r="AC794">
        <v>0</v>
      </c>
      <c r="AD794">
        <v>0</v>
      </c>
      <c r="AE794">
        <v>0</v>
      </c>
      <c r="AF794">
        <v>0</v>
      </c>
      <c r="AG794">
        <v>0</v>
      </c>
      <c r="AH794">
        <v>0</v>
      </c>
      <c r="AI794">
        <v>0</v>
      </c>
      <c r="AJ794">
        <v>0</v>
      </c>
      <c r="AK794">
        <v>0</v>
      </c>
      <c r="AL794">
        <v>1</v>
      </c>
      <c r="AM794">
        <v>0.33333333333333331</v>
      </c>
      <c r="AN794">
        <v>5.0417410714286133</v>
      </c>
    </row>
    <row r="795" spans="1:40" x14ac:dyDescent="0.3">
      <c r="A795" t="s">
        <v>243</v>
      </c>
      <c r="B795" t="s">
        <v>171</v>
      </c>
      <c r="C795" t="s">
        <v>10</v>
      </c>
      <c r="D795" t="s">
        <v>11</v>
      </c>
      <c r="E795">
        <v>202602</v>
      </c>
      <c r="F795" t="s">
        <v>172</v>
      </c>
      <c r="G795">
        <v>0</v>
      </c>
      <c r="H795">
        <v>1</v>
      </c>
      <c r="I795">
        <v>5</v>
      </c>
      <c r="J795">
        <v>3</v>
      </c>
      <c r="K795">
        <v>4</v>
      </c>
      <c r="L795">
        <v>4</v>
      </c>
      <c r="M795">
        <v>1</v>
      </c>
      <c r="N795">
        <v>0</v>
      </c>
      <c r="O795">
        <v>0</v>
      </c>
      <c r="P795">
        <v>5</v>
      </c>
      <c r="Q795">
        <v>6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0</v>
      </c>
      <c r="AA795">
        <v>0</v>
      </c>
      <c r="AB795">
        <v>0</v>
      </c>
      <c r="AC795">
        <v>0</v>
      </c>
      <c r="AD795">
        <v>0</v>
      </c>
      <c r="AE795">
        <v>0</v>
      </c>
      <c r="AF795">
        <v>0</v>
      </c>
      <c r="AG795">
        <v>0</v>
      </c>
      <c r="AH795">
        <v>0</v>
      </c>
      <c r="AI795">
        <v>0</v>
      </c>
      <c r="AJ795">
        <v>0</v>
      </c>
      <c r="AK795">
        <v>0</v>
      </c>
      <c r="AL795">
        <v>29</v>
      </c>
      <c r="AM795">
        <v>3.6666666666666665</v>
      </c>
      <c r="AN795">
        <v>79.650876538604223</v>
      </c>
    </row>
    <row r="796" spans="1:40" x14ac:dyDescent="0.3">
      <c r="A796" t="s">
        <v>243</v>
      </c>
      <c r="B796" t="s">
        <v>171</v>
      </c>
      <c r="C796" t="s">
        <v>10</v>
      </c>
      <c r="D796" t="s">
        <v>14</v>
      </c>
      <c r="E796">
        <v>202602</v>
      </c>
      <c r="F796" t="s">
        <v>172</v>
      </c>
      <c r="G796">
        <v>0</v>
      </c>
      <c r="H796">
        <v>4</v>
      </c>
      <c r="I796">
        <v>5</v>
      </c>
      <c r="J796">
        <v>5</v>
      </c>
      <c r="K796">
        <v>1</v>
      </c>
      <c r="L796">
        <v>2</v>
      </c>
      <c r="M796">
        <v>0</v>
      </c>
      <c r="N796">
        <v>0</v>
      </c>
      <c r="O796">
        <v>7</v>
      </c>
      <c r="P796">
        <v>4</v>
      </c>
      <c r="Q796">
        <v>7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0</v>
      </c>
      <c r="AA796">
        <v>0</v>
      </c>
      <c r="AB796">
        <v>0</v>
      </c>
      <c r="AC796">
        <v>0</v>
      </c>
      <c r="AD796">
        <v>0</v>
      </c>
      <c r="AE796">
        <v>0</v>
      </c>
      <c r="AF796">
        <v>0</v>
      </c>
      <c r="AG796">
        <v>0</v>
      </c>
      <c r="AH796">
        <v>0</v>
      </c>
      <c r="AI796">
        <v>0</v>
      </c>
      <c r="AJ796">
        <v>0</v>
      </c>
      <c r="AK796">
        <v>0</v>
      </c>
      <c r="AL796">
        <v>35</v>
      </c>
      <c r="AM796">
        <v>6</v>
      </c>
      <c r="AN796">
        <v>107.75133928571503</v>
      </c>
    </row>
    <row r="797" spans="1:40" x14ac:dyDescent="0.3">
      <c r="A797" t="s">
        <v>243</v>
      </c>
      <c r="B797" t="s">
        <v>171</v>
      </c>
      <c r="C797" t="s">
        <v>16</v>
      </c>
      <c r="D797" t="s">
        <v>11</v>
      </c>
      <c r="E797">
        <v>202602</v>
      </c>
      <c r="F797" t="s">
        <v>172</v>
      </c>
      <c r="G797">
        <v>0</v>
      </c>
      <c r="H797">
        <v>1</v>
      </c>
      <c r="I797">
        <v>0</v>
      </c>
      <c r="J797">
        <v>0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0</v>
      </c>
      <c r="AA797">
        <v>0</v>
      </c>
      <c r="AB797">
        <v>0</v>
      </c>
      <c r="AC797">
        <v>0</v>
      </c>
      <c r="AD797">
        <v>0</v>
      </c>
      <c r="AE797">
        <v>0</v>
      </c>
      <c r="AF797">
        <v>0</v>
      </c>
      <c r="AG797">
        <v>0</v>
      </c>
      <c r="AH797">
        <v>0</v>
      </c>
      <c r="AI797">
        <v>0</v>
      </c>
      <c r="AJ797">
        <v>0</v>
      </c>
      <c r="AK797">
        <v>0</v>
      </c>
      <c r="AL797">
        <v>1</v>
      </c>
      <c r="AM797">
        <v>0</v>
      </c>
      <c r="AN797">
        <v>1</v>
      </c>
    </row>
    <row r="798" spans="1:40" x14ac:dyDescent="0.3">
      <c r="A798" t="s">
        <v>243</v>
      </c>
      <c r="B798" t="s">
        <v>173</v>
      </c>
      <c r="C798" t="s">
        <v>10</v>
      </c>
      <c r="D798" t="s">
        <v>11</v>
      </c>
      <c r="E798">
        <v>202602</v>
      </c>
      <c r="F798" t="s">
        <v>172</v>
      </c>
      <c r="G798">
        <v>0</v>
      </c>
      <c r="H798">
        <v>1</v>
      </c>
      <c r="I798">
        <v>1</v>
      </c>
      <c r="J798">
        <v>4</v>
      </c>
      <c r="K798">
        <v>2</v>
      </c>
      <c r="L798">
        <v>2</v>
      </c>
      <c r="M798">
        <v>0</v>
      </c>
      <c r="N798">
        <v>0</v>
      </c>
      <c r="O798">
        <v>3</v>
      </c>
      <c r="P798">
        <v>0</v>
      </c>
      <c r="Q798">
        <v>1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>
        <v>0</v>
      </c>
      <c r="AH798">
        <v>0</v>
      </c>
      <c r="AI798">
        <v>0</v>
      </c>
      <c r="AJ798">
        <v>0</v>
      </c>
      <c r="AK798">
        <v>0</v>
      </c>
      <c r="AL798">
        <v>14</v>
      </c>
      <c r="AM798">
        <v>1.3333333333333333</v>
      </c>
      <c r="AN798">
        <v>32.418500559492443</v>
      </c>
    </row>
    <row r="799" spans="1:40" x14ac:dyDescent="0.3">
      <c r="A799" t="s">
        <v>243</v>
      </c>
      <c r="B799" t="s">
        <v>173</v>
      </c>
      <c r="C799" t="s">
        <v>10</v>
      </c>
      <c r="D799" t="s">
        <v>14</v>
      </c>
      <c r="E799">
        <v>202602</v>
      </c>
      <c r="F799" t="s">
        <v>172</v>
      </c>
      <c r="G799">
        <v>0</v>
      </c>
      <c r="H799">
        <v>3</v>
      </c>
      <c r="I799">
        <v>6</v>
      </c>
      <c r="J799">
        <v>2</v>
      </c>
      <c r="K799">
        <v>1</v>
      </c>
      <c r="L799">
        <v>5</v>
      </c>
      <c r="M799">
        <v>0</v>
      </c>
      <c r="N799">
        <v>0</v>
      </c>
      <c r="O799">
        <v>2</v>
      </c>
      <c r="P799">
        <v>0</v>
      </c>
      <c r="Q799">
        <v>1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>
        <v>0</v>
      </c>
      <c r="AH799">
        <v>0</v>
      </c>
      <c r="AI799">
        <v>0</v>
      </c>
      <c r="AJ799">
        <v>0</v>
      </c>
      <c r="AK799">
        <v>0</v>
      </c>
      <c r="AL799">
        <v>20</v>
      </c>
      <c r="AM799">
        <v>1</v>
      </c>
      <c r="AN799">
        <v>32.125223214285839</v>
      </c>
    </row>
    <row r="800" spans="1:40" x14ac:dyDescent="0.3">
      <c r="A800" t="s">
        <v>287</v>
      </c>
      <c r="B800" t="s">
        <v>9</v>
      </c>
      <c r="C800" t="s">
        <v>10</v>
      </c>
      <c r="D800" t="s">
        <v>11</v>
      </c>
      <c r="E800">
        <v>202602</v>
      </c>
      <c r="F800" t="s">
        <v>169</v>
      </c>
      <c r="G800">
        <v>0</v>
      </c>
      <c r="H800">
        <v>0</v>
      </c>
      <c r="I800">
        <v>1</v>
      </c>
      <c r="J800">
        <v>0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>
        <v>0</v>
      </c>
      <c r="AH800">
        <v>0</v>
      </c>
      <c r="AI800">
        <v>0</v>
      </c>
      <c r="AJ800">
        <v>0</v>
      </c>
      <c r="AK800">
        <v>0</v>
      </c>
      <c r="AL800">
        <v>1</v>
      </c>
      <c r="AM800">
        <v>0</v>
      </c>
      <c r="AN800">
        <v>1</v>
      </c>
    </row>
    <row r="801" spans="1:40" x14ac:dyDescent="0.3">
      <c r="A801" t="s">
        <v>287</v>
      </c>
      <c r="B801" t="s">
        <v>9</v>
      </c>
      <c r="C801" t="s">
        <v>10</v>
      </c>
      <c r="D801" t="s">
        <v>11</v>
      </c>
      <c r="E801">
        <v>202602</v>
      </c>
      <c r="F801" t="s">
        <v>176</v>
      </c>
      <c r="G801">
        <v>0</v>
      </c>
      <c r="H801">
        <v>5</v>
      </c>
      <c r="I801">
        <v>6</v>
      </c>
      <c r="J801">
        <v>3</v>
      </c>
      <c r="K801">
        <v>9</v>
      </c>
      <c r="L801">
        <v>4</v>
      </c>
      <c r="M801">
        <v>3</v>
      </c>
      <c r="N801">
        <v>0</v>
      </c>
      <c r="O801">
        <v>13</v>
      </c>
      <c r="P801">
        <v>6</v>
      </c>
      <c r="Q801">
        <v>6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  <c r="AG801">
        <v>0</v>
      </c>
      <c r="AH801">
        <v>0</v>
      </c>
      <c r="AI801">
        <v>0</v>
      </c>
      <c r="AJ801">
        <v>0</v>
      </c>
      <c r="AK801">
        <v>0</v>
      </c>
      <c r="AL801">
        <v>55</v>
      </c>
      <c r="AM801">
        <v>8.3333333333333339</v>
      </c>
      <c r="AN801">
        <v>170.11562849682781</v>
      </c>
    </row>
    <row r="802" spans="1:40" x14ac:dyDescent="0.3">
      <c r="A802" t="s">
        <v>287</v>
      </c>
      <c r="B802" t="s">
        <v>9</v>
      </c>
      <c r="C802" t="s">
        <v>10</v>
      </c>
      <c r="D802" t="s">
        <v>11</v>
      </c>
      <c r="E802">
        <v>202602</v>
      </c>
      <c r="F802" t="s">
        <v>288</v>
      </c>
      <c r="G802">
        <v>0</v>
      </c>
      <c r="H802">
        <v>0</v>
      </c>
      <c r="I802">
        <v>0</v>
      </c>
      <c r="J802">
        <v>0</v>
      </c>
      <c r="K802">
        <v>1</v>
      </c>
      <c r="L802">
        <v>1</v>
      </c>
      <c r="M802">
        <v>1</v>
      </c>
      <c r="N802">
        <v>0</v>
      </c>
      <c r="O802">
        <v>1</v>
      </c>
      <c r="P802">
        <v>1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0</v>
      </c>
      <c r="AF802">
        <v>0</v>
      </c>
      <c r="AG802">
        <v>0</v>
      </c>
      <c r="AH802">
        <v>0</v>
      </c>
      <c r="AI802">
        <v>0</v>
      </c>
      <c r="AJ802">
        <v>0</v>
      </c>
      <c r="AK802">
        <v>0</v>
      </c>
      <c r="AL802">
        <v>5</v>
      </c>
      <c r="AM802">
        <v>0.66666666666666663</v>
      </c>
      <c r="AN802">
        <v>14.209250279746223</v>
      </c>
    </row>
    <row r="803" spans="1:40" x14ac:dyDescent="0.3">
      <c r="A803" t="s">
        <v>287</v>
      </c>
      <c r="B803" t="s">
        <v>9</v>
      </c>
      <c r="C803" t="s">
        <v>10</v>
      </c>
      <c r="D803" t="s">
        <v>14</v>
      </c>
      <c r="E803">
        <v>202602</v>
      </c>
      <c r="F803" t="s">
        <v>169</v>
      </c>
      <c r="G803">
        <v>0</v>
      </c>
      <c r="H803">
        <v>1</v>
      </c>
      <c r="I803">
        <v>0</v>
      </c>
      <c r="J803">
        <v>0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>
        <v>0</v>
      </c>
      <c r="AH803">
        <v>0</v>
      </c>
      <c r="AI803">
        <v>0</v>
      </c>
      <c r="AJ803">
        <v>0</v>
      </c>
      <c r="AK803">
        <v>0</v>
      </c>
      <c r="AL803">
        <v>1</v>
      </c>
      <c r="AM803">
        <v>0</v>
      </c>
      <c r="AN803">
        <v>1</v>
      </c>
    </row>
    <row r="804" spans="1:40" x14ac:dyDescent="0.3">
      <c r="A804" t="s">
        <v>287</v>
      </c>
      <c r="B804" t="s">
        <v>9</v>
      </c>
      <c r="C804" t="s">
        <v>10</v>
      </c>
      <c r="D804" t="s">
        <v>14</v>
      </c>
      <c r="E804">
        <v>202602</v>
      </c>
      <c r="F804" t="s">
        <v>176</v>
      </c>
      <c r="G804">
        <v>0</v>
      </c>
      <c r="H804">
        <v>10</v>
      </c>
      <c r="I804">
        <v>7</v>
      </c>
      <c r="J804">
        <v>5</v>
      </c>
      <c r="K804">
        <v>7</v>
      </c>
      <c r="L804">
        <v>4</v>
      </c>
      <c r="M804">
        <v>5</v>
      </c>
      <c r="N804">
        <v>2</v>
      </c>
      <c r="O804">
        <v>8</v>
      </c>
      <c r="P804">
        <v>8</v>
      </c>
      <c r="Q804">
        <v>7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C804">
        <v>0</v>
      </c>
      <c r="AD804">
        <v>0</v>
      </c>
      <c r="AE804">
        <v>0</v>
      </c>
      <c r="AF804">
        <v>0</v>
      </c>
      <c r="AG804">
        <v>0</v>
      </c>
      <c r="AH804">
        <v>0</v>
      </c>
      <c r="AI804">
        <v>0</v>
      </c>
      <c r="AJ804">
        <v>0</v>
      </c>
      <c r="AK804">
        <v>0</v>
      </c>
      <c r="AL804">
        <v>63</v>
      </c>
      <c r="AM804">
        <v>7.666666666666667</v>
      </c>
      <c r="AN804">
        <v>155.96004464285812</v>
      </c>
    </row>
    <row r="805" spans="1:40" x14ac:dyDescent="0.3">
      <c r="A805" t="s">
        <v>287</v>
      </c>
      <c r="B805" t="s">
        <v>9</v>
      </c>
      <c r="C805" t="s">
        <v>10</v>
      </c>
      <c r="D805" t="s">
        <v>14</v>
      </c>
      <c r="E805">
        <v>202602</v>
      </c>
      <c r="F805" t="s">
        <v>288</v>
      </c>
      <c r="G805">
        <v>0</v>
      </c>
      <c r="H805">
        <v>1</v>
      </c>
      <c r="I805">
        <v>0</v>
      </c>
      <c r="J805">
        <v>2</v>
      </c>
      <c r="K805">
        <v>2</v>
      </c>
      <c r="L805">
        <v>0</v>
      </c>
      <c r="M805">
        <v>1</v>
      </c>
      <c r="N805">
        <v>0</v>
      </c>
      <c r="O805">
        <v>3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>
        <v>0</v>
      </c>
      <c r="AD805">
        <v>0</v>
      </c>
      <c r="AE805">
        <v>0</v>
      </c>
      <c r="AF805">
        <v>0</v>
      </c>
      <c r="AG805">
        <v>0</v>
      </c>
      <c r="AH805">
        <v>0</v>
      </c>
      <c r="AI805">
        <v>0</v>
      </c>
      <c r="AJ805">
        <v>0</v>
      </c>
      <c r="AK805">
        <v>0</v>
      </c>
      <c r="AL805">
        <v>9</v>
      </c>
      <c r="AM805">
        <v>1</v>
      </c>
      <c r="AN805">
        <v>21.125223214285839</v>
      </c>
    </row>
    <row r="806" spans="1:40" x14ac:dyDescent="0.3">
      <c r="A806" t="s">
        <v>287</v>
      </c>
      <c r="B806" t="s">
        <v>9</v>
      </c>
      <c r="C806" t="s">
        <v>16</v>
      </c>
      <c r="D806" t="s">
        <v>11</v>
      </c>
      <c r="E806">
        <v>202602</v>
      </c>
      <c r="F806" t="s">
        <v>176</v>
      </c>
      <c r="G806">
        <v>0</v>
      </c>
      <c r="H806">
        <v>0</v>
      </c>
      <c r="I806">
        <v>0</v>
      </c>
      <c r="J806">
        <v>0</v>
      </c>
      <c r="K806">
        <v>0</v>
      </c>
      <c r="L806">
        <v>0</v>
      </c>
      <c r="M806">
        <v>1</v>
      </c>
      <c r="N806">
        <v>0</v>
      </c>
      <c r="O806">
        <v>0</v>
      </c>
      <c r="P806">
        <v>0</v>
      </c>
      <c r="Q806">
        <v>1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C806">
        <v>0</v>
      </c>
      <c r="AD806">
        <v>0</v>
      </c>
      <c r="AE806">
        <v>0</v>
      </c>
      <c r="AF806">
        <v>0</v>
      </c>
      <c r="AG806">
        <v>0</v>
      </c>
      <c r="AH806">
        <v>0</v>
      </c>
      <c r="AI806">
        <v>0</v>
      </c>
      <c r="AJ806">
        <v>0</v>
      </c>
      <c r="AK806">
        <v>0</v>
      </c>
      <c r="AL806">
        <v>2</v>
      </c>
      <c r="AM806">
        <v>0.33333333333333331</v>
      </c>
      <c r="AN806">
        <v>6.6046251398731117</v>
      </c>
    </row>
    <row r="807" spans="1:40" x14ac:dyDescent="0.3">
      <c r="A807" t="s">
        <v>287</v>
      </c>
      <c r="B807" t="s">
        <v>9</v>
      </c>
      <c r="C807" t="s">
        <v>16</v>
      </c>
      <c r="D807" t="s">
        <v>14</v>
      </c>
      <c r="E807">
        <v>202602</v>
      </c>
      <c r="F807" t="s">
        <v>176</v>
      </c>
      <c r="G807">
        <v>0</v>
      </c>
      <c r="H807">
        <v>0</v>
      </c>
      <c r="I807">
        <v>0</v>
      </c>
      <c r="J807">
        <v>0</v>
      </c>
      <c r="K807">
        <v>1</v>
      </c>
      <c r="L807">
        <v>0</v>
      </c>
      <c r="M807">
        <v>0</v>
      </c>
      <c r="N807">
        <v>0</v>
      </c>
      <c r="O807">
        <v>0</v>
      </c>
      <c r="P807">
        <v>1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0</v>
      </c>
      <c r="AC807">
        <v>0</v>
      </c>
      <c r="AD807">
        <v>0</v>
      </c>
      <c r="AE807">
        <v>0</v>
      </c>
      <c r="AF807">
        <v>0</v>
      </c>
      <c r="AG807">
        <v>0</v>
      </c>
      <c r="AH807">
        <v>0</v>
      </c>
      <c r="AI807">
        <v>0</v>
      </c>
      <c r="AJ807">
        <v>0</v>
      </c>
      <c r="AK807">
        <v>0</v>
      </c>
      <c r="AL807">
        <v>2</v>
      </c>
      <c r="AM807">
        <v>0.33333333333333331</v>
      </c>
      <c r="AN807">
        <v>6.0417410714286133</v>
      </c>
    </row>
    <row r="808" spans="1:40" x14ac:dyDescent="0.3">
      <c r="A808" t="s">
        <v>287</v>
      </c>
      <c r="B808" t="s">
        <v>17</v>
      </c>
      <c r="C808" t="s">
        <v>10</v>
      </c>
      <c r="D808" t="s">
        <v>11</v>
      </c>
      <c r="E808">
        <v>202602</v>
      </c>
      <c r="F808" t="s">
        <v>42</v>
      </c>
      <c r="G808">
        <v>0</v>
      </c>
      <c r="H808">
        <v>0</v>
      </c>
      <c r="I808">
        <v>1</v>
      </c>
      <c r="J808">
        <v>0</v>
      </c>
      <c r="K808">
        <v>0</v>
      </c>
      <c r="L808">
        <v>0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0</v>
      </c>
      <c r="AC808">
        <v>0</v>
      </c>
      <c r="AD808">
        <v>0</v>
      </c>
      <c r="AE808">
        <v>0</v>
      </c>
      <c r="AF808">
        <v>0</v>
      </c>
      <c r="AG808">
        <v>0</v>
      </c>
      <c r="AH808">
        <v>0</v>
      </c>
      <c r="AI808">
        <v>0</v>
      </c>
      <c r="AJ808">
        <v>0</v>
      </c>
      <c r="AK808">
        <v>0</v>
      </c>
      <c r="AL808">
        <v>1</v>
      </c>
      <c r="AM808">
        <v>0</v>
      </c>
      <c r="AN808">
        <v>1</v>
      </c>
    </row>
    <row r="809" spans="1:40" x14ac:dyDescent="0.3">
      <c r="A809" t="s">
        <v>287</v>
      </c>
      <c r="B809" t="s">
        <v>17</v>
      </c>
      <c r="C809" t="s">
        <v>10</v>
      </c>
      <c r="D809" t="s">
        <v>11</v>
      </c>
      <c r="E809">
        <v>202602</v>
      </c>
      <c r="F809" t="s">
        <v>289</v>
      </c>
      <c r="G809">
        <v>0</v>
      </c>
      <c r="H809">
        <v>0</v>
      </c>
      <c r="I809">
        <v>0</v>
      </c>
      <c r="J809">
        <v>0</v>
      </c>
      <c r="K809">
        <v>0</v>
      </c>
      <c r="L809">
        <v>1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0</v>
      </c>
      <c r="AC809">
        <v>0</v>
      </c>
      <c r="AD809">
        <v>0</v>
      </c>
      <c r="AE809">
        <v>0</v>
      </c>
      <c r="AF809">
        <v>0</v>
      </c>
      <c r="AG809">
        <v>0</v>
      </c>
      <c r="AH809">
        <v>0</v>
      </c>
      <c r="AI809">
        <v>0</v>
      </c>
      <c r="AJ809">
        <v>0</v>
      </c>
      <c r="AK809">
        <v>0</v>
      </c>
      <c r="AL809">
        <v>1</v>
      </c>
      <c r="AM809">
        <v>0</v>
      </c>
      <c r="AN809">
        <v>1</v>
      </c>
    </row>
    <row r="810" spans="1:40" x14ac:dyDescent="0.3">
      <c r="A810" t="s">
        <v>287</v>
      </c>
      <c r="B810" t="s">
        <v>17</v>
      </c>
      <c r="C810" t="s">
        <v>10</v>
      </c>
      <c r="D810" t="s">
        <v>11</v>
      </c>
      <c r="E810">
        <v>202602</v>
      </c>
      <c r="F810" t="s">
        <v>299</v>
      </c>
      <c r="G810">
        <v>0</v>
      </c>
      <c r="H810">
        <v>0</v>
      </c>
      <c r="I810">
        <v>0</v>
      </c>
      <c r="J810">
        <v>0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1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>
        <v>0</v>
      </c>
      <c r="AB810">
        <v>0</v>
      </c>
      <c r="AC810">
        <v>0</v>
      </c>
      <c r="AD810">
        <v>0</v>
      </c>
      <c r="AE810">
        <v>0</v>
      </c>
      <c r="AF810">
        <v>0</v>
      </c>
      <c r="AG810">
        <v>0</v>
      </c>
      <c r="AH810">
        <v>0</v>
      </c>
      <c r="AI810">
        <v>0</v>
      </c>
      <c r="AJ810">
        <v>0</v>
      </c>
      <c r="AK810">
        <v>0</v>
      </c>
      <c r="AL810">
        <v>1</v>
      </c>
      <c r="AM810">
        <v>0.33333333333333331</v>
      </c>
      <c r="AN810">
        <v>5.6046251398731117</v>
      </c>
    </row>
    <row r="811" spans="1:40" x14ac:dyDescent="0.3">
      <c r="A811" t="s">
        <v>287</v>
      </c>
      <c r="B811" t="s">
        <v>17</v>
      </c>
      <c r="C811" t="s">
        <v>10</v>
      </c>
      <c r="D811" t="s">
        <v>11</v>
      </c>
      <c r="E811">
        <v>202602</v>
      </c>
      <c r="F811" t="s">
        <v>290</v>
      </c>
      <c r="G811">
        <v>0</v>
      </c>
      <c r="H811">
        <v>0</v>
      </c>
      <c r="I811">
        <v>0</v>
      </c>
      <c r="J811">
        <v>0</v>
      </c>
      <c r="K811">
        <v>0</v>
      </c>
      <c r="L811">
        <v>0</v>
      </c>
      <c r="M811">
        <v>0</v>
      </c>
      <c r="N811">
        <v>0</v>
      </c>
      <c r="O811">
        <v>1</v>
      </c>
      <c r="P811">
        <v>0</v>
      </c>
      <c r="Q811">
        <v>1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0</v>
      </c>
      <c r="AA811">
        <v>0</v>
      </c>
      <c r="AB811">
        <v>0</v>
      </c>
      <c r="AC811">
        <v>0</v>
      </c>
      <c r="AD811">
        <v>0</v>
      </c>
      <c r="AE811">
        <v>0</v>
      </c>
      <c r="AF811">
        <v>0</v>
      </c>
      <c r="AG811">
        <v>0</v>
      </c>
      <c r="AH811">
        <v>0</v>
      </c>
      <c r="AI811">
        <v>0</v>
      </c>
      <c r="AJ811">
        <v>0</v>
      </c>
      <c r="AK811">
        <v>0</v>
      </c>
      <c r="AL811">
        <v>2</v>
      </c>
      <c r="AM811">
        <v>0.66666666666666663</v>
      </c>
      <c r="AN811">
        <v>11.209250279746223</v>
      </c>
    </row>
    <row r="812" spans="1:40" x14ac:dyDescent="0.3">
      <c r="A812" t="s">
        <v>287</v>
      </c>
      <c r="B812" t="s">
        <v>17</v>
      </c>
      <c r="C812" t="s">
        <v>10</v>
      </c>
      <c r="D812" t="s">
        <v>11</v>
      </c>
      <c r="E812">
        <v>202602</v>
      </c>
      <c r="F812" t="s">
        <v>291</v>
      </c>
      <c r="G812">
        <v>0</v>
      </c>
      <c r="H812">
        <v>1</v>
      </c>
      <c r="I812">
        <v>0</v>
      </c>
      <c r="J812">
        <v>0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0</v>
      </c>
      <c r="AA812">
        <v>0</v>
      </c>
      <c r="AB812">
        <v>0</v>
      </c>
      <c r="AC812">
        <v>0</v>
      </c>
      <c r="AD812">
        <v>0</v>
      </c>
      <c r="AE812">
        <v>0</v>
      </c>
      <c r="AF812">
        <v>0</v>
      </c>
      <c r="AG812">
        <v>0</v>
      </c>
      <c r="AH812">
        <v>0</v>
      </c>
      <c r="AI812">
        <v>0</v>
      </c>
      <c r="AJ812">
        <v>0</v>
      </c>
      <c r="AK812">
        <v>0</v>
      </c>
      <c r="AL812">
        <v>1</v>
      </c>
      <c r="AM812">
        <v>0</v>
      </c>
      <c r="AN812">
        <v>1</v>
      </c>
    </row>
    <row r="813" spans="1:40" x14ac:dyDescent="0.3">
      <c r="A813" t="s">
        <v>287</v>
      </c>
      <c r="B813" t="s">
        <v>17</v>
      </c>
      <c r="C813" t="s">
        <v>10</v>
      </c>
      <c r="D813" t="s">
        <v>11</v>
      </c>
      <c r="E813">
        <v>202602</v>
      </c>
      <c r="F813" t="s">
        <v>292</v>
      </c>
      <c r="G813">
        <v>0</v>
      </c>
      <c r="H813">
        <v>0</v>
      </c>
      <c r="I813">
        <v>0</v>
      </c>
      <c r="J813">
        <v>0</v>
      </c>
      <c r="K813">
        <v>1</v>
      </c>
      <c r="L813">
        <v>1</v>
      </c>
      <c r="M813">
        <v>1</v>
      </c>
      <c r="N813">
        <v>0</v>
      </c>
      <c r="O813">
        <v>2</v>
      </c>
      <c r="P813">
        <v>1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0</v>
      </c>
      <c r="AA813">
        <v>0</v>
      </c>
      <c r="AB813">
        <v>0</v>
      </c>
      <c r="AC813">
        <v>0</v>
      </c>
      <c r="AD813">
        <v>0</v>
      </c>
      <c r="AE813">
        <v>0</v>
      </c>
      <c r="AF813">
        <v>0</v>
      </c>
      <c r="AG813">
        <v>0</v>
      </c>
      <c r="AH813">
        <v>0</v>
      </c>
      <c r="AI813">
        <v>0</v>
      </c>
      <c r="AJ813">
        <v>0</v>
      </c>
      <c r="AK813">
        <v>0</v>
      </c>
      <c r="AL813">
        <v>6</v>
      </c>
      <c r="AM813">
        <v>1</v>
      </c>
      <c r="AN813">
        <v>19.813875419619336</v>
      </c>
    </row>
    <row r="814" spans="1:40" x14ac:dyDescent="0.3">
      <c r="A814" t="s">
        <v>287</v>
      </c>
      <c r="B814" t="s">
        <v>17</v>
      </c>
      <c r="C814" t="s">
        <v>10</v>
      </c>
      <c r="D814" t="s">
        <v>11</v>
      </c>
      <c r="E814">
        <v>202602</v>
      </c>
      <c r="F814" t="s">
        <v>293</v>
      </c>
      <c r="G814">
        <v>0</v>
      </c>
      <c r="H814">
        <v>0</v>
      </c>
      <c r="I814">
        <v>0</v>
      </c>
      <c r="J814">
        <v>1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1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0</v>
      </c>
      <c r="AA814">
        <v>0</v>
      </c>
      <c r="AB814">
        <v>0</v>
      </c>
      <c r="AC814">
        <v>0</v>
      </c>
      <c r="AD814">
        <v>0</v>
      </c>
      <c r="AE814">
        <v>0</v>
      </c>
      <c r="AF814">
        <v>0</v>
      </c>
      <c r="AG814">
        <v>0</v>
      </c>
      <c r="AH814">
        <v>0</v>
      </c>
      <c r="AI814">
        <v>0</v>
      </c>
      <c r="AJ814">
        <v>0</v>
      </c>
      <c r="AK814">
        <v>0</v>
      </c>
      <c r="AL814">
        <v>2</v>
      </c>
      <c r="AM814">
        <v>0.33333333333333331</v>
      </c>
      <c r="AN814">
        <v>6.6046251398731117</v>
      </c>
    </row>
    <row r="815" spans="1:40" x14ac:dyDescent="0.3">
      <c r="A815" t="s">
        <v>287</v>
      </c>
      <c r="B815" t="s">
        <v>17</v>
      </c>
      <c r="C815" t="s">
        <v>10</v>
      </c>
      <c r="D815" t="s">
        <v>11</v>
      </c>
      <c r="E815">
        <v>202602</v>
      </c>
      <c r="F815" t="s">
        <v>294</v>
      </c>
      <c r="G815">
        <v>0</v>
      </c>
      <c r="H815">
        <v>1</v>
      </c>
      <c r="I815">
        <v>0</v>
      </c>
      <c r="J815">
        <v>0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1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0</v>
      </c>
      <c r="AA815">
        <v>0</v>
      </c>
      <c r="AB815">
        <v>0</v>
      </c>
      <c r="AC815">
        <v>0</v>
      </c>
      <c r="AD815">
        <v>0</v>
      </c>
      <c r="AE815">
        <v>0</v>
      </c>
      <c r="AF815">
        <v>0</v>
      </c>
      <c r="AG815">
        <v>0</v>
      </c>
      <c r="AH815">
        <v>0</v>
      </c>
      <c r="AI815">
        <v>0</v>
      </c>
      <c r="AJ815">
        <v>0</v>
      </c>
      <c r="AK815">
        <v>0</v>
      </c>
      <c r="AL815">
        <v>2</v>
      </c>
      <c r="AM815">
        <v>0.33333333333333331</v>
      </c>
      <c r="AN815">
        <v>6.6046251398731117</v>
      </c>
    </row>
    <row r="816" spans="1:40" x14ac:dyDescent="0.3">
      <c r="A816" t="s">
        <v>287</v>
      </c>
      <c r="B816" t="s">
        <v>17</v>
      </c>
      <c r="C816" t="s">
        <v>10</v>
      </c>
      <c r="D816" t="s">
        <v>11</v>
      </c>
      <c r="E816">
        <v>202602</v>
      </c>
      <c r="F816" t="s">
        <v>295</v>
      </c>
      <c r="G816">
        <v>0</v>
      </c>
      <c r="H816">
        <v>0</v>
      </c>
      <c r="I816">
        <v>0</v>
      </c>
      <c r="J816">
        <v>0</v>
      </c>
      <c r="K816">
        <v>1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0</v>
      </c>
      <c r="Z816">
        <v>0</v>
      </c>
      <c r="AA816">
        <v>0</v>
      </c>
      <c r="AB816">
        <v>0</v>
      </c>
      <c r="AC816">
        <v>0</v>
      </c>
      <c r="AD816">
        <v>0</v>
      </c>
      <c r="AE816">
        <v>0</v>
      </c>
      <c r="AF816">
        <v>0</v>
      </c>
      <c r="AG816">
        <v>0</v>
      </c>
      <c r="AH816">
        <v>0</v>
      </c>
      <c r="AI816">
        <v>0</v>
      </c>
      <c r="AJ816">
        <v>0</v>
      </c>
      <c r="AK816">
        <v>0</v>
      </c>
      <c r="AL816">
        <v>1</v>
      </c>
      <c r="AM816">
        <v>0</v>
      </c>
      <c r="AN816">
        <v>1</v>
      </c>
    </row>
    <row r="817" spans="1:40" x14ac:dyDescent="0.3">
      <c r="A817" t="s">
        <v>287</v>
      </c>
      <c r="B817" t="s">
        <v>17</v>
      </c>
      <c r="C817" t="s">
        <v>10</v>
      </c>
      <c r="D817" t="s">
        <v>11</v>
      </c>
      <c r="E817">
        <v>202602</v>
      </c>
      <c r="F817" t="s">
        <v>296</v>
      </c>
      <c r="G817">
        <v>0</v>
      </c>
      <c r="H817">
        <v>1</v>
      </c>
      <c r="I817">
        <v>0</v>
      </c>
      <c r="J817">
        <v>0</v>
      </c>
      <c r="K817">
        <v>0</v>
      </c>
      <c r="L817">
        <v>0</v>
      </c>
      <c r="M817">
        <v>0</v>
      </c>
      <c r="N817">
        <v>0</v>
      </c>
      <c r="O817">
        <v>1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0</v>
      </c>
      <c r="AA817">
        <v>0</v>
      </c>
      <c r="AB817">
        <v>0</v>
      </c>
      <c r="AC817">
        <v>0</v>
      </c>
      <c r="AD817">
        <v>0</v>
      </c>
      <c r="AE817">
        <v>0</v>
      </c>
      <c r="AF817">
        <v>0</v>
      </c>
      <c r="AG817">
        <v>0</v>
      </c>
      <c r="AH817">
        <v>0</v>
      </c>
      <c r="AI817">
        <v>0</v>
      </c>
      <c r="AJ817">
        <v>0</v>
      </c>
      <c r="AK817">
        <v>0</v>
      </c>
      <c r="AL817">
        <v>2</v>
      </c>
      <c r="AM817">
        <v>0.33333333333333331</v>
      </c>
      <c r="AN817">
        <v>6.6046251398731117</v>
      </c>
    </row>
    <row r="818" spans="1:40" x14ac:dyDescent="0.3">
      <c r="A818" t="s">
        <v>287</v>
      </c>
      <c r="B818" t="s">
        <v>17</v>
      </c>
      <c r="C818" t="s">
        <v>10</v>
      </c>
      <c r="D818" t="s">
        <v>11</v>
      </c>
      <c r="E818">
        <v>202602</v>
      </c>
      <c r="F818" t="s">
        <v>297</v>
      </c>
      <c r="G818">
        <v>0</v>
      </c>
      <c r="H818">
        <v>0</v>
      </c>
      <c r="I818">
        <v>0</v>
      </c>
      <c r="J818">
        <v>0</v>
      </c>
      <c r="K818">
        <v>0</v>
      </c>
      <c r="L818">
        <v>6</v>
      </c>
      <c r="M818">
        <v>0</v>
      </c>
      <c r="N818">
        <v>0</v>
      </c>
      <c r="O818">
        <v>1</v>
      </c>
      <c r="P818">
        <v>1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0</v>
      </c>
      <c r="AA818">
        <v>0</v>
      </c>
      <c r="AB818">
        <v>0</v>
      </c>
      <c r="AC818">
        <v>0</v>
      </c>
      <c r="AD818">
        <v>0</v>
      </c>
      <c r="AE818">
        <v>0</v>
      </c>
      <c r="AF818">
        <v>0</v>
      </c>
      <c r="AG818">
        <v>0</v>
      </c>
      <c r="AH818">
        <v>0</v>
      </c>
      <c r="AI818">
        <v>0</v>
      </c>
      <c r="AJ818">
        <v>0</v>
      </c>
      <c r="AK818">
        <v>0</v>
      </c>
      <c r="AL818">
        <v>8</v>
      </c>
      <c r="AM818">
        <v>0.66666666666666663</v>
      </c>
      <c r="AN818">
        <v>17.209250279746222</v>
      </c>
    </row>
    <row r="819" spans="1:40" x14ac:dyDescent="0.3">
      <c r="A819" t="s">
        <v>287</v>
      </c>
      <c r="B819" t="s">
        <v>17</v>
      </c>
      <c r="C819" t="s">
        <v>10</v>
      </c>
      <c r="D819" t="s">
        <v>11</v>
      </c>
      <c r="E819">
        <v>202602</v>
      </c>
      <c r="F819" t="s">
        <v>298</v>
      </c>
      <c r="G819">
        <v>0</v>
      </c>
      <c r="H819">
        <v>0</v>
      </c>
      <c r="I819">
        <v>1</v>
      </c>
      <c r="J819">
        <v>0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1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0</v>
      </c>
      <c r="AA819">
        <v>0</v>
      </c>
      <c r="AB819">
        <v>0</v>
      </c>
      <c r="AC819">
        <v>0</v>
      </c>
      <c r="AD819">
        <v>0</v>
      </c>
      <c r="AE819">
        <v>0</v>
      </c>
      <c r="AF819">
        <v>0</v>
      </c>
      <c r="AG819">
        <v>0</v>
      </c>
      <c r="AH819">
        <v>0</v>
      </c>
      <c r="AI819">
        <v>0</v>
      </c>
      <c r="AJ819">
        <v>0</v>
      </c>
      <c r="AK819">
        <v>0</v>
      </c>
      <c r="AL819">
        <v>2</v>
      </c>
      <c r="AM819">
        <v>0.33333333333333331</v>
      </c>
      <c r="AN819">
        <v>6.6046251398731117</v>
      </c>
    </row>
    <row r="820" spans="1:40" x14ac:dyDescent="0.3">
      <c r="A820" t="s">
        <v>287</v>
      </c>
      <c r="B820" t="s">
        <v>17</v>
      </c>
      <c r="C820" t="s">
        <v>10</v>
      </c>
      <c r="D820" t="s">
        <v>14</v>
      </c>
      <c r="E820">
        <v>202602</v>
      </c>
      <c r="F820" t="s">
        <v>18</v>
      </c>
      <c r="G820">
        <v>0</v>
      </c>
      <c r="H820">
        <v>0</v>
      </c>
      <c r="I820">
        <v>0</v>
      </c>
      <c r="J820">
        <v>0</v>
      </c>
      <c r="K820">
        <v>0</v>
      </c>
      <c r="L820">
        <v>1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0</v>
      </c>
      <c r="AA820">
        <v>0</v>
      </c>
      <c r="AB820">
        <v>0</v>
      </c>
      <c r="AC820">
        <v>0</v>
      </c>
      <c r="AD820">
        <v>0</v>
      </c>
      <c r="AE820">
        <v>0</v>
      </c>
      <c r="AF820">
        <v>0</v>
      </c>
      <c r="AG820">
        <v>0</v>
      </c>
      <c r="AH820">
        <v>0</v>
      </c>
      <c r="AI820">
        <v>0</v>
      </c>
      <c r="AJ820">
        <v>0</v>
      </c>
      <c r="AK820">
        <v>0</v>
      </c>
      <c r="AL820">
        <v>1</v>
      </c>
      <c r="AM820">
        <v>0</v>
      </c>
      <c r="AN820">
        <v>1</v>
      </c>
    </row>
    <row r="821" spans="1:40" x14ac:dyDescent="0.3">
      <c r="A821" t="s">
        <v>287</v>
      </c>
      <c r="B821" t="s">
        <v>17</v>
      </c>
      <c r="C821" t="s">
        <v>10</v>
      </c>
      <c r="D821" t="s">
        <v>14</v>
      </c>
      <c r="E821">
        <v>202602</v>
      </c>
      <c r="F821" t="s">
        <v>289</v>
      </c>
      <c r="G821">
        <v>0</v>
      </c>
      <c r="H821">
        <v>0</v>
      </c>
      <c r="I821">
        <v>0</v>
      </c>
      <c r="J821">
        <v>0</v>
      </c>
      <c r="K821">
        <v>1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0</v>
      </c>
      <c r="AA821">
        <v>0</v>
      </c>
      <c r="AB821">
        <v>0</v>
      </c>
      <c r="AC821">
        <v>0</v>
      </c>
      <c r="AD821">
        <v>0</v>
      </c>
      <c r="AE821">
        <v>0</v>
      </c>
      <c r="AF821">
        <v>0</v>
      </c>
      <c r="AG821">
        <v>0</v>
      </c>
      <c r="AH821">
        <v>0</v>
      </c>
      <c r="AI821">
        <v>0</v>
      </c>
      <c r="AJ821">
        <v>0</v>
      </c>
      <c r="AK821">
        <v>0</v>
      </c>
      <c r="AL821">
        <v>1</v>
      </c>
      <c r="AM821">
        <v>0</v>
      </c>
      <c r="AN821">
        <v>1</v>
      </c>
    </row>
    <row r="822" spans="1:40" x14ac:dyDescent="0.3">
      <c r="A822" t="s">
        <v>287</v>
      </c>
      <c r="B822" t="s">
        <v>17</v>
      </c>
      <c r="C822" t="s">
        <v>10</v>
      </c>
      <c r="D822" t="s">
        <v>14</v>
      </c>
      <c r="E822">
        <v>202602</v>
      </c>
      <c r="F822" t="s">
        <v>299</v>
      </c>
      <c r="G822">
        <v>0</v>
      </c>
      <c r="H822">
        <v>0</v>
      </c>
      <c r="I822">
        <v>0</v>
      </c>
      <c r="J822">
        <v>0</v>
      </c>
      <c r="K822">
        <v>0</v>
      </c>
      <c r="L822">
        <v>0</v>
      </c>
      <c r="M822">
        <v>0</v>
      </c>
      <c r="N822">
        <v>0</v>
      </c>
      <c r="O822">
        <v>1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0</v>
      </c>
      <c r="Z822">
        <v>0</v>
      </c>
      <c r="AA822">
        <v>0</v>
      </c>
      <c r="AB822">
        <v>0</v>
      </c>
      <c r="AC822">
        <v>0</v>
      </c>
      <c r="AD822">
        <v>0</v>
      </c>
      <c r="AE822">
        <v>0</v>
      </c>
      <c r="AF822">
        <v>0</v>
      </c>
      <c r="AG822">
        <v>0</v>
      </c>
      <c r="AH822">
        <v>0</v>
      </c>
      <c r="AI822">
        <v>0</v>
      </c>
      <c r="AJ822">
        <v>0</v>
      </c>
      <c r="AK822">
        <v>0</v>
      </c>
      <c r="AL822">
        <v>1</v>
      </c>
      <c r="AM822">
        <v>0.33333333333333331</v>
      </c>
      <c r="AN822">
        <v>5.0417410714286133</v>
      </c>
    </row>
    <row r="823" spans="1:40" x14ac:dyDescent="0.3">
      <c r="A823" t="s">
        <v>287</v>
      </c>
      <c r="B823" t="s">
        <v>17</v>
      </c>
      <c r="C823" t="s">
        <v>10</v>
      </c>
      <c r="D823" t="s">
        <v>14</v>
      </c>
      <c r="E823">
        <v>202602</v>
      </c>
      <c r="F823" t="s">
        <v>290</v>
      </c>
      <c r="G823">
        <v>0</v>
      </c>
      <c r="H823">
        <v>0</v>
      </c>
      <c r="I823">
        <v>0</v>
      </c>
      <c r="J823">
        <v>0</v>
      </c>
      <c r="K823">
        <v>1</v>
      </c>
      <c r="L823">
        <v>0</v>
      </c>
      <c r="M823">
        <v>0</v>
      </c>
      <c r="N823">
        <v>0</v>
      </c>
      <c r="O823">
        <v>1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>
        <v>0</v>
      </c>
      <c r="AH823">
        <v>0</v>
      </c>
      <c r="AI823">
        <v>0</v>
      </c>
      <c r="AJ823">
        <v>0</v>
      </c>
      <c r="AK823">
        <v>0</v>
      </c>
      <c r="AL823">
        <v>2</v>
      </c>
      <c r="AM823">
        <v>0.33333333333333331</v>
      </c>
      <c r="AN823">
        <v>6.0417410714286133</v>
      </c>
    </row>
    <row r="824" spans="1:40" x14ac:dyDescent="0.3">
      <c r="A824" t="s">
        <v>287</v>
      </c>
      <c r="B824" t="s">
        <v>17</v>
      </c>
      <c r="C824" t="s">
        <v>10</v>
      </c>
      <c r="D824" t="s">
        <v>14</v>
      </c>
      <c r="E824">
        <v>202602</v>
      </c>
      <c r="F824" t="s">
        <v>291</v>
      </c>
      <c r="G824">
        <v>0</v>
      </c>
      <c r="H824">
        <v>0</v>
      </c>
      <c r="I824">
        <v>0</v>
      </c>
      <c r="J824">
        <v>0</v>
      </c>
      <c r="K824">
        <v>0</v>
      </c>
      <c r="L824">
        <v>0</v>
      </c>
      <c r="M824">
        <v>0</v>
      </c>
      <c r="N824">
        <v>0</v>
      </c>
      <c r="O824">
        <v>0</v>
      </c>
      <c r="P824">
        <v>0</v>
      </c>
      <c r="Q824">
        <v>1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>
        <v>0</v>
      </c>
      <c r="AH824">
        <v>0</v>
      </c>
      <c r="AI824">
        <v>0</v>
      </c>
      <c r="AJ824">
        <v>0</v>
      </c>
      <c r="AK824">
        <v>0</v>
      </c>
      <c r="AL824">
        <v>1</v>
      </c>
      <c r="AM824">
        <v>0.33333333333333331</v>
      </c>
      <c r="AN824">
        <v>5.0417410714286133</v>
      </c>
    </row>
    <row r="825" spans="1:40" x14ac:dyDescent="0.3">
      <c r="A825" t="s">
        <v>287</v>
      </c>
      <c r="B825" t="s">
        <v>17</v>
      </c>
      <c r="C825" t="s">
        <v>10</v>
      </c>
      <c r="D825" t="s">
        <v>14</v>
      </c>
      <c r="E825">
        <v>202602</v>
      </c>
      <c r="F825" t="s">
        <v>292</v>
      </c>
      <c r="G825">
        <v>0</v>
      </c>
      <c r="H825">
        <v>0</v>
      </c>
      <c r="I825">
        <v>1</v>
      </c>
      <c r="J825">
        <v>0</v>
      </c>
      <c r="K825">
        <v>2</v>
      </c>
      <c r="L825">
        <v>3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>
        <v>0</v>
      </c>
      <c r="AH825">
        <v>0</v>
      </c>
      <c r="AI825">
        <v>0</v>
      </c>
      <c r="AJ825">
        <v>0</v>
      </c>
      <c r="AK825">
        <v>0</v>
      </c>
      <c r="AL825">
        <v>6</v>
      </c>
      <c r="AM825">
        <v>0</v>
      </c>
      <c r="AN825">
        <v>6</v>
      </c>
    </row>
    <row r="826" spans="1:40" x14ac:dyDescent="0.3">
      <c r="A826" t="s">
        <v>287</v>
      </c>
      <c r="B826" t="s">
        <v>17</v>
      </c>
      <c r="C826" t="s">
        <v>10</v>
      </c>
      <c r="D826" t="s">
        <v>14</v>
      </c>
      <c r="E826">
        <v>202602</v>
      </c>
      <c r="F826" t="s">
        <v>293</v>
      </c>
      <c r="G826">
        <v>0</v>
      </c>
      <c r="H826">
        <v>0</v>
      </c>
      <c r="I826">
        <v>1</v>
      </c>
      <c r="J826">
        <v>0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1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>
        <v>0</v>
      </c>
      <c r="AI826">
        <v>0</v>
      </c>
      <c r="AJ826">
        <v>0</v>
      </c>
      <c r="AK826">
        <v>0</v>
      </c>
      <c r="AL826">
        <v>2</v>
      </c>
      <c r="AM826">
        <v>0.33333333333333331</v>
      </c>
      <c r="AN826">
        <v>6.0417410714286133</v>
      </c>
    </row>
    <row r="827" spans="1:40" x14ac:dyDescent="0.3">
      <c r="A827" t="s">
        <v>287</v>
      </c>
      <c r="B827" t="s">
        <v>17</v>
      </c>
      <c r="C827" t="s">
        <v>10</v>
      </c>
      <c r="D827" t="s">
        <v>14</v>
      </c>
      <c r="E827">
        <v>202602</v>
      </c>
      <c r="F827" t="s">
        <v>294</v>
      </c>
      <c r="G827">
        <v>0</v>
      </c>
      <c r="H827">
        <v>0</v>
      </c>
      <c r="I827">
        <v>0</v>
      </c>
      <c r="J827">
        <v>0</v>
      </c>
      <c r="K827">
        <v>0</v>
      </c>
      <c r="L827">
        <v>0</v>
      </c>
      <c r="M827">
        <v>0</v>
      </c>
      <c r="N827">
        <v>0</v>
      </c>
      <c r="O827">
        <v>1</v>
      </c>
      <c r="P827">
        <v>0</v>
      </c>
      <c r="Q827">
        <v>2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>
        <v>0</v>
      </c>
      <c r="AH827">
        <v>0</v>
      </c>
      <c r="AI827">
        <v>0</v>
      </c>
      <c r="AJ827">
        <v>0</v>
      </c>
      <c r="AK827">
        <v>0</v>
      </c>
      <c r="AL827">
        <v>3</v>
      </c>
      <c r="AM827">
        <v>1</v>
      </c>
      <c r="AN827">
        <v>15.125223214285839</v>
      </c>
    </row>
    <row r="828" spans="1:40" x14ac:dyDescent="0.3">
      <c r="A828" t="s">
        <v>287</v>
      </c>
      <c r="B828" t="s">
        <v>17</v>
      </c>
      <c r="C828" t="s">
        <v>10</v>
      </c>
      <c r="D828" t="s">
        <v>14</v>
      </c>
      <c r="E828">
        <v>202602</v>
      </c>
      <c r="F828" t="s">
        <v>300</v>
      </c>
      <c r="G828">
        <v>0</v>
      </c>
      <c r="H828">
        <v>0</v>
      </c>
      <c r="I828">
        <v>0</v>
      </c>
      <c r="J828">
        <v>0</v>
      </c>
      <c r="K828">
        <v>2</v>
      </c>
      <c r="L828">
        <v>0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>
        <v>0</v>
      </c>
      <c r="AH828">
        <v>0</v>
      </c>
      <c r="AI828">
        <v>0</v>
      </c>
      <c r="AJ828">
        <v>0</v>
      </c>
      <c r="AK828">
        <v>0</v>
      </c>
      <c r="AL828">
        <v>2</v>
      </c>
      <c r="AM828">
        <v>0</v>
      </c>
      <c r="AN828">
        <v>2</v>
      </c>
    </row>
    <row r="829" spans="1:40" x14ac:dyDescent="0.3">
      <c r="A829" t="s">
        <v>287</v>
      </c>
      <c r="B829" t="s">
        <v>17</v>
      </c>
      <c r="C829" t="s">
        <v>10</v>
      </c>
      <c r="D829" t="s">
        <v>14</v>
      </c>
      <c r="E829">
        <v>202602</v>
      </c>
      <c r="F829" t="s">
        <v>301</v>
      </c>
      <c r="G829">
        <v>0</v>
      </c>
      <c r="H829">
        <v>0</v>
      </c>
      <c r="I829">
        <v>0</v>
      </c>
      <c r="J829">
        <v>0</v>
      </c>
      <c r="K829">
        <v>0</v>
      </c>
      <c r="L829">
        <v>0</v>
      </c>
      <c r="M829">
        <v>0</v>
      </c>
      <c r="N829">
        <v>0</v>
      </c>
      <c r="O829">
        <v>0</v>
      </c>
      <c r="P829">
        <v>1</v>
      </c>
      <c r="Q829">
        <v>1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>
        <v>0</v>
      </c>
      <c r="AH829">
        <v>0</v>
      </c>
      <c r="AI829">
        <v>0</v>
      </c>
      <c r="AJ829">
        <v>0</v>
      </c>
      <c r="AK829">
        <v>0</v>
      </c>
      <c r="AL829">
        <v>2</v>
      </c>
      <c r="AM829">
        <v>0.66666666666666663</v>
      </c>
      <c r="AN829">
        <v>10.083482142857227</v>
      </c>
    </row>
    <row r="830" spans="1:40" x14ac:dyDescent="0.3">
      <c r="A830" t="s">
        <v>287</v>
      </c>
      <c r="B830" t="s">
        <v>17</v>
      </c>
      <c r="C830" t="s">
        <v>10</v>
      </c>
      <c r="D830" t="s">
        <v>14</v>
      </c>
      <c r="E830">
        <v>202602</v>
      </c>
      <c r="F830" t="s">
        <v>296</v>
      </c>
      <c r="G830">
        <v>0</v>
      </c>
      <c r="H830">
        <v>0</v>
      </c>
      <c r="I830">
        <v>0</v>
      </c>
      <c r="J830">
        <v>1</v>
      </c>
      <c r="K830">
        <v>0</v>
      </c>
      <c r="L830">
        <v>0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>
        <v>0</v>
      </c>
      <c r="AH830">
        <v>0</v>
      </c>
      <c r="AI830">
        <v>0</v>
      </c>
      <c r="AJ830">
        <v>0</v>
      </c>
      <c r="AK830">
        <v>0</v>
      </c>
      <c r="AL830">
        <v>1</v>
      </c>
      <c r="AM830">
        <v>0</v>
      </c>
      <c r="AN830">
        <v>1</v>
      </c>
    </row>
    <row r="831" spans="1:40" x14ac:dyDescent="0.3">
      <c r="A831" t="s">
        <v>287</v>
      </c>
      <c r="B831" t="s">
        <v>17</v>
      </c>
      <c r="C831" t="s">
        <v>10</v>
      </c>
      <c r="D831" t="s">
        <v>14</v>
      </c>
      <c r="E831">
        <v>202602</v>
      </c>
      <c r="F831" t="s">
        <v>297</v>
      </c>
      <c r="G831">
        <v>0</v>
      </c>
      <c r="H831">
        <v>0</v>
      </c>
      <c r="I831">
        <v>0</v>
      </c>
      <c r="J831">
        <v>7</v>
      </c>
      <c r="K831">
        <v>0</v>
      </c>
      <c r="L831">
        <v>0</v>
      </c>
      <c r="M831">
        <v>0</v>
      </c>
      <c r="N831">
        <v>0</v>
      </c>
      <c r="O831">
        <v>1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>
        <v>0</v>
      </c>
      <c r="AI831">
        <v>0</v>
      </c>
      <c r="AJ831">
        <v>0</v>
      </c>
      <c r="AK831">
        <v>0</v>
      </c>
      <c r="AL831">
        <v>8</v>
      </c>
      <c r="AM831">
        <v>0.33333333333333331</v>
      </c>
      <c r="AN831">
        <v>12.041741071428614</v>
      </c>
    </row>
    <row r="832" spans="1:40" x14ac:dyDescent="0.3">
      <c r="A832" t="s">
        <v>287</v>
      </c>
      <c r="B832" t="s">
        <v>17</v>
      </c>
      <c r="C832" t="s">
        <v>10</v>
      </c>
      <c r="D832" t="s">
        <v>14</v>
      </c>
      <c r="E832">
        <v>202602</v>
      </c>
      <c r="F832" t="s">
        <v>298</v>
      </c>
      <c r="G832">
        <v>0</v>
      </c>
      <c r="H832">
        <v>0</v>
      </c>
      <c r="I832">
        <v>0</v>
      </c>
      <c r="J832">
        <v>0</v>
      </c>
      <c r="K832">
        <v>0</v>
      </c>
      <c r="L832">
        <v>0</v>
      </c>
      <c r="M832">
        <v>0</v>
      </c>
      <c r="N832">
        <v>0</v>
      </c>
      <c r="O832">
        <v>0</v>
      </c>
      <c r="P832">
        <v>1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>
        <v>0</v>
      </c>
      <c r="AH832">
        <v>0</v>
      </c>
      <c r="AI832">
        <v>0</v>
      </c>
      <c r="AJ832">
        <v>0</v>
      </c>
      <c r="AK832">
        <v>0</v>
      </c>
      <c r="AL832">
        <v>1</v>
      </c>
      <c r="AM832">
        <v>0.33333333333333331</v>
      </c>
      <c r="AN832">
        <v>5.0417410714286133</v>
      </c>
    </row>
    <row r="833" spans="1:40" x14ac:dyDescent="0.3">
      <c r="A833" t="s">
        <v>287</v>
      </c>
      <c r="B833" t="s">
        <v>17</v>
      </c>
      <c r="C833" t="s">
        <v>10</v>
      </c>
      <c r="D833" t="s">
        <v>14</v>
      </c>
      <c r="E833">
        <v>202602</v>
      </c>
      <c r="F833" t="s">
        <v>302</v>
      </c>
      <c r="G833">
        <v>0</v>
      </c>
      <c r="H833">
        <v>0</v>
      </c>
      <c r="I833">
        <v>0</v>
      </c>
      <c r="J833">
        <v>0</v>
      </c>
      <c r="K833">
        <v>0</v>
      </c>
      <c r="L833">
        <v>0</v>
      </c>
      <c r="M833">
        <v>0</v>
      </c>
      <c r="N833">
        <v>0</v>
      </c>
      <c r="O833">
        <v>0</v>
      </c>
      <c r="P833">
        <v>1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>
        <v>0</v>
      </c>
      <c r="AH833">
        <v>0</v>
      </c>
      <c r="AI833">
        <v>0</v>
      </c>
      <c r="AJ833">
        <v>0</v>
      </c>
      <c r="AK833">
        <v>0</v>
      </c>
      <c r="AL833">
        <v>1</v>
      </c>
      <c r="AM833">
        <v>0.33333333333333331</v>
      </c>
      <c r="AN833">
        <v>5.0417410714286133</v>
      </c>
    </row>
    <row r="834" spans="1:40" x14ac:dyDescent="0.3">
      <c r="A834" t="s">
        <v>287</v>
      </c>
      <c r="B834" t="s">
        <v>49</v>
      </c>
      <c r="C834" t="s">
        <v>10</v>
      </c>
      <c r="D834" t="s">
        <v>11</v>
      </c>
      <c r="E834">
        <v>202602</v>
      </c>
      <c r="F834" t="s">
        <v>50</v>
      </c>
      <c r="G834">
        <v>0</v>
      </c>
      <c r="H834">
        <v>0</v>
      </c>
      <c r="I834">
        <v>0</v>
      </c>
      <c r="J834">
        <v>0</v>
      </c>
      <c r="K834">
        <v>1</v>
      </c>
      <c r="L834">
        <v>0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>
        <v>0</v>
      </c>
      <c r="AG834">
        <v>0</v>
      </c>
      <c r="AH834">
        <v>0</v>
      </c>
      <c r="AI834">
        <v>0</v>
      </c>
      <c r="AJ834">
        <v>0</v>
      </c>
      <c r="AK834">
        <v>0</v>
      </c>
      <c r="AL834">
        <v>1</v>
      </c>
      <c r="AM834">
        <v>0</v>
      </c>
      <c r="AN834">
        <v>1</v>
      </c>
    </row>
    <row r="835" spans="1:40" x14ac:dyDescent="0.3">
      <c r="A835" t="s">
        <v>287</v>
      </c>
      <c r="B835" t="s">
        <v>49</v>
      </c>
      <c r="C835" t="s">
        <v>10</v>
      </c>
      <c r="D835" t="s">
        <v>11</v>
      </c>
      <c r="E835">
        <v>202602</v>
      </c>
      <c r="F835" t="s">
        <v>204</v>
      </c>
      <c r="G835">
        <v>0</v>
      </c>
      <c r="H835">
        <v>0</v>
      </c>
      <c r="I835">
        <v>0</v>
      </c>
      <c r="J835">
        <v>0</v>
      </c>
      <c r="K835">
        <v>1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0</v>
      </c>
      <c r="AG835">
        <v>0</v>
      </c>
      <c r="AH835">
        <v>0</v>
      </c>
      <c r="AI835">
        <v>0</v>
      </c>
      <c r="AJ835">
        <v>0</v>
      </c>
      <c r="AK835">
        <v>0</v>
      </c>
      <c r="AL835">
        <v>1</v>
      </c>
      <c r="AM835">
        <v>0</v>
      </c>
      <c r="AN835">
        <v>1</v>
      </c>
    </row>
    <row r="836" spans="1:40" x14ac:dyDescent="0.3">
      <c r="A836" t="s">
        <v>287</v>
      </c>
      <c r="B836" t="s">
        <v>49</v>
      </c>
      <c r="C836" t="s">
        <v>10</v>
      </c>
      <c r="D836" t="s">
        <v>11</v>
      </c>
      <c r="E836">
        <v>202602</v>
      </c>
      <c r="F836" t="s">
        <v>51</v>
      </c>
      <c r="G836">
        <v>0</v>
      </c>
      <c r="H836">
        <v>0</v>
      </c>
      <c r="I836">
        <v>0</v>
      </c>
      <c r="J836">
        <v>0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1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v>0</v>
      </c>
      <c r="AD836">
        <v>0</v>
      </c>
      <c r="AE836">
        <v>0</v>
      </c>
      <c r="AF836">
        <v>0</v>
      </c>
      <c r="AG836">
        <v>0</v>
      </c>
      <c r="AH836">
        <v>0</v>
      </c>
      <c r="AI836">
        <v>0</v>
      </c>
      <c r="AJ836">
        <v>0</v>
      </c>
      <c r="AK836">
        <v>0</v>
      </c>
      <c r="AL836">
        <v>1</v>
      </c>
      <c r="AM836">
        <v>0.33333333333333331</v>
      </c>
      <c r="AN836">
        <v>5.6046251398731117</v>
      </c>
    </row>
    <row r="837" spans="1:40" x14ac:dyDescent="0.3">
      <c r="A837" t="s">
        <v>287</v>
      </c>
      <c r="B837" t="s">
        <v>49</v>
      </c>
      <c r="C837" t="s">
        <v>10</v>
      </c>
      <c r="D837" t="s">
        <v>14</v>
      </c>
      <c r="E837">
        <v>202602</v>
      </c>
      <c r="F837" t="s">
        <v>50</v>
      </c>
      <c r="G837">
        <v>0</v>
      </c>
      <c r="H837">
        <v>0</v>
      </c>
      <c r="I837">
        <v>0</v>
      </c>
      <c r="J837">
        <v>1</v>
      </c>
      <c r="K837">
        <v>0</v>
      </c>
      <c r="L837">
        <v>0</v>
      </c>
      <c r="M837">
        <v>0</v>
      </c>
      <c r="N837">
        <v>0</v>
      </c>
      <c r="O837">
        <v>1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>
        <v>0</v>
      </c>
      <c r="AH837">
        <v>0</v>
      </c>
      <c r="AI837">
        <v>0</v>
      </c>
      <c r="AJ837">
        <v>0</v>
      </c>
      <c r="AK837">
        <v>0</v>
      </c>
      <c r="AL837">
        <v>2</v>
      </c>
      <c r="AM837">
        <v>0.33333333333333331</v>
      </c>
      <c r="AN837">
        <v>6.0417410714286133</v>
      </c>
    </row>
    <row r="838" spans="1:40" x14ac:dyDescent="0.3">
      <c r="A838" t="s">
        <v>287</v>
      </c>
      <c r="B838" t="s">
        <v>49</v>
      </c>
      <c r="C838" t="s">
        <v>10</v>
      </c>
      <c r="D838" t="s">
        <v>14</v>
      </c>
      <c r="E838">
        <v>202602</v>
      </c>
      <c r="F838" t="s">
        <v>204</v>
      </c>
      <c r="G838">
        <v>0</v>
      </c>
      <c r="H838">
        <v>0</v>
      </c>
      <c r="I838">
        <v>0</v>
      </c>
      <c r="J838">
        <v>0</v>
      </c>
      <c r="K838">
        <v>1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>
        <v>0</v>
      </c>
      <c r="AH838">
        <v>0</v>
      </c>
      <c r="AI838">
        <v>0</v>
      </c>
      <c r="AJ838">
        <v>0</v>
      </c>
      <c r="AK838">
        <v>0</v>
      </c>
      <c r="AL838">
        <v>1</v>
      </c>
      <c r="AM838">
        <v>0</v>
      </c>
      <c r="AN838">
        <v>1</v>
      </c>
    </row>
    <row r="839" spans="1:40" x14ac:dyDescent="0.3">
      <c r="A839" t="s">
        <v>287</v>
      </c>
      <c r="B839" t="s">
        <v>49</v>
      </c>
      <c r="C839" t="s">
        <v>10</v>
      </c>
      <c r="D839" t="s">
        <v>14</v>
      </c>
      <c r="E839">
        <v>202602</v>
      </c>
      <c r="F839" t="s">
        <v>51</v>
      </c>
      <c r="G839">
        <v>0</v>
      </c>
      <c r="H839">
        <v>0</v>
      </c>
      <c r="I839">
        <v>0</v>
      </c>
      <c r="J839">
        <v>0</v>
      </c>
      <c r="K839">
        <v>0</v>
      </c>
      <c r="L839">
        <v>0</v>
      </c>
      <c r="M839">
        <v>0</v>
      </c>
      <c r="N839">
        <v>0</v>
      </c>
      <c r="O839">
        <v>1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>
        <v>0</v>
      </c>
      <c r="AH839">
        <v>0</v>
      </c>
      <c r="AI839">
        <v>0</v>
      </c>
      <c r="AJ839">
        <v>0</v>
      </c>
      <c r="AK839">
        <v>0</v>
      </c>
      <c r="AL839">
        <v>1</v>
      </c>
      <c r="AM839">
        <v>0.33333333333333331</v>
      </c>
      <c r="AN839">
        <v>5.0417410714286133</v>
      </c>
    </row>
    <row r="840" spans="1:40" x14ac:dyDescent="0.3">
      <c r="A840" t="s">
        <v>287</v>
      </c>
      <c r="B840" t="s">
        <v>49</v>
      </c>
      <c r="C840" t="s">
        <v>16</v>
      </c>
      <c r="D840" t="s">
        <v>11</v>
      </c>
      <c r="E840">
        <v>202602</v>
      </c>
      <c r="F840" t="s">
        <v>50</v>
      </c>
      <c r="G840">
        <v>0</v>
      </c>
      <c r="H840">
        <v>0</v>
      </c>
      <c r="I840">
        <v>0</v>
      </c>
      <c r="J840">
        <v>0</v>
      </c>
      <c r="K840">
        <v>0</v>
      </c>
      <c r="L840">
        <v>1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>
        <v>0</v>
      </c>
      <c r="AH840">
        <v>0</v>
      </c>
      <c r="AI840">
        <v>0</v>
      </c>
      <c r="AJ840">
        <v>0</v>
      </c>
      <c r="AK840">
        <v>0</v>
      </c>
      <c r="AL840">
        <v>1</v>
      </c>
      <c r="AM840">
        <v>0</v>
      </c>
      <c r="AN840">
        <v>1</v>
      </c>
    </row>
    <row r="841" spans="1:40" x14ac:dyDescent="0.3">
      <c r="A841" t="s">
        <v>287</v>
      </c>
      <c r="B841" t="s">
        <v>49</v>
      </c>
      <c r="C841" t="s">
        <v>16</v>
      </c>
      <c r="D841" t="s">
        <v>14</v>
      </c>
      <c r="E841">
        <v>202602</v>
      </c>
      <c r="F841" t="s">
        <v>50</v>
      </c>
      <c r="G841">
        <v>0</v>
      </c>
      <c r="H841">
        <v>0</v>
      </c>
      <c r="I841">
        <v>0</v>
      </c>
      <c r="J841">
        <v>1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1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>
        <v>0</v>
      </c>
      <c r="AH841">
        <v>0</v>
      </c>
      <c r="AI841">
        <v>0</v>
      </c>
      <c r="AJ841">
        <v>0</v>
      </c>
      <c r="AK841">
        <v>0</v>
      </c>
      <c r="AL841">
        <v>2</v>
      </c>
      <c r="AM841">
        <v>0.33333333333333331</v>
      </c>
      <c r="AN841">
        <v>6.0417410714286133</v>
      </c>
    </row>
    <row r="842" spans="1:40" x14ac:dyDescent="0.3">
      <c r="A842" t="s">
        <v>287</v>
      </c>
      <c r="B842" t="s">
        <v>49</v>
      </c>
      <c r="C842" t="s">
        <v>16</v>
      </c>
      <c r="D842" t="s">
        <v>14</v>
      </c>
      <c r="E842">
        <v>202602</v>
      </c>
      <c r="F842" t="s">
        <v>51</v>
      </c>
      <c r="G842">
        <v>0</v>
      </c>
      <c r="H842">
        <v>0</v>
      </c>
      <c r="I842">
        <v>0</v>
      </c>
      <c r="J842">
        <v>0</v>
      </c>
      <c r="K842">
        <v>1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0</v>
      </c>
      <c r="AG842">
        <v>0</v>
      </c>
      <c r="AH842">
        <v>0</v>
      </c>
      <c r="AI842">
        <v>0</v>
      </c>
      <c r="AJ842">
        <v>0</v>
      </c>
      <c r="AK842">
        <v>0</v>
      </c>
      <c r="AL842">
        <v>1</v>
      </c>
      <c r="AM842">
        <v>0</v>
      </c>
      <c r="AN842">
        <v>1</v>
      </c>
    </row>
    <row r="843" spans="1:40" x14ac:dyDescent="0.3">
      <c r="A843" t="s">
        <v>287</v>
      </c>
      <c r="B843" t="s">
        <v>54</v>
      </c>
      <c r="C843" t="s">
        <v>10</v>
      </c>
      <c r="D843" t="s">
        <v>11</v>
      </c>
      <c r="E843">
        <v>202602</v>
      </c>
      <c r="F843" t="s">
        <v>55</v>
      </c>
      <c r="G843">
        <v>0</v>
      </c>
      <c r="H843">
        <v>0</v>
      </c>
      <c r="I843">
        <v>2</v>
      </c>
      <c r="J843">
        <v>2</v>
      </c>
      <c r="K843">
        <v>1</v>
      </c>
      <c r="L843">
        <v>3</v>
      </c>
      <c r="M843">
        <v>2</v>
      </c>
      <c r="N843">
        <v>0</v>
      </c>
      <c r="O843">
        <v>1</v>
      </c>
      <c r="P843">
        <v>1</v>
      </c>
      <c r="Q843">
        <v>1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0</v>
      </c>
      <c r="AG843">
        <v>0</v>
      </c>
      <c r="AH843">
        <v>0</v>
      </c>
      <c r="AI843">
        <v>0</v>
      </c>
      <c r="AJ843">
        <v>0</v>
      </c>
      <c r="AK843">
        <v>0</v>
      </c>
      <c r="AL843">
        <v>13</v>
      </c>
      <c r="AM843">
        <v>1</v>
      </c>
      <c r="AN843">
        <v>26.813875419619336</v>
      </c>
    </row>
    <row r="844" spans="1:40" x14ac:dyDescent="0.3">
      <c r="A844" t="s">
        <v>287</v>
      </c>
      <c r="B844" t="s">
        <v>54</v>
      </c>
      <c r="C844" t="s">
        <v>10</v>
      </c>
      <c r="D844" t="s">
        <v>11</v>
      </c>
      <c r="E844">
        <v>202602</v>
      </c>
      <c r="F844" t="s">
        <v>56</v>
      </c>
      <c r="G844">
        <v>0</v>
      </c>
      <c r="H844">
        <v>5</v>
      </c>
      <c r="I844">
        <v>9</v>
      </c>
      <c r="J844">
        <v>7</v>
      </c>
      <c r="K844">
        <v>6</v>
      </c>
      <c r="L844">
        <v>6</v>
      </c>
      <c r="M844">
        <v>3</v>
      </c>
      <c r="N844">
        <v>0</v>
      </c>
      <c r="O844">
        <v>4</v>
      </c>
      <c r="P844">
        <v>2</v>
      </c>
      <c r="Q844">
        <v>5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0</v>
      </c>
      <c r="AG844">
        <v>0</v>
      </c>
      <c r="AH844">
        <v>0</v>
      </c>
      <c r="AI844">
        <v>0</v>
      </c>
      <c r="AJ844">
        <v>0</v>
      </c>
      <c r="AK844">
        <v>0</v>
      </c>
      <c r="AL844">
        <v>47</v>
      </c>
      <c r="AM844">
        <v>3.6666666666666665</v>
      </c>
      <c r="AN844">
        <v>97.650876538604223</v>
      </c>
    </row>
    <row r="845" spans="1:40" x14ac:dyDescent="0.3">
      <c r="A845" t="s">
        <v>287</v>
      </c>
      <c r="B845" t="s">
        <v>54</v>
      </c>
      <c r="C845" t="s">
        <v>10</v>
      </c>
      <c r="D845" t="s">
        <v>11</v>
      </c>
      <c r="E845">
        <v>202602</v>
      </c>
      <c r="F845" t="s">
        <v>57</v>
      </c>
      <c r="G845">
        <v>0</v>
      </c>
      <c r="H845">
        <v>0</v>
      </c>
      <c r="I845">
        <v>1</v>
      </c>
      <c r="J845">
        <v>1</v>
      </c>
      <c r="K845">
        <v>1</v>
      </c>
      <c r="L845">
        <v>2</v>
      </c>
      <c r="M845">
        <v>0</v>
      </c>
      <c r="N845">
        <v>0</v>
      </c>
      <c r="O845">
        <v>1</v>
      </c>
      <c r="P845">
        <v>1</v>
      </c>
      <c r="Q845">
        <v>2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0</v>
      </c>
      <c r="AG845">
        <v>0</v>
      </c>
      <c r="AH845">
        <v>0</v>
      </c>
      <c r="AI845">
        <v>0</v>
      </c>
      <c r="AJ845">
        <v>0</v>
      </c>
      <c r="AK845">
        <v>0</v>
      </c>
      <c r="AL845">
        <v>9</v>
      </c>
      <c r="AM845">
        <v>1.3333333333333333</v>
      </c>
      <c r="AN845">
        <v>27.418500559492447</v>
      </c>
    </row>
    <row r="846" spans="1:40" x14ac:dyDescent="0.3">
      <c r="A846" t="s">
        <v>287</v>
      </c>
      <c r="B846" t="s">
        <v>54</v>
      </c>
      <c r="C846" t="s">
        <v>10</v>
      </c>
      <c r="D846" t="s">
        <v>11</v>
      </c>
      <c r="E846">
        <v>202602</v>
      </c>
      <c r="F846" t="s">
        <v>58</v>
      </c>
      <c r="G846">
        <v>0</v>
      </c>
      <c r="H846">
        <v>0</v>
      </c>
      <c r="I846">
        <v>2</v>
      </c>
      <c r="J846">
        <v>2</v>
      </c>
      <c r="K846">
        <v>0</v>
      </c>
      <c r="L846">
        <v>0</v>
      </c>
      <c r="M846">
        <v>2</v>
      </c>
      <c r="N846">
        <v>0</v>
      </c>
      <c r="O846">
        <v>0</v>
      </c>
      <c r="P846">
        <v>1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0</v>
      </c>
      <c r="AG846">
        <v>0</v>
      </c>
      <c r="AH846">
        <v>0</v>
      </c>
      <c r="AI846">
        <v>0</v>
      </c>
      <c r="AJ846">
        <v>0</v>
      </c>
      <c r="AK846">
        <v>0</v>
      </c>
      <c r="AL846">
        <v>7</v>
      </c>
      <c r="AM846">
        <v>0.33333333333333331</v>
      </c>
      <c r="AN846">
        <v>11.604625139873111</v>
      </c>
    </row>
    <row r="847" spans="1:40" x14ac:dyDescent="0.3">
      <c r="A847" t="s">
        <v>287</v>
      </c>
      <c r="B847" t="s">
        <v>54</v>
      </c>
      <c r="C847" t="s">
        <v>10</v>
      </c>
      <c r="D847" t="s">
        <v>14</v>
      </c>
      <c r="E847">
        <v>202602</v>
      </c>
      <c r="F847" t="s">
        <v>55</v>
      </c>
      <c r="G847">
        <v>0</v>
      </c>
      <c r="H847">
        <v>4</v>
      </c>
      <c r="I847">
        <v>2</v>
      </c>
      <c r="J847">
        <v>3</v>
      </c>
      <c r="K847">
        <v>2</v>
      </c>
      <c r="L847">
        <v>1</v>
      </c>
      <c r="M847">
        <v>0</v>
      </c>
      <c r="N847">
        <v>0</v>
      </c>
      <c r="O847">
        <v>5</v>
      </c>
      <c r="P847">
        <v>5</v>
      </c>
      <c r="Q847">
        <v>1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0</v>
      </c>
      <c r="AG847">
        <v>0</v>
      </c>
      <c r="AH847">
        <v>0</v>
      </c>
      <c r="AI847">
        <v>0</v>
      </c>
      <c r="AJ847">
        <v>0</v>
      </c>
      <c r="AK847">
        <v>0</v>
      </c>
      <c r="AL847">
        <v>23</v>
      </c>
      <c r="AM847">
        <v>3.6666666666666665</v>
      </c>
      <c r="AN847">
        <v>67.459151785714738</v>
      </c>
    </row>
    <row r="848" spans="1:40" x14ac:dyDescent="0.3">
      <c r="A848" t="s">
        <v>287</v>
      </c>
      <c r="B848" t="s">
        <v>54</v>
      </c>
      <c r="C848" t="s">
        <v>10</v>
      </c>
      <c r="D848" t="s">
        <v>14</v>
      </c>
      <c r="E848">
        <v>202602</v>
      </c>
      <c r="F848" t="s">
        <v>56</v>
      </c>
      <c r="G848">
        <v>0</v>
      </c>
      <c r="H848">
        <v>10</v>
      </c>
      <c r="I848">
        <v>13</v>
      </c>
      <c r="J848">
        <v>10</v>
      </c>
      <c r="K848">
        <v>11</v>
      </c>
      <c r="L848">
        <v>4</v>
      </c>
      <c r="M848">
        <v>2</v>
      </c>
      <c r="N848">
        <v>0</v>
      </c>
      <c r="O848">
        <v>6</v>
      </c>
      <c r="P848">
        <v>7</v>
      </c>
      <c r="Q848">
        <v>13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>
        <v>0</v>
      </c>
      <c r="AH848">
        <v>0</v>
      </c>
      <c r="AI848">
        <v>0</v>
      </c>
      <c r="AJ848">
        <v>0</v>
      </c>
      <c r="AK848">
        <v>0</v>
      </c>
      <c r="AL848">
        <v>76</v>
      </c>
      <c r="AM848">
        <v>8.6666666666666661</v>
      </c>
      <c r="AN848">
        <v>181.08526785714395</v>
      </c>
    </row>
    <row r="849" spans="1:40" x14ac:dyDescent="0.3">
      <c r="A849" t="s">
        <v>287</v>
      </c>
      <c r="B849" t="s">
        <v>54</v>
      </c>
      <c r="C849" t="s">
        <v>10</v>
      </c>
      <c r="D849" t="s">
        <v>14</v>
      </c>
      <c r="E849">
        <v>202602</v>
      </c>
      <c r="F849" t="s">
        <v>57</v>
      </c>
      <c r="G849">
        <v>0</v>
      </c>
      <c r="H849">
        <v>3</v>
      </c>
      <c r="I849">
        <v>0</v>
      </c>
      <c r="J849">
        <v>4</v>
      </c>
      <c r="K849">
        <v>0</v>
      </c>
      <c r="L849">
        <v>2</v>
      </c>
      <c r="M849">
        <v>0</v>
      </c>
      <c r="N849">
        <v>0</v>
      </c>
      <c r="O849">
        <v>3</v>
      </c>
      <c r="P849">
        <v>1</v>
      </c>
      <c r="Q849">
        <v>4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>
        <v>0</v>
      </c>
      <c r="AH849">
        <v>0</v>
      </c>
      <c r="AI849">
        <v>0</v>
      </c>
      <c r="AJ849">
        <v>0</v>
      </c>
      <c r="AK849">
        <v>0</v>
      </c>
      <c r="AL849">
        <v>17</v>
      </c>
      <c r="AM849">
        <v>2.6666666666666665</v>
      </c>
      <c r="AN849">
        <v>49.333928571428906</v>
      </c>
    </row>
    <row r="850" spans="1:40" x14ac:dyDescent="0.3">
      <c r="A850" t="s">
        <v>287</v>
      </c>
      <c r="B850" t="s">
        <v>54</v>
      </c>
      <c r="C850" t="s">
        <v>10</v>
      </c>
      <c r="D850" t="s">
        <v>14</v>
      </c>
      <c r="E850">
        <v>202602</v>
      </c>
      <c r="F850" t="s">
        <v>58</v>
      </c>
      <c r="G850">
        <v>0</v>
      </c>
      <c r="H850">
        <v>4</v>
      </c>
      <c r="I850">
        <v>0</v>
      </c>
      <c r="J850">
        <v>0</v>
      </c>
      <c r="K850">
        <v>0</v>
      </c>
      <c r="L850">
        <v>3</v>
      </c>
      <c r="M850">
        <v>1</v>
      </c>
      <c r="N850">
        <v>0</v>
      </c>
      <c r="O850">
        <v>0</v>
      </c>
      <c r="P850">
        <v>1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>
        <v>0</v>
      </c>
      <c r="AH850">
        <v>0</v>
      </c>
      <c r="AI850">
        <v>0</v>
      </c>
      <c r="AJ850">
        <v>0</v>
      </c>
      <c r="AK850">
        <v>0</v>
      </c>
      <c r="AL850">
        <v>9</v>
      </c>
      <c r="AM850">
        <v>0.33333333333333331</v>
      </c>
      <c r="AN850">
        <v>13.041741071428614</v>
      </c>
    </row>
    <row r="851" spans="1:40" x14ac:dyDescent="0.3">
      <c r="A851" t="s">
        <v>287</v>
      </c>
      <c r="B851" t="s">
        <v>59</v>
      </c>
      <c r="C851" t="s">
        <v>10</v>
      </c>
      <c r="D851" t="s">
        <v>11</v>
      </c>
      <c r="E851">
        <v>202602</v>
      </c>
      <c r="F851" t="s">
        <v>205</v>
      </c>
      <c r="G851">
        <v>0</v>
      </c>
      <c r="H851">
        <v>0</v>
      </c>
      <c r="I851">
        <v>0</v>
      </c>
      <c r="J851">
        <v>0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1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>
        <v>0</v>
      </c>
      <c r="AH851">
        <v>0</v>
      </c>
      <c r="AI851">
        <v>0</v>
      </c>
      <c r="AJ851">
        <v>0</v>
      </c>
      <c r="AK851">
        <v>0</v>
      </c>
      <c r="AL851">
        <v>1</v>
      </c>
      <c r="AM851">
        <v>0.33333333333333331</v>
      </c>
      <c r="AN851">
        <v>5.6046251398731117</v>
      </c>
    </row>
    <row r="852" spans="1:40" x14ac:dyDescent="0.3">
      <c r="A852" t="s">
        <v>287</v>
      </c>
      <c r="B852" t="s">
        <v>59</v>
      </c>
      <c r="C852" t="s">
        <v>10</v>
      </c>
      <c r="D852" t="s">
        <v>11</v>
      </c>
      <c r="E852">
        <v>202602</v>
      </c>
      <c r="F852" t="s">
        <v>303</v>
      </c>
      <c r="G852">
        <v>0</v>
      </c>
      <c r="H852">
        <v>1</v>
      </c>
      <c r="I852">
        <v>2</v>
      </c>
      <c r="J852">
        <v>0</v>
      </c>
      <c r="K852">
        <v>2</v>
      </c>
      <c r="L852">
        <v>0</v>
      </c>
      <c r="M852">
        <v>0</v>
      </c>
      <c r="N852">
        <v>0</v>
      </c>
      <c r="O852">
        <v>2</v>
      </c>
      <c r="P852">
        <v>3</v>
      </c>
      <c r="Q852">
        <v>2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>
        <v>0</v>
      </c>
      <c r="AH852">
        <v>0</v>
      </c>
      <c r="AI852">
        <v>0</v>
      </c>
      <c r="AJ852">
        <v>0</v>
      </c>
      <c r="AK852">
        <v>0</v>
      </c>
      <c r="AL852">
        <v>12</v>
      </c>
      <c r="AM852">
        <v>2.3333333333333335</v>
      </c>
      <c r="AN852">
        <v>44.232375979111779</v>
      </c>
    </row>
    <row r="853" spans="1:40" x14ac:dyDescent="0.3">
      <c r="A853" t="s">
        <v>287</v>
      </c>
      <c r="B853" t="s">
        <v>59</v>
      </c>
      <c r="C853" t="s">
        <v>10</v>
      </c>
      <c r="D853" t="s">
        <v>11</v>
      </c>
      <c r="E853">
        <v>202602</v>
      </c>
      <c r="F853" t="s">
        <v>61</v>
      </c>
      <c r="G853">
        <v>0</v>
      </c>
      <c r="H853">
        <v>0</v>
      </c>
      <c r="I853">
        <v>0</v>
      </c>
      <c r="J853">
        <v>0</v>
      </c>
      <c r="K853">
        <v>3</v>
      </c>
      <c r="L853">
        <v>1</v>
      </c>
      <c r="M853">
        <v>0</v>
      </c>
      <c r="N853">
        <v>0</v>
      </c>
      <c r="O853">
        <v>0</v>
      </c>
      <c r="P853">
        <v>0</v>
      </c>
      <c r="Q853">
        <v>1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>
        <v>0</v>
      </c>
      <c r="AI853">
        <v>0</v>
      </c>
      <c r="AJ853">
        <v>0</v>
      </c>
      <c r="AK853">
        <v>0</v>
      </c>
      <c r="AL853">
        <v>5</v>
      </c>
      <c r="AM853">
        <v>0.33333333333333331</v>
      </c>
      <c r="AN853">
        <v>9.6046251398731108</v>
      </c>
    </row>
    <row r="854" spans="1:40" x14ac:dyDescent="0.3">
      <c r="A854" t="s">
        <v>287</v>
      </c>
      <c r="B854" t="s">
        <v>59</v>
      </c>
      <c r="C854" t="s">
        <v>10</v>
      </c>
      <c r="D854" t="s">
        <v>11</v>
      </c>
      <c r="E854">
        <v>202602</v>
      </c>
      <c r="F854" t="s">
        <v>206</v>
      </c>
      <c r="G854">
        <v>0</v>
      </c>
      <c r="H854">
        <v>0</v>
      </c>
      <c r="I854">
        <v>0</v>
      </c>
      <c r="J854">
        <v>0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1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>
        <v>0</v>
      </c>
      <c r="AH854">
        <v>0</v>
      </c>
      <c r="AI854">
        <v>0</v>
      </c>
      <c r="AJ854">
        <v>0</v>
      </c>
      <c r="AK854">
        <v>0</v>
      </c>
      <c r="AL854">
        <v>1</v>
      </c>
      <c r="AM854">
        <v>0.33333333333333331</v>
      </c>
      <c r="AN854">
        <v>5.6046251398731117</v>
      </c>
    </row>
    <row r="855" spans="1:40" x14ac:dyDescent="0.3">
      <c r="A855" t="s">
        <v>287</v>
      </c>
      <c r="B855" t="s">
        <v>59</v>
      </c>
      <c r="C855" t="s">
        <v>10</v>
      </c>
      <c r="D855" t="s">
        <v>11</v>
      </c>
      <c r="E855">
        <v>202602</v>
      </c>
      <c r="F855" t="s">
        <v>207</v>
      </c>
      <c r="G855">
        <v>0</v>
      </c>
      <c r="H855">
        <v>1</v>
      </c>
      <c r="I855">
        <v>0</v>
      </c>
      <c r="J855">
        <v>2</v>
      </c>
      <c r="K855">
        <v>1</v>
      </c>
      <c r="L855">
        <v>1</v>
      </c>
      <c r="M855">
        <v>1</v>
      </c>
      <c r="N855">
        <v>0</v>
      </c>
      <c r="O855">
        <v>2</v>
      </c>
      <c r="P855">
        <v>1</v>
      </c>
      <c r="Q855">
        <v>4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0</v>
      </c>
      <c r="AA855">
        <v>0</v>
      </c>
      <c r="AB855">
        <v>0</v>
      </c>
      <c r="AC855">
        <v>0</v>
      </c>
      <c r="AD855">
        <v>0</v>
      </c>
      <c r="AE855">
        <v>0</v>
      </c>
      <c r="AF855">
        <v>0</v>
      </c>
      <c r="AG855">
        <v>0</v>
      </c>
      <c r="AH855">
        <v>0</v>
      </c>
      <c r="AI855">
        <v>0</v>
      </c>
      <c r="AJ855">
        <v>0</v>
      </c>
      <c r="AK855">
        <v>0</v>
      </c>
      <c r="AL855">
        <v>13</v>
      </c>
      <c r="AM855">
        <v>2.3333333333333335</v>
      </c>
      <c r="AN855">
        <v>45.232375979111779</v>
      </c>
    </row>
    <row r="856" spans="1:40" x14ac:dyDescent="0.3">
      <c r="A856" t="s">
        <v>287</v>
      </c>
      <c r="B856" t="s">
        <v>59</v>
      </c>
      <c r="C856" t="s">
        <v>10</v>
      </c>
      <c r="D856" t="s">
        <v>11</v>
      </c>
      <c r="E856">
        <v>202602</v>
      </c>
      <c r="F856" t="s">
        <v>76</v>
      </c>
      <c r="G856">
        <v>0</v>
      </c>
      <c r="H856">
        <v>6</v>
      </c>
      <c r="I856">
        <v>1</v>
      </c>
      <c r="J856">
        <v>1</v>
      </c>
      <c r="K856">
        <v>6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>
        <v>0</v>
      </c>
      <c r="AB856">
        <v>0</v>
      </c>
      <c r="AC856">
        <v>0</v>
      </c>
      <c r="AD856">
        <v>0</v>
      </c>
      <c r="AE856">
        <v>0</v>
      </c>
      <c r="AF856">
        <v>0</v>
      </c>
      <c r="AG856">
        <v>0</v>
      </c>
      <c r="AH856">
        <v>0</v>
      </c>
      <c r="AI856">
        <v>0</v>
      </c>
      <c r="AJ856">
        <v>0</v>
      </c>
      <c r="AK856">
        <v>0</v>
      </c>
      <c r="AL856">
        <v>14</v>
      </c>
      <c r="AM856">
        <v>0</v>
      </c>
      <c r="AN856">
        <v>14</v>
      </c>
    </row>
    <row r="857" spans="1:40" x14ac:dyDescent="0.3">
      <c r="A857" t="s">
        <v>287</v>
      </c>
      <c r="B857" t="s">
        <v>59</v>
      </c>
      <c r="C857" t="s">
        <v>10</v>
      </c>
      <c r="D857" t="s">
        <v>11</v>
      </c>
      <c r="E857">
        <v>202602</v>
      </c>
      <c r="F857" t="s">
        <v>65</v>
      </c>
      <c r="G857">
        <v>0</v>
      </c>
      <c r="H857">
        <v>0</v>
      </c>
      <c r="I857">
        <v>0</v>
      </c>
      <c r="J857">
        <v>0</v>
      </c>
      <c r="K857">
        <v>0</v>
      </c>
      <c r="L857">
        <v>0</v>
      </c>
      <c r="M857">
        <v>0</v>
      </c>
      <c r="N857">
        <v>0</v>
      </c>
      <c r="O857">
        <v>2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0</v>
      </c>
      <c r="AA857">
        <v>0</v>
      </c>
      <c r="AB857">
        <v>0</v>
      </c>
      <c r="AC857">
        <v>0</v>
      </c>
      <c r="AD857">
        <v>0</v>
      </c>
      <c r="AE857">
        <v>0</v>
      </c>
      <c r="AF857">
        <v>0</v>
      </c>
      <c r="AG857">
        <v>0</v>
      </c>
      <c r="AH857">
        <v>0</v>
      </c>
      <c r="AI857">
        <v>0</v>
      </c>
      <c r="AJ857">
        <v>0</v>
      </c>
      <c r="AK857">
        <v>0</v>
      </c>
      <c r="AL857">
        <v>2</v>
      </c>
      <c r="AM857">
        <v>0.66666666666666663</v>
      </c>
      <c r="AN857">
        <v>11.209250279746223</v>
      </c>
    </row>
    <row r="858" spans="1:40" x14ac:dyDescent="0.3">
      <c r="A858" t="s">
        <v>287</v>
      </c>
      <c r="B858" t="s">
        <v>59</v>
      </c>
      <c r="C858" t="s">
        <v>10</v>
      </c>
      <c r="D858" t="s">
        <v>11</v>
      </c>
      <c r="E858">
        <v>202602</v>
      </c>
      <c r="F858" t="s">
        <v>66</v>
      </c>
      <c r="G858">
        <v>0</v>
      </c>
      <c r="H858">
        <v>0</v>
      </c>
      <c r="I858">
        <v>0</v>
      </c>
      <c r="J858">
        <v>1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>
        <v>0</v>
      </c>
      <c r="AB858">
        <v>0</v>
      </c>
      <c r="AC858">
        <v>0</v>
      </c>
      <c r="AD858">
        <v>0</v>
      </c>
      <c r="AE858">
        <v>0</v>
      </c>
      <c r="AF858">
        <v>0</v>
      </c>
      <c r="AG858">
        <v>0</v>
      </c>
      <c r="AH858">
        <v>0</v>
      </c>
      <c r="AI858">
        <v>0</v>
      </c>
      <c r="AJ858">
        <v>0</v>
      </c>
      <c r="AK858">
        <v>0</v>
      </c>
      <c r="AL858">
        <v>1</v>
      </c>
      <c r="AM858">
        <v>0</v>
      </c>
      <c r="AN858">
        <v>1</v>
      </c>
    </row>
    <row r="859" spans="1:40" x14ac:dyDescent="0.3">
      <c r="A859" t="s">
        <v>287</v>
      </c>
      <c r="B859" t="s">
        <v>59</v>
      </c>
      <c r="C859" t="s">
        <v>10</v>
      </c>
      <c r="D859" t="s">
        <v>11</v>
      </c>
      <c r="E859">
        <v>202602</v>
      </c>
      <c r="F859" t="s">
        <v>68</v>
      </c>
      <c r="G859">
        <v>0</v>
      </c>
      <c r="H859">
        <v>1</v>
      </c>
      <c r="I859">
        <v>0</v>
      </c>
      <c r="J859">
        <v>0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0</v>
      </c>
      <c r="AA859">
        <v>0</v>
      </c>
      <c r="AB859">
        <v>0</v>
      </c>
      <c r="AC859">
        <v>0</v>
      </c>
      <c r="AD859">
        <v>0</v>
      </c>
      <c r="AE859">
        <v>0</v>
      </c>
      <c r="AF859">
        <v>0</v>
      </c>
      <c r="AG859">
        <v>0</v>
      </c>
      <c r="AH859">
        <v>0</v>
      </c>
      <c r="AI859">
        <v>0</v>
      </c>
      <c r="AJ859">
        <v>0</v>
      </c>
      <c r="AK859">
        <v>0</v>
      </c>
      <c r="AL859">
        <v>1</v>
      </c>
      <c r="AM859">
        <v>0</v>
      </c>
      <c r="AN859">
        <v>1</v>
      </c>
    </row>
    <row r="860" spans="1:40" x14ac:dyDescent="0.3">
      <c r="A860" t="s">
        <v>287</v>
      </c>
      <c r="B860" t="s">
        <v>59</v>
      </c>
      <c r="C860" t="s">
        <v>10</v>
      </c>
      <c r="D860" t="s">
        <v>11</v>
      </c>
      <c r="E860">
        <v>202602</v>
      </c>
      <c r="F860" t="s">
        <v>304</v>
      </c>
      <c r="G860">
        <v>0</v>
      </c>
      <c r="H860">
        <v>1</v>
      </c>
      <c r="I860">
        <v>1</v>
      </c>
      <c r="J860">
        <v>2</v>
      </c>
      <c r="K860">
        <v>1</v>
      </c>
      <c r="L860">
        <v>0</v>
      </c>
      <c r="M860">
        <v>0</v>
      </c>
      <c r="N860">
        <v>0</v>
      </c>
      <c r="O860">
        <v>3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0</v>
      </c>
      <c r="Z860">
        <v>0</v>
      </c>
      <c r="AA860">
        <v>0</v>
      </c>
      <c r="AB860">
        <v>0</v>
      </c>
      <c r="AC860">
        <v>0</v>
      </c>
      <c r="AD860">
        <v>0</v>
      </c>
      <c r="AE860">
        <v>0</v>
      </c>
      <c r="AF860">
        <v>0</v>
      </c>
      <c r="AG860">
        <v>0</v>
      </c>
      <c r="AH860">
        <v>0</v>
      </c>
      <c r="AI860">
        <v>0</v>
      </c>
      <c r="AJ860">
        <v>0</v>
      </c>
      <c r="AK860">
        <v>0</v>
      </c>
      <c r="AL860">
        <v>8</v>
      </c>
      <c r="AM860">
        <v>1</v>
      </c>
      <c r="AN860">
        <v>21.813875419619336</v>
      </c>
    </row>
    <row r="861" spans="1:40" x14ac:dyDescent="0.3">
      <c r="A861" t="s">
        <v>287</v>
      </c>
      <c r="B861" t="s">
        <v>59</v>
      </c>
      <c r="C861" t="s">
        <v>10</v>
      </c>
      <c r="D861" t="s">
        <v>11</v>
      </c>
      <c r="E861">
        <v>202602</v>
      </c>
      <c r="F861" t="s">
        <v>305</v>
      </c>
      <c r="G861">
        <v>0</v>
      </c>
      <c r="H861">
        <v>4</v>
      </c>
      <c r="I861">
        <v>1</v>
      </c>
      <c r="J861">
        <v>2</v>
      </c>
      <c r="K861">
        <v>5</v>
      </c>
      <c r="L861">
        <v>2</v>
      </c>
      <c r="M861">
        <v>2</v>
      </c>
      <c r="N861">
        <v>0</v>
      </c>
      <c r="O861">
        <v>2</v>
      </c>
      <c r="P861">
        <v>7</v>
      </c>
      <c r="Q861">
        <v>3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0</v>
      </c>
      <c r="Z861">
        <v>0</v>
      </c>
      <c r="AA861">
        <v>0</v>
      </c>
      <c r="AB861">
        <v>0</v>
      </c>
      <c r="AC861">
        <v>0</v>
      </c>
      <c r="AD861">
        <v>0</v>
      </c>
      <c r="AE861">
        <v>0</v>
      </c>
      <c r="AF861">
        <v>0</v>
      </c>
      <c r="AG861">
        <v>0</v>
      </c>
      <c r="AH861">
        <v>0</v>
      </c>
      <c r="AI861">
        <v>0</v>
      </c>
      <c r="AJ861">
        <v>0</v>
      </c>
      <c r="AK861">
        <v>0</v>
      </c>
      <c r="AL861">
        <v>28</v>
      </c>
      <c r="AM861">
        <v>4</v>
      </c>
      <c r="AN861">
        <v>83.255501678477344</v>
      </c>
    </row>
    <row r="862" spans="1:40" x14ac:dyDescent="0.3">
      <c r="A862" t="s">
        <v>287</v>
      </c>
      <c r="B862" t="s">
        <v>59</v>
      </c>
      <c r="C862" t="s">
        <v>10</v>
      </c>
      <c r="D862" t="s">
        <v>11</v>
      </c>
      <c r="E862">
        <v>202602</v>
      </c>
      <c r="F862" t="s">
        <v>69</v>
      </c>
      <c r="G862">
        <v>0</v>
      </c>
      <c r="H862">
        <v>3</v>
      </c>
      <c r="I862">
        <v>4</v>
      </c>
      <c r="J862">
        <v>10</v>
      </c>
      <c r="K862">
        <v>13</v>
      </c>
      <c r="L862">
        <v>12</v>
      </c>
      <c r="M862">
        <v>3</v>
      </c>
      <c r="N862">
        <v>0</v>
      </c>
      <c r="O862">
        <v>14</v>
      </c>
      <c r="P862">
        <v>7</v>
      </c>
      <c r="Q862">
        <v>4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0</v>
      </c>
      <c r="Z862">
        <v>0</v>
      </c>
      <c r="AA862">
        <v>0</v>
      </c>
      <c r="AB862">
        <v>0</v>
      </c>
      <c r="AC862">
        <v>0</v>
      </c>
      <c r="AD862">
        <v>0</v>
      </c>
      <c r="AE862">
        <v>0</v>
      </c>
      <c r="AF862">
        <v>0</v>
      </c>
      <c r="AG862">
        <v>0</v>
      </c>
      <c r="AH862">
        <v>0</v>
      </c>
      <c r="AI862">
        <v>0</v>
      </c>
      <c r="AJ862">
        <v>0</v>
      </c>
      <c r="AK862">
        <v>0</v>
      </c>
      <c r="AL862">
        <v>70</v>
      </c>
      <c r="AM862">
        <v>8.3333333333333339</v>
      </c>
      <c r="AN862">
        <v>185.11562849682781</v>
      </c>
    </row>
    <row r="863" spans="1:40" x14ac:dyDescent="0.3">
      <c r="A863" t="s">
        <v>287</v>
      </c>
      <c r="B863" t="s">
        <v>59</v>
      </c>
      <c r="C863" t="s">
        <v>10</v>
      </c>
      <c r="D863" t="s">
        <v>11</v>
      </c>
      <c r="E863">
        <v>202602</v>
      </c>
      <c r="F863" t="s">
        <v>306</v>
      </c>
      <c r="G863">
        <v>0</v>
      </c>
      <c r="H863">
        <v>0</v>
      </c>
      <c r="I863">
        <v>1</v>
      </c>
      <c r="J863">
        <v>0</v>
      </c>
      <c r="K863">
        <v>5</v>
      </c>
      <c r="L863">
        <v>1</v>
      </c>
      <c r="M863">
        <v>0</v>
      </c>
      <c r="N863">
        <v>0</v>
      </c>
      <c r="O863">
        <v>4</v>
      </c>
      <c r="P863">
        <v>3</v>
      </c>
      <c r="Q863">
        <v>4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0</v>
      </c>
      <c r="Z863">
        <v>0</v>
      </c>
      <c r="AA863">
        <v>0</v>
      </c>
      <c r="AB863">
        <v>0</v>
      </c>
      <c r="AC863">
        <v>0</v>
      </c>
      <c r="AD863">
        <v>0</v>
      </c>
      <c r="AE863">
        <v>0</v>
      </c>
      <c r="AF863">
        <v>0</v>
      </c>
      <c r="AG863">
        <v>0</v>
      </c>
      <c r="AH863">
        <v>0</v>
      </c>
      <c r="AI863">
        <v>0</v>
      </c>
      <c r="AJ863">
        <v>0</v>
      </c>
      <c r="AK863">
        <v>0</v>
      </c>
      <c r="AL863">
        <v>18</v>
      </c>
      <c r="AM863">
        <v>3.6666666666666665</v>
      </c>
      <c r="AN863">
        <v>68.650876538604223</v>
      </c>
    </row>
    <row r="864" spans="1:40" x14ac:dyDescent="0.3">
      <c r="A864" t="s">
        <v>287</v>
      </c>
      <c r="B864" t="s">
        <v>59</v>
      </c>
      <c r="C864" t="s">
        <v>10</v>
      </c>
      <c r="D864" t="s">
        <v>11</v>
      </c>
      <c r="E864">
        <v>202602</v>
      </c>
      <c r="F864" t="s">
        <v>307</v>
      </c>
      <c r="G864">
        <v>0</v>
      </c>
      <c r="H864">
        <v>1</v>
      </c>
      <c r="I864">
        <v>0</v>
      </c>
      <c r="J864">
        <v>2</v>
      </c>
      <c r="K864">
        <v>2</v>
      </c>
      <c r="L864">
        <v>1</v>
      </c>
      <c r="M864">
        <v>0</v>
      </c>
      <c r="N864">
        <v>0</v>
      </c>
      <c r="O864">
        <v>1</v>
      </c>
      <c r="P864">
        <v>1</v>
      </c>
      <c r="Q864">
        <v>4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0</v>
      </c>
      <c r="Z864">
        <v>0</v>
      </c>
      <c r="AA864">
        <v>0</v>
      </c>
      <c r="AB864">
        <v>0</v>
      </c>
      <c r="AC864">
        <v>0</v>
      </c>
      <c r="AD864">
        <v>0</v>
      </c>
      <c r="AE864">
        <v>0</v>
      </c>
      <c r="AF864">
        <v>0</v>
      </c>
      <c r="AG864">
        <v>0</v>
      </c>
      <c r="AH864">
        <v>0</v>
      </c>
      <c r="AI864">
        <v>0</v>
      </c>
      <c r="AJ864">
        <v>0</v>
      </c>
      <c r="AK864">
        <v>0</v>
      </c>
      <c r="AL864">
        <v>12</v>
      </c>
      <c r="AM864">
        <v>2</v>
      </c>
      <c r="AN864">
        <v>39.627750839238672</v>
      </c>
    </row>
    <row r="865" spans="1:40" x14ac:dyDescent="0.3">
      <c r="A865" t="s">
        <v>287</v>
      </c>
      <c r="B865" t="s">
        <v>59</v>
      </c>
      <c r="C865" t="s">
        <v>10</v>
      </c>
      <c r="D865" t="s">
        <v>11</v>
      </c>
      <c r="E865">
        <v>202602</v>
      </c>
      <c r="F865" t="s">
        <v>77</v>
      </c>
      <c r="G865">
        <v>0</v>
      </c>
      <c r="H865">
        <v>0</v>
      </c>
      <c r="I865">
        <v>0</v>
      </c>
      <c r="J865">
        <v>0</v>
      </c>
      <c r="K865">
        <v>0</v>
      </c>
      <c r="L865">
        <v>0</v>
      </c>
      <c r="M865">
        <v>0</v>
      </c>
      <c r="N865">
        <v>1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0</v>
      </c>
      <c r="Z865">
        <v>0</v>
      </c>
      <c r="AA865">
        <v>0</v>
      </c>
      <c r="AB865">
        <v>0</v>
      </c>
      <c r="AC865">
        <v>0</v>
      </c>
      <c r="AD865">
        <v>0</v>
      </c>
      <c r="AE865">
        <v>0</v>
      </c>
      <c r="AF865">
        <v>0</v>
      </c>
      <c r="AG865">
        <v>0</v>
      </c>
      <c r="AH865">
        <v>0</v>
      </c>
      <c r="AI865">
        <v>0</v>
      </c>
      <c r="AJ865">
        <v>0</v>
      </c>
      <c r="AK865">
        <v>0</v>
      </c>
      <c r="AL865">
        <v>1</v>
      </c>
      <c r="AM865">
        <v>0</v>
      </c>
      <c r="AN865">
        <v>1</v>
      </c>
    </row>
    <row r="866" spans="1:40" x14ac:dyDescent="0.3">
      <c r="A866" t="s">
        <v>287</v>
      </c>
      <c r="B866" t="s">
        <v>59</v>
      </c>
      <c r="C866" t="s">
        <v>10</v>
      </c>
      <c r="D866" t="s">
        <v>11</v>
      </c>
      <c r="E866">
        <v>202602</v>
      </c>
      <c r="F866" t="s">
        <v>78</v>
      </c>
      <c r="G866">
        <v>0</v>
      </c>
      <c r="H866">
        <v>1</v>
      </c>
      <c r="I866">
        <v>1</v>
      </c>
      <c r="J866">
        <v>2</v>
      </c>
      <c r="K866">
        <v>3</v>
      </c>
      <c r="L866">
        <v>4</v>
      </c>
      <c r="M866">
        <v>1</v>
      </c>
      <c r="N866">
        <v>0</v>
      </c>
      <c r="O866">
        <v>1</v>
      </c>
      <c r="P866">
        <v>2</v>
      </c>
      <c r="Q866">
        <v>1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0</v>
      </c>
      <c r="AC866">
        <v>0</v>
      </c>
      <c r="AD866">
        <v>0</v>
      </c>
      <c r="AE866">
        <v>0</v>
      </c>
      <c r="AF866">
        <v>0</v>
      </c>
      <c r="AG866">
        <v>0</v>
      </c>
      <c r="AH866">
        <v>0</v>
      </c>
      <c r="AI866">
        <v>0</v>
      </c>
      <c r="AJ866">
        <v>0</v>
      </c>
      <c r="AK866">
        <v>0</v>
      </c>
      <c r="AL866">
        <v>16</v>
      </c>
      <c r="AM866">
        <v>1.3333333333333333</v>
      </c>
      <c r="AN866">
        <v>34.418500559492443</v>
      </c>
    </row>
    <row r="867" spans="1:40" x14ac:dyDescent="0.3">
      <c r="A867" t="s">
        <v>287</v>
      </c>
      <c r="B867" t="s">
        <v>59</v>
      </c>
      <c r="C867" t="s">
        <v>10</v>
      </c>
      <c r="D867" t="s">
        <v>11</v>
      </c>
      <c r="E867">
        <v>202602</v>
      </c>
      <c r="F867" t="s">
        <v>79</v>
      </c>
      <c r="G867">
        <v>0</v>
      </c>
      <c r="H867">
        <v>0</v>
      </c>
      <c r="I867">
        <v>0</v>
      </c>
      <c r="J867">
        <v>0</v>
      </c>
      <c r="K867">
        <v>0</v>
      </c>
      <c r="L867">
        <v>0</v>
      </c>
      <c r="M867">
        <v>0</v>
      </c>
      <c r="N867">
        <v>0</v>
      </c>
      <c r="O867">
        <v>1</v>
      </c>
      <c r="P867">
        <v>0</v>
      </c>
      <c r="Q867">
        <v>1</v>
      </c>
      <c r="R867">
        <v>0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0</v>
      </c>
      <c r="AC867">
        <v>0</v>
      </c>
      <c r="AD867">
        <v>0</v>
      </c>
      <c r="AE867">
        <v>0</v>
      </c>
      <c r="AF867">
        <v>0</v>
      </c>
      <c r="AG867">
        <v>0</v>
      </c>
      <c r="AH867">
        <v>0</v>
      </c>
      <c r="AI867">
        <v>0</v>
      </c>
      <c r="AJ867">
        <v>0</v>
      </c>
      <c r="AK867">
        <v>0</v>
      </c>
      <c r="AL867">
        <v>2</v>
      </c>
      <c r="AM867">
        <v>0.66666666666666663</v>
      </c>
      <c r="AN867">
        <v>11.209250279746223</v>
      </c>
    </row>
    <row r="868" spans="1:40" x14ac:dyDescent="0.3">
      <c r="A868" t="s">
        <v>287</v>
      </c>
      <c r="B868" t="s">
        <v>59</v>
      </c>
      <c r="C868" t="s">
        <v>10</v>
      </c>
      <c r="D868" t="s">
        <v>14</v>
      </c>
      <c r="E868">
        <v>202602</v>
      </c>
      <c r="F868" t="s">
        <v>60</v>
      </c>
      <c r="G868">
        <v>0</v>
      </c>
      <c r="H868">
        <v>0</v>
      </c>
      <c r="I868">
        <v>0</v>
      </c>
      <c r="J868">
        <v>1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0</v>
      </c>
      <c r="AC868">
        <v>0</v>
      </c>
      <c r="AD868">
        <v>0</v>
      </c>
      <c r="AE868">
        <v>0</v>
      </c>
      <c r="AF868">
        <v>0</v>
      </c>
      <c r="AG868">
        <v>0</v>
      </c>
      <c r="AH868">
        <v>0</v>
      </c>
      <c r="AI868">
        <v>0</v>
      </c>
      <c r="AJ868">
        <v>0</v>
      </c>
      <c r="AK868">
        <v>0</v>
      </c>
      <c r="AL868">
        <v>1</v>
      </c>
      <c r="AM868">
        <v>0</v>
      </c>
      <c r="AN868">
        <v>1</v>
      </c>
    </row>
    <row r="869" spans="1:40" x14ac:dyDescent="0.3">
      <c r="A869" t="s">
        <v>287</v>
      </c>
      <c r="B869" t="s">
        <v>59</v>
      </c>
      <c r="C869" t="s">
        <v>10</v>
      </c>
      <c r="D869" t="s">
        <v>14</v>
      </c>
      <c r="E869">
        <v>202602</v>
      </c>
      <c r="F869" t="s">
        <v>205</v>
      </c>
      <c r="G869">
        <v>0</v>
      </c>
      <c r="H869">
        <v>0</v>
      </c>
      <c r="I869">
        <v>0</v>
      </c>
      <c r="J869">
        <v>0</v>
      </c>
      <c r="K869">
        <v>0</v>
      </c>
      <c r="L869">
        <v>0</v>
      </c>
      <c r="M869">
        <v>0</v>
      </c>
      <c r="N869">
        <v>0</v>
      </c>
      <c r="O869">
        <v>1</v>
      </c>
      <c r="P869">
        <v>1</v>
      </c>
      <c r="Q869">
        <v>0</v>
      </c>
      <c r="R869">
        <v>0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0</v>
      </c>
      <c r="AC869">
        <v>0</v>
      </c>
      <c r="AD869">
        <v>0</v>
      </c>
      <c r="AE869">
        <v>0</v>
      </c>
      <c r="AF869">
        <v>0</v>
      </c>
      <c r="AG869">
        <v>0</v>
      </c>
      <c r="AH869">
        <v>0</v>
      </c>
      <c r="AI869">
        <v>0</v>
      </c>
      <c r="AJ869">
        <v>0</v>
      </c>
      <c r="AK869">
        <v>0</v>
      </c>
      <c r="AL869">
        <v>2</v>
      </c>
      <c r="AM869">
        <v>0.66666666666666663</v>
      </c>
      <c r="AN869">
        <v>10.083482142857227</v>
      </c>
    </row>
    <row r="870" spans="1:40" x14ac:dyDescent="0.3">
      <c r="A870" t="s">
        <v>287</v>
      </c>
      <c r="B870" t="s">
        <v>59</v>
      </c>
      <c r="C870" t="s">
        <v>10</v>
      </c>
      <c r="D870" t="s">
        <v>14</v>
      </c>
      <c r="E870">
        <v>202602</v>
      </c>
      <c r="F870" t="s">
        <v>303</v>
      </c>
      <c r="G870">
        <v>0</v>
      </c>
      <c r="H870">
        <v>4</v>
      </c>
      <c r="I870">
        <v>2</v>
      </c>
      <c r="J870">
        <v>2</v>
      </c>
      <c r="K870">
        <v>0</v>
      </c>
      <c r="L870">
        <v>2</v>
      </c>
      <c r="M870">
        <v>0</v>
      </c>
      <c r="N870">
        <v>0</v>
      </c>
      <c r="O870">
        <v>3</v>
      </c>
      <c r="P870">
        <v>2</v>
      </c>
      <c r="Q870">
        <v>3</v>
      </c>
      <c r="R870">
        <v>0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0</v>
      </c>
      <c r="AC870">
        <v>0</v>
      </c>
      <c r="AD870">
        <v>0</v>
      </c>
      <c r="AE870">
        <v>0</v>
      </c>
      <c r="AF870">
        <v>0</v>
      </c>
      <c r="AG870">
        <v>0</v>
      </c>
      <c r="AH870">
        <v>0</v>
      </c>
      <c r="AI870">
        <v>0</v>
      </c>
      <c r="AJ870">
        <v>0</v>
      </c>
      <c r="AK870">
        <v>0</v>
      </c>
      <c r="AL870">
        <v>18</v>
      </c>
      <c r="AM870">
        <v>2.6666666666666665</v>
      </c>
      <c r="AN870">
        <v>50.333928571428906</v>
      </c>
    </row>
    <row r="871" spans="1:40" x14ac:dyDescent="0.3">
      <c r="A871" t="s">
        <v>287</v>
      </c>
      <c r="B871" t="s">
        <v>59</v>
      </c>
      <c r="C871" t="s">
        <v>10</v>
      </c>
      <c r="D871" t="s">
        <v>14</v>
      </c>
      <c r="E871">
        <v>202602</v>
      </c>
      <c r="F871" t="s">
        <v>61</v>
      </c>
      <c r="G871">
        <v>0</v>
      </c>
      <c r="H871">
        <v>1</v>
      </c>
      <c r="I871">
        <v>2</v>
      </c>
      <c r="J871">
        <v>3</v>
      </c>
      <c r="K871">
        <v>0</v>
      </c>
      <c r="L871">
        <v>0</v>
      </c>
      <c r="M871">
        <v>0</v>
      </c>
      <c r="N871">
        <v>0</v>
      </c>
      <c r="O871">
        <v>1</v>
      </c>
      <c r="P871">
        <v>2</v>
      </c>
      <c r="Q871">
        <v>3</v>
      </c>
      <c r="R871">
        <v>0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0</v>
      </c>
      <c r="AC871">
        <v>0</v>
      </c>
      <c r="AD871">
        <v>0</v>
      </c>
      <c r="AE871">
        <v>0</v>
      </c>
      <c r="AF871">
        <v>0</v>
      </c>
      <c r="AG871">
        <v>0</v>
      </c>
      <c r="AH871">
        <v>0</v>
      </c>
      <c r="AI871">
        <v>0</v>
      </c>
      <c r="AJ871">
        <v>0</v>
      </c>
      <c r="AK871">
        <v>0</v>
      </c>
      <c r="AL871">
        <v>12</v>
      </c>
      <c r="AM871">
        <v>2</v>
      </c>
      <c r="AN871">
        <v>36.250446428571678</v>
      </c>
    </row>
    <row r="872" spans="1:40" x14ac:dyDescent="0.3">
      <c r="A872" t="s">
        <v>287</v>
      </c>
      <c r="B872" t="s">
        <v>59</v>
      </c>
      <c r="C872" t="s">
        <v>10</v>
      </c>
      <c r="D872" t="s">
        <v>14</v>
      </c>
      <c r="E872">
        <v>202602</v>
      </c>
      <c r="F872" t="s">
        <v>63</v>
      </c>
      <c r="G872">
        <v>0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1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0</v>
      </c>
      <c r="AD872">
        <v>0</v>
      </c>
      <c r="AE872">
        <v>0</v>
      </c>
      <c r="AF872">
        <v>0</v>
      </c>
      <c r="AG872">
        <v>0</v>
      </c>
      <c r="AH872">
        <v>0</v>
      </c>
      <c r="AI872">
        <v>0</v>
      </c>
      <c r="AJ872">
        <v>0</v>
      </c>
      <c r="AK872">
        <v>0</v>
      </c>
      <c r="AL872">
        <v>1</v>
      </c>
      <c r="AM872">
        <v>0.33333333333333331</v>
      </c>
      <c r="AN872">
        <v>5.0417410714286133</v>
      </c>
    </row>
    <row r="873" spans="1:40" x14ac:dyDescent="0.3">
      <c r="A873" t="s">
        <v>287</v>
      </c>
      <c r="B873" t="s">
        <v>59</v>
      </c>
      <c r="C873" t="s">
        <v>10</v>
      </c>
      <c r="D873" t="s">
        <v>14</v>
      </c>
      <c r="E873">
        <v>202602</v>
      </c>
      <c r="F873" t="s">
        <v>206</v>
      </c>
      <c r="G873">
        <v>0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1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>
        <v>0</v>
      </c>
      <c r="AI873">
        <v>0</v>
      </c>
      <c r="AJ873">
        <v>0</v>
      </c>
      <c r="AK873">
        <v>0</v>
      </c>
      <c r="AL873">
        <v>1</v>
      </c>
      <c r="AM873">
        <v>0.33333333333333331</v>
      </c>
      <c r="AN873">
        <v>5.0417410714286133</v>
      </c>
    </row>
    <row r="874" spans="1:40" x14ac:dyDescent="0.3">
      <c r="A874" t="s">
        <v>287</v>
      </c>
      <c r="B874" t="s">
        <v>59</v>
      </c>
      <c r="C874" t="s">
        <v>10</v>
      </c>
      <c r="D874" t="s">
        <v>14</v>
      </c>
      <c r="E874">
        <v>202602</v>
      </c>
      <c r="F874" t="s">
        <v>75</v>
      </c>
      <c r="G874">
        <v>0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1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>
        <v>0</v>
      </c>
      <c r="AH874">
        <v>0</v>
      </c>
      <c r="AI874">
        <v>0</v>
      </c>
      <c r="AJ874">
        <v>0</v>
      </c>
      <c r="AK874">
        <v>0</v>
      </c>
      <c r="AL874">
        <v>1</v>
      </c>
      <c r="AM874">
        <v>0.33333333333333331</v>
      </c>
      <c r="AN874">
        <v>5.0417410714286133</v>
      </c>
    </row>
    <row r="875" spans="1:40" x14ac:dyDescent="0.3">
      <c r="A875" t="s">
        <v>287</v>
      </c>
      <c r="B875" t="s">
        <v>59</v>
      </c>
      <c r="C875" t="s">
        <v>10</v>
      </c>
      <c r="D875" t="s">
        <v>14</v>
      </c>
      <c r="E875">
        <v>202602</v>
      </c>
      <c r="F875" t="s">
        <v>207</v>
      </c>
      <c r="G875">
        <v>0</v>
      </c>
      <c r="H875">
        <v>0</v>
      </c>
      <c r="I875">
        <v>1</v>
      </c>
      <c r="J875">
        <v>3</v>
      </c>
      <c r="K875">
        <v>4</v>
      </c>
      <c r="L875">
        <v>1</v>
      </c>
      <c r="M875">
        <v>0</v>
      </c>
      <c r="N875">
        <v>0</v>
      </c>
      <c r="O875">
        <v>5</v>
      </c>
      <c r="P875">
        <v>3</v>
      </c>
      <c r="Q875">
        <v>4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>
        <v>0</v>
      </c>
      <c r="AH875">
        <v>0</v>
      </c>
      <c r="AI875">
        <v>0</v>
      </c>
      <c r="AJ875">
        <v>0</v>
      </c>
      <c r="AK875">
        <v>0</v>
      </c>
      <c r="AL875">
        <v>21</v>
      </c>
      <c r="AM875">
        <v>4</v>
      </c>
      <c r="AN875">
        <v>69.500892857143356</v>
      </c>
    </row>
    <row r="876" spans="1:40" x14ac:dyDescent="0.3">
      <c r="A876" t="s">
        <v>287</v>
      </c>
      <c r="B876" t="s">
        <v>59</v>
      </c>
      <c r="C876" t="s">
        <v>10</v>
      </c>
      <c r="D876" t="s">
        <v>14</v>
      </c>
      <c r="E876">
        <v>202602</v>
      </c>
      <c r="F876" t="s">
        <v>76</v>
      </c>
      <c r="G876">
        <v>0</v>
      </c>
      <c r="H876">
        <v>0</v>
      </c>
      <c r="I876">
        <v>2</v>
      </c>
      <c r="J876">
        <v>3</v>
      </c>
      <c r="K876">
        <v>1</v>
      </c>
      <c r="L876">
        <v>0</v>
      </c>
      <c r="M876">
        <v>0</v>
      </c>
      <c r="N876">
        <v>0</v>
      </c>
      <c r="O876">
        <v>1</v>
      </c>
      <c r="P876">
        <v>0</v>
      </c>
      <c r="Q876">
        <v>4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>
        <v>0</v>
      </c>
      <c r="AH876">
        <v>0</v>
      </c>
      <c r="AI876">
        <v>0</v>
      </c>
      <c r="AJ876">
        <v>0</v>
      </c>
      <c r="AK876">
        <v>0</v>
      </c>
      <c r="AL876">
        <v>11</v>
      </c>
      <c r="AM876">
        <v>1.6666666666666667</v>
      </c>
      <c r="AN876">
        <v>31.208705357143064</v>
      </c>
    </row>
    <row r="877" spans="1:40" x14ac:dyDescent="0.3">
      <c r="A877" t="s">
        <v>287</v>
      </c>
      <c r="B877" t="s">
        <v>59</v>
      </c>
      <c r="C877" t="s">
        <v>10</v>
      </c>
      <c r="D877" t="s">
        <v>14</v>
      </c>
      <c r="E877">
        <v>202602</v>
      </c>
      <c r="F877" t="s">
        <v>65</v>
      </c>
      <c r="G877">
        <v>0</v>
      </c>
      <c r="H877">
        <v>0</v>
      </c>
      <c r="I877">
        <v>0</v>
      </c>
      <c r="J877">
        <v>1</v>
      </c>
      <c r="K877">
        <v>0</v>
      </c>
      <c r="L877">
        <v>1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>
        <v>0</v>
      </c>
      <c r="AH877">
        <v>0</v>
      </c>
      <c r="AI877">
        <v>0</v>
      </c>
      <c r="AJ877">
        <v>0</v>
      </c>
      <c r="AK877">
        <v>0</v>
      </c>
      <c r="AL877">
        <v>2</v>
      </c>
      <c r="AM877">
        <v>0</v>
      </c>
      <c r="AN877">
        <v>2</v>
      </c>
    </row>
    <row r="878" spans="1:40" x14ac:dyDescent="0.3">
      <c r="A878" t="s">
        <v>287</v>
      </c>
      <c r="B878" t="s">
        <v>59</v>
      </c>
      <c r="C878" t="s">
        <v>10</v>
      </c>
      <c r="D878" t="s">
        <v>14</v>
      </c>
      <c r="E878">
        <v>202602</v>
      </c>
      <c r="F878" t="s">
        <v>66</v>
      </c>
      <c r="G878">
        <v>0</v>
      </c>
      <c r="H878">
        <v>1</v>
      </c>
      <c r="I878">
        <v>0</v>
      </c>
      <c r="J878">
        <v>0</v>
      </c>
      <c r="K878">
        <v>0</v>
      </c>
      <c r="L878">
        <v>0</v>
      </c>
      <c r="M878">
        <v>0</v>
      </c>
      <c r="N878">
        <v>0</v>
      </c>
      <c r="O878">
        <v>1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0</v>
      </c>
      <c r="AC878">
        <v>0</v>
      </c>
      <c r="AD878">
        <v>0</v>
      </c>
      <c r="AE878">
        <v>0</v>
      </c>
      <c r="AF878">
        <v>0</v>
      </c>
      <c r="AG878">
        <v>0</v>
      </c>
      <c r="AH878">
        <v>0</v>
      </c>
      <c r="AI878">
        <v>0</v>
      </c>
      <c r="AJ878">
        <v>0</v>
      </c>
      <c r="AK878">
        <v>0</v>
      </c>
      <c r="AL878">
        <v>2</v>
      </c>
      <c r="AM878">
        <v>0.33333333333333331</v>
      </c>
      <c r="AN878">
        <v>6.0417410714286133</v>
      </c>
    </row>
    <row r="879" spans="1:40" x14ac:dyDescent="0.3">
      <c r="A879" t="s">
        <v>287</v>
      </c>
      <c r="B879" t="s">
        <v>59</v>
      </c>
      <c r="C879" t="s">
        <v>10</v>
      </c>
      <c r="D879" t="s">
        <v>14</v>
      </c>
      <c r="E879">
        <v>202602</v>
      </c>
      <c r="F879" t="s">
        <v>68</v>
      </c>
      <c r="G879">
        <v>0</v>
      </c>
      <c r="H879">
        <v>0</v>
      </c>
      <c r="I879">
        <v>0</v>
      </c>
      <c r="J879">
        <v>0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1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0</v>
      </c>
      <c r="AC879">
        <v>0</v>
      </c>
      <c r="AD879">
        <v>0</v>
      </c>
      <c r="AE879">
        <v>0</v>
      </c>
      <c r="AF879">
        <v>0</v>
      </c>
      <c r="AG879">
        <v>0</v>
      </c>
      <c r="AH879">
        <v>0</v>
      </c>
      <c r="AI879">
        <v>0</v>
      </c>
      <c r="AJ879">
        <v>0</v>
      </c>
      <c r="AK879">
        <v>0</v>
      </c>
      <c r="AL879">
        <v>1</v>
      </c>
      <c r="AM879">
        <v>0.33333333333333331</v>
      </c>
      <c r="AN879">
        <v>5.0417410714286133</v>
      </c>
    </row>
    <row r="880" spans="1:40" x14ac:dyDescent="0.3">
      <c r="A880" t="s">
        <v>287</v>
      </c>
      <c r="B880" t="s">
        <v>59</v>
      </c>
      <c r="C880" t="s">
        <v>10</v>
      </c>
      <c r="D880" t="s">
        <v>14</v>
      </c>
      <c r="E880">
        <v>202602</v>
      </c>
      <c r="F880" t="s">
        <v>304</v>
      </c>
      <c r="G880">
        <v>0</v>
      </c>
      <c r="H880">
        <v>2</v>
      </c>
      <c r="I880">
        <v>2</v>
      </c>
      <c r="J880">
        <v>0</v>
      </c>
      <c r="K880">
        <v>3</v>
      </c>
      <c r="L880">
        <v>0</v>
      </c>
      <c r="M880">
        <v>0</v>
      </c>
      <c r="N880">
        <v>0</v>
      </c>
      <c r="O880">
        <v>0</v>
      </c>
      <c r="P880">
        <v>1</v>
      </c>
      <c r="Q880">
        <v>3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0</v>
      </c>
      <c r="AC880">
        <v>0</v>
      </c>
      <c r="AD880">
        <v>0</v>
      </c>
      <c r="AE880">
        <v>0</v>
      </c>
      <c r="AF880">
        <v>0</v>
      </c>
      <c r="AG880">
        <v>0</v>
      </c>
      <c r="AH880">
        <v>0</v>
      </c>
      <c r="AI880">
        <v>0</v>
      </c>
      <c r="AJ880">
        <v>0</v>
      </c>
      <c r="AK880">
        <v>0</v>
      </c>
      <c r="AL880">
        <v>11</v>
      </c>
      <c r="AM880">
        <v>1.3333333333333333</v>
      </c>
      <c r="AN880">
        <v>27.166964285714453</v>
      </c>
    </row>
    <row r="881" spans="1:40" x14ac:dyDescent="0.3">
      <c r="A881" t="s">
        <v>287</v>
      </c>
      <c r="B881" t="s">
        <v>59</v>
      </c>
      <c r="C881" t="s">
        <v>10</v>
      </c>
      <c r="D881" t="s">
        <v>14</v>
      </c>
      <c r="E881">
        <v>202602</v>
      </c>
      <c r="F881" t="s">
        <v>305</v>
      </c>
      <c r="G881">
        <v>1</v>
      </c>
      <c r="H881">
        <v>2</v>
      </c>
      <c r="I881">
        <v>5</v>
      </c>
      <c r="J881">
        <v>10</v>
      </c>
      <c r="K881">
        <v>3</v>
      </c>
      <c r="L881">
        <v>7</v>
      </c>
      <c r="M881">
        <v>0</v>
      </c>
      <c r="N881">
        <v>0</v>
      </c>
      <c r="O881">
        <v>3</v>
      </c>
      <c r="P881">
        <v>6</v>
      </c>
      <c r="Q881">
        <v>8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0</v>
      </c>
      <c r="AC881">
        <v>0</v>
      </c>
      <c r="AD881">
        <v>0</v>
      </c>
      <c r="AE881">
        <v>0</v>
      </c>
      <c r="AF881">
        <v>0</v>
      </c>
      <c r="AG881">
        <v>0</v>
      </c>
      <c r="AH881">
        <v>0</v>
      </c>
      <c r="AI881">
        <v>0</v>
      </c>
      <c r="AJ881">
        <v>0</v>
      </c>
      <c r="AK881">
        <v>0</v>
      </c>
      <c r="AL881">
        <v>45</v>
      </c>
      <c r="AM881">
        <v>5.666666666666667</v>
      </c>
      <c r="AN881">
        <v>113.70959821428642</v>
      </c>
    </row>
    <row r="882" spans="1:40" x14ac:dyDescent="0.3">
      <c r="A882" t="s">
        <v>287</v>
      </c>
      <c r="B882" t="s">
        <v>59</v>
      </c>
      <c r="C882" t="s">
        <v>10</v>
      </c>
      <c r="D882" t="s">
        <v>14</v>
      </c>
      <c r="E882">
        <v>202602</v>
      </c>
      <c r="F882" t="s">
        <v>69</v>
      </c>
      <c r="G882">
        <v>0</v>
      </c>
      <c r="H882">
        <v>8</v>
      </c>
      <c r="I882">
        <v>15</v>
      </c>
      <c r="J882">
        <v>15</v>
      </c>
      <c r="K882">
        <v>20</v>
      </c>
      <c r="L882">
        <v>9</v>
      </c>
      <c r="M882">
        <v>0</v>
      </c>
      <c r="N882">
        <v>0</v>
      </c>
      <c r="O882">
        <v>13</v>
      </c>
      <c r="P882">
        <v>10</v>
      </c>
      <c r="Q882">
        <v>11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0</v>
      </c>
      <c r="AC882">
        <v>0</v>
      </c>
      <c r="AD882">
        <v>0</v>
      </c>
      <c r="AE882">
        <v>0</v>
      </c>
      <c r="AF882">
        <v>0</v>
      </c>
      <c r="AG882">
        <v>0</v>
      </c>
      <c r="AH882">
        <v>0</v>
      </c>
      <c r="AI882">
        <v>0</v>
      </c>
      <c r="AJ882">
        <v>0</v>
      </c>
      <c r="AK882">
        <v>0</v>
      </c>
      <c r="AL882">
        <v>101</v>
      </c>
      <c r="AM882">
        <v>11.333333333333334</v>
      </c>
      <c r="AN882">
        <v>238.41919642857283</v>
      </c>
    </row>
    <row r="883" spans="1:40" x14ac:dyDescent="0.3">
      <c r="A883" t="s">
        <v>287</v>
      </c>
      <c r="B883" t="s">
        <v>59</v>
      </c>
      <c r="C883" t="s">
        <v>10</v>
      </c>
      <c r="D883" t="s">
        <v>14</v>
      </c>
      <c r="E883">
        <v>202602</v>
      </c>
      <c r="F883" t="s">
        <v>306</v>
      </c>
      <c r="G883">
        <v>0</v>
      </c>
      <c r="H883">
        <v>2</v>
      </c>
      <c r="I883">
        <v>6</v>
      </c>
      <c r="J883">
        <v>4</v>
      </c>
      <c r="K883">
        <v>3</v>
      </c>
      <c r="L883">
        <v>5</v>
      </c>
      <c r="M883">
        <v>0</v>
      </c>
      <c r="N883">
        <v>0</v>
      </c>
      <c r="O883">
        <v>4</v>
      </c>
      <c r="P883">
        <v>8</v>
      </c>
      <c r="Q883">
        <v>9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0</v>
      </c>
      <c r="AC883">
        <v>0</v>
      </c>
      <c r="AD883">
        <v>0</v>
      </c>
      <c r="AE883">
        <v>0</v>
      </c>
      <c r="AF883">
        <v>0</v>
      </c>
      <c r="AG883">
        <v>0</v>
      </c>
      <c r="AH883">
        <v>0</v>
      </c>
      <c r="AI883">
        <v>0</v>
      </c>
      <c r="AJ883">
        <v>0</v>
      </c>
      <c r="AK883">
        <v>0</v>
      </c>
      <c r="AL883">
        <v>41</v>
      </c>
      <c r="AM883">
        <v>7</v>
      </c>
      <c r="AN883">
        <v>125.87656250000087</v>
      </c>
    </row>
    <row r="884" spans="1:40" x14ac:dyDescent="0.3">
      <c r="A884" t="s">
        <v>287</v>
      </c>
      <c r="B884" t="s">
        <v>59</v>
      </c>
      <c r="C884" t="s">
        <v>10</v>
      </c>
      <c r="D884" t="s">
        <v>14</v>
      </c>
      <c r="E884">
        <v>202602</v>
      </c>
      <c r="F884" t="s">
        <v>307</v>
      </c>
      <c r="G884">
        <v>0</v>
      </c>
      <c r="H884">
        <v>2</v>
      </c>
      <c r="I884">
        <v>1</v>
      </c>
      <c r="J884">
        <v>1</v>
      </c>
      <c r="K884">
        <v>3</v>
      </c>
      <c r="L884">
        <v>0</v>
      </c>
      <c r="M884">
        <v>0</v>
      </c>
      <c r="N884">
        <v>0</v>
      </c>
      <c r="O884">
        <v>2</v>
      </c>
      <c r="P884">
        <v>3</v>
      </c>
      <c r="Q884">
        <v>1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</v>
      </c>
      <c r="AC884">
        <v>0</v>
      </c>
      <c r="AD884">
        <v>0</v>
      </c>
      <c r="AE884">
        <v>0</v>
      </c>
      <c r="AF884">
        <v>0</v>
      </c>
      <c r="AG884">
        <v>0</v>
      </c>
      <c r="AH884">
        <v>0</v>
      </c>
      <c r="AI884">
        <v>0</v>
      </c>
      <c r="AJ884">
        <v>0</v>
      </c>
      <c r="AK884">
        <v>0</v>
      </c>
      <c r="AL884">
        <v>13</v>
      </c>
      <c r="AM884">
        <v>2</v>
      </c>
      <c r="AN884">
        <v>37.250446428571678</v>
      </c>
    </row>
    <row r="885" spans="1:40" x14ac:dyDescent="0.3">
      <c r="A885" t="s">
        <v>287</v>
      </c>
      <c r="B885" t="s">
        <v>59</v>
      </c>
      <c r="C885" t="s">
        <v>10</v>
      </c>
      <c r="D885" t="s">
        <v>14</v>
      </c>
      <c r="E885">
        <v>202602</v>
      </c>
      <c r="F885" t="s">
        <v>77</v>
      </c>
      <c r="G885">
        <v>0</v>
      </c>
      <c r="H885">
        <v>0</v>
      </c>
      <c r="I885">
        <v>0</v>
      </c>
      <c r="J885">
        <v>0</v>
      </c>
      <c r="K885">
        <v>0</v>
      </c>
      <c r="L885">
        <v>1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0</v>
      </c>
      <c r="AD885">
        <v>0</v>
      </c>
      <c r="AE885">
        <v>0</v>
      </c>
      <c r="AF885">
        <v>0</v>
      </c>
      <c r="AG885">
        <v>0</v>
      </c>
      <c r="AH885">
        <v>0</v>
      </c>
      <c r="AI885">
        <v>0</v>
      </c>
      <c r="AJ885">
        <v>0</v>
      </c>
      <c r="AK885">
        <v>0</v>
      </c>
      <c r="AL885">
        <v>1</v>
      </c>
      <c r="AM885">
        <v>0</v>
      </c>
      <c r="AN885">
        <v>1</v>
      </c>
    </row>
    <row r="886" spans="1:40" x14ac:dyDescent="0.3">
      <c r="A886" t="s">
        <v>287</v>
      </c>
      <c r="B886" t="s">
        <v>59</v>
      </c>
      <c r="C886" t="s">
        <v>10</v>
      </c>
      <c r="D886" t="s">
        <v>14</v>
      </c>
      <c r="E886">
        <v>202602</v>
      </c>
      <c r="F886" t="s">
        <v>78</v>
      </c>
      <c r="G886">
        <v>0</v>
      </c>
      <c r="H886">
        <v>3</v>
      </c>
      <c r="I886">
        <v>4</v>
      </c>
      <c r="J886">
        <v>3</v>
      </c>
      <c r="K886">
        <v>5</v>
      </c>
      <c r="L886">
        <v>4</v>
      </c>
      <c r="M886">
        <v>0</v>
      </c>
      <c r="N886">
        <v>0</v>
      </c>
      <c r="O886">
        <v>7</v>
      </c>
      <c r="P886">
        <v>8</v>
      </c>
      <c r="Q886">
        <v>4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0</v>
      </c>
      <c r="AD886">
        <v>0</v>
      </c>
      <c r="AE886">
        <v>0</v>
      </c>
      <c r="AF886">
        <v>0</v>
      </c>
      <c r="AG886">
        <v>0</v>
      </c>
      <c r="AH886">
        <v>0</v>
      </c>
      <c r="AI886">
        <v>0</v>
      </c>
      <c r="AJ886">
        <v>0</v>
      </c>
      <c r="AK886">
        <v>0</v>
      </c>
      <c r="AL886">
        <v>38</v>
      </c>
      <c r="AM886">
        <v>6.333333333333333</v>
      </c>
      <c r="AN886">
        <v>114.79308035714364</v>
      </c>
    </row>
    <row r="887" spans="1:40" x14ac:dyDescent="0.3">
      <c r="A887" t="s">
        <v>287</v>
      </c>
      <c r="B887" t="s">
        <v>59</v>
      </c>
      <c r="C887" t="s">
        <v>10</v>
      </c>
      <c r="D887" t="s">
        <v>14</v>
      </c>
      <c r="E887">
        <v>202602</v>
      </c>
      <c r="F887" t="s">
        <v>79</v>
      </c>
      <c r="G887">
        <v>0</v>
      </c>
      <c r="H887">
        <v>0</v>
      </c>
      <c r="I887">
        <v>0</v>
      </c>
      <c r="J887">
        <v>0</v>
      </c>
      <c r="K887">
        <v>0</v>
      </c>
      <c r="L887">
        <v>1</v>
      </c>
      <c r="M887">
        <v>0</v>
      </c>
      <c r="N887">
        <v>0</v>
      </c>
      <c r="O887">
        <v>2</v>
      </c>
      <c r="P887">
        <v>0</v>
      </c>
      <c r="Q887">
        <v>1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0</v>
      </c>
      <c r="AB887">
        <v>0</v>
      </c>
      <c r="AC887">
        <v>0</v>
      </c>
      <c r="AD887">
        <v>0</v>
      </c>
      <c r="AE887">
        <v>0</v>
      </c>
      <c r="AF887">
        <v>0</v>
      </c>
      <c r="AG887">
        <v>0</v>
      </c>
      <c r="AH887">
        <v>0</v>
      </c>
      <c r="AI887">
        <v>0</v>
      </c>
      <c r="AJ887">
        <v>0</v>
      </c>
      <c r="AK887">
        <v>0</v>
      </c>
      <c r="AL887">
        <v>4</v>
      </c>
      <c r="AM887">
        <v>1</v>
      </c>
      <c r="AN887">
        <v>16.125223214285839</v>
      </c>
    </row>
    <row r="888" spans="1:40" x14ac:dyDescent="0.3">
      <c r="A888" t="s">
        <v>287</v>
      </c>
      <c r="B888" t="s">
        <v>81</v>
      </c>
      <c r="C888" t="s">
        <v>10</v>
      </c>
      <c r="D888" t="s">
        <v>11</v>
      </c>
      <c r="E888">
        <v>202602</v>
      </c>
      <c r="F888" t="s">
        <v>207</v>
      </c>
      <c r="G888">
        <v>0</v>
      </c>
      <c r="H888">
        <v>0</v>
      </c>
      <c r="I888">
        <v>0</v>
      </c>
      <c r="J888">
        <v>0</v>
      </c>
      <c r="K888">
        <v>1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1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0</v>
      </c>
      <c r="AC888">
        <v>0</v>
      </c>
      <c r="AD888">
        <v>0</v>
      </c>
      <c r="AE888">
        <v>0</v>
      </c>
      <c r="AF888">
        <v>0</v>
      </c>
      <c r="AG888">
        <v>0</v>
      </c>
      <c r="AH888">
        <v>0</v>
      </c>
      <c r="AI888">
        <v>0</v>
      </c>
      <c r="AJ888">
        <v>0</v>
      </c>
      <c r="AK888">
        <v>0</v>
      </c>
      <c r="AL888">
        <v>2</v>
      </c>
      <c r="AM888">
        <v>0.33333333333333331</v>
      </c>
      <c r="AN888">
        <v>6.6046251398731117</v>
      </c>
    </row>
    <row r="889" spans="1:40" x14ac:dyDescent="0.3">
      <c r="A889" t="s">
        <v>287</v>
      </c>
      <c r="B889" t="s">
        <v>81</v>
      </c>
      <c r="C889" t="s">
        <v>10</v>
      </c>
      <c r="D889" t="s">
        <v>11</v>
      </c>
      <c r="E889">
        <v>202602</v>
      </c>
      <c r="F889" t="s">
        <v>308</v>
      </c>
      <c r="G889">
        <v>0</v>
      </c>
      <c r="H889">
        <v>3</v>
      </c>
      <c r="I889">
        <v>7</v>
      </c>
      <c r="J889">
        <v>5</v>
      </c>
      <c r="K889">
        <v>3</v>
      </c>
      <c r="L889">
        <v>2</v>
      </c>
      <c r="M889">
        <v>1</v>
      </c>
      <c r="N889">
        <v>0</v>
      </c>
      <c r="O889">
        <v>2</v>
      </c>
      <c r="P889">
        <v>3</v>
      </c>
      <c r="Q889">
        <v>8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0</v>
      </c>
      <c r="AC889">
        <v>0</v>
      </c>
      <c r="AD889">
        <v>0</v>
      </c>
      <c r="AE889">
        <v>0</v>
      </c>
      <c r="AF889">
        <v>0</v>
      </c>
      <c r="AG889">
        <v>0</v>
      </c>
      <c r="AH889">
        <v>0</v>
      </c>
      <c r="AI889">
        <v>0</v>
      </c>
      <c r="AJ889">
        <v>0</v>
      </c>
      <c r="AK889">
        <v>0</v>
      </c>
      <c r="AL889">
        <v>34</v>
      </c>
      <c r="AM889">
        <v>4.333333333333333</v>
      </c>
      <c r="AN889">
        <v>93.860126818350437</v>
      </c>
    </row>
    <row r="890" spans="1:40" x14ac:dyDescent="0.3">
      <c r="A890" t="s">
        <v>287</v>
      </c>
      <c r="B890" t="s">
        <v>81</v>
      </c>
      <c r="C890" t="s">
        <v>10</v>
      </c>
      <c r="D890" t="s">
        <v>11</v>
      </c>
      <c r="E890">
        <v>202602</v>
      </c>
      <c r="F890" t="s">
        <v>309</v>
      </c>
      <c r="G890">
        <v>0</v>
      </c>
      <c r="H890">
        <v>1</v>
      </c>
      <c r="I890">
        <v>0</v>
      </c>
      <c r="J890">
        <v>1</v>
      </c>
      <c r="K890">
        <v>0</v>
      </c>
      <c r="L890">
        <v>0</v>
      </c>
      <c r="M890">
        <v>0</v>
      </c>
      <c r="N890">
        <v>0</v>
      </c>
      <c r="O890">
        <v>1</v>
      </c>
      <c r="P890">
        <v>1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0</v>
      </c>
      <c r="AA890">
        <v>0</v>
      </c>
      <c r="AB890">
        <v>0</v>
      </c>
      <c r="AC890">
        <v>0</v>
      </c>
      <c r="AD890">
        <v>0</v>
      </c>
      <c r="AE890">
        <v>0</v>
      </c>
      <c r="AF890">
        <v>0</v>
      </c>
      <c r="AG890">
        <v>0</v>
      </c>
      <c r="AH890">
        <v>0</v>
      </c>
      <c r="AI890">
        <v>0</v>
      </c>
      <c r="AJ890">
        <v>0</v>
      </c>
      <c r="AK890">
        <v>0</v>
      </c>
      <c r="AL890">
        <v>4</v>
      </c>
      <c r="AM890">
        <v>0.66666666666666663</v>
      </c>
      <c r="AN890">
        <v>13.209250279746223</v>
      </c>
    </row>
    <row r="891" spans="1:40" x14ac:dyDescent="0.3">
      <c r="A891" t="s">
        <v>287</v>
      </c>
      <c r="B891" t="s">
        <v>81</v>
      </c>
      <c r="C891" t="s">
        <v>10</v>
      </c>
      <c r="D891" t="s">
        <v>11</v>
      </c>
      <c r="E891">
        <v>202602</v>
      </c>
      <c r="F891" t="s">
        <v>83</v>
      </c>
      <c r="G891">
        <v>0</v>
      </c>
      <c r="H891">
        <v>0</v>
      </c>
      <c r="I891">
        <v>0</v>
      </c>
      <c r="J891">
        <v>0</v>
      </c>
      <c r="K891">
        <v>0</v>
      </c>
      <c r="L891">
        <v>0</v>
      </c>
      <c r="M891">
        <v>1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0</v>
      </c>
      <c r="AA891">
        <v>0</v>
      </c>
      <c r="AB891">
        <v>0</v>
      </c>
      <c r="AC891">
        <v>0</v>
      </c>
      <c r="AD891">
        <v>0</v>
      </c>
      <c r="AE891">
        <v>0</v>
      </c>
      <c r="AF891">
        <v>0</v>
      </c>
      <c r="AG891">
        <v>0</v>
      </c>
      <c r="AH891">
        <v>0</v>
      </c>
      <c r="AI891">
        <v>0</v>
      </c>
      <c r="AJ891">
        <v>0</v>
      </c>
      <c r="AK891">
        <v>0</v>
      </c>
      <c r="AL891">
        <v>1</v>
      </c>
      <c r="AM891">
        <v>0</v>
      </c>
      <c r="AN891">
        <v>1</v>
      </c>
    </row>
    <row r="892" spans="1:40" x14ac:dyDescent="0.3">
      <c r="A892" t="s">
        <v>287</v>
      </c>
      <c r="B892" t="s">
        <v>81</v>
      </c>
      <c r="C892" t="s">
        <v>10</v>
      </c>
      <c r="D892" t="s">
        <v>11</v>
      </c>
      <c r="E892">
        <v>202602</v>
      </c>
      <c r="F892" t="s">
        <v>310</v>
      </c>
      <c r="G892">
        <v>0</v>
      </c>
      <c r="H892">
        <v>0</v>
      </c>
      <c r="I892">
        <v>1</v>
      </c>
      <c r="J892">
        <v>1</v>
      </c>
      <c r="K892">
        <v>4</v>
      </c>
      <c r="L892">
        <v>1</v>
      </c>
      <c r="M892">
        <v>0</v>
      </c>
      <c r="N892">
        <v>0</v>
      </c>
      <c r="O892">
        <v>1</v>
      </c>
      <c r="P892">
        <v>0</v>
      </c>
      <c r="Q892">
        <v>1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0</v>
      </c>
      <c r="AA892">
        <v>0</v>
      </c>
      <c r="AB892">
        <v>0</v>
      </c>
      <c r="AC892">
        <v>0</v>
      </c>
      <c r="AD892">
        <v>0</v>
      </c>
      <c r="AE892">
        <v>0</v>
      </c>
      <c r="AF892">
        <v>0</v>
      </c>
      <c r="AG892">
        <v>0</v>
      </c>
      <c r="AH892">
        <v>0</v>
      </c>
      <c r="AI892">
        <v>0</v>
      </c>
      <c r="AJ892">
        <v>0</v>
      </c>
      <c r="AK892">
        <v>0</v>
      </c>
      <c r="AL892">
        <v>9</v>
      </c>
      <c r="AM892">
        <v>0.66666666666666663</v>
      </c>
      <c r="AN892">
        <v>18.209250279746222</v>
      </c>
    </row>
    <row r="893" spans="1:40" x14ac:dyDescent="0.3">
      <c r="A893" t="s">
        <v>287</v>
      </c>
      <c r="B893" t="s">
        <v>81</v>
      </c>
      <c r="C893" t="s">
        <v>10</v>
      </c>
      <c r="D893" t="s">
        <v>11</v>
      </c>
      <c r="E893">
        <v>202602</v>
      </c>
      <c r="F893" t="s">
        <v>311</v>
      </c>
      <c r="G893">
        <v>0</v>
      </c>
      <c r="H893">
        <v>0</v>
      </c>
      <c r="I893">
        <v>1</v>
      </c>
      <c r="J893">
        <v>0</v>
      </c>
      <c r="K893">
        <v>1</v>
      </c>
      <c r="L893">
        <v>0</v>
      </c>
      <c r="M893">
        <v>0</v>
      </c>
      <c r="N893">
        <v>0</v>
      </c>
      <c r="O893">
        <v>0</v>
      </c>
      <c r="P893">
        <v>1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0</v>
      </c>
      <c r="Z893">
        <v>0</v>
      </c>
      <c r="AA893">
        <v>0</v>
      </c>
      <c r="AB893">
        <v>0</v>
      </c>
      <c r="AC893">
        <v>0</v>
      </c>
      <c r="AD893">
        <v>0</v>
      </c>
      <c r="AE893">
        <v>0</v>
      </c>
      <c r="AF893">
        <v>0</v>
      </c>
      <c r="AG893">
        <v>0</v>
      </c>
      <c r="AH893">
        <v>0</v>
      </c>
      <c r="AI893">
        <v>0</v>
      </c>
      <c r="AJ893">
        <v>0</v>
      </c>
      <c r="AK893">
        <v>0</v>
      </c>
      <c r="AL893">
        <v>3</v>
      </c>
      <c r="AM893">
        <v>0.33333333333333331</v>
      </c>
      <c r="AN893">
        <v>7.6046251398731117</v>
      </c>
    </row>
    <row r="894" spans="1:40" x14ac:dyDescent="0.3">
      <c r="A894" t="s">
        <v>287</v>
      </c>
      <c r="B894" t="s">
        <v>81</v>
      </c>
      <c r="C894" t="s">
        <v>10</v>
      </c>
      <c r="D894" t="s">
        <v>11</v>
      </c>
      <c r="E894">
        <v>202602</v>
      </c>
      <c r="F894" t="s">
        <v>312</v>
      </c>
      <c r="G894">
        <v>0</v>
      </c>
      <c r="H894">
        <v>0</v>
      </c>
      <c r="I894">
        <v>0</v>
      </c>
      <c r="J894">
        <v>0</v>
      </c>
      <c r="K894">
        <v>0</v>
      </c>
      <c r="L894">
        <v>0</v>
      </c>
      <c r="M894">
        <v>0</v>
      </c>
      <c r="N894">
        <v>0</v>
      </c>
      <c r="O894">
        <v>2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0</v>
      </c>
      <c r="AA894">
        <v>0</v>
      </c>
      <c r="AB894">
        <v>0</v>
      </c>
      <c r="AC894">
        <v>0</v>
      </c>
      <c r="AD894">
        <v>0</v>
      </c>
      <c r="AE894">
        <v>0</v>
      </c>
      <c r="AF894">
        <v>0</v>
      </c>
      <c r="AG894">
        <v>0</v>
      </c>
      <c r="AH894">
        <v>0</v>
      </c>
      <c r="AI894">
        <v>0</v>
      </c>
      <c r="AJ894">
        <v>0</v>
      </c>
      <c r="AK894">
        <v>0</v>
      </c>
      <c r="AL894">
        <v>2</v>
      </c>
      <c r="AM894">
        <v>0.66666666666666663</v>
      </c>
      <c r="AN894">
        <v>11.209250279746223</v>
      </c>
    </row>
    <row r="895" spans="1:40" x14ac:dyDescent="0.3">
      <c r="A895" t="s">
        <v>287</v>
      </c>
      <c r="B895" t="s">
        <v>81</v>
      </c>
      <c r="C895" t="s">
        <v>10</v>
      </c>
      <c r="D895" t="s">
        <v>11</v>
      </c>
      <c r="E895">
        <v>202602</v>
      </c>
      <c r="F895" t="s">
        <v>313</v>
      </c>
      <c r="G895">
        <v>0</v>
      </c>
      <c r="H895">
        <v>0</v>
      </c>
      <c r="I895">
        <v>0</v>
      </c>
      <c r="J895">
        <v>1</v>
      </c>
      <c r="K895">
        <v>1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0</v>
      </c>
      <c r="AA895">
        <v>0</v>
      </c>
      <c r="AB895">
        <v>0</v>
      </c>
      <c r="AC895">
        <v>0</v>
      </c>
      <c r="AD895">
        <v>0</v>
      </c>
      <c r="AE895">
        <v>0</v>
      </c>
      <c r="AF895">
        <v>0</v>
      </c>
      <c r="AG895">
        <v>0</v>
      </c>
      <c r="AH895">
        <v>0</v>
      </c>
      <c r="AI895">
        <v>0</v>
      </c>
      <c r="AJ895">
        <v>0</v>
      </c>
      <c r="AK895">
        <v>0</v>
      </c>
      <c r="AL895">
        <v>2</v>
      </c>
      <c r="AM895">
        <v>0</v>
      </c>
      <c r="AN895">
        <v>2</v>
      </c>
    </row>
    <row r="896" spans="1:40" x14ac:dyDescent="0.3">
      <c r="A896" t="s">
        <v>287</v>
      </c>
      <c r="B896" t="s">
        <v>81</v>
      </c>
      <c r="C896" t="s">
        <v>10</v>
      </c>
      <c r="D896" t="s">
        <v>11</v>
      </c>
      <c r="E896">
        <v>202602</v>
      </c>
      <c r="F896" t="s">
        <v>314</v>
      </c>
      <c r="G896">
        <v>0</v>
      </c>
      <c r="H896">
        <v>1</v>
      </c>
      <c r="I896">
        <v>0</v>
      </c>
      <c r="J896">
        <v>0</v>
      </c>
      <c r="K896">
        <v>0</v>
      </c>
      <c r="L896">
        <v>0</v>
      </c>
      <c r="M896">
        <v>1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0</v>
      </c>
      <c r="AC896">
        <v>0</v>
      </c>
      <c r="AD896">
        <v>0</v>
      </c>
      <c r="AE896">
        <v>0</v>
      </c>
      <c r="AF896">
        <v>0</v>
      </c>
      <c r="AG896">
        <v>0</v>
      </c>
      <c r="AH896">
        <v>0</v>
      </c>
      <c r="AI896">
        <v>0</v>
      </c>
      <c r="AJ896">
        <v>0</v>
      </c>
      <c r="AK896">
        <v>0</v>
      </c>
      <c r="AL896">
        <v>2</v>
      </c>
      <c r="AM896">
        <v>0</v>
      </c>
      <c r="AN896">
        <v>2</v>
      </c>
    </row>
    <row r="897" spans="1:40" x14ac:dyDescent="0.3">
      <c r="A897" t="s">
        <v>287</v>
      </c>
      <c r="B897" t="s">
        <v>81</v>
      </c>
      <c r="C897" t="s">
        <v>10</v>
      </c>
      <c r="D897" t="s">
        <v>11</v>
      </c>
      <c r="E897">
        <v>202602</v>
      </c>
      <c r="F897" t="s">
        <v>317</v>
      </c>
      <c r="G897">
        <v>0</v>
      </c>
      <c r="H897">
        <v>0</v>
      </c>
      <c r="I897">
        <v>0</v>
      </c>
      <c r="J897">
        <v>0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1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0</v>
      </c>
      <c r="AC897">
        <v>0</v>
      </c>
      <c r="AD897">
        <v>0</v>
      </c>
      <c r="AE897">
        <v>0</v>
      </c>
      <c r="AF897">
        <v>0</v>
      </c>
      <c r="AG897">
        <v>0</v>
      </c>
      <c r="AH897">
        <v>0</v>
      </c>
      <c r="AI897">
        <v>0</v>
      </c>
      <c r="AJ897">
        <v>0</v>
      </c>
      <c r="AK897">
        <v>0</v>
      </c>
      <c r="AL897">
        <v>1</v>
      </c>
      <c r="AM897">
        <v>0.33333333333333331</v>
      </c>
      <c r="AN897">
        <v>5.6046251398731117</v>
      </c>
    </row>
    <row r="898" spans="1:40" x14ac:dyDescent="0.3">
      <c r="A898" t="s">
        <v>287</v>
      </c>
      <c r="B898" t="s">
        <v>81</v>
      </c>
      <c r="C898" t="s">
        <v>10</v>
      </c>
      <c r="D898" t="s">
        <v>11</v>
      </c>
      <c r="E898">
        <v>202602</v>
      </c>
      <c r="F898" t="s">
        <v>315</v>
      </c>
      <c r="G898">
        <v>0</v>
      </c>
      <c r="H898">
        <v>1</v>
      </c>
      <c r="I898">
        <v>0</v>
      </c>
      <c r="J898">
        <v>0</v>
      </c>
      <c r="K898">
        <v>1</v>
      </c>
      <c r="L898">
        <v>1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0</v>
      </c>
      <c r="AC898">
        <v>0</v>
      </c>
      <c r="AD898">
        <v>0</v>
      </c>
      <c r="AE898">
        <v>0</v>
      </c>
      <c r="AF898">
        <v>0</v>
      </c>
      <c r="AG898">
        <v>0</v>
      </c>
      <c r="AH898">
        <v>0</v>
      </c>
      <c r="AI898">
        <v>0</v>
      </c>
      <c r="AJ898">
        <v>0</v>
      </c>
      <c r="AK898">
        <v>0</v>
      </c>
      <c r="AL898">
        <v>3</v>
      </c>
      <c r="AM898">
        <v>0</v>
      </c>
      <c r="AN898">
        <v>3</v>
      </c>
    </row>
    <row r="899" spans="1:40" x14ac:dyDescent="0.3">
      <c r="A899" t="s">
        <v>287</v>
      </c>
      <c r="B899" t="s">
        <v>81</v>
      </c>
      <c r="C899" t="s">
        <v>10</v>
      </c>
      <c r="D899" t="s">
        <v>11</v>
      </c>
      <c r="E899">
        <v>202602</v>
      </c>
      <c r="F899" t="s">
        <v>316</v>
      </c>
      <c r="G899">
        <v>0</v>
      </c>
      <c r="H899">
        <v>2</v>
      </c>
      <c r="I899">
        <v>0</v>
      </c>
      <c r="J899">
        <v>0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1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>
        <v>0</v>
      </c>
      <c r="AB899">
        <v>0</v>
      </c>
      <c r="AC899">
        <v>0</v>
      </c>
      <c r="AD899">
        <v>0</v>
      </c>
      <c r="AE899">
        <v>0</v>
      </c>
      <c r="AF899">
        <v>0</v>
      </c>
      <c r="AG899">
        <v>0</v>
      </c>
      <c r="AH899">
        <v>0</v>
      </c>
      <c r="AI899">
        <v>0</v>
      </c>
      <c r="AJ899">
        <v>0</v>
      </c>
      <c r="AK899">
        <v>0</v>
      </c>
      <c r="AL899">
        <v>3</v>
      </c>
      <c r="AM899">
        <v>0.33333333333333331</v>
      </c>
      <c r="AN899">
        <v>7.6046251398731117</v>
      </c>
    </row>
    <row r="900" spans="1:40" x14ac:dyDescent="0.3">
      <c r="A900" t="s">
        <v>287</v>
      </c>
      <c r="B900" t="s">
        <v>81</v>
      </c>
      <c r="C900" t="s">
        <v>10</v>
      </c>
      <c r="D900" t="s">
        <v>14</v>
      </c>
      <c r="E900">
        <v>202602</v>
      </c>
      <c r="F900" t="s">
        <v>207</v>
      </c>
      <c r="G900">
        <v>0</v>
      </c>
      <c r="H900">
        <v>0</v>
      </c>
      <c r="I900">
        <v>1</v>
      </c>
      <c r="J900">
        <v>0</v>
      </c>
      <c r="K900">
        <v>0</v>
      </c>
      <c r="L900">
        <v>0</v>
      </c>
      <c r="M900">
        <v>0</v>
      </c>
      <c r="N900">
        <v>0</v>
      </c>
      <c r="O900">
        <v>1</v>
      </c>
      <c r="P900">
        <v>0</v>
      </c>
      <c r="Q900">
        <v>1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>
        <v>0</v>
      </c>
      <c r="AB900">
        <v>0</v>
      </c>
      <c r="AC900">
        <v>0</v>
      </c>
      <c r="AD900">
        <v>0</v>
      </c>
      <c r="AE900">
        <v>0</v>
      </c>
      <c r="AF900">
        <v>0</v>
      </c>
      <c r="AG900">
        <v>0</v>
      </c>
      <c r="AH900">
        <v>0</v>
      </c>
      <c r="AI900">
        <v>0</v>
      </c>
      <c r="AJ900">
        <v>0</v>
      </c>
      <c r="AK900">
        <v>0</v>
      </c>
      <c r="AL900">
        <v>3</v>
      </c>
      <c r="AM900">
        <v>0.66666666666666663</v>
      </c>
      <c r="AN900">
        <v>11.083482142857227</v>
      </c>
    </row>
    <row r="901" spans="1:40" x14ac:dyDescent="0.3">
      <c r="A901" t="s">
        <v>287</v>
      </c>
      <c r="B901" t="s">
        <v>81</v>
      </c>
      <c r="C901" t="s">
        <v>10</v>
      </c>
      <c r="D901" t="s">
        <v>14</v>
      </c>
      <c r="E901">
        <v>202602</v>
      </c>
      <c r="F901" t="s">
        <v>308</v>
      </c>
      <c r="G901">
        <v>0</v>
      </c>
      <c r="H901">
        <v>12</v>
      </c>
      <c r="I901">
        <v>6</v>
      </c>
      <c r="J901">
        <v>4</v>
      </c>
      <c r="K901">
        <v>3</v>
      </c>
      <c r="L901">
        <v>3</v>
      </c>
      <c r="M901">
        <v>0</v>
      </c>
      <c r="N901">
        <v>0</v>
      </c>
      <c r="O901">
        <v>9</v>
      </c>
      <c r="P901">
        <v>2</v>
      </c>
      <c r="Q901">
        <v>3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>
        <v>0</v>
      </c>
      <c r="AB901">
        <v>0</v>
      </c>
      <c r="AC901">
        <v>0</v>
      </c>
      <c r="AD901">
        <v>0</v>
      </c>
      <c r="AE901">
        <v>0</v>
      </c>
      <c r="AF901">
        <v>0</v>
      </c>
      <c r="AG901">
        <v>0</v>
      </c>
      <c r="AH901">
        <v>0</v>
      </c>
      <c r="AI901">
        <v>0</v>
      </c>
      <c r="AJ901">
        <v>0</v>
      </c>
      <c r="AK901">
        <v>0</v>
      </c>
      <c r="AL901">
        <v>42</v>
      </c>
      <c r="AM901">
        <v>4.666666666666667</v>
      </c>
      <c r="AN901">
        <v>98.584375000000591</v>
      </c>
    </row>
    <row r="902" spans="1:40" x14ac:dyDescent="0.3">
      <c r="A902" t="s">
        <v>287</v>
      </c>
      <c r="B902" t="s">
        <v>81</v>
      </c>
      <c r="C902" t="s">
        <v>10</v>
      </c>
      <c r="D902" t="s">
        <v>14</v>
      </c>
      <c r="E902">
        <v>202602</v>
      </c>
      <c r="F902" t="s">
        <v>309</v>
      </c>
      <c r="G902">
        <v>0</v>
      </c>
      <c r="H902">
        <v>0</v>
      </c>
      <c r="I902">
        <v>2</v>
      </c>
      <c r="J902">
        <v>0</v>
      </c>
      <c r="K902">
        <v>0</v>
      </c>
      <c r="L902">
        <v>1</v>
      </c>
      <c r="M902">
        <v>0</v>
      </c>
      <c r="N902">
        <v>0</v>
      </c>
      <c r="O902">
        <v>0</v>
      </c>
      <c r="P902">
        <v>1</v>
      </c>
      <c r="Q902">
        <v>1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0</v>
      </c>
      <c r="AA902">
        <v>0</v>
      </c>
      <c r="AB902">
        <v>0</v>
      </c>
      <c r="AC902">
        <v>0</v>
      </c>
      <c r="AD902">
        <v>0</v>
      </c>
      <c r="AE902">
        <v>0</v>
      </c>
      <c r="AF902">
        <v>0</v>
      </c>
      <c r="AG902">
        <v>0</v>
      </c>
      <c r="AH902">
        <v>0</v>
      </c>
      <c r="AI902">
        <v>0</v>
      </c>
      <c r="AJ902">
        <v>0</v>
      </c>
      <c r="AK902">
        <v>0</v>
      </c>
      <c r="AL902">
        <v>5</v>
      </c>
      <c r="AM902">
        <v>0.66666666666666663</v>
      </c>
      <c r="AN902">
        <v>13.083482142857227</v>
      </c>
    </row>
    <row r="903" spans="1:40" x14ac:dyDescent="0.3">
      <c r="A903" t="s">
        <v>287</v>
      </c>
      <c r="B903" t="s">
        <v>81</v>
      </c>
      <c r="C903" t="s">
        <v>10</v>
      </c>
      <c r="D903" t="s">
        <v>14</v>
      </c>
      <c r="E903">
        <v>202602</v>
      </c>
      <c r="F903" t="s">
        <v>83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1</v>
      </c>
      <c r="M903">
        <v>0</v>
      </c>
      <c r="N903">
        <v>0</v>
      </c>
      <c r="O903">
        <v>1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>
        <v>0</v>
      </c>
      <c r="AB903">
        <v>0</v>
      </c>
      <c r="AC903">
        <v>0</v>
      </c>
      <c r="AD903">
        <v>0</v>
      </c>
      <c r="AE903">
        <v>0</v>
      </c>
      <c r="AF903">
        <v>0</v>
      </c>
      <c r="AG903">
        <v>0</v>
      </c>
      <c r="AH903">
        <v>0</v>
      </c>
      <c r="AI903">
        <v>0</v>
      </c>
      <c r="AJ903">
        <v>0</v>
      </c>
      <c r="AK903">
        <v>0</v>
      </c>
      <c r="AL903">
        <v>2</v>
      </c>
      <c r="AM903">
        <v>0.33333333333333331</v>
      </c>
      <c r="AN903">
        <v>6.0417410714286133</v>
      </c>
    </row>
    <row r="904" spans="1:40" x14ac:dyDescent="0.3">
      <c r="A904" t="s">
        <v>287</v>
      </c>
      <c r="B904" t="s">
        <v>81</v>
      </c>
      <c r="C904" t="s">
        <v>10</v>
      </c>
      <c r="D904" t="s">
        <v>14</v>
      </c>
      <c r="E904">
        <v>202602</v>
      </c>
      <c r="F904" t="s">
        <v>84</v>
      </c>
      <c r="G904">
        <v>0</v>
      </c>
      <c r="H904">
        <v>0</v>
      </c>
      <c r="I904">
        <v>0</v>
      </c>
      <c r="J904">
        <v>0</v>
      </c>
      <c r="K904">
        <v>1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0</v>
      </c>
      <c r="AA904">
        <v>0</v>
      </c>
      <c r="AB904">
        <v>0</v>
      </c>
      <c r="AC904">
        <v>0</v>
      </c>
      <c r="AD904">
        <v>0</v>
      </c>
      <c r="AE904">
        <v>0</v>
      </c>
      <c r="AF904">
        <v>0</v>
      </c>
      <c r="AG904">
        <v>0</v>
      </c>
      <c r="AH904">
        <v>0</v>
      </c>
      <c r="AI904">
        <v>0</v>
      </c>
      <c r="AJ904">
        <v>0</v>
      </c>
      <c r="AK904">
        <v>0</v>
      </c>
      <c r="AL904">
        <v>1</v>
      </c>
      <c r="AM904">
        <v>0</v>
      </c>
      <c r="AN904">
        <v>1</v>
      </c>
    </row>
    <row r="905" spans="1:40" x14ac:dyDescent="0.3">
      <c r="A905" t="s">
        <v>287</v>
      </c>
      <c r="B905" t="s">
        <v>81</v>
      </c>
      <c r="C905" t="s">
        <v>10</v>
      </c>
      <c r="D905" t="s">
        <v>14</v>
      </c>
      <c r="E905">
        <v>202602</v>
      </c>
      <c r="F905" t="s">
        <v>691</v>
      </c>
      <c r="G905">
        <v>0</v>
      </c>
      <c r="H905">
        <v>0</v>
      </c>
      <c r="I905">
        <v>0</v>
      </c>
      <c r="J905">
        <v>0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1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0</v>
      </c>
      <c r="Y905">
        <v>0</v>
      </c>
      <c r="Z905">
        <v>0</v>
      </c>
      <c r="AA905">
        <v>0</v>
      </c>
      <c r="AB905">
        <v>0</v>
      </c>
      <c r="AC905">
        <v>0</v>
      </c>
      <c r="AD905">
        <v>0</v>
      </c>
      <c r="AE905">
        <v>0</v>
      </c>
      <c r="AF905">
        <v>0</v>
      </c>
      <c r="AG905">
        <v>0</v>
      </c>
      <c r="AH905">
        <v>0</v>
      </c>
      <c r="AI905">
        <v>0</v>
      </c>
      <c r="AJ905">
        <v>0</v>
      </c>
      <c r="AK905">
        <v>0</v>
      </c>
      <c r="AL905">
        <v>1</v>
      </c>
      <c r="AM905">
        <v>0.33333333333333331</v>
      </c>
      <c r="AN905">
        <v>5.0417410714286133</v>
      </c>
    </row>
    <row r="906" spans="1:40" x14ac:dyDescent="0.3">
      <c r="A906" t="s">
        <v>287</v>
      </c>
      <c r="B906" t="s">
        <v>81</v>
      </c>
      <c r="C906" t="s">
        <v>10</v>
      </c>
      <c r="D906" t="s">
        <v>14</v>
      </c>
      <c r="E906">
        <v>202602</v>
      </c>
      <c r="F906" t="s">
        <v>310</v>
      </c>
      <c r="G906">
        <v>0</v>
      </c>
      <c r="H906">
        <v>2</v>
      </c>
      <c r="I906">
        <v>3</v>
      </c>
      <c r="J906">
        <v>4</v>
      </c>
      <c r="K906">
        <v>1</v>
      </c>
      <c r="L906">
        <v>0</v>
      </c>
      <c r="M906">
        <v>2</v>
      </c>
      <c r="N906">
        <v>0</v>
      </c>
      <c r="O906">
        <v>1</v>
      </c>
      <c r="P906">
        <v>1</v>
      </c>
      <c r="Q906">
        <v>1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0</v>
      </c>
      <c r="AA906">
        <v>0</v>
      </c>
      <c r="AB906">
        <v>0</v>
      </c>
      <c r="AC906">
        <v>0</v>
      </c>
      <c r="AD906">
        <v>0</v>
      </c>
      <c r="AE906">
        <v>0</v>
      </c>
      <c r="AF906">
        <v>0</v>
      </c>
      <c r="AG906">
        <v>0</v>
      </c>
      <c r="AH906">
        <v>0</v>
      </c>
      <c r="AI906">
        <v>0</v>
      </c>
      <c r="AJ906">
        <v>0</v>
      </c>
      <c r="AK906">
        <v>0</v>
      </c>
      <c r="AL906">
        <v>15</v>
      </c>
      <c r="AM906">
        <v>1</v>
      </c>
      <c r="AN906">
        <v>27.125223214285839</v>
      </c>
    </row>
    <row r="907" spans="1:40" x14ac:dyDescent="0.3">
      <c r="A907" t="s">
        <v>287</v>
      </c>
      <c r="B907" t="s">
        <v>81</v>
      </c>
      <c r="C907" t="s">
        <v>10</v>
      </c>
      <c r="D907" t="s">
        <v>14</v>
      </c>
      <c r="E907">
        <v>202602</v>
      </c>
      <c r="F907" t="s">
        <v>311</v>
      </c>
      <c r="G907">
        <v>0</v>
      </c>
      <c r="H907">
        <v>0</v>
      </c>
      <c r="I907">
        <v>1</v>
      </c>
      <c r="J907">
        <v>0</v>
      </c>
      <c r="K907">
        <v>0</v>
      </c>
      <c r="L907">
        <v>0</v>
      </c>
      <c r="M907">
        <v>0</v>
      </c>
      <c r="N907">
        <v>0</v>
      </c>
      <c r="O907">
        <v>2</v>
      </c>
      <c r="P907">
        <v>0</v>
      </c>
      <c r="Q907">
        <v>4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0</v>
      </c>
      <c r="AA907">
        <v>0</v>
      </c>
      <c r="AB907">
        <v>0</v>
      </c>
      <c r="AC907">
        <v>0</v>
      </c>
      <c r="AD907">
        <v>0</v>
      </c>
      <c r="AE907">
        <v>0</v>
      </c>
      <c r="AF907">
        <v>0</v>
      </c>
      <c r="AG907">
        <v>0</v>
      </c>
      <c r="AH907">
        <v>0</v>
      </c>
      <c r="AI907">
        <v>0</v>
      </c>
      <c r="AJ907">
        <v>0</v>
      </c>
      <c r="AK907">
        <v>0</v>
      </c>
      <c r="AL907">
        <v>7</v>
      </c>
      <c r="AM907">
        <v>2</v>
      </c>
      <c r="AN907">
        <v>31.250446428571678</v>
      </c>
    </row>
    <row r="908" spans="1:40" x14ac:dyDescent="0.3">
      <c r="A908" t="s">
        <v>287</v>
      </c>
      <c r="B908" t="s">
        <v>81</v>
      </c>
      <c r="C908" t="s">
        <v>10</v>
      </c>
      <c r="D908" t="s">
        <v>14</v>
      </c>
      <c r="E908">
        <v>202602</v>
      </c>
      <c r="F908" t="s">
        <v>312</v>
      </c>
      <c r="G908">
        <v>0</v>
      </c>
      <c r="H908">
        <v>0</v>
      </c>
      <c r="I908">
        <v>0</v>
      </c>
      <c r="J908">
        <v>0</v>
      </c>
      <c r="K908">
        <v>0</v>
      </c>
      <c r="L908">
        <v>2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0</v>
      </c>
      <c r="AC908">
        <v>0</v>
      </c>
      <c r="AD908">
        <v>0</v>
      </c>
      <c r="AE908">
        <v>0</v>
      </c>
      <c r="AF908">
        <v>0</v>
      </c>
      <c r="AG908">
        <v>0</v>
      </c>
      <c r="AH908">
        <v>0</v>
      </c>
      <c r="AI908">
        <v>0</v>
      </c>
      <c r="AJ908">
        <v>0</v>
      </c>
      <c r="AK908">
        <v>0</v>
      </c>
      <c r="AL908">
        <v>2</v>
      </c>
      <c r="AM908">
        <v>0</v>
      </c>
      <c r="AN908">
        <v>2</v>
      </c>
    </row>
    <row r="909" spans="1:40" x14ac:dyDescent="0.3">
      <c r="A909" t="s">
        <v>287</v>
      </c>
      <c r="B909" t="s">
        <v>81</v>
      </c>
      <c r="C909" t="s">
        <v>10</v>
      </c>
      <c r="D909" t="s">
        <v>14</v>
      </c>
      <c r="E909">
        <v>202602</v>
      </c>
      <c r="F909" t="s">
        <v>313</v>
      </c>
      <c r="G909">
        <v>0</v>
      </c>
      <c r="H909">
        <v>0</v>
      </c>
      <c r="I909">
        <v>1</v>
      </c>
      <c r="J909">
        <v>1</v>
      </c>
      <c r="K909">
        <v>0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</v>
      </c>
      <c r="AA909">
        <v>0</v>
      </c>
      <c r="AB909">
        <v>0</v>
      </c>
      <c r="AC909">
        <v>0</v>
      </c>
      <c r="AD909">
        <v>0</v>
      </c>
      <c r="AE909">
        <v>0</v>
      </c>
      <c r="AF909">
        <v>0</v>
      </c>
      <c r="AG909">
        <v>0</v>
      </c>
      <c r="AH909">
        <v>0</v>
      </c>
      <c r="AI909">
        <v>0</v>
      </c>
      <c r="AJ909">
        <v>0</v>
      </c>
      <c r="AK909">
        <v>0</v>
      </c>
      <c r="AL909">
        <v>2</v>
      </c>
      <c r="AM909">
        <v>0</v>
      </c>
      <c r="AN909">
        <v>2</v>
      </c>
    </row>
    <row r="910" spans="1:40" x14ac:dyDescent="0.3">
      <c r="A910" t="s">
        <v>287</v>
      </c>
      <c r="B910" t="s">
        <v>81</v>
      </c>
      <c r="C910" t="s">
        <v>10</v>
      </c>
      <c r="D910" t="s">
        <v>14</v>
      </c>
      <c r="E910">
        <v>202602</v>
      </c>
      <c r="F910" t="s">
        <v>314</v>
      </c>
      <c r="G910">
        <v>0</v>
      </c>
      <c r="H910">
        <v>0</v>
      </c>
      <c r="I910">
        <v>0</v>
      </c>
      <c r="J910">
        <v>0</v>
      </c>
      <c r="K910">
        <v>2</v>
      </c>
      <c r="L910">
        <v>0</v>
      </c>
      <c r="M910">
        <v>0</v>
      </c>
      <c r="N910">
        <v>0</v>
      </c>
      <c r="O910">
        <v>1</v>
      </c>
      <c r="P910">
        <v>3</v>
      </c>
      <c r="Q910">
        <v>2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0</v>
      </c>
      <c r="AB910">
        <v>0</v>
      </c>
      <c r="AC910">
        <v>0</v>
      </c>
      <c r="AD910">
        <v>0</v>
      </c>
      <c r="AE910">
        <v>0</v>
      </c>
      <c r="AF910">
        <v>0</v>
      </c>
      <c r="AG910">
        <v>0</v>
      </c>
      <c r="AH910">
        <v>0</v>
      </c>
      <c r="AI910">
        <v>0</v>
      </c>
      <c r="AJ910">
        <v>0</v>
      </c>
      <c r="AK910">
        <v>0</v>
      </c>
      <c r="AL910">
        <v>8</v>
      </c>
      <c r="AM910">
        <v>2</v>
      </c>
      <c r="AN910">
        <v>32.250446428571678</v>
      </c>
    </row>
    <row r="911" spans="1:40" x14ac:dyDescent="0.3">
      <c r="A911" t="s">
        <v>287</v>
      </c>
      <c r="B911" t="s">
        <v>81</v>
      </c>
      <c r="C911" t="s">
        <v>10</v>
      </c>
      <c r="D911" t="s">
        <v>14</v>
      </c>
      <c r="E911">
        <v>202602</v>
      </c>
      <c r="F911" t="s">
        <v>317</v>
      </c>
      <c r="G911">
        <v>0</v>
      </c>
      <c r="H911">
        <v>0</v>
      </c>
      <c r="I911">
        <v>0</v>
      </c>
      <c r="J911">
        <v>1</v>
      </c>
      <c r="K911">
        <v>0</v>
      </c>
      <c r="L911">
        <v>0</v>
      </c>
      <c r="M911">
        <v>0</v>
      </c>
      <c r="N911">
        <v>0</v>
      </c>
      <c r="O911">
        <v>0</v>
      </c>
      <c r="P911">
        <v>2</v>
      </c>
      <c r="Q911">
        <v>2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0</v>
      </c>
      <c r="AA911">
        <v>0</v>
      </c>
      <c r="AB911">
        <v>0</v>
      </c>
      <c r="AC911">
        <v>0</v>
      </c>
      <c r="AD911">
        <v>0</v>
      </c>
      <c r="AE911">
        <v>0</v>
      </c>
      <c r="AF911">
        <v>0</v>
      </c>
      <c r="AG911">
        <v>0</v>
      </c>
      <c r="AH911">
        <v>0</v>
      </c>
      <c r="AI911">
        <v>0</v>
      </c>
      <c r="AJ911">
        <v>0</v>
      </c>
      <c r="AK911">
        <v>0</v>
      </c>
      <c r="AL911">
        <v>5</v>
      </c>
      <c r="AM911">
        <v>1.3333333333333333</v>
      </c>
      <c r="AN911">
        <v>21.166964285714453</v>
      </c>
    </row>
    <row r="912" spans="1:40" x14ac:dyDescent="0.3">
      <c r="A912" t="s">
        <v>287</v>
      </c>
      <c r="B912" t="s">
        <v>81</v>
      </c>
      <c r="C912" t="s">
        <v>10</v>
      </c>
      <c r="D912" t="s">
        <v>14</v>
      </c>
      <c r="E912">
        <v>202602</v>
      </c>
      <c r="F912" t="s">
        <v>315</v>
      </c>
      <c r="G912">
        <v>0</v>
      </c>
      <c r="H912">
        <v>0</v>
      </c>
      <c r="I912">
        <v>0</v>
      </c>
      <c r="J912">
        <v>2</v>
      </c>
      <c r="K912">
        <v>2</v>
      </c>
      <c r="L912">
        <v>1</v>
      </c>
      <c r="M912">
        <v>0</v>
      </c>
      <c r="N912">
        <v>0</v>
      </c>
      <c r="O912">
        <v>2</v>
      </c>
      <c r="P912">
        <v>0</v>
      </c>
      <c r="Q912">
        <v>1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>
        <v>0</v>
      </c>
      <c r="AB912">
        <v>0</v>
      </c>
      <c r="AC912">
        <v>0</v>
      </c>
      <c r="AD912">
        <v>0</v>
      </c>
      <c r="AE912">
        <v>0</v>
      </c>
      <c r="AF912">
        <v>0</v>
      </c>
      <c r="AG912">
        <v>0</v>
      </c>
      <c r="AH912">
        <v>0</v>
      </c>
      <c r="AI912">
        <v>0</v>
      </c>
      <c r="AJ912">
        <v>0</v>
      </c>
      <c r="AK912">
        <v>0</v>
      </c>
      <c r="AL912">
        <v>8</v>
      </c>
      <c r="AM912">
        <v>1</v>
      </c>
      <c r="AN912">
        <v>20.125223214285839</v>
      </c>
    </row>
    <row r="913" spans="1:40" x14ac:dyDescent="0.3">
      <c r="A913" t="s">
        <v>287</v>
      </c>
      <c r="B913" t="s">
        <v>81</v>
      </c>
      <c r="C913" t="s">
        <v>10</v>
      </c>
      <c r="D913" t="s">
        <v>14</v>
      </c>
      <c r="E913">
        <v>202602</v>
      </c>
      <c r="F913" t="s">
        <v>316</v>
      </c>
      <c r="G913">
        <v>0</v>
      </c>
      <c r="H913">
        <v>0</v>
      </c>
      <c r="I913">
        <v>0</v>
      </c>
      <c r="J913">
        <v>0</v>
      </c>
      <c r="K913">
        <v>1</v>
      </c>
      <c r="L913">
        <v>0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0</v>
      </c>
      <c r="AC913">
        <v>0</v>
      </c>
      <c r="AD913">
        <v>0</v>
      </c>
      <c r="AE913">
        <v>0</v>
      </c>
      <c r="AF913">
        <v>0</v>
      </c>
      <c r="AG913">
        <v>0</v>
      </c>
      <c r="AH913">
        <v>0</v>
      </c>
      <c r="AI913">
        <v>0</v>
      </c>
      <c r="AJ913">
        <v>0</v>
      </c>
      <c r="AK913">
        <v>0</v>
      </c>
      <c r="AL913">
        <v>1</v>
      </c>
      <c r="AM913">
        <v>0</v>
      </c>
      <c r="AN913">
        <v>1</v>
      </c>
    </row>
    <row r="914" spans="1:40" x14ac:dyDescent="0.3">
      <c r="A914" t="s">
        <v>287</v>
      </c>
      <c r="B914" t="s">
        <v>81</v>
      </c>
      <c r="C914" t="s">
        <v>16</v>
      </c>
      <c r="D914" t="s">
        <v>11</v>
      </c>
      <c r="E914">
        <v>202602</v>
      </c>
      <c r="F914" t="s">
        <v>308</v>
      </c>
      <c r="G914">
        <v>0</v>
      </c>
      <c r="H914">
        <v>0</v>
      </c>
      <c r="I914">
        <v>1</v>
      </c>
      <c r="J914">
        <v>0</v>
      </c>
      <c r="K914">
        <v>1</v>
      </c>
      <c r="L914">
        <v>0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>
        <v>0</v>
      </c>
      <c r="AB914">
        <v>0</v>
      </c>
      <c r="AC914">
        <v>0</v>
      </c>
      <c r="AD914">
        <v>0</v>
      </c>
      <c r="AE914">
        <v>0</v>
      </c>
      <c r="AF914">
        <v>0</v>
      </c>
      <c r="AG914">
        <v>0</v>
      </c>
      <c r="AH914">
        <v>0</v>
      </c>
      <c r="AI914">
        <v>0</v>
      </c>
      <c r="AJ914">
        <v>0</v>
      </c>
      <c r="AK914">
        <v>0</v>
      </c>
      <c r="AL914">
        <v>2</v>
      </c>
      <c r="AM914">
        <v>0</v>
      </c>
      <c r="AN914">
        <v>2</v>
      </c>
    </row>
    <row r="915" spans="1:40" x14ac:dyDescent="0.3">
      <c r="A915" t="s">
        <v>287</v>
      </c>
      <c r="B915" t="s">
        <v>81</v>
      </c>
      <c r="C915" t="s">
        <v>16</v>
      </c>
      <c r="D915" t="s">
        <v>11</v>
      </c>
      <c r="E915">
        <v>202602</v>
      </c>
      <c r="F915" t="s">
        <v>314</v>
      </c>
      <c r="G915">
        <v>0</v>
      </c>
      <c r="H915">
        <v>0</v>
      </c>
      <c r="I915">
        <v>0</v>
      </c>
      <c r="J915">
        <v>0</v>
      </c>
      <c r="K915">
        <v>0</v>
      </c>
      <c r="L915">
        <v>0</v>
      </c>
      <c r="M915">
        <v>0</v>
      </c>
      <c r="N915">
        <v>0</v>
      </c>
      <c r="O915">
        <v>0</v>
      </c>
      <c r="P915">
        <v>1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>
        <v>0</v>
      </c>
      <c r="AB915">
        <v>0</v>
      </c>
      <c r="AC915">
        <v>0</v>
      </c>
      <c r="AD915">
        <v>0</v>
      </c>
      <c r="AE915">
        <v>0</v>
      </c>
      <c r="AF915">
        <v>0</v>
      </c>
      <c r="AG915">
        <v>0</v>
      </c>
      <c r="AH915">
        <v>0</v>
      </c>
      <c r="AI915">
        <v>0</v>
      </c>
      <c r="AJ915">
        <v>0</v>
      </c>
      <c r="AK915">
        <v>0</v>
      </c>
      <c r="AL915">
        <v>1</v>
      </c>
      <c r="AM915">
        <v>0.33333333333333331</v>
      </c>
      <c r="AN915">
        <v>5.6046251398731117</v>
      </c>
    </row>
    <row r="916" spans="1:40" x14ac:dyDescent="0.3">
      <c r="A916" t="s">
        <v>287</v>
      </c>
      <c r="B916" t="s">
        <v>81</v>
      </c>
      <c r="C916" t="s">
        <v>16</v>
      </c>
      <c r="D916" t="s">
        <v>14</v>
      </c>
      <c r="E916">
        <v>202602</v>
      </c>
      <c r="F916" t="s">
        <v>308</v>
      </c>
      <c r="G916">
        <v>0</v>
      </c>
      <c r="H916">
        <v>1</v>
      </c>
      <c r="I916">
        <v>0</v>
      </c>
      <c r="J916">
        <v>0</v>
      </c>
      <c r="K916">
        <v>1</v>
      </c>
      <c r="L916">
        <v>0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>
        <v>0</v>
      </c>
      <c r="AB916">
        <v>0</v>
      </c>
      <c r="AC916">
        <v>0</v>
      </c>
      <c r="AD916">
        <v>0</v>
      </c>
      <c r="AE916">
        <v>0</v>
      </c>
      <c r="AF916">
        <v>0</v>
      </c>
      <c r="AG916">
        <v>0</v>
      </c>
      <c r="AH916">
        <v>0</v>
      </c>
      <c r="AI916">
        <v>0</v>
      </c>
      <c r="AJ916">
        <v>0</v>
      </c>
      <c r="AK916">
        <v>0</v>
      </c>
      <c r="AL916">
        <v>2</v>
      </c>
      <c r="AM916">
        <v>0</v>
      </c>
      <c r="AN916">
        <v>2</v>
      </c>
    </row>
    <row r="917" spans="1:40" x14ac:dyDescent="0.3">
      <c r="A917" t="s">
        <v>287</v>
      </c>
      <c r="B917" t="s">
        <v>81</v>
      </c>
      <c r="C917" t="s">
        <v>16</v>
      </c>
      <c r="D917" t="s">
        <v>14</v>
      </c>
      <c r="E917">
        <v>202602</v>
      </c>
      <c r="F917" t="s">
        <v>314</v>
      </c>
      <c r="G917">
        <v>0</v>
      </c>
      <c r="H917">
        <v>0</v>
      </c>
      <c r="I917">
        <v>0</v>
      </c>
      <c r="J917">
        <v>0</v>
      </c>
      <c r="K917">
        <v>0</v>
      </c>
      <c r="L917">
        <v>0</v>
      </c>
      <c r="M917">
        <v>0</v>
      </c>
      <c r="N917">
        <v>0</v>
      </c>
      <c r="O917">
        <v>1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>
        <v>0</v>
      </c>
      <c r="AB917">
        <v>0</v>
      </c>
      <c r="AC917">
        <v>0</v>
      </c>
      <c r="AD917">
        <v>0</v>
      </c>
      <c r="AE917">
        <v>0</v>
      </c>
      <c r="AF917">
        <v>0</v>
      </c>
      <c r="AG917">
        <v>0</v>
      </c>
      <c r="AH917">
        <v>0</v>
      </c>
      <c r="AI917">
        <v>0</v>
      </c>
      <c r="AJ917">
        <v>0</v>
      </c>
      <c r="AK917">
        <v>0</v>
      </c>
      <c r="AL917">
        <v>1</v>
      </c>
      <c r="AM917">
        <v>0.33333333333333331</v>
      </c>
      <c r="AN917">
        <v>5.0417410714286133</v>
      </c>
    </row>
    <row r="918" spans="1:40" x14ac:dyDescent="0.3">
      <c r="A918" t="s">
        <v>287</v>
      </c>
      <c r="B918" t="s">
        <v>100</v>
      </c>
      <c r="C918" t="s">
        <v>10</v>
      </c>
      <c r="D918" t="s">
        <v>14</v>
      </c>
      <c r="E918">
        <v>202602</v>
      </c>
      <c r="F918" t="s">
        <v>102</v>
      </c>
      <c r="G918">
        <v>0</v>
      </c>
      <c r="H918">
        <v>0</v>
      </c>
      <c r="I918">
        <v>0</v>
      </c>
      <c r="J918">
        <v>0</v>
      </c>
      <c r="K918">
        <v>0</v>
      </c>
      <c r="L918">
        <v>0</v>
      </c>
      <c r="M918">
        <v>0</v>
      </c>
      <c r="N918">
        <v>0</v>
      </c>
      <c r="O918">
        <v>0</v>
      </c>
      <c r="P918">
        <v>1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>
        <v>0</v>
      </c>
      <c r="AB918">
        <v>0</v>
      </c>
      <c r="AC918">
        <v>0</v>
      </c>
      <c r="AD918">
        <v>0</v>
      </c>
      <c r="AE918">
        <v>0</v>
      </c>
      <c r="AF918">
        <v>0</v>
      </c>
      <c r="AG918">
        <v>0</v>
      </c>
      <c r="AH918">
        <v>0</v>
      </c>
      <c r="AI918">
        <v>0</v>
      </c>
      <c r="AJ918">
        <v>0</v>
      </c>
      <c r="AK918">
        <v>0</v>
      </c>
      <c r="AL918">
        <v>1</v>
      </c>
      <c r="AM918">
        <v>0.33333333333333331</v>
      </c>
      <c r="AN918">
        <v>5.0417410714286133</v>
      </c>
    </row>
    <row r="919" spans="1:40" x14ac:dyDescent="0.3">
      <c r="A919" t="s">
        <v>287</v>
      </c>
      <c r="B919" t="s">
        <v>644</v>
      </c>
      <c r="C919" t="s">
        <v>10</v>
      </c>
      <c r="D919" t="s">
        <v>11</v>
      </c>
      <c r="E919">
        <v>202602</v>
      </c>
      <c r="F919" t="s">
        <v>61</v>
      </c>
      <c r="G919">
        <v>0</v>
      </c>
      <c r="H919">
        <v>0</v>
      </c>
      <c r="I919">
        <v>0</v>
      </c>
      <c r="J919">
        <v>0</v>
      </c>
      <c r="K919">
        <v>0</v>
      </c>
      <c r="L919">
        <v>1</v>
      </c>
      <c r="M919">
        <v>0</v>
      </c>
      <c r="N919">
        <v>0</v>
      </c>
      <c r="O919">
        <v>0</v>
      </c>
      <c r="P919">
        <v>1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0</v>
      </c>
      <c r="AC919">
        <v>0</v>
      </c>
      <c r="AD919">
        <v>0</v>
      </c>
      <c r="AE919">
        <v>0</v>
      </c>
      <c r="AF919">
        <v>0</v>
      </c>
      <c r="AG919">
        <v>0</v>
      </c>
      <c r="AH919">
        <v>0</v>
      </c>
      <c r="AI919">
        <v>0</v>
      </c>
      <c r="AJ919">
        <v>0</v>
      </c>
      <c r="AK919">
        <v>0</v>
      </c>
      <c r="AL919">
        <v>2</v>
      </c>
      <c r="AM919">
        <v>0.33333333333333331</v>
      </c>
      <c r="AN919">
        <v>6.6046251398731117</v>
      </c>
    </row>
    <row r="920" spans="1:40" x14ac:dyDescent="0.3">
      <c r="A920" t="s">
        <v>287</v>
      </c>
      <c r="B920" t="s">
        <v>644</v>
      </c>
      <c r="C920" t="s">
        <v>10</v>
      </c>
      <c r="D920" t="s">
        <v>11</v>
      </c>
      <c r="E920">
        <v>202602</v>
      </c>
      <c r="F920" t="s">
        <v>112</v>
      </c>
      <c r="G920">
        <v>0</v>
      </c>
      <c r="H920">
        <v>1</v>
      </c>
      <c r="I920">
        <v>0</v>
      </c>
      <c r="J920">
        <v>0</v>
      </c>
      <c r="K920">
        <v>0</v>
      </c>
      <c r="L920">
        <v>0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0</v>
      </c>
      <c r="Z920">
        <v>0</v>
      </c>
      <c r="AA920">
        <v>0</v>
      </c>
      <c r="AB920">
        <v>0</v>
      </c>
      <c r="AC920">
        <v>0</v>
      </c>
      <c r="AD920">
        <v>0</v>
      </c>
      <c r="AE920">
        <v>0</v>
      </c>
      <c r="AF920">
        <v>0</v>
      </c>
      <c r="AG920">
        <v>0</v>
      </c>
      <c r="AH920">
        <v>0</v>
      </c>
      <c r="AI920">
        <v>0</v>
      </c>
      <c r="AJ920">
        <v>0</v>
      </c>
      <c r="AK920">
        <v>0</v>
      </c>
      <c r="AL920">
        <v>1</v>
      </c>
      <c r="AM920">
        <v>0</v>
      </c>
      <c r="AN920">
        <v>1</v>
      </c>
    </row>
    <row r="921" spans="1:40" x14ac:dyDescent="0.3">
      <c r="A921" t="s">
        <v>287</v>
      </c>
      <c r="B921" t="s">
        <v>644</v>
      </c>
      <c r="C921" t="s">
        <v>10</v>
      </c>
      <c r="D921" t="s">
        <v>11</v>
      </c>
      <c r="E921">
        <v>202602</v>
      </c>
      <c r="F921" t="s">
        <v>114</v>
      </c>
      <c r="G921">
        <v>0</v>
      </c>
      <c r="H921">
        <v>4</v>
      </c>
      <c r="I921">
        <v>2</v>
      </c>
      <c r="J921">
        <v>0</v>
      </c>
      <c r="K921">
        <v>3</v>
      </c>
      <c r="L921">
        <v>2</v>
      </c>
      <c r="M921">
        <v>7</v>
      </c>
      <c r="N921">
        <v>0</v>
      </c>
      <c r="O921">
        <v>1</v>
      </c>
      <c r="P921">
        <v>2</v>
      </c>
      <c r="Q921">
        <v>2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0</v>
      </c>
      <c r="Z921">
        <v>0</v>
      </c>
      <c r="AA921">
        <v>0</v>
      </c>
      <c r="AB921">
        <v>0</v>
      </c>
      <c r="AC921">
        <v>0</v>
      </c>
      <c r="AD921">
        <v>0</v>
      </c>
      <c r="AE921">
        <v>0</v>
      </c>
      <c r="AF921">
        <v>0</v>
      </c>
      <c r="AG921">
        <v>0</v>
      </c>
      <c r="AH921">
        <v>0</v>
      </c>
      <c r="AI921">
        <v>0</v>
      </c>
      <c r="AJ921">
        <v>0</v>
      </c>
      <c r="AK921">
        <v>0</v>
      </c>
      <c r="AL921">
        <v>23</v>
      </c>
      <c r="AM921">
        <v>1.6666666666666667</v>
      </c>
      <c r="AN921">
        <v>46.023125699365558</v>
      </c>
    </row>
    <row r="922" spans="1:40" x14ac:dyDescent="0.3">
      <c r="A922" t="s">
        <v>287</v>
      </c>
      <c r="B922" t="s">
        <v>644</v>
      </c>
      <c r="C922" t="s">
        <v>10</v>
      </c>
      <c r="D922" t="s">
        <v>11</v>
      </c>
      <c r="E922">
        <v>202602</v>
      </c>
      <c r="F922" t="s">
        <v>116</v>
      </c>
      <c r="G922">
        <v>0</v>
      </c>
      <c r="H922">
        <v>1</v>
      </c>
      <c r="I922">
        <v>0</v>
      </c>
      <c r="J922">
        <v>0</v>
      </c>
      <c r="K922">
        <v>0</v>
      </c>
      <c r="L922">
        <v>1</v>
      </c>
      <c r="M922">
        <v>0</v>
      </c>
      <c r="N922">
        <v>0</v>
      </c>
      <c r="O922">
        <v>0</v>
      </c>
      <c r="P922">
        <v>0</v>
      </c>
      <c r="Q922">
        <v>2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0</v>
      </c>
      <c r="Z922">
        <v>0</v>
      </c>
      <c r="AA922">
        <v>0</v>
      </c>
      <c r="AB922">
        <v>0</v>
      </c>
      <c r="AC922">
        <v>0</v>
      </c>
      <c r="AD922">
        <v>0</v>
      </c>
      <c r="AE922">
        <v>0</v>
      </c>
      <c r="AF922">
        <v>0</v>
      </c>
      <c r="AG922">
        <v>0</v>
      </c>
      <c r="AH922">
        <v>0</v>
      </c>
      <c r="AI922">
        <v>0</v>
      </c>
      <c r="AJ922">
        <v>0</v>
      </c>
      <c r="AK922">
        <v>0</v>
      </c>
      <c r="AL922">
        <v>4</v>
      </c>
      <c r="AM922">
        <v>0.66666666666666663</v>
      </c>
      <c r="AN922">
        <v>13.209250279746223</v>
      </c>
    </row>
    <row r="923" spans="1:40" x14ac:dyDescent="0.3">
      <c r="A923" t="s">
        <v>287</v>
      </c>
      <c r="B923" t="s">
        <v>644</v>
      </c>
      <c r="C923" t="s">
        <v>10</v>
      </c>
      <c r="D923" t="s">
        <v>11</v>
      </c>
      <c r="E923">
        <v>202602</v>
      </c>
      <c r="F923" t="s">
        <v>318</v>
      </c>
      <c r="G923">
        <v>0</v>
      </c>
      <c r="H923">
        <v>0</v>
      </c>
      <c r="I923">
        <v>0</v>
      </c>
      <c r="J923">
        <v>0</v>
      </c>
      <c r="K923">
        <v>0</v>
      </c>
      <c r="L923">
        <v>1</v>
      </c>
      <c r="M923">
        <v>0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0</v>
      </c>
      <c r="Z923">
        <v>0</v>
      </c>
      <c r="AA923">
        <v>0</v>
      </c>
      <c r="AB923">
        <v>0</v>
      </c>
      <c r="AC923">
        <v>0</v>
      </c>
      <c r="AD923">
        <v>0</v>
      </c>
      <c r="AE923">
        <v>0</v>
      </c>
      <c r="AF923">
        <v>0</v>
      </c>
      <c r="AG923">
        <v>0</v>
      </c>
      <c r="AH923">
        <v>0</v>
      </c>
      <c r="AI923">
        <v>0</v>
      </c>
      <c r="AJ923">
        <v>0</v>
      </c>
      <c r="AK923">
        <v>0</v>
      </c>
      <c r="AL923">
        <v>1</v>
      </c>
      <c r="AM923">
        <v>0</v>
      </c>
      <c r="AN923">
        <v>1</v>
      </c>
    </row>
    <row r="924" spans="1:40" x14ac:dyDescent="0.3">
      <c r="A924" t="s">
        <v>287</v>
      </c>
      <c r="B924" t="s">
        <v>644</v>
      </c>
      <c r="C924" t="s">
        <v>10</v>
      </c>
      <c r="D924" t="s">
        <v>11</v>
      </c>
      <c r="E924">
        <v>202602</v>
      </c>
      <c r="F924" t="s">
        <v>118</v>
      </c>
      <c r="G924">
        <v>0</v>
      </c>
      <c r="H924">
        <v>0</v>
      </c>
      <c r="I924">
        <v>0</v>
      </c>
      <c r="J924">
        <v>1</v>
      </c>
      <c r="K924">
        <v>0</v>
      </c>
      <c r="L924">
        <v>0</v>
      </c>
      <c r="M924">
        <v>1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0</v>
      </c>
      <c r="AA924">
        <v>0</v>
      </c>
      <c r="AB924">
        <v>0</v>
      </c>
      <c r="AC924">
        <v>0</v>
      </c>
      <c r="AD924">
        <v>0</v>
      </c>
      <c r="AE924">
        <v>0</v>
      </c>
      <c r="AF924">
        <v>0</v>
      </c>
      <c r="AG924">
        <v>0</v>
      </c>
      <c r="AH924">
        <v>0</v>
      </c>
      <c r="AI924">
        <v>0</v>
      </c>
      <c r="AJ924">
        <v>0</v>
      </c>
      <c r="AK924">
        <v>0</v>
      </c>
      <c r="AL924">
        <v>2</v>
      </c>
      <c r="AM924">
        <v>0</v>
      </c>
      <c r="AN924">
        <v>2</v>
      </c>
    </row>
    <row r="925" spans="1:40" x14ac:dyDescent="0.3">
      <c r="A925" t="s">
        <v>287</v>
      </c>
      <c r="B925" t="s">
        <v>644</v>
      </c>
      <c r="C925" t="s">
        <v>10</v>
      </c>
      <c r="D925" t="s">
        <v>11</v>
      </c>
      <c r="E925">
        <v>202602</v>
      </c>
      <c r="F925" t="s">
        <v>132</v>
      </c>
      <c r="G925">
        <v>0</v>
      </c>
      <c r="H925">
        <v>0</v>
      </c>
      <c r="I925">
        <v>0</v>
      </c>
      <c r="J925">
        <v>0</v>
      </c>
      <c r="K925">
        <v>1</v>
      </c>
      <c r="L925">
        <v>0</v>
      </c>
      <c r="M925">
        <v>0</v>
      </c>
      <c r="N925">
        <v>0</v>
      </c>
      <c r="O925">
        <v>0</v>
      </c>
      <c r="P925">
        <v>0</v>
      </c>
      <c r="Q925">
        <v>1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0</v>
      </c>
      <c r="Y925">
        <v>0</v>
      </c>
      <c r="Z925">
        <v>0</v>
      </c>
      <c r="AA925">
        <v>0</v>
      </c>
      <c r="AB925">
        <v>0</v>
      </c>
      <c r="AC925">
        <v>0</v>
      </c>
      <c r="AD925">
        <v>0</v>
      </c>
      <c r="AE925">
        <v>0</v>
      </c>
      <c r="AF925">
        <v>0</v>
      </c>
      <c r="AG925">
        <v>0</v>
      </c>
      <c r="AH925">
        <v>0</v>
      </c>
      <c r="AI925">
        <v>0</v>
      </c>
      <c r="AJ925">
        <v>0</v>
      </c>
      <c r="AK925">
        <v>0</v>
      </c>
      <c r="AL925">
        <v>2</v>
      </c>
      <c r="AM925">
        <v>0.33333333333333331</v>
      </c>
      <c r="AN925">
        <v>6.6046251398731117</v>
      </c>
    </row>
    <row r="926" spans="1:40" x14ac:dyDescent="0.3">
      <c r="A926" t="s">
        <v>287</v>
      </c>
      <c r="B926" t="s">
        <v>644</v>
      </c>
      <c r="C926" t="s">
        <v>10</v>
      </c>
      <c r="D926" t="s">
        <v>11</v>
      </c>
      <c r="E926">
        <v>202602</v>
      </c>
      <c r="F926" t="s">
        <v>119</v>
      </c>
      <c r="G926">
        <v>0</v>
      </c>
      <c r="H926">
        <v>0</v>
      </c>
      <c r="I926">
        <v>0</v>
      </c>
      <c r="J926">
        <v>1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0</v>
      </c>
      <c r="Z926">
        <v>0</v>
      </c>
      <c r="AA926">
        <v>0</v>
      </c>
      <c r="AB926">
        <v>0</v>
      </c>
      <c r="AC926">
        <v>0</v>
      </c>
      <c r="AD926">
        <v>0</v>
      </c>
      <c r="AE926">
        <v>0</v>
      </c>
      <c r="AF926">
        <v>0</v>
      </c>
      <c r="AG926">
        <v>0</v>
      </c>
      <c r="AH926">
        <v>0</v>
      </c>
      <c r="AI926">
        <v>0</v>
      </c>
      <c r="AJ926">
        <v>0</v>
      </c>
      <c r="AK926">
        <v>0</v>
      </c>
      <c r="AL926">
        <v>1</v>
      </c>
      <c r="AM926">
        <v>0</v>
      </c>
      <c r="AN926">
        <v>1</v>
      </c>
    </row>
    <row r="927" spans="1:40" x14ac:dyDescent="0.3">
      <c r="A927" t="s">
        <v>287</v>
      </c>
      <c r="B927" t="s">
        <v>644</v>
      </c>
      <c r="C927" t="s">
        <v>10</v>
      </c>
      <c r="D927" t="s">
        <v>11</v>
      </c>
      <c r="E927">
        <v>202602</v>
      </c>
      <c r="F927" t="s">
        <v>134</v>
      </c>
      <c r="G927">
        <v>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v>0</v>
      </c>
      <c r="N927">
        <v>0</v>
      </c>
      <c r="O927">
        <v>1</v>
      </c>
      <c r="P927">
        <v>0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0</v>
      </c>
      <c r="AA927">
        <v>0</v>
      </c>
      <c r="AB927">
        <v>0</v>
      </c>
      <c r="AC927">
        <v>0</v>
      </c>
      <c r="AD927">
        <v>0</v>
      </c>
      <c r="AE927">
        <v>0</v>
      </c>
      <c r="AF927">
        <v>0</v>
      </c>
      <c r="AG927">
        <v>0</v>
      </c>
      <c r="AH927">
        <v>0</v>
      </c>
      <c r="AI927">
        <v>0</v>
      </c>
      <c r="AJ927">
        <v>0</v>
      </c>
      <c r="AK927">
        <v>0</v>
      </c>
      <c r="AL927">
        <v>1</v>
      </c>
      <c r="AM927">
        <v>0.33333333333333331</v>
      </c>
      <c r="AN927">
        <v>5.6046251398731117</v>
      </c>
    </row>
    <row r="928" spans="1:40" x14ac:dyDescent="0.3">
      <c r="A928" t="s">
        <v>287</v>
      </c>
      <c r="B928" t="s">
        <v>644</v>
      </c>
      <c r="C928" t="s">
        <v>10</v>
      </c>
      <c r="D928" t="s">
        <v>11</v>
      </c>
      <c r="E928">
        <v>202602</v>
      </c>
      <c r="F928" t="s">
        <v>124</v>
      </c>
      <c r="G928">
        <v>0</v>
      </c>
      <c r="H928">
        <v>0</v>
      </c>
      <c r="I928">
        <v>0</v>
      </c>
      <c r="J928">
        <v>0</v>
      </c>
      <c r="K928">
        <v>1</v>
      </c>
      <c r="L928">
        <v>0</v>
      </c>
      <c r="M928">
        <v>0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0</v>
      </c>
      <c r="AA928">
        <v>0</v>
      </c>
      <c r="AB928">
        <v>0</v>
      </c>
      <c r="AC928">
        <v>0</v>
      </c>
      <c r="AD928">
        <v>0</v>
      </c>
      <c r="AE928">
        <v>0</v>
      </c>
      <c r="AF928">
        <v>0</v>
      </c>
      <c r="AG928">
        <v>0</v>
      </c>
      <c r="AH928">
        <v>0</v>
      </c>
      <c r="AI928">
        <v>0</v>
      </c>
      <c r="AJ928">
        <v>0</v>
      </c>
      <c r="AK928">
        <v>0</v>
      </c>
      <c r="AL928">
        <v>1</v>
      </c>
      <c r="AM928">
        <v>0</v>
      </c>
      <c r="AN928">
        <v>1</v>
      </c>
    </row>
    <row r="929" spans="1:40" x14ac:dyDescent="0.3">
      <c r="A929" t="s">
        <v>287</v>
      </c>
      <c r="B929" t="s">
        <v>644</v>
      </c>
      <c r="C929" t="s">
        <v>10</v>
      </c>
      <c r="D929" t="s">
        <v>11</v>
      </c>
      <c r="E929">
        <v>202602</v>
      </c>
      <c r="F929" t="s">
        <v>319</v>
      </c>
      <c r="G929">
        <v>0</v>
      </c>
      <c r="H929">
        <v>0</v>
      </c>
      <c r="I929">
        <v>0</v>
      </c>
      <c r="J929">
        <v>1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0</v>
      </c>
      <c r="Y929">
        <v>0</v>
      </c>
      <c r="Z929">
        <v>0</v>
      </c>
      <c r="AA929">
        <v>0</v>
      </c>
      <c r="AB929">
        <v>0</v>
      </c>
      <c r="AC929">
        <v>0</v>
      </c>
      <c r="AD929">
        <v>0</v>
      </c>
      <c r="AE929">
        <v>0</v>
      </c>
      <c r="AF929">
        <v>0</v>
      </c>
      <c r="AG929">
        <v>0</v>
      </c>
      <c r="AH929">
        <v>0</v>
      </c>
      <c r="AI929">
        <v>0</v>
      </c>
      <c r="AJ929">
        <v>0</v>
      </c>
      <c r="AK929">
        <v>0</v>
      </c>
      <c r="AL929">
        <v>1</v>
      </c>
      <c r="AM929">
        <v>0</v>
      </c>
      <c r="AN929">
        <v>1</v>
      </c>
    </row>
    <row r="930" spans="1:40" x14ac:dyDescent="0.3">
      <c r="A930" t="s">
        <v>287</v>
      </c>
      <c r="B930" t="s">
        <v>644</v>
      </c>
      <c r="C930" t="s">
        <v>10</v>
      </c>
      <c r="D930" t="s">
        <v>11</v>
      </c>
      <c r="E930">
        <v>202602</v>
      </c>
      <c r="F930" t="s">
        <v>127</v>
      </c>
      <c r="G930">
        <v>0</v>
      </c>
      <c r="H930">
        <v>0</v>
      </c>
      <c r="I930">
        <v>1</v>
      </c>
      <c r="J930">
        <v>0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0</v>
      </c>
      <c r="AA930">
        <v>0</v>
      </c>
      <c r="AB930">
        <v>0</v>
      </c>
      <c r="AC930">
        <v>0</v>
      </c>
      <c r="AD930">
        <v>0</v>
      </c>
      <c r="AE930">
        <v>0</v>
      </c>
      <c r="AF930">
        <v>0</v>
      </c>
      <c r="AG930">
        <v>0</v>
      </c>
      <c r="AH930">
        <v>0</v>
      </c>
      <c r="AI930">
        <v>0</v>
      </c>
      <c r="AJ930">
        <v>0</v>
      </c>
      <c r="AK930">
        <v>0</v>
      </c>
      <c r="AL930">
        <v>1</v>
      </c>
      <c r="AM930">
        <v>0</v>
      </c>
      <c r="AN930">
        <v>1</v>
      </c>
    </row>
    <row r="931" spans="1:40" x14ac:dyDescent="0.3">
      <c r="A931" t="s">
        <v>287</v>
      </c>
      <c r="B931" t="s">
        <v>644</v>
      </c>
      <c r="C931" t="s">
        <v>10</v>
      </c>
      <c r="D931" t="s">
        <v>11</v>
      </c>
      <c r="E931">
        <v>202602</v>
      </c>
      <c r="F931" t="s">
        <v>320</v>
      </c>
      <c r="G931">
        <v>0</v>
      </c>
      <c r="H931">
        <v>0</v>
      </c>
      <c r="I931">
        <v>0</v>
      </c>
      <c r="J931">
        <v>0</v>
      </c>
      <c r="K931">
        <v>1</v>
      </c>
      <c r="L931">
        <v>0</v>
      </c>
      <c r="M931">
        <v>0</v>
      </c>
      <c r="N931">
        <v>0</v>
      </c>
      <c r="O931">
        <v>0</v>
      </c>
      <c r="P931">
        <v>0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0</v>
      </c>
      <c r="AA931">
        <v>0</v>
      </c>
      <c r="AB931">
        <v>0</v>
      </c>
      <c r="AC931">
        <v>0</v>
      </c>
      <c r="AD931">
        <v>0</v>
      </c>
      <c r="AE931">
        <v>0</v>
      </c>
      <c r="AF931">
        <v>0</v>
      </c>
      <c r="AG931">
        <v>0</v>
      </c>
      <c r="AH931">
        <v>0</v>
      </c>
      <c r="AI931">
        <v>0</v>
      </c>
      <c r="AJ931">
        <v>0</v>
      </c>
      <c r="AK931">
        <v>0</v>
      </c>
      <c r="AL931">
        <v>1</v>
      </c>
      <c r="AM931">
        <v>0</v>
      </c>
      <c r="AN931">
        <v>1</v>
      </c>
    </row>
    <row r="932" spans="1:40" x14ac:dyDescent="0.3">
      <c r="A932" t="s">
        <v>287</v>
      </c>
      <c r="B932" t="s">
        <v>644</v>
      </c>
      <c r="C932" t="s">
        <v>10</v>
      </c>
      <c r="D932" t="s">
        <v>11</v>
      </c>
      <c r="E932">
        <v>202602</v>
      </c>
      <c r="F932" t="s">
        <v>227</v>
      </c>
      <c r="G932">
        <v>0</v>
      </c>
      <c r="H932">
        <v>0</v>
      </c>
      <c r="I932">
        <v>0</v>
      </c>
      <c r="J932">
        <v>0</v>
      </c>
      <c r="K932">
        <v>0</v>
      </c>
      <c r="L932">
        <v>0</v>
      </c>
      <c r="M932">
        <v>0</v>
      </c>
      <c r="N932">
        <v>0</v>
      </c>
      <c r="O932">
        <v>0</v>
      </c>
      <c r="P932">
        <v>0</v>
      </c>
      <c r="Q932">
        <v>1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0</v>
      </c>
      <c r="AC932">
        <v>0</v>
      </c>
      <c r="AD932">
        <v>0</v>
      </c>
      <c r="AE932">
        <v>0</v>
      </c>
      <c r="AF932">
        <v>0</v>
      </c>
      <c r="AG932">
        <v>0</v>
      </c>
      <c r="AH932">
        <v>0</v>
      </c>
      <c r="AI932">
        <v>0</v>
      </c>
      <c r="AJ932">
        <v>0</v>
      </c>
      <c r="AK932">
        <v>0</v>
      </c>
      <c r="AL932">
        <v>1</v>
      </c>
      <c r="AM932">
        <v>0.33333333333333331</v>
      </c>
      <c r="AN932">
        <v>5.6046251398731117</v>
      </c>
    </row>
    <row r="933" spans="1:40" x14ac:dyDescent="0.3">
      <c r="A933" t="s">
        <v>287</v>
      </c>
      <c r="B933" t="s">
        <v>644</v>
      </c>
      <c r="C933" t="s">
        <v>10</v>
      </c>
      <c r="D933" t="s">
        <v>14</v>
      </c>
      <c r="E933">
        <v>202602</v>
      </c>
      <c r="F933" t="s">
        <v>56</v>
      </c>
      <c r="G933">
        <v>0</v>
      </c>
      <c r="H933">
        <v>0</v>
      </c>
      <c r="I933">
        <v>0</v>
      </c>
      <c r="J933">
        <v>0</v>
      </c>
      <c r="K933">
        <v>0</v>
      </c>
      <c r="L933">
        <v>0</v>
      </c>
      <c r="M933">
        <v>0</v>
      </c>
      <c r="N933">
        <v>0</v>
      </c>
      <c r="O933">
        <v>0</v>
      </c>
      <c r="P933">
        <v>1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0</v>
      </c>
      <c r="AC933">
        <v>0</v>
      </c>
      <c r="AD933">
        <v>0</v>
      </c>
      <c r="AE933">
        <v>0</v>
      </c>
      <c r="AF933">
        <v>0</v>
      </c>
      <c r="AG933">
        <v>0</v>
      </c>
      <c r="AH933">
        <v>0</v>
      </c>
      <c r="AI933">
        <v>0</v>
      </c>
      <c r="AJ933">
        <v>0</v>
      </c>
      <c r="AK933">
        <v>0</v>
      </c>
      <c r="AL933">
        <v>1</v>
      </c>
      <c r="AM933">
        <v>0.33333333333333331</v>
      </c>
      <c r="AN933">
        <v>5.0417410714286133</v>
      </c>
    </row>
    <row r="934" spans="1:40" x14ac:dyDescent="0.3">
      <c r="A934" t="s">
        <v>287</v>
      </c>
      <c r="B934" t="s">
        <v>644</v>
      </c>
      <c r="C934" t="s">
        <v>10</v>
      </c>
      <c r="D934" t="s">
        <v>14</v>
      </c>
      <c r="E934">
        <v>202602</v>
      </c>
      <c r="F934" t="s">
        <v>110</v>
      </c>
      <c r="G934">
        <v>0</v>
      </c>
      <c r="H934">
        <v>0</v>
      </c>
      <c r="I934">
        <v>1</v>
      </c>
      <c r="J934">
        <v>0</v>
      </c>
      <c r="K934">
        <v>0</v>
      </c>
      <c r="L934">
        <v>0</v>
      </c>
      <c r="M934">
        <v>0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0</v>
      </c>
      <c r="AC934">
        <v>0</v>
      </c>
      <c r="AD934">
        <v>0</v>
      </c>
      <c r="AE934">
        <v>0</v>
      </c>
      <c r="AF934">
        <v>0</v>
      </c>
      <c r="AG934">
        <v>0</v>
      </c>
      <c r="AH934">
        <v>0</v>
      </c>
      <c r="AI934">
        <v>0</v>
      </c>
      <c r="AJ934">
        <v>0</v>
      </c>
      <c r="AK934">
        <v>0</v>
      </c>
      <c r="AL934">
        <v>1</v>
      </c>
      <c r="AM934">
        <v>0</v>
      </c>
      <c r="AN934">
        <v>1</v>
      </c>
    </row>
    <row r="935" spans="1:40" x14ac:dyDescent="0.3">
      <c r="A935" t="s">
        <v>287</v>
      </c>
      <c r="B935" t="s">
        <v>644</v>
      </c>
      <c r="C935" t="s">
        <v>10</v>
      </c>
      <c r="D935" t="s">
        <v>14</v>
      </c>
      <c r="E935">
        <v>202602</v>
      </c>
      <c r="F935" t="s">
        <v>111</v>
      </c>
      <c r="G935">
        <v>0</v>
      </c>
      <c r="H935">
        <v>0</v>
      </c>
      <c r="I935">
        <v>0</v>
      </c>
      <c r="J935">
        <v>0</v>
      </c>
      <c r="K935">
        <v>0</v>
      </c>
      <c r="L935">
        <v>0</v>
      </c>
      <c r="M935">
        <v>0</v>
      </c>
      <c r="N935">
        <v>0</v>
      </c>
      <c r="O935">
        <v>0</v>
      </c>
      <c r="P935">
        <v>1</v>
      </c>
      <c r="Q935">
        <v>1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v>0</v>
      </c>
      <c r="AD935">
        <v>0</v>
      </c>
      <c r="AE935">
        <v>0</v>
      </c>
      <c r="AF935">
        <v>0</v>
      </c>
      <c r="AG935">
        <v>0</v>
      </c>
      <c r="AH935">
        <v>0</v>
      </c>
      <c r="AI935">
        <v>0</v>
      </c>
      <c r="AJ935">
        <v>0</v>
      </c>
      <c r="AK935">
        <v>0</v>
      </c>
      <c r="AL935">
        <v>2</v>
      </c>
      <c r="AM935">
        <v>0.66666666666666663</v>
      </c>
      <c r="AN935">
        <v>10.083482142857227</v>
      </c>
    </row>
    <row r="936" spans="1:40" x14ac:dyDescent="0.3">
      <c r="A936" t="s">
        <v>287</v>
      </c>
      <c r="B936" t="s">
        <v>644</v>
      </c>
      <c r="C936" t="s">
        <v>10</v>
      </c>
      <c r="D936" t="s">
        <v>14</v>
      </c>
      <c r="E936">
        <v>202602</v>
      </c>
      <c r="F936" t="s">
        <v>61</v>
      </c>
      <c r="G936">
        <v>0</v>
      </c>
      <c r="H936">
        <v>0</v>
      </c>
      <c r="I936">
        <v>0</v>
      </c>
      <c r="J936">
        <v>1</v>
      </c>
      <c r="K936">
        <v>0</v>
      </c>
      <c r="L936">
        <v>1</v>
      </c>
      <c r="M936">
        <v>0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>
        <v>0</v>
      </c>
      <c r="AB936">
        <v>0</v>
      </c>
      <c r="AC936">
        <v>0</v>
      </c>
      <c r="AD936">
        <v>0</v>
      </c>
      <c r="AE936">
        <v>0</v>
      </c>
      <c r="AF936">
        <v>0</v>
      </c>
      <c r="AG936">
        <v>0</v>
      </c>
      <c r="AH936">
        <v>0</v>
      </c>
      <c r="AI936">
        <v>0</v>
      </c>
      <c r="AJ936">
        <v>0</v>
      </c>
      <c r="AK936">
        <v>0</v>
      </c>
      <c r="AL936">
        <v>2</v>
      </c>
      <c r="AM936">
        <v>0</v>
      </c>
      <c r="AN936">
        <v>2</v>
      </c>
    </row>
    <row r="937" spans="1:40" x14ac:dyDescent="0.3">
      <c r="A937" t="s">
        <v>287</v>
      </c>
      <c r="B937" t="s">
        <v>644</v>
      </c>
      <c r="C937" t="s">
        <v>10</v>
      </c>
      <c r="D937" t="s">
        <v>14</v>
      </c>
      <c r="E937">
        <v>202602</v>
      </c>
      <c r="F937" t="s">
        <v>112</v>
      </c>
      <c r="G937">
        <v>0</v>
      </c>
      <c r="H937">
        <v>0</v>
      </c>
      <c r="I937">
        <v>0</v>
      </c>
      <c r="J937">
        <v>0</v>
      </c>
      <c r="K937">
        <v>0</v>
      </c>
      <c r="L937">
        <v>1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0</v>
      </c>
      <c r="AB937">
        <v>0</v>
      </c>
      <c r="AC937">
        <v>0</v>
      </c>
      <c r="AD937">
        <v>0</v>
      </c>
      <c r="AE937">
        <v>0</v>
      </c>
      <c r="AF937">
        <v>0</v>
      </c>
      <c r="AG937">
        <v>0</v>
      </c>
      <c r="AH937">
        <v>0</v>
      </c>
      <c r="AI937">
        <v>0</v>
      </c>
      <c r="AJ937">
        <v>0</v>
      </c>
      <c r="AK937">
        <v>0</v>
      </c>
      <c r="AL937">
        <v>1</v>
      </c>
      <c r="AM937">
        <v>0</v>
      </c>
      <c r="AN937">
        <v>1</v>
      </c>
    </row>
    <row r="938" spans="1:40" x14ac:dyDescent="0.3">
      <c r="A938" t="s">
        <v>287</v>
      </c>
      <c r="B938" t="s">
        <v>644</v>
      </c>
      <c r="C938" t="s">
        <v>10</v>
      </c>
      <c r="D938" t="s">
        <v>14</v>
      </c>
      <c r="E938">
        <v>202602</v>
      </c>
      <c r="F938" t="s">
        <v>279</v>
      </c>
      <c r="G938">
        <v>0</v>
      </c>
      <c r="H938">
        <v>0</v>
      </c>
      <c r="I938">
        <v>0</v>
      </c>
      <c r="J938">
        <v>0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1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>
        <v>0</v>
      </c>
      <c r="AB938">
        <v>0</v>
      </c>
      <c r="AC938">
        <v>0</v>
      </c>
      <c r="AD938">
        <v>0</v>
      </c>
      <c r="AE938">
        <v>0</v>
      </c>
      <c r="AF938">
        <v>0</v>
      </c>
      <c r="AG938">
        <v>0</v>
      </c>
      <c r="AH938">
        <v>0</v>
      </c>
      <c r="AI938">
        <v>0</v>
      </c>
      <c r="AJ938">
        <v>0</v>
      </c>
      <c r="AK938">
        <v>0</v>
      </c>
      <c r="AL938">
        <v>1</v>
      </c>
      <c r="AM938">
        <v>0.33333333333333331</v>
      </c>
      <c r="AN938">
        <v>5.0417410714286133</v>
      </c>
    </row>
    <row r="939" spans="1:40" x14ac:dyDescent="0.3">
      <c r="A939" t="s">
        <v>287</v>
      </c>
      <c r="B939" t="s">
        <v>644</v>
      </c>
      <c r="C939" t="s">
        <v>10</v>
      </c>
      <c r="D939" t="s">
        <v>14</v>
      </c>
      <c r="E939">
        <v>202602</v>
      </c>
      <c r="F939" t="s">
        <v>114</v>
      </c>
      <c r="G939">
        <v>0</v>
      </c>
      <c r="H939">
        <v>2</v>
      </c>
      <c r="I939">
        <v>3</v>
      </c>
      <c r="J939">
        <v>11</v>
      </c>
      <c r="K939">
        <v>4</v>
      </c>
      <c r="L939">
        <v>2</v>
      </c>
      <c r="M939">
        <v>0</v>
      </c>
      <c r="N939">
        <v>0</v>
      </c>
      <c r="O939">
        <v>4</v>
      </c>
      <c r="P939">
        <v>2</v>
      </c>
      <c r="Q939">
        <v>2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>
        <v>0</v>
      </c>
      <c r="AB939">
        <v>0</v>
      </c>
      <c r="AC939">
        <v>0</v>
      </c>
      <c r="AD939">
        <v>0</v>
      </c>
      <c r="AE939">
        <v>0</v>
      </c>
      <c r="AF939">
        <v>0</v>
      </c>
      <c r="AG939">
        <v>0</v>
      </c>
      <c r="AH939">
        <v>0</v>
      </c>
      <c r="AI939">
        <v>0</v>
      </c>
      <c r="AJ939">
        <v>0</v>
      </c>
      <c r="AK939">
        <v>0</v>
      </c>
      <c r="AL939">
        <v>30</v>
      </c>
      <c r="AM939">
        <v>2.6666666666666665</v>
      </c>
      <c r="AN939">
        <v>62.333928571428906</v>
      </c>
    </row>
    <row r="940" spans="1:40" x14ac:dyDescent="0.3">
      <c r="A940" t="s">
        <v>287</v>
      </c>
      <c r="B940" t="s">
        <v>644</v>
      </c>
      <c r="C940" t="s">
        <v>10</v>
      </c>
      <c r="D940" t="s">
        <v>14</v>
      </c>
      <c r="E940">
        <v>202602</v>
      </c>
      <c r="F940" t="s">
        <v>115</v>
      </c>
      <c r="G940">
        <v>0</v>
      </c>
      <c r="H940">
        <v>0</v>
      </c>
      <c r="I940">
        <v>0</v>
      </c>
      <c r="J940">
        <v>0</v>
      </c>
      <c r="K940">
        <v>0</v>
      </c>
      <c r="L940">
        <v>0</v>
      </c>
      <c r="M940">
        <v>0</v>
      </c>
      <c r="N940">
        <v>0</v>
      </c>
      <c r="O940">
        <v>1</v>
      </c>
      <c r="P940">
        <v>1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>
        <v>0</v>
      </c>
      <c r="AB940">
        <v>0</v>
      </c>
      <c r="AC940">
        <v>0</v>
      </c>
      <c r="AD940">
        <v>0</v>
      </c>
      <c r="AE940">
        <v>0</v>
      </c>
      <c r="AF940">
        <v>0</v>
      </c>
      <c r="AG940">
        <v>0</v>
      </c>
      <c r="AH940">
        <v>0</v>
      </c>
      <c r="AI940">
        <v>0</v>
      </c>
      <c r="AJ940">
        <v>0</v>
      </c>
      <c r="AK940">
        <v>0</v>
      </c>
      <c r="AL940">
        <v>2</v>
      </c>
      <c r="AM940">
        <v>0.66666666666666663</v>
      </c>
      <c r="AN940">
        <v>10.083482142857227</v>
      </c>
    </row>
    <row r="941" spans="1:40" x14ac:dyDescent="0.3">
      <c r="A941" t="s">
        <v>287</v>
      </c>
      <c r="B941" t="s">
        <v>644</v>
      </c>
      <c r="C941" t="s">
        <v>10</v>
      </c>
      <c r="D941" t="s">
        <v>14</v>
      </c>
      <c r="E941">
        <v>202602</v>
      </c>
      <c r="F941" t="s">
        <v>116</v>
      </c>
      <c r="G941">
        <v>0</v>
      </c>
      <c r="H941">
        <v>1</v>
      </c>
      <c r="I941">
        <v>0</v>
      </c>
      <c r="J941">
        <v>1</v>
      </c>
      <c r="K941">
        <v>1</v>
      </c>
      <c r="L941">
        <v>0</v>
      </c>
      <c r="M941">
        <v>0</v>
      </c>
      <c r="N941">
        <v>0</v>
      </c>
      <c r="O941">
        <v>2</v>
      </c>
      <c r="P941">
        <v>0</v>
      </c>
      <c r="Q941">
        <v>1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>
        <v>0</v>
      </c>
      <c r="AB941">
        <v>0</v>
      </c>
      <c r="AC941">
        <v>0</v>
      </c>
      <c r="AD941">
        <v>0</v>
      </c>
      <c r="AE941">
        <v>0</v>
      </c>
      <c r="AF941">
        <v>0</v>
      </c>
      <c r="AG941">
        <v>0</v>
      </c>
      <c r="AH941">
        <v>0</v>
      </c>
      <c r="AI941">
        <v>0</v>
      </c>
      <c r="AJ941">
        <v>0</v>
      </c>
      <c r="AK941">
        <v>0</v>
      </c>
      <c r="AL941">
        <v>6</v>
      </c>
      <c r="AM941">
        <v>1</v>
      </c>
      <c r="AN941">
        <v>18.125223214285839</v>
      </c>
    </row>
    <row r="942" spans="1:40" x14ac:dyDescent="0.3">
      <c r="A942" t="s">
        <v>287</v>
      </c>
      <c r="B942" t="s">
        <v>644</v>
      </c>
      <c r="C942" t="s">
        <v>10</v>
      </c>
      <c r="D942" t="s">
        <v>14</v>
      </c>
      <c r="E942">
        <v>202602</v>
      </c>
      <c r="F942" t="s">
        <v>130</v>
      </c>
      <c r="G942">
        <v>0</v>
      </c>
      <c r="H942">
        <v>0</v>
      </c>
      <c r="I942">
        <v>0</v>
      </c>
      <c r="J942">
        <v>0</v>
      </c>
      <c r="K942">
        <v>0</v>
      </c>
      <c r="L942">
        <v>1</v>
      </c>
      <c r="M942">
        <v>0</v>
      </c>
      <c r="N942">
        <v>0</v>
      </c>
      <c r="O942">
        <v>1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</v>
      </c>
      <c r="AA942">
        <v>0</v>
      </c>
      <c r="AB942">
        <v>0</v>
      </c>
      <c r="AC942">
        <v>0</v>
      </c>
      <c r="AD942">
        <v>0</v>
      </c>
      <c r="AE942">
        <v>0</v>
      </c>
      <c r="AF942">
        <v>0</v>
      </c>
      <c r="AG942">
        <v>0</v>
      </c>
      <c r="AH942">
        <v>0</v>
      </c>
      <c r="AI942">
        <v>0</v>
      </c>
      <c r="AJ942">
        <v>0</v>
      </c>
      <c r="AK942">
        <v>0</v>
      </c>
      <c r="AL942">
        <v>2</v>
      </c>
      <c r="AM942">
        <v>0.33333333333333331</v>
      </c>
      <c r="AN942">
        <v>6.0417410714286133</v>
      </c>
    </row>
    <row r="943" spans="1:40" x14ac:dyDescent="0.3">
      <c r="A943" t="s">
        <v>287</v>
      </c>
      <c r="B943" t="s">
        <v>644</v>
      </c>
      <c r="C943" t="s">
        <v>10</v>
      </c>
      <c r="D943" t="s">
        <v>14</v>
      </c>
      <c r="E943">
        <v>202602</v>
      </c>
      <c r="F943" t="s">
        <v>318</v>
      </c>
      <c r="G943">
        <v>0</v>
      </c>
      <c r="H943">
        <v>0</v>
      </c>
      <c r="I943">
        <v>1</v>
      </c>
      <c r="J943">
        <v>0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1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0</v>
      </c>
      <c r="X943">
        <v>0</v>
      </c>
      <c r="Y943">
        <v>0</v>
      </c>
      <c r="Z943">
        <v>0</v>
      </c>
      <c r="AA943">
        <v>0</v>
      </c>
      <c r="AB943">
        <v>0</v>
      </c>
      <c r="AC943">
        <v>0</v>
      </c>
      <c r="AD943">
        <v>0</v>
      </c>
      <c r="AE943">
        <v>0</v>
      </c>
      <c r="AF943">
        <v>0</v>
      </c>
      <c r="AG943">
        <v>0</v>
      </c>
      <c r="AH943">
        <v>0</v>
      </c>
      <c r="AI943">
        <v>0</v>
      </c>
      <c r="AJ943">
        <v>0</v>
      </c>
      <c r="AK943">
        <v>0</v>
      </c>
      <c r="AL943">
        <v>2</v>
      </c>
      <c r="AM943">
        <v>0.33333333333333331</v>
      </c>
      <c r="AN943">
        <v>6.0417410714286133</v>
      </c>
    </row>
    <row r="944" spans="1:40" x14ac:dyDescent="0.3">
      <c r="A944" t="s">
        <v>287</v>
      </c>
      <c r="B944" t="s">
        <v>644</v>
      </c>
      <c r="C944" t="s">
        <v>10</v>
      </c>
      <c r="D944" t="s">
        <v>14</v>
      </c>
      <c r="E944">
        <v>202602</v>
      </c>
      <c r="F944" t="s">
        <v>118</v>
      </c>
      <c r="G944">
        <v>0</v>
      </c>
      <c r="H944">
        <v>1</v>
      </c>
      <c r="I944">
        <v>0</v>
      </c>
      <c r="J944">
        <v>0</v>
      </c>
      <c r="K944">
        <v>0</v>
      </c>
      <c r="L944">
        <v>1</v>
      </c>
      <c r="M944">
        <v>0</v>
      </c>
      <c r="N944">
        <v>0</v>
      </c>
      <c r="O944">
        <v>0</v>
      </c>
      <c r="P944">
        <v>2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0</v>
      </c>
      <c r="X944">
        <v>0</v>
      </c>
      <c r="Y944">
        <v>0</v>
      </c>
      <c r="Z944">
        <v>0</v>
      </c>
      <c r="AA944">
        <v>0</v>
      </c>
      <c r="AB944">
        <v>0</v>
      </c>
      <c r="AC944">
        <v>0</v>
      </c>
      <c r="AD944">
        <v>0</v>
      </c>
      <c r="AE944">
        <v>0</v>
      </c>
      <c r="AF944">
        <v>0</v>
      </c>
      <c r="AG944">
        <v>0</v>
      </c>
      <c r="AH944">
        <v>0</v>
      </c>
      <c r="AI944">
        <v>0</v>
      </c>
      <c r="AJ944">
        <v>0</v>
      </c>
      <c r="AK944">
        <v>0</v>
      </c>
      <c r="AL944">
        <v>4</v>
      </c>
      <c r="AM944">
        <v>0.66666666666666663</v>
      </c>
      <c r="AN944">
        <v>12.083482142857227</v>
      </c>
    </row>
    <row r="945" spans="1:40" x14ac:dyDescent="0.3">
      <c r="A945" t="s">
        <v>287</v>
      </c>
      <c r="B945" t="s">
        <v>644</v>
      </c>
      <c r="C945" t="s">
        <v>10</v>
      </c>
      <c r="D945" t="s">
        <v>14</v>
      </c>
      <c r="E945">
        <v>202602</v>
      </c>
      <c r="F945" t="s">
        <v>321</v>
      </c>
      <c r="G945">
        <v>0</v>
      </c>
      <c r="H945">
        <v>0</v>
      </c>
      <c r="I945">
        <v>0</v>
      </c>
      <c r="J945">
        <v>1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0</v>
      </c>
      <c r="Y945">
        <v>0</v>
      </c>
      <c r="Z945">
        <v>0</v>
      </c>
      <c r="AA945">
        <v>0</v>
      </c>
      <c r="AB945">
        <v>0</v>
      </c>
      <c r="AC945">
        <v>0</v>
      </c>
      <c r="AD945">
        <v>0</v>
      </c>
      <c r="AE945">
        <v>0</v>
      </c>
      <c r="AF945">
        <v>0</v>
      </c>
      <c r="AG945">
        <v>0</v>
      </c>
      <c r="AH945">
        <v>0</v>
      </c>
      <c r="AI945">
        <v>0</v>
      </c>
      <c r="AJ945">
        <v>0</v>
      </c>
      <c r="AK945">
        <v>0</v>
      </c>
      <c r="AL945">
        <v>1</v>
      </c>
      <c r="AM945">
        <v>0</v>
      </c>
      <c r="AN945">
        <v>1</v>
      </c>
    </row>
    <row r="946" spans="1:40" x14ac:dyDescent="0.3">
      <c r="A946" t="s">
        <v>287</v>
      </c>
      <c r="B946" t="s">
        <v>644</v>
      </c>
      <c r="C946" t="s">
        <v>10</v>
      </c>
      <c r="D946" t="s">
        <v>14</v>
      </c>
      <c r="E946">
        <v>202602</v>
      </c>
      <c r="F946" t="s">
        <v>132</v>
      </c>
      <c r="G946">
        <v>0</v>
      </c>
      <c r="H946">
        <v>0</v>
      </c>
      <c r="I946">
        <v>1</v>
      </c>
      <c r="J946">
        <v>0</v>
      </c>
      <c r="K946">
        <v>2</v>
      </c>
      <c r="L946">
        <v>0</v>
      </c>
      <c r="M946">
        <v>0</v>
      </c>
      <c r="N946">
        <v>0</v>
      </c>
      <c r="O946">
        <v>1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0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0</v>
      </c>
      <c r="AD946">
        <v>0</v>
      </c>
      <c r="AE946">
        <v>0</v>
      </c>
      <c r="AF946">
        <v>0</v>
      </c>
      <c r="AG946">
        <v>0</v>
      </c>
      <c r="AH946">
        <v>0</v>
      </c>
      <c r="AI946">
        <v>0</v>
      </c>
      <c r="AJ946">
        <v>0</v>
      </c>
      <c r="AK946">
        <v>0</v>
      </c>
      <c r="AL946">
        <v>4</v>
      </c>
      <c r="AM946">
        <v>0.33333333333333331</v>
      </c>
      <c r="AN946">
        <v>8.0417410714286142</v>
      </c>
    </row>
    <row r="947" spans="1:40" x14ac:dyDescent="0.3">
      <c r="A947" t="s">
        <v>287</v>
      </c>
      <c r="B947" t="s">
        <v>644</v>
      </c>
      <c r="C947" t="s">
        <v>10</v>
      </c>
      <c r="D947" t="s">
        <v>14</v>
      </c>
      <c r="E947">
        <v>202602</v>
      </c>
      <c r="F947" t="s">
        <v>224</v>
      </c>
      <c r="G947">
        <v>0</v>
      </c>
      <c r="H947">
        <v>0</v>
      </c>
      <c r="I947">
        <v>0</v>
      </c>
      <c r="J947">
        <v>0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1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0</v>
      </c>
      <c r="X947">
        <v>0</v>
      </c>
      <c r="Y947">
        <v>0</v>
      </c>
      <c r="Z947">
        <v>0</v>
      </c>
      <c r="AA947">
        <v>0</v>
      </c>
      <c r="AB947">
        <v>0</v>
      </c>
      <c r="AC947">
        <v>0</v>
      </c>
      <c r="AD947">
        <v>0</v>
      </c>
      <c r="AE947">
        <v>0</v>
      </c>
      <c r="AF947">
        <v>0</v>
      </c>
      <c r="AG947">
        <v>0</v>
      </c>
      <c r="AH947">
        <v>0</v>
      </c>
      <c r="AI947">
        <v>0</v>
      </c>
      <c r="AJ947">
        <v>0</v>
      </c>
      <c r="AK947">
        <v>0</v>
      </c>
      <c r="AL947">
        <v>1</v>
      </c>
      <c r="AM947">
        <v>0.33333333333333331</v>
      </c>
      <c r="AN947">
        <v>5.0417410714286133</v>
      </c>
    </row>
    <row r="948" spans="1:40" x14ac:dyDescent="0.3">
      <c r="A948" t="s">
        <v>287</v>
      </c>
      <c r="B948" t="s">
        <v>644</v>
      </c>
      <c r="C948" t="s">
        <v>10</v>
      </c>
      <c r="D948" t="s">
        <v>14</v>
      </c>
      <c r="E948">
        <v>202602</v>
      </c>
      <c r="F948" t="s">
        <v>119</v>
      </c>
      <c r="G948">
        <v>0</v>
      </c>
      <c r="H948">
        <v>0</v>
      </c>
      <c r="I948">
        <v>0</v>
      </c>
      <c r="J948">
        <v>1</v>
      </c>
      <c r="K948">
        <v>0</v>
      </c>
      <c r="L948">
        <v>0</v>
      </c>
      <c r="M948">
        <v>0</v>
      </c>
      <c r="N948">
        <v>0</v>
      </c>
      <c r="O948">
        <v>1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0</v>
      </c>
      <c r="X948">
        <v>0</v>
      </c>
      <c r="Y948">
        <v>0</v>
      </c>
      <c r="Z948">
        <v>0</v>
      </c>
      <c r="AA948">
        <v>0</v>
      </c>
      <c r="AB948">
        <v>0</v>
      </c>
      <c r="AC948">
        <v>0</v>
      </c>
      <c r="AD948">
        <v>0</v>
      </c>
      <c r="AE948">
        <v>0</v>
      </c>
      <c r="AF948">
        <v>0</v>
      </c>
      <c r="AG948">
        <v>0</v>
      </c>
      <c r="AH948">
        <v>0</v>
      </c>
      <c r="AI948">
        <v>0</v>
      </c>
      <c r="AJ948">
        <v>0</v>
      </c>
      <c r="AK948">
        <v>0</v>
      </c>
      <c r="AL948">
        <v>2</v>
      </c>
      <c r="AM948">
        <v>0.33333333333333331</v>
      </c>
      <c r="AN948">
        <v>6.0417410714286133</v>
      </c>
    </row>
    <row r="949" spans="1:40" x14ac:dyDescent="0.3">
      <c r="A949" t="s">
        <v>287</v>
      </c>
      <c r="B949" t="s">
        <v>644</v>
      </c>
      <c r="C949" t="s">
        <v>10</v>
      </c>
      <c r="D949" t="s">
        <v>14</v>
      </c>
      <c r="E949">
        <v>202602</v>
      </c>
      <c r="F949" t="s">
        <v>121</v>
      </c>
      <c r="G949">
        <v>0</v>
      </c>
      <c r="H949">
        <v>0</v>
      </c>
      <c r="I949">
        <v>3</v>
      </c>
      <c r="J949">
        <v>1</v>
      </c>
      <c r="K949">
        <v>1</v>
      </c>
      <c r="L949">
        <v>2</v>
      </c>
      <c r="M949">
        <v>1</v>
      </c>
      <c r="N949">
        <v>0</v>
      </c>
      <c r="O949">
        <v>0</v>
      </c>
      <c r="P949">
        <v>5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0</v>
      </c>
      <c r="X949">
        <v>0</v>
      </c>
      <c r="Y949">
        <v>0</v>
      </c>
      <c r="Z949">
        <v>0</v>
      </c>
      <c r="AA949">
        <v>0</v>
      </c>
      <c r="AB949">
        <v>0</v>
      </c>
      <c r="AC949">
        <v>0</v>
      </c>
      <c r="AD949">
        <v>0</v>
      </c>
      <c r="AE949">
        <v>0</v>
      </c>
      <c r="AF949">
        <v>0</v>
      </c>
      <c r="AG949">
        <v>0</v>
      </c>
      <c r="AH949">
        <v>0</v>
      </c>
      <c r="AI949">
        <v>0</v>
      </c>
      <c r="AJ949">
        <v>0</v>
      </c>
      <c r="AK949">
        <v>0</v>
      </c>
      <c r="AL949">
        <v>13</v>
      </c>
      <c r="AM949">
        <v>1.6666666666666667</v>
      </c>
      <c r="AN949">
        <v>33.20870535714306</v>
      </c>
    </row>
    <row r="950" spans="1:40" x14ac:dyDescent="0.3">
      <c r="A950" t="s">
        <v>287</v>
      </c>
      <c r="B950" t="s">
        <v>644</v>
      </c>
      <c r="C950" t="s">
        <v>10</v>
      </c>
      <c r="D950" t="s">
        <v>14</v>
      </c>
      <c r="E950">
        <v>202602</v>
      </c>
      <c r="F950" t="s">
        <v>134</v>
      </c>
      <c r="G950">
        <v>0</v>
      </c>
      <c r="H950">
        <v>0</v>
      </c>
      <c r="I950">
        <v>0</v>
      </c>
      <c r="J950">
        <v>0</v>
      </c>
      <c r="K950">
        <v>1</v>
      </c>
      <c r="L950">
        <v>1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0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v>0</v>
      </c>
      <c r="AD950">
        <v>0</v>
      </c>
      <c r="AE950">
        <v>0</v>
      </c>
      <c r="AF950">
        <v>0</v>
      </c>
      <c r="AG950">
        <v>0</v>
      </c>
      <c r="AH950">
        <v>0</v>
      </c>
      <c r="AI950">
        <v>0</v>
      </c>
      <c r="AJ950">
        <v>0</v>
      </c>
      <c r="AK950">
        <v>0</v>
      </c>
      <c r="AL950">
        <v>2</v>
      </c>
      <c r="AM950">
        <v>0</v>
      </c>
      <c r="AN950">
        <v>2</v>
      </c>
    </row>
    <row r="951" spans="1:40" x14ac:dyDescent="0.3">
      <c r="A951" t="s">
        <v>287</v>
      </c>
      <c r="B951" t="s">
        <v>644</v>
      </c>
      <c r="C951" t="s">
        <v>10</v>
      </c>
      <c r="D951" t="s">
        <v>14</v>
      </c>
      <c r="E951">
        <v>202602</v>
      </c>
      <c r="F951" t="s">
        <v>322</v>
      </c>
      <c r="G951">
        <v>0</v>
      </c>
      <c r="H951">
        <v>0</v>
      </c>
      <c r="I951">
        <v>0</v>
      </c>
      <c r="J951">
        <v>0</v>
      </c>
      <c r="K951">
        <v>0</v>
      </c>
      <c r="L951">
        <v>0</v>
      </c>
      <c r="M951">
        <v>0</v>
      </c>
      <c r="N951">
        <v>0</v>
      </c>
      <c r="O951">
        <v>1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0</v>
      </c>
      <c r="Y951">
        <v>0</v>
      </c>
      <c r="Z951">
        <v>0</v>
      </c>
      <c r="AA951">
        <v>0</v>
      </c>
      <c r="AB951">
        <v>0</v>
      </c>
      <c r="AC951">
        <v>0</v>
      </c>
      <c r="AD951">
        <v>0</v>
      </c>
      <c r="AE951">
        <v>0</v>
      </c>
      <c r="AF951">
        <v>0</v>
      </c>
      <c r="AG951">
        <v>0</v>
      </c>
      <c r="AH951">
        <v>0</v>
      </c>
      <c r="AI951">
        <v>0</v>
      </c>
      <c r="AJ951">
        <v>0</v>
      </c>
      <c r="AK951">
        <v>0</v>
      </c>
      <c r="AL951">
        <v>1</v>
      </c>
      <c r="AM951">
        <v>0.33333333333333331</v>
      </c>
      <c r="AN951">
        <v>5.0417410714286133</v>
      </c>
    </row>
    <row r="952" spans="1:40" x14ac:dyDescent="0.3">
      <c r="A952" t="s">
        <v>287</v>
      </c>
      <c r="B952" t="s">
        <v>644</v>
      </c>
      <c r="C952" t="s">
        <v>10</v>
      </c>
      <c r="D952" t="s">
        <v>14</v>
      </c>
      <c r="E952">
        <v>202602</v>
      </c>
      <c r="F952" t="s">
        <v>122</v>
      </c>
      <c r="G952">
        <v>0</v>
      </c>
      <c r="H952">
        <v>0</v>
      </c>
      <c r="I952">
        <v>0</v>
      </c>
      <c r="J952">
        <v>0</v>
      </c>
      <c r="K952">
        <v>0</v>
      </c>
      <c r="L952">
        <v>0</v>
      </c>
      <c r="M952">
        <v>0</v>
      </c>
      <c r="N952">
        <v>0</v>
      </c>
      <c r="O952">
        <v>1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>
        <v>0</v>
      </c>
      <c r="AB952">
        <v>0</v>
      </c>
      <c r="AC952">
        <v>0</v>
      </c>
      <c r="AD952">
        <v>0</v>
      </c>
      <c r="AE952">
        <v>0</v>
      </c>
      <c r="AF952">
        <v>0</v>
      </c>
      <c r="AG952">
        <v>0</v>
      </c>
      <c r="AH952">
        <v>0</v>
      </c>
      <c r="AI952">
        <v>0</v>
      </c>
      <c r="AJ952">
        <v>0</v>
      </c>
      <c r="AK952">
        <v>0</v>
      </c>
      <c r="AL952">
        <v>1</v>
      </c>
      <c r="AM952">
        <v>0.33333333333333331</v>
      </c>
      <c r="AN952">
        <v>5.0417410714286133</v>
      </c>
    </row>
    <row r="953" spans="1:40" x14ac:dyDescent="0.3">
      <c r="A953" t="s">
        <v>287</v>
      </c>
      <c r="B953" t="s">
        <v>644</v>
      </c>
      <c r="C953" t="s">
        <v>10</v>
      </c>
      <c r="D953" t="s">
        <v>14</v>
      </c>
      <c r="E953">
        <v>202602</v>
      </c>
      <c r="F953" t="s">
        <v>124</v>
      </c>
      <c r="G953">
        <v>0</v>
      </c>
      <c r="H953">
        <v>0</v>
      </c>
      <c r="I953">
        <v>0</v>
      </c>
      <c r="J953">
        <v>1</v>
      </c>
      <c r="K953">
        <v>1</v>
      </c>
      <c r="L953">
        <v>0</v>
      </c>
      <c r="M953">
        <v>0</v>
      </c>
      <c r="N953">
        <v>0</v>
      </c>
      <c r="O953">
        <v>1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0</v>
      </c>
      <c r="AD953">
        <v>0</v>
      </c>
      <c r="AE953">
        <v>0</v>
      </c>
      <c r="AF953">
        <v>0</v>
      </c>
      <c r="AG953">
        <v>0</v>
      </c>
      <c r="AH953">
        <v>0</v>
      </c>
      <c r="AI953">
        <v>0</v>
      </c>
      <c r="AJ953">
        <v>0</v>
      </c>
      <c r="AK953">
        <v>0</v>
      </c>
      <c r="AL953">
        <v>3</v>
      </c>
      <c r="AM953">
        <v>0.33333333333333331</v>
      </c>
      <c r="AN953">
        <v>7.0417410714286133</v>
      </c>
    </row>
    <row r="954" spans="1:40" x14ac:dyDescent="0.3">
      <c r="A954" t="s">
        <v>287</v>
      </c>
      <c r="B954" t="s">
        <v>644</v>
      </c>
      <c r="C954" t="s">
        <v>10</v>
      </c>
      <c r="D954" t="s">
        <v>14</v>
      </c>
      <c r="E954">
        <v>202602</v>
      </c>
      <c r="F954" t="s">
        <v>319</v>
      </c>
      <c r="G954">
        <v>0</v>
      </c>
      <c r="H954">
        <v>0</v>
      </c>
      <c r="I954">
        <v>1</v>
      </c>
      <c r="J954">
        <v>0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0</v>
      </c>
      <c r="AC954">
        <v>0</v>
      </c>
      <c r="AD954">
        <v>0</v>
      </c>
      <c r="AE954">
        <v>0</v>
      </c>
      <c r="AF954">
        <v>0</v>
      </c>
      <c r="AG954">
        <v>0</v>
      </c>
      <c r="AH954">
        <v>0</v>
      </c>
      <c r="AI954">
        <v>0</v>
      </c>
      <c r="AJ954">
        <v>0</v>
      </c>
      <c r="AK954">
        <v>0</v>
      </c>
      <c r="AL954">
        <v>1</v>
      </c>
      <c r="AM954">
        <v>0</v>
      </c>
      <c r="AN954">
        <v>1</v>
      </c>
    </row>
    <row r="955" spans="1:40" x14ac:dyDescent="0.3">
      <c r="A955" t="s">
        <v>287</v>
      </c>
      <c r="B955" t="s">
        <v>644</v>
      </c>
      <c r="C955" t="s">
        <v>10</v>
      </c>
      <c r="D955" t="s">
        <v>14</v>
      </c>
      <c r="E955">
        <v>202602</v>
      </c>
      <c r="F955" t="s">
        <v>125</v>
      </c>
      <c r="G955">
        <v>0</v>
      </c>
      <c r="H955">
        <v>0</v>
      </c>
      <c r="I955">
        <v>0</v>
      </c>
      <c r="J955">
        <v>0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1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>
        <v>0</v>
      </c>
      <c r="AB955">
        <v>0</v>
      </c>
      <c r="AC955">
        <v>0</v>
      </c>
      <c r="AD955">
        <v>0</v>
      </c>
      <c r="AE955">
        <v>0</v>
      </c>
      <c r="AF955">
        <v>0</v>
      </c>
      <c r="AG955">
        <v>0</v>
      </c>
      <c r="AH955">
        <v>0</v>
      </c>
      <c r="AI955">
        <v>0</v>
      </c>
      <c r="AJ955">
        <v>0</v>
      </c>
      <c r="AK955">
        <v>0</v>
      </c>
      <c r="AL955">
        <v>1</v>
      </c>
      <c r="AM955">
        <v>0.33333333333333331</v>
      </c>
      <c r="AN955">
        <v>5.0417410714286133</v>
      </c>
    </row>
    <row r="956" spans="1:40" x14ac:dyDescent="0.3">
      <c r="A956" t="s">
        <v>287</v>
      </c>
      <c r="B956" t="s">
        <v>644</v>
      </c>
      <c r="C956" t="s">
        <v>10</v>
      </c>
      <c r="D956" t="s">
        <v>14</v>
      </c>
      <c r="E956">
        <v>202602</v>
      </c>
      <c r="F956" t="s">
        <v>320</v>
      </c>
      <c r="G956">
        <v>0</v>
      </c>
      <c r="H956">
        <v>0</v>
      </c>
      <c r="I956">
        <v>1</v>
      </c>
      <c r="J956">
        <v>0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>
        <v>0</v>
      </c>
      <c r="AB956">
        <v>0</v>
      </c>
      <c r="AC956">
        <v>0</v>
      </c>
      <c r="AD956">
        <v>0</v>
      </c>
      <c r="AE956">
        <v>0</v>
      </c>
      <c r="AF956">
        <v>0</v>
      </c>
      <c r="AG956">
        <v>0</v>
      </c>
      <c r="AH956">
        <v>0</v>
      </c>
      <c r="AI956">
        <v>0</v>
      </c>
      <c r="AJ956">
        <v>0</v>
      </c>
      <c r="AK956">
        <v>0</v>
      </c>
      <c r="AL956">
        <v>1</v>
      </c>
      <c r="AM956">
        <v>0</v>
      </c>
      <c r="AN956">
        <v>1</v>
      </c>
    </row>
    <row r="957" spans="1:40" x14ac:dyDescent="0.3">
      <c r="A957" t="s">
        <v>287</v>
      </c>
      <c r="B957" t="s">
        <v>644</v>
      </c>
      <c r="C957" t="s">
        <v>10</v>
      </c>
      <c r="D957" t="s">
        <v>14</v>
      </c>
      <c r="E957">
        <v>202602</v>
      </c>
      <c r="F957" t="s">
        <v>227</v>
      </c>
      <c r="G957">
        <v>0</v>
      </c>
      <c r="H957">
        <v>0</v>
      </c>
      <c r="I957">
        <v>0</v>
      </c>
      <c r="J957">
        <v>0</v>
      </c>
      <c r="K957">
        <v>0</v>
      </c>
      <c r="L957">
        <v>1</v>
      </c>
      <c r="M957">
        <v>1</v>
      </c>
      <c r="N957">
        <v>0</v>
      </c>
      <c r="O957">
        <v>0</v>
      </c>
      <c r="P957">
        <v>2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>
        <v>0</v>
      </c>
      <c r="AD957">
        <v>0</v>
      </c>
      <c r="AE957">
        <v>0</v>
      </c>
      <c r="AF957">
        <v>0</v>
      </c>
      <c r="AG957">
        <v>0</v>
      </c>
      <c r="AH957">
        <v>0</v>
      </c>
      <c r="AI957">
        <v>0</v>
      </c>
      <c r="AJ957">
        <v>0</v>
      </c>
      <c r="AK957">
        <v>0</v>
      </c>
      <c r="AL957">
        <v>4</v>
      </c>
      <c r="AM957">
        <v>0.66666666666666663</v>
      </c>
      <c r="AN957">
        <v>12.083482142857227</v>
      </c>
    </row>
    <row r="958" spans="1:40" x14ac:dyDescent="0.3">
      <c r="A958" t="s">
        <v>287</v>
      </c>
      <c r="B958" t="s">
        <v>644</v>
      </c>
      <c r="C958" t="s">
        <v>16</v>
      </c>
      <c r="D958" t="s">
        <v>11</v>
      </c>
      <c r="E958">
        <v>202602</v>
      </c>
      <c r="F958" t="s">
        <v>112</v>
      </c>
      <c r="G958">
        <v>0</v>
      </c>
      <c r="H958">
        <v>0</v>
      </c>
      <c r="I958">
        <v>1</v>
      </c>
      <c r="J958">
        <v>0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>
        <v>0</v>
      </c>
      <c r="AB958">
        <v>0</v>
      </c>
      <c r="AC958">
        <v>0</v>
      </c>
      <c r="AD958">
        <v>0</v>
      </c>
      <c r="AE958">
        <v>0</v>
      </c>
      <c r="AF958">
        <v>0</v>
      </c>
      <c r="AG958">
        <v>0</v>
      </c>
      <c r="AH958">
        <v>0</v>
      </c>
      <c r="AI958">
        <v>0</v>
      </c>
      <c r="AJ958">
        <v>0</v>
      </c>
      <c r="AK958">
        <v>0</v>
      </c>
      <c r="AL958">
        <v>1</v>
      </c>
      <c r="AM958">
        <v>0</v>
      </c>
      <c r="AN958">
        <v>1</v>
      </c>
    </row>
    <row r="959" spans="1:40" x14ac:dyDescent="0.3">
      <c r="A959" t="s">
        <v>287</v>
      </c>
      <c r="B959" t="s">
        <v>644</v>
      </c>
      <c r="C959" t="s">
        <v>16</v>
      </c>
      <c r="D959" t="s">
        <v>11</v>
      </c>
      <c r="E959">
        <v>202602</v>
      </c>
      <c r="F959" t="s">
        <v>318</v>
      </c>
      <c r="G959">
        <v>0</v>
      </c>
      <c r="H959">
        <v>0</v>
      </c>
      <c r="I959">
        <v>0</v>
      </c>
      <c r="J959">
        <v>0</v>
      </c>
      <c r="K959">
        <v>2</v>
      </c>
      <c r="L959">
        <v>0</v>
      </c>
      <c r="M959">
        <v>0</v>
      </c>
      <c r="N959">
        <v>0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0</v>
      </c>
      <c r="Y959">
        <v>0</v>
      </c>
      <c r="Z959">
        <v>0</v>
      </c>
      <c r="AA959">
        <v>0</v>
      </c>
      <c r="AB959">
        <v>0</v>
      </c>
      <c r="AC959">
        <v>0</v>
      </c>
      <c r="AD959">
        <v>0</v>
      </c>
      <c r="AE959">
        <v>0</v>
      </c>
      <c r="AF959">
        <v>0</v>
      </c>
      <c r="AG959">
        <v>0</v>
      </c>
      <c r="AH959">
        <v>0</v>
      </c>
      <c r="AI959">
        <v>0</v>
      </c>
      <c r="AJ959">
        <v>0</v>
      </c>
      <c r="AK959">
        <v>0</v>
      </c>
      <c r="AL959">
        <v>2</v>
      </c>
      <c r="AM959">
        <v>0</v>
      </c>
      <c r="AN959">
        <v>2</v>
      </c>
    </row>
    <row r="960" spans="1:40" x14ac:dyDescent="0.3">
      <c r="A960" t="s">
        <v>287</v>
      </c>
      <c r="B960" t="s">
        <v>644</v>
      </c>
      <c r="C960" t="s">
        <v>16</v>
      </c>
      <c r="D960" t="s">
        <v>14</v>
      </c>
      <c r="E960">
        <v>202602</v>
      </c>
      <c r="F960" t="s">
        <v>318</v>
      </c>
      <c r="G960">
        <v>0</v>
      </c>
      <c r="H960">
        <v>0</v>
      </c>
      <c r="I960">
        <v>1</v>
      </c>
      <c r="J960">
        <v>0</v>
      </c>
      <c r="K960">
        <v>0</v>
      </c>
      <c r="L960">
        <v>0</v>
      </c>
      <c r="M960">
        <v>0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0</v>
      </c>
      <c r="Y960">
        <v>0</v>
      </c>
      <c r="Z960">
        <v>0</v>
      </c>
      <c r="AA960">
        <v>0</v>
      </c>
      <c r="AB960">
        <v>0</v>
      </c>
      <c r="AC960">
        <v>0</v>
      </c>
      <c r="AD960">
        <v>0</v>
      </c>
      <c r="AE960">
        <v>0</v>
      </c>
      <c r="AF960">
        <v>0</v>
      </c>
      <c r="AG960">
        <v>0</v>
      </c>
      <c r="AH960">
        <v>0</v>
      </c>
      <c r="AI960">
        <v>0</v>
      </c>
      <c r="AJ960">
        <v>0</v>
      </c>
      <c r="AK960">
        <v>0</v>
      </c>
      <c r="AL960">
        <v>1</v>
      </c>
      <c r="AM960">
        <v>0</v>
      </c>
      <c r="AN960">
        <v>1</v>
      </c>
    </row>
    <row r="961" spans="1:40" x14ac:dyDescent="0.3">
      <c r="A961" t="s">
        <v>287</v>
      </c>
      <c r="B961" t="s">
        <v>644</v>
      </c>
      <c r="C961" t="s">
        <v>16</v>
      </c>
      <c r="D961" t="s">
        <v>14</v>
      </c>
      <c r="E961">
        <v>202602</v>
      </c>
      <c r="F961" t="s">
        <v>121</v>
      </c>
      <c r="G961">
        <v>0</v>
      </c>
      <c r="H961">
        <v>0</v>
      </c>
      <c r="I961">
        <v>0</v>
      </c>
      <c r="J961">
        <v>0</v>
      </c>
      <c r="K961">
        <v>0</v>
      </c>
      <c r="L961">
        <v>1</v>
      </c>
      <c r="M961">
        <v>0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0</v>
      </c>
      <c r="AC961">
        <v>0</v>
      </c>
      <c r="AD961">
        <v>0</v>
      </c>
      <c r="AE961">
        <v>0</v>
      </c>
      <c r="AF961">
        <v>0</v>
      </c>
      <c r="AG961">
        <v>0</v>
      </c>
      <c r="AH961">
        <v>0</v>
      </c>
      <c r="AI961">
        <v>0</v>
      </c>
      <c r="AJ961">
        <v>0</v>
      </c>
      <c r="AK961">
        <v>0</v>
      </c>
      <c r="AL961">
        <v>1</v>
      </c>
      <c r="AM961">
        <v>0</v>
      </c>
      <c r="AN961">
        <v>1</v>
      </c>
    </row>
    <row r="962" spans="1:40" x14ac:dyDescent="0.3">
      <c r="A962" t="s">
        <v>287</v>
      </c>
      <c r="B962" t="s">
        <v>644</v>
      </c>
      <c r="C962" t="s">
        <v>16</v>
      </c>
      <c r="D962" t="s">
        <v>14</v>
      </c>
      <c r="E962">
        <v>202602</v>
      </c>
      <c r="F962" t="s">
        <v>323</v>
      </c>
      <c r="G962">
        <v>0</v>
      </c>
      <c r="H962">
        <v>0</v>
      </c>
      <c r="I962">
        <v>0</v>
      </c>
      <c r="J962">
        <v>0</v>
      </c>
      <c r="K962">
        <v>1</v>
      </c>
      <c r="L962">
        <v>0</v>
      </c>
      <c r="M962">
        <v>0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0</v>
      </c>
      <c r="AC962">
        <v>0</v>
      </c>
      <c r="AD962">
        <v>0</v>
      </c>
      <c r="AE962">
        <v>0</v>
      </c>
      <c r="AF962">
        <v>0</v>
      </c>
      <c r="AG962">
        <v>0</v>
      </c>
      <c r="AH962">
        <v>0</v>
      </c>
      <c r="AI962">
        <v>0</v>
      </c>
      <c r="AJ962">
        <v>0</v>
      </c>
      <c r="AK962">
        <v>0</v>
      </c>
      <c r="AL962">
        <v>1</v>
      </c>
      <c r="AM962">
        <v>0</v>
      </c>
      <c r="AN962">
        <v>1</v>
      </c>
    </row>
    <row r="963" spans="1:40" x14ac:dyDescent="0.3">
      <c r="A963" t="s">
        <v>287</v>
      </c>
      <c r="B963" t="s">
        <v>136</v>
      </c>
      <c r="C963" t="s">
        <v>10</v>
      </c>
      <c r="D963" t="s">
        <v>11</v>
      </c>
      <c r="E963">
        <v>202602</v>
      </c>
      <c r="F963" t="s">
        <v>324</v>
      </c>
      <c r="G963">
        <v>0</v>
      </c>
      <c r="H963">
        <v>3</v>
      </c>
      <c r="I963">
        <v>2</v>
      </c>
      <c r="J963">
        <v>2</v>
      </c>
      <c r="K963">
        <v>6</v>
      </c>
      <c r="L963">
        <v>4</v>
      </c>
      <c r="M963">
        <v>0</v>
      </c>
      <c r="N963">
        <v>0</v>
      </c>
      <c r="O963">
        <v>4</v>
      </c>
      <c r="P963">
        <v>3</v>
      </c>
      <c r="Q963">
        <v>4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0</v>
      </c>
      <c r="AC963">
        <v>0</v>
      </c>
      <c r="AD963">
        <v>0</v>
      </c>
      <c r="AE963">
        <v>0</v>
      </c>
      <c r="AF963">
        <v>0</v>
      </c>
      <c r="AG963">
        <v>0</v>
      </c>
      <c r="AH963">
        <v>0</v>
      </c>
      <c r="AI963">
        <v>0</v>
      </c>
      <c r="AJ963">
        <v>0</v>
      </c>
      <c r="AK963">
        <v>0</v>
      </c>
      <c r="AL963">
        <v>28</v>
      </c>
      <c r="AM963">
        <v>3.6666666666666665</v>
      </c>
      <c r="AN963">
        <v>78.650876538604223</v>
      </c>
    </row>
    <row r="964" spans="1:40" x14ac:dyDescent="0.3">
      <c r="A964" t="s">
        <v>287</v>
      </c>
      <c r="B964" t="s">
        <v>136</v>
      </c>
      <c r="C964" t="s">
        <v>10</v>
      </c>
      <c r="D964" t="s">
        <v>14</v>
      </c>
      <c r="E964">
        <v>202602</v>
      </c>
      <c r="F964" t="s">
        <v>42</v>
      </c>
      <c r="G964">
        <v>0</v>
      </c>
      <c r="H964">
        <v>0</v>
      </c>
      <c r="I964">
        <v>0</v>
      </c>
      <c r="J964">
        <v>0</v>
      </c>
      <c r="K964">
        <v>0</v>
      </c>
      <c r="L964">
        <v>0</v>
      </c>
      <c r="M964">
        <v>0</v>
      </c>
      <c r="N964">
        <v>0</v>
      </c>
      <c r="O964">
        <v>0</v>
      </c>
      <c r="P964">
        <v>0</v>
      </c>
      <c r="Q964">
        <v>1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0</v>
      </c>
      <c r="AC964">
        <v>0</v>
      </c>
      <c r="AD964">
        <v>0</v>
      </c>
      <c r="AE964">
        <v>0</v>
      </c>
      <c r="AF964">
        <v>0</v>
      </c>
      <c r="AG964">
        <v>0</v>
      </c>
      <c r="AH964">
        <v>0</v>
      </c>
      <c r="AI964">
        <v>0</v>
      </c>
      <c r="AJ964">
        <v>0</v>
      </c>
      <c r="AK964">
        <v>0</v>
      </c>
      <c r="AL964">
        <v>1</v>
      </c>
      <c r="AM964">
        <v>0.33333333333333331</v>
      </c>
      <c r="AN964">
        <v>5.0417410714286133</v>
      </c>
    </row>
    <row r="965" spans="1:40" x14ac:dyDescent="0.3">
      <c r="A965" t="s">
        <v>287</v>
      </c>
      <c r="B965" t="s">
        <v>136</v>
      </c>
      <c r="C965" t="s">
        <v>10</v>
      </c>
      <c r="D965" t="s">
        <v>14</v>
      </c>
      <c r="E965">
        <v>202602</v>
      </c>
      <c r="F965" t="s">
        <v>324</v>
      </c>
      <c r="G965">
        <v>0</v>
      </c>
      <c r="H965">
        <v>3</v>
      </c>
      <c r="I965">
        <v>6</v>
      </c>
      <c r="J965">
        <v>7</v>
      </c>
      <c r="K965">
        <v>5</v>
      </c>
      <c r="L965">
        <v>0</v>
      </c>
      <c r="M965">
        <v>0</v>
      </c>
      <c r="N965">
        <v>0</v>
      </c>
      <c r="O965">
        <v>6</v>
      </c>
      <c r="P965">
        <v>5</v>
      </c>
      <c r="Q965">
        <v>4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>
        <v>0</v>
      </c>
      <c r="AB965">
        <v>0</v>
      </c>
      <c r="AC965">
        <v>0</v>
      </c>
      <c r="AD965">
        <v>0</v>
      </c>
      <c r="AE965">
        <v>0</v>
      </c>
      <c r="AF965">
        <v>0</v>
      </c>
      <c r="AG965">
        <v>0</v>
      </c>
      <c r="AH965">
        <v>0</v>
      </c>
      <c r="AI965">
        <v>0</v>
      </c>
      <c r="AJ965">
        <v>0</v>
      </c>
      <c r="AK965">
        <v>0</v>
      </c>
      <c r="AL965">
        <v>36</v>
      </c>
      <c r="AM965">
        <v>5</v>
      </c>
      <c r="AN965">
        <v>96.62611607142918</v>
      </c>
    </row>
    <row r="966" spans="1:40" x14ac:dyDescent="0.3">
      <c r="A966" t="s">
        <v>287</v>
      </c>
      <c r="B966" t="s">
        <v>684</v>
      </c>
      <c r="C966" t="s">
        <v>10</v>
      </c>
      <c r="D966" t="s">
        <v>11</v>
      </c>
      <c r="E966">
        <v>202602</v>
      </c>
      <c r="F966" t="s">
        <v>101</v>
      </c>
      <c r="G966">
        <v>0</v>
      </c>
      <c r="H966">
        <v>2</v>
      </c>
      <c r="I966">
        <v>0</v>
      </c>
      <c r="J966">
        <v>0</v>
      </c>
      <c r="K966">
        <v>1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1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>
        <v>0</v>
      </c>
      <c r="AB966">
        <v>0</v>
      </c>
      <c r="AC966">
        <v>0</v>
      </c>
      <c r="AD966">
        <v>0</v>
      </c>
      <c r="AE966">
        <v>0</v>
      </c>
      <c r="AF966">
        <v>0</v>
      </c>
      <c r="AG966">
        <v>0</v>
      </c>
      <c r="AH966">
        <v>0</v>
      </c>
      <c r="AI966">
        <v>0</v>
      </c>
      <c r="AJ966">
        <v>0</v>
      </c>
      <c r="AK966">
        <v>0</v>
      </c>
      <c r="AL966">
        <v>4</v>
      </c>
      <c r="AM966">
        <v>0.33333333333333331</v>
      </c>
      <c r="AN966">
        <v>8.6046251398731108</v>
      </c>
    </row>
    <row r="967" spans="1:40" x14ac:dyDescent="0.3">
      <c r="A967" t="s">
        <v>287</v>
      </c>
      <c r="B967" t="s">
        <v>684</v>
      </c>
      <c r="C967" t="s">
        <v>10</v>
      </c>
      <c r="D967" t="s">
        <v>11</v>
      </c>
      <c r="E967">
        <v>202602</v>
      </c>
      <c r="F967" t="s">
        <v>138</v>
      </c>
      <c r="G967">
        <v>0</v>
      </c>
      <c r="H967">
        <v>0</v>
      </c>
      <c r="I967">
        <v>1</v>
      </c>
      <c r="J967">
        <v>0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1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>
        <v>0</v>
      </c>
      <c r="AB967">
        <v>0</v>
      </c>
      <c r="AC967">
        <v>0</v>
      </c>
      <c r="AD967">
        <v>0</v>
      </c>
      <c r="AE967">
        <v>0</v>
      </c>
      <c r="AF967">
        <v>0</v>
      </c>
      <c r="AG967">
        <v>0</v>
      </c>
      <c r="AH967">
        <v>0</v>
      </c>
      <c r="AI967">
        <v>0</v>
      </c>
      <c r="AJ967">
        <v>0</v>
      </c>
      <c r="AK967">
        <v>0</v>
      </c>
      <c r="AL967">
        <v>2</v>
      </c>
      <c r="AM967">
        <v>0.33333333333333331</v>
      </c>
      <c r="AN967">
        <v>6.6046251398731117</v>
      </c>
    </row>
    <row r="968" spans="1:40" x14ac:dyDescent="0.3">
      <c r="A968" t="s">
        <v>287</v>
      </c>
      <c r="B968" t="s">
        <v>684</v>
      </c>
      <c r="C968" t="s">
        <v>10</v>
      </c>
      <c r="D968" t="s">
        <v>14</v>
      </c>
      <c r="E968">
        <v>202602</v>
      </c>
      <c r="F968" t="s">
        <v>101</v>
      </c>
      <c r="G968">
        <v>0</v>
      </c>
      <c r="H968">
        <v>0</v>
      </c>
      <c r="I968">
        <v>1</v>
      </c>
      <c r="J968">
        <v>0</v>
      </c>
      <c r="K968">
        <v>0</v>
      </c>
      <c r="L968">
        <v>0</v>
      </c>
      <c r="M968">
        <v>0</v>
      </c>
      <c r="N968">
        <v>0</v>
      </c>
      <c r="O968">
        <v>1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>
        <v>0</v>
      </c>
      <c r="AB968">
        <v>0</v>
      </c>
      <c r="AC968">
        <v>0</v>
      </c>
      <c r="AD968">
        <v>0</v>
      </c>
      <c r="AE968">
        <v>0</v>
      </c>
      <c r="AF968">
        <v>0</v>
      </c>
      <c r="AG968">
        <v>0</v>
      </c>
      <c r="AH968">
        <v>0</v>
      </c>
      <c r="AI968">
        <v>0</v>
      </c>
      <c r="AJ968">
        <v>0</v>
      </c>
      <c r="AK968">
        <v>0</v>
      </c>
      <c r="AL968">
        <v>2</v>
      </c>
      <c r="AM968">
        <v>0.33333333333333331</v>
      </c>
      <c r="AN968">
        <v>6.0417410714286133</v>
      </c>
    </row>
    <row r="969" spans="1:40" x14ac:dyDescent="0.3">
      <c r="A969" t="s">
        <v>287</v>
      </c>
      <c r="B969" t="s">
        <v>684</v>
      </c>
      <c r="C969" t="s">
        <v>10</v>
      </c>
      <c r="D969" t="s">
        <v>14</v>
      </c>
      <c r="E969">
        <v>202602</v>
      </c>
      <c r="F969" t="s">
        <v>138</v>
      </c>
      <c r="G969">
        <v>0</v>
      </c>
      <c r="H969">
        <v>1</v>
      </c>
      <c r="I969">
        <v>0</v>
      </c>
      <c r="J969">
        <v>0</v>
      </c>
      <c r="K969">
        <v>0</v>
      </c>
      <c r="L969">
        <v>0</v>
      </c>
      <c r="M969">
        <v>0</v>
      </c>
      <c r="N969">
        <v>0</v>
      </c>
      <c r="O969">
        <v>1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>
        <v>0</v>
      </c>
      <c r="AB969">
        <v>0</v>
      </c>
      <c r="AC969">
        <v>0</v>
      </c>
      <c r="AD969">
        <v>0</v>
      </c>
      <c r="AE969">
        <v>0</v>
      </c>
      <c r="AF969">
        <v>0</v>
      </c>
      <c r="AG969">
        <v>0</v>
      </c>
      <c r="AH969">
        <v>0</v>
      </c>
      <c r="AI969">
        <v>0</v>
      </c>
      <c r="AJ969">
        <v>0</v>
      </c>
      <c r="AK969">
        <v>0</v>
      </c>
      <c r="AL969">
        <v>2</v>
      </c>
      <c r="AM969">
        <v>0.33333333333333331</v>
      </c>
      <c r="AN969">
        <v>6.0417410714286133</v>
      </c>
    </row>
    <row r="970" spans="1:40" x14ac:dyDescent="0.3">
      <c r="A970" t="s">
        <v>287</v>
      </c>
      <c r="B970" t="s">
        <v>139</v>
      </c>
      <c r="C970" t="s">
        <v>10</v>
      </c>
      <c r="D970" t="s">
        <v>11</v>
      </c>
      <c r="E970">
        <v>202602</v>
      </c>
      <c r="F970" t="s">
        <v>156</v>
      </c>
      <c r="G970">
        <v>0</v>
      </c>
      <c r="H970">
        <v>0</v>
      </c>
      <c r="I970">
        <v>0</v>
      </c>
      <c r="J970">
        <v>1</v>
      </c>
      <c r="K970">
        <v>1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>
        <v>0</v>
      </c>
      <c r="AB970">
        <v>0</v>
      </c>
      <c r="AC970">
        <v>0</v>
      </c>
      <c r="AD970">
        <v>0</v>
      </c>
      <c r="AE970">
        <v>0</v>
      </c>
      <c r="AF970">
        <v>0</v>
      </c>
      <c r="AG970">
        <v>0</v>
      </c>
      <c r="AH970">
        <v>0</v>
      </c>
      <c r="AI970">
        <v>0</v>
      </c>
      <c r="AJ970">
        <v>0</v>
      </c>
      <c r="AK970">
        <v>0</v>
      </c>
      <c r="AL970">
        <v>2</v>
      </c>
      <c r="AM970">
        <v>0</v>
      </c>
      <c r="AN970">
        <v>2</v>
      </c>
    </row>
    <row r="971" spans="1:40" x14ac:dyDescent="0.3">
      <c r="A971" t="s">
        <v>287</v>
      </c>
      <c r="B971" t="s">
        <v>139</v>
      </c>
      <c r="C971" t="s">
        <v>10</v>
      </c>
      <c r="D971" t="s">
        <v>11</v>
      </c>
      <c r="E971">
        <v>202602</v>
      </c>
      <c r="F971" t="s">
        <v>140</v>
      </c>
      <c r="G971">
        <v>0</v>
      </c>
      <c r="H971">
        <v>1</v>
      </c>
      <c r="I971">
        <v>1</v>
      </c>
      <c r="J971">
        <v>3</v>
      </c>
      <c r="K971">
        <v>1</v>
      </c>
      <c r="L971">
        <v>4</v>
      </c>
      <c r="M971">
        <v>5</v>
      </c>
      <c r="N971">
        <v>0</v>
      </c>
      <c r="O971">
        <v>4</v>
      </c>
      <c r="P971">
        <v>1</v>
      </c>
      <c r="Q971">
        <v>4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>
        <v>0</v>
      </c>
      <c r="AB971">
        <v>0</v>
      </c>
      <c r="AC971">
        <v>0</v>
      </c>
      <c r="AD971">
        <v>0</v>
      </c>
      <c r="AE971">
        <v>0</v>
      </c>
      <c r="AF971">
        <v>0</v>
      </c>
      <c r="AG971">
        <v>0</v>
      </c>
      <c r="AH971">
        <v>0</v>
      </c>
      <c r="AI971">
        <v>0</v>
      </c>
      <c r="AJ971">
        <v>0</v>
      </c>
      <c r="AK971">
        <v>0</v>
      </c>
      <c r="AL971">
        <v>24</v>
      </c>
      <c r="AM971">
        <v>3</v>
      </c>
      <c r="AN971">
        <v>65.441626258858008</v>
      </c>
    </row>
    <row r="972" spans="1:40" x14ac:dyDescent="0.3">
      <c r="A972" t="s">
        <v>287</v>
      </c>
      <c r="B972" t="s">
        <v>139</v>
      </c>
      <c r="C972" t="s">
        <v>10</v>
      </c>
      <c r="D972" t="s">
        <v>11</v>
      </c>
      <c r="E972">
        <v>202602</v>
      </c>
      <c r="F972" t="s">
        <v>325</v>
      </c>
      <c r="G972">
        <v>0</v>
      </c>
      <c r="H972">
        <v>0</v>
      </c>
      <c r="I972">
        <v>0</v>
      </c>
      <c r="J972">
        <v>0</v>
      </c>
      <c r="K972">
        <v>0</v>
      </c>
      <c r="L972">
        <v>1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>
        <v>0</v>
      </c>
      <c r="AB972">
        <v>0</v>
      </c>
      <c r="AC972">
        <v>0</v>
      </c>
      <c r="AD972">
        <v>0</v>
      </c>
      <c r="AE972">
        <v>0</v>
      </c>
      <c r="AF972">
        <v>0</v>
      </c>
      <c r="AG972">
        <v>0</v>
      </c>
      <c r="AH972">
        <v>0</v>
      </c>
      <c r="AI972">
        <v>0</v>
      </c>
      <c r="AJ972">
        <v>0</v>
      </c>
      <c r="AK972">
        <v>0</v>
      </c>
      <c r="AL972">
        <v>1</v>
      </c>
      <c r="AM972">
        <v>0</v>
      </c>
      <c r="AN972">
        <v>1</v>
      </c>
    </row>
    <row r="973" spans="1:40" x14ac:dyDescent="0.3">
      <c r="A973" t="s">
        <v>287</v>
      </c>
      <c r="B973" t="s">
        <v>139</v>
      </c>
      <c r="C973" t="s">
        <v>10</v>
      </c>
      <c r="D973" t="s">
        <v>11</v>
      </c>
      <c r="E973">
        <v>202602</v>
      </c>
      <c r="F973" t="s">
        <v>326</v>
      </c>
      <c r="G973">
        <v>0</v>
      </c>
      <c r="H973">
        <v>1</v>
      </c>
      <c r="I973">
        <v>1</v>
      </c>
      <c r="J973">
        <v>1</v>
      </c>
      <c r="K973">
        <v>0</v>
      </c>
      <c r="L973">
        <v>2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>
        <v>0</v>
      </c>
      <c r="AB973">
        <v>0</v>
      </c>
      <c r="AC973">
        <v>0</v>
      </c>
      <c r="AD973">
        <v>0</v>
      </c>
      <c r="AE973">
        <v>0</v>
      </c>
      <c r="AF973">
        <v>0</v>
      </c>
      <c r="AG973">
        <v>0</v>
      </c>
      <c r="AH973">
        <v>0</v>
      </c>
      <c r="AI973">
        <v>0</v>
      </c>
      <c r="AJ973">
        <v>0</v>
      </c>
      <c r="AK973">
        <v>0</v>
      </c>
      <c r="AL973">
        <v>5</v>
      </c>
      <c r="AM973">
        <v>0</v>
      </c>
      <c r="AN973">
        <v>5</v>
      </c>
    </row>
    <row r="974" spans="1:40" x14ac:dyDescent="0.3">
      <c r="A974" t="s">
        <v>287</v>
      </c>
      <c r="B974" t="s">
        <v>139</v>
      </c>
      <c r="C974" t="s">
        <v>10</v>
      </c>
      <c r="D974" t="s">
        <v>11</v>
      </c>
      <c r="E974">
        <v>202602</v>
      </c>
      <c r="F974" t="s">
        <v>327</v>
      </c>
      <c r="G974">
        <v>0</v>
      </c>
      <c r="H974">
        <v>1</v>
      </c>
      <c r="I974">
        <v>0</v>
      </c>
      <c r="J974">
        <v>0</v>
      </c>
      <c r="K974">
        <v>0</v>
      </c>
      <c r="L974">
        <v>0</v>
      </c>
      <c r="M974">
        <v>1</v>
      </c>
      <c r="N974">
        <v>0</v>
      </c>
      <c r="O974">
        <v>0</v>
      </c>
      <c r="P974">
        <v>2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>
        <v>0</v>
      </c>
      <c r="AB974">
        <v>0</v>
      </c>
      <c r="AC974">
        <v>0</v>
      </c>
      <c r="AD974">
        <v>0</v>
      </c>
      <c r="AE974">
        <v>0</v>
      </c>
      <c r="AF974">
        <v>0</v>
      </c>
      <c r="AG974">
        <v>0</v>
      </c>
      <c r="AH974">
        <v>0</v>
      </c>
      <c r="AI974">
        <v>0</v>
      </c>
      <c r="AJ974">
        <v>0</v>
      </c>
      <c r="AK974">
        <v>0</v>
      </c>
      <c r="AL974">
        <v>4</v>
      </c>
      <c r="AM974">
        <v>0.66666666666666663</v>
      </c>
      <c r="AN974">
        <v>13.209250279746223</v>
      </c>
    </row>
    <row r="975" spans="1:40" x14ac:dyDescent="0.3">
      <c r="A975" t="s">
        <v>287</v>
      </c>
      <c r="B975" t="s">
        <v>139</v>
      </c>
      <c r="C975" t="s">
        <v>10</v>
      </c>
      <c r="D975" t="s">
        <v>11</v>
      </c>
      <c r="E975">
        <v>202602</v>
      </c>
      <c r="F975" t="s">
        <v>328</v>
      </c>
      <c r="G975">
        <v>0</v>
      </c>
      <c r="H975">
        <v>0</v>
      </c>
      <c r="I975">
        <v>0</v>
      </c>
      <c r="J975">
        <v>0</v>
      </c>
      <c r="K975">
        <v>0</v>
      </c>
      <c r="L975">
        <v>0</v>
      </c>
      <c r="M975">
        <v>0</v>
      </c>
      <c r="N975">
        <v>0</v>
      </c>
      <c r="O975">
        <v>1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>
        <v>0</v>
      </c>
      <c r="AB975">
        <v>0</v>
      </c>
      <c r="AC975">
        <v>0</v>
      </c>
      <c r="AD975">
        <v>0</v>
      </c>
      <c r="AE975">
        <v>0</v>
      </c>
      <c r="AF975">
        <v>0</v>
      </c>
      <c r="AG975">
        <v>0</v>
      </c>
      <c r="AH975">
        <v>0</v>
      </c>
      <c r="AI975">
        <v>0</v>
      </c>
      <c r="AJ975">
        <v>0</v>
      </c>
      <c r="AK975">
        <v>0</v>
      </c>
      <c r="AL975">
        <v>1</v>
      </c>
      <c r="AM975">
        <v>0.33333333333333331</v>
      </c>
      <c r="AN975">
        <v>5.6046251398731117</v>
      </c>
    </row>
    <row r="976" spans="1:40" x14ac:dyDescent="0.3">
      <c r="A976" t="s">
        <v>287</v>
      </c>
      <c r="B976" t="s">
        <v>139</v>
      </c>
      <c r="C976" t="s">
        <v>10</v>
      </c>
      <c r="D976" t="s">
        <v>11</v>
      </c>
      <c r="E976">
        <v>202602</v>
      </c>
      <c r="F976" t="s">
        <v>329</v>
      </c>
      <c r="G976">
        <v>0</v>
      </c>
      <c r="H976">
        <v>0</v>
      </c>
      <c r="I976">
        <v>0</v>
      </c>
      <c r="J976">
        <v>0</v>
      </c>
      <c r="K976">
        <v>1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>
        <v>0</v>
      </c>
      <c r="AB976">
        <v>0</v>
      </c>
      <c r="AC976">
        <v>0</v>
      </c>
      <c r="AD976">
        <v>0</v>
      </c>
      <c r="AE976">
        <v>0</v>
      </c>
      <c r="AF976">
        <v>0</v>
      </c>
      <c r="AG976">
        <v>0</v>
      </c>
      <c r="AH976">
        <v>0</v>
      </c>
      <c r="AI976">
        <v>0</v>
      </c>
      <c r="AJ976">
        <v>0</v>
      </c>
      <c r="AK976">
        <v>0</v>
      </c>
      <c r="AL976">
        <v>1</v>
      </c>
      <c r="AM976">
        <v>0</v>
      </c>
      <c r="AN976">
        <v>1</v>
      </c>
    </row>
    <row r="977" spans="1:40" x14ac:dyDescent="0.3">
      <c r="A977" t="s">
        <v>287</v>
      </c>
      <c r="B977" t="s">
        <v>139</v>
      </c>
      <c r="C977" t="s">
        <v>10</v>
      </c>
      <c r="D977" t="s">
        <v>11</v>
      </c>
      <c r="E977">
        <v>202602</v>
      </c>
      <c r="F977" t="s">
        <v>330</v>
      </c>
      <c r="G977">
        <v>0</v>
      </c>
      <c r="H977">
        <v>0</v>
      </c>
      <c r="I977">
        <v>0</v>
      </c>
      <c r="J977">
        <v>0</v>
      </c>
      <c r="K977">
        <v>1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>
        <v>0</v>
      </c>
      <c r="AB977">
        <v>0</v>
      </c>
      <c r="AC977">
        <v>0</v>
      </c>
      <c r="AD977">
        <v>0</v>
      </c>
      <c r="AE977">
        <v>0</v>
      </c>
      <c r="AF977">
        <v>0</v>
      </c>
      <c r="AG977">
        <v>0</v>
      </c>
      <c r="AH977">
        <v>0</v>
      </c>
      <c r="AI977">
        <v>0</v>
      </c>
      <c r="AJ977">
        <v>0</v>
      </c>
      <c r="AK977">
        <v>0</v>
      </c>
      <c r="AL977">
        <v>1</v>
      </c>
      <c r="AM977">
        <v>0</v>
      </c>
      <c r="AN977">
        <v>1</v>
      </c>
    </row>
    <row r="978" spans="1:40" x14ac:dyDescent="0.3">
      <c r="A978" t="s">
        <v>287</v>
      </c>
      <c r="B978" t="s">
        <v>139</v>
      </c>
      <c r="C978" t="s">
        <v>10</v>
      </c>
      <c r="D978" t="s">
        <v>11</v>
      </c>
      <c r="E978">
        <v>202602</v>
      </c>
      <c r="F978" t="s">
        <v>331</v>
      </c>
      <c r="G978">
        <v>0</v>
      </c>
      <c r="H978">
        <v>0</v>
      </c>
      <c r="I978">
        <v>0</v>
      </c>
      <c r="J978">
        <v>0</v>
      </c>
      <c r="K978">
        <v>0</v>
      </c>
      <c r="L978">
        <v>1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0</v>
      </c>
      <c r="X978">
        <v>0</v>
      </c>
      <c r="Y978">
        <v>0</v>
      </c>
      <c r="Z978">
        <v>0</v>
      </c>
      <c r="AA978">
        <v>0</v>
      </c>
      <c r="AB978">
        <v>0</v>
      </c>
      <c r="AC978">
        <v>0</v>
      </c>
      <c r="AD978">
        <v>0</v>
      </c>
      <c r="AE978">
        <v>0</v>
      </c>
      <c r="AF978">
        <v>0</v>
      </c>
      <c r="AG978">
        <v>0</v>
      </c>
      <c r="AH978">
        <v>0</v>
      </c>
      <c r="AI978">
        <v>0</v>
      </c>
      <c r="AJ978">
        <v>0</v>
      </c>
      <c r="AK978">
        <v>0</v>
      </c>
      <c r="AL978">
        <v>1</v>
      </c>
      <c r="AM978">
        <v>0</v>
      </c>
      <c r="AN978">
        <v>1</v>
      </c>
    </row>
    <row r="979" spans="1:40" x14ac:dyDescent="0.3">
      <c r="A979" t="s">
        <v>287</v>
      </c>
      <c r="B979" t="s">
        <v>139</v>
      </c>
      <c r="C979" t="s">
        <v>10</v>
      </c>
      <c r="D979" t="s">
        <v>11</v>
      </c>
      <c r="E979">
        <v>202602</v>
      </c>
      <c r="F979" t="s">
        <v>332</v>
      </c>
      <c r="G979">
        <v>0</v>
      </c>
      <c r="H979">
        <v>0</v>
      </c>
      <c r="I979">
        <v>0</v>
      </c>
      <c r="J979">
        <v>0</v>
      </c>
      <c r="K979">
        <v>0</v>
      </c>
      <c r="L979">
        <v>0</v>
      </c>
      <c r="M979">
        <v>0</v>
      </c>
      <c r="N979">
        <v>0</v>
      </c>
      <c r="O979">
        <v>2</v>
      </c>
      <c r="P979">
        <v>0</v>
      </c>
      <c r="Q979">
        <v>1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0</v>
      </c>
      <c r="X979">
        <v>0</v>
      </c>
      <c r="Y979">
        <v>0</v>
      </c>
      <c r="Z979">
        <v>0</v>
      </c>
      <c r="AA979">
        <v>0</v>
      </c>
      <c r="AB979">
        <v>0</v>
      </c>
      <c r="AC979">
        <v>0</v>
      </c>
      <c r="AD979">
        <v>0</v>
      </c>
      <c r="AE979">
        <v>0</v>
      </c>
      <c r="AF979">
        <v>0</v>
      </c>
      <c r="AG979">
        <v>0</v>
      </c>
      <c r="AH979">
        <v>0</v>
      </c>
      <c r="AI979">
        <v>0</v>
      </c>
      <c r="AJ979">
        <v>0</v>
      </c>
      <c r="AK979">
        <v>0</v>
      </c>
      <c r="AL979">
        <v>3</v>
      </c>
      <c r="AM979">
        <v>1</v>
      </c>
      <c r="AN979">
        <v>16.813875419619336</v>
      </c>
    </row>
    <row r="980" spans="1:40" x14ac:dyDescent="0.3">
      <c r="A980" t="s">
        <v>287</v>
      </c>
      <c r="B980" t="s">
        <v>139</v>
      </c>
      <c r="C980" t="s">
        <v>10</v>
      </c>
      <c r="D980" t="s">
        <v>11</v>
      </c>
      <c r="E980">
        <v>202602</v>
      </c>
      <c r="F980" t="s">
        <v>148</v>
      </c>
      <c r="G980">
        <v>0</v>
      </c>
      <c r="H980">
        <v>0</v>
      </c>
      <c r="I980">
        <v>0</v>
      </c>
      <c r="J980">
        <v>0</v>
      </c>
      <c r="K980">
        <v>0</v>
      </c>
      <c r="L980">
        <v>0</v>
      </c>
      <c r="M980">
        <v>0</v>
      </c>
      <c r="N980">
        <v>0</v>
      </c>
      <c r="O980">
        <v>0</v>
      </c>
      <c r="P980">
        <v>0</v>
      </c>
      <c r="Q980">
        <v>1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0</v>
      </c>
      <c r="X980">
        <v>0</v>
      </c>
      <c r="Y980">
        <v>0</v>
      </c>
      <c r="Z980">
        <v>0</v>
      </c>
      <c r="AA980">
        <v>0</v>
      </c>
      <c r="AB980">
        <v>0</v>
      </c>
      <c r="AC980">
        <v>0</v>
      </c>
      <c r="AD980">
        <v>0</v>
      </c>
      <c r="AE980">
        <v>0</v>
      </c>
      <c r="AF980">
        <v>0</v>
      </c>
      <c r="AG980">
        <v>0</v>
      </c>
      <c r="AH980">
        <v>0</v>
      </c>
      <c r="AI980">
        <v>0</v>
      </c>
      <c r="AJ980">
        <v>0</v>
      </c>
      <c r="AK980">
        <v>0</v>
      </c>
      <c r="AL980">
        <v>1</v>
      </c>
      <c r="AM980">
        <v>0.33333333333333331</v>
      </c>
      <c r="AN980">
        <v>5.6046251398731117</v>
      </c>
    </row>
    <row r="981" spans="1:40" x14ac:dyDescent="0.3">
      <c r="A981" t="s">
        <v>287</v>
      </c>
      <c r="B981" t="s">
        <v>139</v>
      </c>
      <c r="C981" t="s">
        <v>10</v>
      </c>
      <c r="D981" t="s">
        <v>11</v>
      </c>
      <c r="E981">
        <v>202602</v>
      </c>
      <c r="F981" t="s">
        <v>333</v>
      </c>
      <c r="G981">
        <v>0</v>
      </c>
      <c r="H981">
        <v>2</v>
      </c>
      <c r="I981">
        <v>0</v>
      </c>
      <c r="J981">
        <v>0</v>
      </c>
      <c r="K981">
        <v>1</v>
      </c>
      <c r="L981">
        <v>0</v>
      </c>
      <c r="M981">
        <v>0</v>
      </c>
      <c r="N981">
        <v>0</v>
      </c>
      <c r="O981">
        <v>1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0</v>
      </c>
      <c r="X981">
        <v>0</v>
      </c>
      <c r="Y981">
        <v>0</v>
      </c>
      <c r="Z981">
        <v>0</v>
      </c>
      <c r="AA981">
        <v>0</v>
      </c>
      <c r="AB981">
        <v>0</v>
      </c>
      <c r="AC981">
        <v>0</v>
      </c>
      <c r="AD981">
        <v>0</v>
      </c>
      <c r="AE981">
        <v>0</v>
      </c>
      <c r="AF981">
        <v>0</v>
      </c>
      <c r="AG981">
        <v>0</v>
      </c>
      <c r="AH981">
        <v>0</v>
      </c>
      <c r="AI981">
        <v>0</v>
      </c>
      <c r="AJ981">
        <v>0</v>
      </c>
      <c r="AK981">
        <v>0</v>
      </c>
      <c r="AL981">
        <v>4</v>
      </c>
      <c r="AM981">
        <v>0.33333333333333331</v>
      </c>
      <c r="AN981">
        <v>8.6046251398731108</v>
      </c>
    </row>
    <row r="982" spans="1:40" x14ac:dyDescent="0.3">
      <c r="A982" t="s">
        <v>287</v>
      </c>
      <c r="B982" t="s">
        <v>139</v>
      </c>
      <c r="C982" t="s">
        <v>10</v>
      </c>
      <c r="D982" t="s">
        <v>11</v>
      </c>
      <c r="E982">
        <v>202602</v>
      </c>
      <c r="F982" t="s">
        <v>334</v>
      </c>
      <c r="G982">
        <v>0</v>
      </c>
      <c r="H982">
        <v>0</v>
      </c>
      <c r="I982">
        <v>0</v>
      </c>
      <c r="J982">
        <v>1</v>
      </c>
      <c r="K982">
        <v>0</v>
      </c>
      <c r="L982">
        <v>0</v>
      </c>
      <c r="M982">
        <v>0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0</v>
      </c>
      <c r="Y982">
        <v>0</v>
      </c>
      <c r="Z982">
        <v>0</v>
      </c>
      <c r="AA982">
        <v>0</v>
      </c>
      <c r="AB982">
        <v>0</v>
      </c>
      <c r="AC982">
        <v>0</v>
      </c>
      <c r="AD982">
        <v>0</v>
      </c>
      <c r="AE982">
        <v>0</v>
      </c>
      <c r="AF982">
        <v>0</v>
      </c>
      <c r="AG982">
        <v>0</v>
      </c>
      <c r="AH982">
        <v>0</v>
      </c>
      <c r="AI982">
        <v>0</v>
      </c>
      <c r="AJ982">
        <v>0</v>
      </c>
      <c r="AK982">
        <v>0</v>
      </c>
      <c r="AL982">
        <v>1</v>
      </c>
      <c r="AM982">
        <v>0</v>
      </c>
      <c r="AN982">
        <v>1</v>
      </c>
    </row>
    <row r="983" spans="1:40" x14ac:dyDescent="0.3">
      <c r="A983" t="s">
        <v>287</v>
      </c>
      <c r="B983" t="s">
        <v>139</v>
      </c>
      <c r="C983" t="s">
        <v>10</v>
      </c>
      <c r="D983" t="s">
        <v>11</v>
      </c>
      <c r="E983">
        <v>202602</v>
      </c>
      <c r="F983" t="s">
        <v>338</v>
      </c>
      <c r="G983">
        <v>0</v>
      </c>
      <c r="H983">
        <v>0</v>
      </c>
      <c r="I983">
        <v>0</v>
      </c>
      <c r="J983">
        <v>0</v>
      </c>
      <c r="K983">
        <v>0</v>
      </c>
      <c r="L983">
        <v>0</v>
      </c>
      <c r="M983">
        <v>0</v>
      </c>
      <c r="N983">
        <v>0</v>
      </c>
      <c r="O983">
        <v>0</v>
      </c>
      <c r="P983">
        <v>0</v>
      </c>
      <c r="Q983">
        <v>2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0</v>
      </c>
      <c r="X983">
        <v>0</v>
      </c>
      <c r="Y983">
        <v>0</v>
      </c>
      <c r="Z983">
        <v>0</v>
      </c>
      <c r="AA983">
        <v>0</v>
      </c>
      <c r="AB983">
        <v>0</v>
      </c>
      <c r="AC983">
        <v>0</v>
      </c>
      <c r="AD983">
        <v>0</v>
      </c>
      <c r="AE983">
        <v>0</v>
      </c>
      <c r="AF983">
        <v>0</v>
      </c>
      <c r="AG983">
        <v>0</v>
      </c>
      <c r="AH983">
        <v>0</v>
      </c>
      <c r="AI983">
        <v>0</v>
      </c>
      <c r="AJ983">
        <v>0</v>
      </c>
      <c r="AK983">
        <v>0</v>
      </c>
      <c r="AL983">
        <v>2</v>
      </c>
      <c r="AM983">
        <v>0.66666666666666663</v>
      </c>
      <c r="AN983">
        <v>11.209250279746223</v>
      </c>
    </row>
    <row r="984" spans="1:40" x14ac:dyDescent="0.3">
      <c r="A984" t="s">
        <v>287</v>
      </c>
      <c r="B984" t="s">
        <v>139</v>
      </c>
      <c r="C984" t="s">
        <v>10</v>
      </c>
      <c r="D984" t="s">
        <v>11</v>
      </c>
      <c r="E984">
        <v>202602</v>
      </c>
      <c r="F984" t="s">
        <v>335</v>
      </c>
      <c r="G984">
        <v>0</v>
      </c>
      <c r="H984">
        <v>0</v>
      </c>
      <c r="I984">
        <v>0</v>
      </c>
      <c r="J984">
        <v>0</v>
      </c>
      <c r="K984">
        <v>0</v>
      </c>
      <c r="L984">
        <v>0</v>
      </c>
      <c r="M984">
        <v>0</v>
      </c>
      <c r="N984">
        <v>0</v>
      </c>
      <c r="O984">
        <v>0</v>
      </c>
      <c r="P984">
        <v>1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0</v>
      </c>
      <c r="Z984">
        <v>0</v>
      </c>
      <c r="AA984">
        <v>0</v>
      </c>
      <c r="AB984">
        <v>0</v>
      </c>
      <c r="AC984">
        <v>0</v>
      </c>
      <c r="AD984">
        <v>0</v>
      </c>
      <c r="AE984">
        <v>0</v>
      </c>
      <c r="AF984">
        <v>0</v>
      </c>
      <c r="AG984">
        <v>0</v>
      </c>
      <c r="AH984">
        <v>0</v>
      </c>
      <c r="AI984">
        <v>0</v>
      </c>
      <c r="AJ984">
        <v>0</v>
      </c>
      <c r="AK984">
        <v>0</v>
      </c>
      <c r="AL984">
        <v>1</v>
      </c>
      <c r="AM984">
        <v>0.33333333333333331</v>
      </c>
      <c r="AN984">
        <v>5.6046251398731117</v>
      </c>
    </row>
    <row r="985" spans="1:40" x14ac:dyDescent="0.3">
      <c r="A985" t="s">
        <v>287</v>
      </c>
      <c r="B985" t="s">
        <v>139</v>
      </c>
      <c r="C985" t="s">
        <v>10</v>
      </c>
      <c r="D985" t="s">
        <v>11</v>
      </c>
      <c r="E985">
        <v>202602</v>
      </c>
      <c r="F985" t="s">
        <v>336</v>
      </c>
      <c r="G985">
        <v>0</v>
      </c>
      <c r="H985">
        <v>0</v>
      </c>
      <c r="I985">
        <v>0</v>
      </c>
      <c r="J985">
        <v>0</v>
      </c>
      <c r="K985">
        <v>0</v>
      </c>
      <c r="L985">
        <v>1</v>
      </c>
      <c r="M985">
        <v>0</v>
      </c>
      <c r="N985">
        <v>0</v>
      </c>
      <c r="O985">
        <v>0</v>
      </c>
      <c r="P985">
        <v>0</v>
      </c>
      <c r="Q985">
        <v>1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0</v>
      </c>
      <c r="Z985">
        <v>0</v>
      </c>
      <c r="AA985">
        <v>0</v>
      </c>
      <c r="AB985">
        <v>0</v>
      </c>
      <c r="AC985">
        <v>0</v>
      </c>
      <c r="AD985">
        <v>0</v>
      </c>
      <c r="AE985">
        <v>0</v>
      </c>
      <c r="AF985">
        <v>0</v>
      </c>
      <c r="AG985">
        <v>0</v>
      </c>
      <c r="AH985">
        <v>0</v>
      </c>
      <c r="AI985">
        <v>0</v>
      </c>
      <c r="AJ985">
        <v>0</v>
      </c>
      <c r="AK985">
        <v>0</v>
      </c>
      <c r="AL985">
        <v>2</v>
      </c>
      <c r="AM985">
        <v>0.33333333333333331</v>
      </c>
      <c r="AN985">
        <v>6.6046251398731117</v>
      </c>
    </row>
    <row r="986" spans="1:40" x14ac:dyDescent="0.3">
      <c r="A986" t="s">
        <v>287</v>
      </c>
      <c r="B986" t="s">
        <v>139</v>
      </c>
      <c r="C986" t="s">
        <v>10</v>
      </c>
      <c r="D986" t="s">
        <v>14</v>
      </c>
      <c r="E986">
        <v>202602</v>
      </c>
      <c r="F986" t="s">
        <v>156</v>
      </c>
      <c r="G986">
        <v>0</v>
      </c>
      <c r="H986">
        <v>0</v>
      </c>
      <c r="I986">
        <v>1</v>
      </c>
      <c r="J986">
        <v>1</v>
      </c>
      <c r="K986">
        <v>0</v>
      </c>
      <c r="L986">
        <v>1</v>
      </c>
      <c r="M986">
        <v>0</v>
      </c>
      <c r="N986">
        <v>0</v>
      </c>
      <c r="O986">
        <v>1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0</v>
      </c>
      <c r="Z986">
        <v>0</v>
      </c>
      <c r="AA986">
        <v>0</v>
      </c>
      <c r="AB986">
        <v>0</v>
      </c>
      <c r="AC986">
        <v>0</v>
      </c>
      <c r="AD986">
        <v>0</v>
      </c>
      <c r="AE986">
        <v>0</v>
      </c>
      <c r="AF986">
        <v>0</v>
      </c>
      <c r="AG986">
        <v>0</v>
      </c>
      <c r="AH986">
        <v>0</v>
      </c>
      <c r="AI986">
        <v>0</v>
      </c>
      <c r="AJ986">
        <v>0</v>
      </c>
      <c r="AK986">
        <v>0</v>
      </c>
      <c r="AL986">
        <v>4</v>
      </c>
      <c r="AM986">
        <v>0.33333333333333331</v>
      </c>
      <c r="AN986">
        <v>8.0417410714286142</v>
      </c>
    </row>
    <row r="987" spans="1:40" x14ac:dyDescent="0.3">
      <c r="A987" t="s">
        <v>287</v>
      </c>
      <c r="B987" t="s">
        <v>139</v>
      </c>
      <c r="C987" t="s">
        <v>10</v>
      </c>
      <c r="D987" t="s">
        <v>14</v>
      </c>
      <c r="E987">
        <v>202602</v>
      </c>
      <c r="F987" t="s">
        <v>140</v>
      </c>
      <c r="G987">
        <v>0</v>
      </c>
      <c r="H987">
        <v>4</v>
      </c>
      <c r="I987">
        <v>0</v>
      </c>
      <c r="J987">
        <v>4</v>
      </c>
      <c r="K987">
        <v>7</v>
      </c>
      <c r="L987">
        <v>3</v>
      </c>
      <c r="M987">
        <v>1</v>
      </c>
      <c r="N987">
        <v>1</v>
      </c>
      <c r="O987">
        <v>5</v>
      </c>
      <c r="P987">
        <v>1</v>
      </c>
      <c r="Q987">
        <v>7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0</v>
      </c>
      <c r="Y987">
        <v>0</v>
      </c>
      <c r="Z987">
        <v>0</v>
      </c>
      <c r="AA987">
        <v>0</v>
      </c>
      <c r="AB987">
        <v>0</v>
      </c>
      <c r="AC987">
        <v>0</v>
      </c>
      <c r="AD987">
        <v>0</v>
      </c>
      <c r="AE987">
        <v>0</v>
      </c>
      <c r="AF987">
        <v>0</v>
      </c>
      <c r="AG987">
        <v>0</v>
      </c>
      <c r="AH987">
        <v>0</v>
      </c>
      <c r="AI987">
        <v>0</v>
      </c>
      <c r="AJ987">
        <v>0</v>
      </c>
      <c r="AK987">
        <v>0</v>
      </c>
      <c r="AL987">
        <v>33</v>
      </c>
      <c r="AM987">
        <v>4.333333333333333</v>
      </c>
      <c r="AN987">
        <v>85.542633928571973</v>
      </c>
    </row>
    <row r="988" spans="1:40" x14ac:dyDescent="0.3">
      <c r="A988" t="s">
        <v>287</v>
      </c>
      <c r="B988" t="s">
        <v>139</v>
      </c>
      <c r="C988" t="s">
        <v>10</v>
      </c>
      <c r="D988" t="s">
        <v>14</v>
      </c>
      <c r="E988">
        <v>202602</v>
      </c>
      <c r="F988" t="s">
        <v>326</v>
      </c>
      <c r="G988">
        <v>0</v>
      </c>
      <c r="H988">
        <v>2</v>
      </c>
      <c r="I988">
        <v>0</v>
      </c>
      <c r="J988">
        <v>0</v>
      </c>
      <c r="K988">
        <v>2</v>
      </c>
      <c r="L988">
        <v>0</v>
      </c>
      <c r="M988">
        <v>0</v>
      </c>
      <c r="N988">
        <v>0</v>
      </c>
      <c r="O988">
        <v>1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0</v>
      </c>
      <c r="Y988">
        <v>0</v>
      </c>
      <c r="Z988">
        <v>0</v>
      </c>
      <c r="AA988">
        <v>0</v>
      </c>
      <c r="AB988">
        <v>0</v>
      </c>
      <c r="AC988">
        <v>0</v>
      </c>
      <c r="AD988">
        <v>0</v>
      </c>
      <c r="AE988">
        <v>0</v>
      </c>
      <c r="AF988">
        <v>0</v>
      </c>
      <c r="AG988">
        <v>0</v>
      </c>
      <c r="AH988">
        <v>0</v>
      </c>
      <c r="AI988">
        <v>0</v>
      </c>
      <c r="AJ988">
        <v>0</v>
      </c>
      <c r="AK988">
        <v>0</v>
      </c>
      <c r="AL988">
        <v>5</v>
      </c>
      <c r="AM988">
        <v>0.33333333333333331</v>
      </c>
      <c r="AN988">
        <v>9.0417410714286142</v>
      </c>
    </row>
    <row r="989" spans="1:40" x14ac:dyDescent="0.3">
      <c r="A989" t="s">
        <v>287</v>
      </c>
      <c r="B989" t="s">
        <v>139</v>
      </c>
      <c r="C989" t="s">
        <v>10</v>
      </c>
      <c r="D989" t="s">
        <v>14</v>
      </c>
      <c r="E989">
        <v>202602</v>
      </c>
      <c r="F989" t="s">
        <v>327</v>
      </c>
      <c r="G989">
        <v>0</v>
      </c>
      <c r="H989">
        <v>0</v>
      </c>
      <c r="I989">
        <v>1</v>
      </c>
      <c r="J989">
        <v>1</v>
      </c>
      <c r="K989">
        <v>0</v>
      </c>
      <c r="L989">
        <v>1</v>
      </c>
      <c r="M989">
        <v>0</v>
      </c>
      <c r="N989">
        <v>1</v>
      </c>
      <c r="O989">
        <v>2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0</v>
      </c>
      <c r="Y989">
        <v>0</v>
      </c>
      <c r="Z989">
        <v>0</v>
      </c>
      <c r="AA989">
        <v>0</v>
      </c>
      <c r="AB989">
        <v>0</v>
      </c>
      <c r="AC989">
        <v>0</v>
      </c>
      <c r="AD989">
        <v>0</v>
      </c>
      <c r="AE989">
        <v>0</v>
      </c>
      <c r="AF989">
        <v>0</v>
      </c>
      <c r="AG989">
        <v>0</v>
      </c>
      <c r="AH989">
        <v>0</v>
      </c>
      <c r="AI989">
        <v>0</v>
      </c>
      <c r="AJ989">
        <v>0</v>
      </c>
      <c r="AK989">
        <v>0</v>
      </c>
      <c r="AL989">
        <v>6</v>
      </c>
      <c r="AM989">
        <v>0.66666666666666663</v>
      </c>
      <c r="AN989">
        <v>14.083482142857227</v>
      </c>
    </row>
    <row r="990" spans="1:40" x14ac:dyDescent="0.3">
      <c r="A990" t="s">
        <v>287</v>
      </c>
      <c r="B990" t="s">
        <v>139</v>
      </c>
      <c r="C990" t="s">
        <v>10</v>
      </c>
      <c r="D990" t="s">
        <v>14</v>
      </c>
      <c r="E990">
        <v>202602</v>
      </c>
      <c r="F990" t="s">
        <v>378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  <c r="M990">
        <v>0</v>
      </c>
      <c r="N990">
        <v>0</v>
      </c>
      <c r="O990">
        <v>0</v>
      </c>
      <c r="P990">
        <v>0</v>
      </c>
      <c r="Q990">
        <v>1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0</v>
      </c>
      <c r="Y990">
        <v>0</v>
      </c>
      <c r="Z990">
        <v>0</v>
      </c>
      <c r="AA990">
        <v>0</v>
      </c>
      <c r="AB990">
        <v>0</v>
      </c>
      <c r="AC990">
        <v>0</v>
      </c>
      <c r="AD990">
        <v>0</v>
      </c>
      <c r="AE990">
        <v>0</v>
      </c>
      <c r="AF990">
        <v>0</v>
      </c>
      <c r="AG990">
        <v>0</v>
      </c>
      <c r="AH990">
        <v>0</v>
      </c>
      <c r="AI990">
        <v>0</v>
      </c>
      <c r="AJ990">
        <v>0</v>
      </c>
      <c r="AK990">
        <v>0</v>
      </c>
      <c r="AL990">
        <v>1</v>
      </c>
      <c r="AM990">
        <v>0.33333333333333331</v>
      </c>
      <c r="AN990">
        <v>5.0417410714286133</v>
      </c>
    </row>
    <row r="991" spans="1:40" x14ac:dyDescent="0.3">
      <c r="A991" t="s">
        <v>287</v>
      </c>
      <c r="B991" t="s">
        <v>139</v>
      </c>
      <c r="C991" t="s">
        <v>10</v>
      </c>
      <c r="D991" t="s">
        <v>14</v>
      </c>
      <c r="E991">
        <v>202602</v>
      </c>
      <c r="F991" t="s">
        <v>328</v>
      </c>
      <c r="G991">
        <v>0</v>
      </c>
      <c r="H991">
        <v>0</v>
      </c>
      <c r="I991">
        <v>0</v>
      </c>
      <c r="J991">
        <v>0</v>
      </c>
      <c r="K991">
        <v>0</v>
      </c>
      <c r="L991">
        <v>0</v>
      </c>
      <c r="M991">
        <v>1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0</v>
      </c>
      <c r="X991">
        <v>0</v>
      </c>
      <c r="Y991">
        <v>0</v>
      </c>
      <c r="Z991">
        <v>0</v>
      </c>
      <c r="AA991">
        <v>0</v>
      </c>
      <c r="AB991">
        <v>0</v>
      </c>
      <c r="AC991">
        <v>0</v>
      </c>
      <c r="AD991">
        <v>0</v>
      </c>
      <c r="AE991">
        <v>0</v>
      </c>
      <c r="AF991">
        <v>0</v>
      </c>
      <c r="AG991">
        <v>0</v>
      </c>
      <c r="AH991">
        <v>0</v>
      </c>
      <c r="AI991">
        <v>0</v>
      </c>
      <c r="AJ991">
        <v>0</v>
      </c>
      <c r="AK991">
        <v>0</v>
      </c>
      <c r="AL991">
        <v>1</v>
      </c>
      <c r="AM991">
        <v>0</v>
      </c>
      <c r="AN991">
        <v>1</v>
      </c>
    </row>
    <row r="992" spans="1:40" x14ac:dyDescent="0.3">
      <c r="A992" t="s">
        <v>287</v>
      </c>
      <c r="B992" t="s">
        <v>139</v>
      </c>
      <c r="C992" t="s">
        <v>10</v>
      </c>
      <c r="D992" t="s">
        <v>14</v>
      </c>
      <c r="E992">
        <v>202602</v>
      </c>
      <c r="F992" t="s">
        <v>329</v>
      </c>
      <c r="G992">
        <v>0</v>
      </c>
      <c r="H992">
        <v>0</v>
      </c>
      <c r="I992">
        <v>1</v>
      </c>
      <c r="J992">
        <v>0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0</v>
      </c>
      <c r="Q992">
        <v>1</v>
      </c>
      <c r="R992">
        <v>0</v>
      </c>
      <c r="S992">
        <v>0</v>
      </c>
      <c r="T992">
        <v>0</v>
      </c>
      <c r="U992">
        <v>0</v>
      </c>
      <c r="V992">
        <v>0</v>
      </c>
      <c r="W992">
        <v>0</v>
      </c>
      <c r="X992">
        <v>0</v>
      </c>
      <c r="Y992">
        <v>0</v>
      </c>
      <c r="Z992">
        <v>0</v>
      </c>
      <c r="AA992">
        <v>0</v>
      </c>
      <c r="AB992">
        <v>0</v>
      </c>
      <c r="AC992">
        <v>0</v>
      </c>
      <c r="AD992">
        <v>0</v>
      </c>
      <c r="AE992">
        <v>0</v>
      </c>
      <c r="AF992">
        <v>0</v>
      </c>
      <c r="AG992">
        <v>0</v>
      </c>
      <c r="AH992">
        <v>0</v>
      </c>
      <c r="AI992">
        <v>0</v>
      </c>
      <c r="AJ992">
        <v>0</v>
      </c>
      <c r="AK992">
        <v>0</v>
      </c>
      <c r="AL992">
        <v>2</v>
      </c>
      <c r="AM992">
        <v>0.33333333333333331</v>
      </c>
      <c r="AN992">
        <v>6.0417410714286133</v>
      </c>
    </row>
    <row r="993" spans="1:40" x14ac:dyDescent="0.3">
      <c r="A993" t="s">
        <v>287</v>
      </c>
      <c r="B993" t="s">
        <v>139</v>
      </c>
      <c r="C993" t="s">
        <v>10</v>
      </c>
      <c r="D993" t="s">
        <v>14</v>
      </c>
      <c r="E993">
        <v>202602</v>
      </c>
      <c r="F993" t="s">
        <v>330</v>
      </c>
      <c r="G993">
        <v>0</v>
      </c>
      <c r="H993">
        <v>0</v>
      </c>
      <c r="I993">
        <v>0</v>
      </c>
      <c r="J993">
        <v>1</v>
      </c>
      <c r="K993">
        <v>0</v>
      </c>
      <c r="L993">
        <v>0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0</v>
      </c>
      <c r="T993">
        <v>0</v>
      </c>
      <c r="U993">
        <v>0</v>
      </c>
      <c r="V993">
        <v>0</v>
      </c>
      <c r="W993">
        <v>0</v>
      </c>
      <c r="X993">
        <v>0</v>
      </c>
      <c r="Y993">
        <v>0</v>
      </c>
      <c r="Z993">
        <v>0</v>
      </c>
      <c r="AA993">
        <v>0</v>
      </c>
      <c r="AB993">
        <v>0</v>
      </c>
      <c r="AC993">
        <v>0</v>
      </c>
      <c r="AD993">
        <v>0</v>
      </c>
      <c r="AE993">
        <v>0</v>
      </c>
      <c r="AF993">
        <v>0</v>
      </c>
      <c r="AG993">
        <v>0</v>
      </c>
      <c r="AH993">
        <v>0</v>
      </c>
      <c r="AI993">
        <v>0</v>
      </c>
      <c r="AJ993">
        <v>0</v>
      </c>
      <c r="AK993">
        <v>0</v>
      </c>
      <c r="AL993">
        <v>1</v>
      </c>
      <c r="AM993">
        <v>0</v>
      </c>
      <c r="AN993">
        <v>1</v>
      </c>
    </row>
    <row r="994" spans="1:40" x14ac:dyDescent="0.3">
      <c r="A994" t="s">
        <v>287</v>
      </c>
      <c r="B994" t="s">
        <v>139</v>
      </c>
      <c r="C994" t="s">
        <v>10</v>
      </c>
      <c r="D994" t="s">
        <v>14</v>
      </c>
      <c r="E994">
        <v>202602</v>
      </c>
      <c r="F994" t="s">
        <v>331</v>
      </c>
      <c r="G994">
        <v>0</v>
      </c>
      <c r="H994">
        <v>0</v>
      </c>
      <c r="I994">
        <v>1</v>
      </c>
      <c r="J994">
        <v>0</v>
      </c>
      <c r="K994">
        <v>0</v>
      </c>
      <c r="L994">
        <v>0</v>
      </c>
      <c r="M994">
        <v>0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0</v>
      </c>
      <c r="T994">
        <v>0</v>
      </c>
      <c r="U994">
        <v>0</v>
      </c>
      <c r="V994">
        <v>0</v>
      </c>
      <c r="W994">
        <v>0</v>
      </c>
      <c r="X994">
        <v>0</v>
      </c>
      <c r="Y994">
        <v>0</v>
      </c>
      <c r="Z994">
        <v>0</v>
      </c>
      <c r="AA994">
        <v>0</v>
      </c>
      <c r="AB994">
        <v>0</v>
      </c>
      <c r="AC994">
        <v>0</v>
      </c>
      <c r="AD994">
        <v>0</v>
      </c>
      <c r="AE994">
        <v>0</v>
      </c>
      <c r="AF994">
        <v>0</v>
      </c>
      <c r="AG994">
        <v>0</v>
      </c>
      <c r="AH994">
        <v>0</v>
      </c>
      <c r="AI994">
        <v>0</v>
      </c>
      <c r="AJ994">
        <v>0</v>
      </c>
      <c r="AK994">
        <v>0</v>
      </c>
      <c r="AL994">
        <v>1</v>
      </c>
      <c r="AM994">
        <v>0</v>
      </c>
      <c r="AN994">
        <v>1</v>
      </c>
    </row>
    <row r="995" spans="1:40" x14ac:dyDescent="0.3">
      <c r="A995" t="s">
        <v>287</v>
      </c>
      <c r="B995" t="s">
        <v>139</v>
      </c>
      <c r="C995" t="s">
        <v>10</v>
      </c>
      <c r="D995" t="s">
        <v>14</v>
      </c>
      <c r="E995">
        <v>202602</v>
      </c>
      <c r="F995" t="s">
        <v>332</v>
      </c>
      <c r="G995">
        <v>0</v>
      </c>
      <c r="H995">
        <v>0</v>
      </c>
      <c r="I995">
        <v>0</v>
      </c>
      <c r="J995">
        <v>1</v>
      </c>
      <c r="K995">
        <v>1</v>
      </c>
      <c r="L995">
        <v>1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0</v>
      </c>
      <c r="S995">
        <v>0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>
        <v>0</v>
      </c>
      <c r="AB995">
        <v>0</v>
      </c>
      <c r="AC995">
        <v>0</v>
      </c>
      <c r="AD995">
        <v>0</v>
      </c>
      <c r="AE995">
        <v>0</v>
      </c>
      <c r="AF995">
        <v>0</v>
      </c>
      <c r="AG995">
        <v>0</v>
      </c>
      <c r="AH995">
        <v>0</v>
      </c>
      <c r="AI995">
        <v>0</v>
      </c>
      <c r="AJ995">
        <v>0</v>
      </c>
      <c r="AK995">
        <v>0</v>
      </c>
      <c r="AL995">
        <v>3</v>
      </c>
      <c r="AM995">
        <v>0</v>
      </c>
      <c r="AN995">
        <v>3</v>
      </c>
    </row>
    <row r="996" spans="1:40" x14ac:dyDescent="0.3">
      <c r="A996" t="s">
        <v>287</v>
      </c>
      <c r="B996" t="s">
        <v>139</v>
      </c>
      <c r="C996" t="s">
        <v>10</v>
      </c>
      <c r="D996" t="s">
        <v>14</v>
      </c>
      <c r="E996">
        <v>202602</v>
      </c>
      <c r="F996" t="s">
        <v>148</v>
      </c>
      <c r="G996">
        <v>0</v>
      </c>
      <c r="H996">
        <v>0</v>
      </c>
      <c r="I996">
        <v>0</v>
      </c>
      <c r="J996">
        <v>0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2</v>
      </c>
      <c r="Q996">
        <v>0</v>
      </c>
      <c r="R996">
        <v>0</v>
      </c>
      <c r="S996">
        <v>0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>
        <v>0</v>
      </c>
      <c r="AB996">
        <v>0</v>
      </c>
      <c r="AC996">
        <v>0</v>
      </c>
      <c r="AD996">
        <v>0</v>
      </c>
      <c r="AE996">
        <v>0</v>
      </c>
      <c r="AF996">
        <v>0</v>
      </c>
      <c r="AG996">
        <v>0</v>
      </c>
      <c r="AH996">
        <v>0</v>
      </c>
      <c r="AI996">
        <v>0</v>
      </c>
      <c r="AJ996">
        <v>0</v>
      </c>
      <c r="AK996">
        <v>0</v>
      </c>
      <c r="AL996">
        <v>2</v>
      </c>
      <c r="AM996">
        <v>0.66666666666666663</v>
      </c>
      <c r="AN996">
        <v>10.083482142857227</v>
      </c>
    </row>
    <row r="997" spans="1:40" x14ac:dyDescent="0.3">
      <c r="A997" t="s">
        <v>287</v>
      </c>
      <c r="B997" t="s">
        <v>139</v>
      </c>
      <c r="C997" t="s">
        <v>10</v>
      </c>
      <c r="D997" t="s">
        <v>14</v>
      </c>
      <c r="E997">
        <v>202602</v>
      </c>
      <c r="F997" t="s">
        <v>333</v>
      </c>
      <c r="G997">
        <v>0</v>
      </c>
      <c r="H997">
        <v>0</v>
      </c>
      <c r="I997">
        <v>0</v>
      </c>
      <c r="J997">
        <v>1</v>
      </c>
      <c r="K997">
        <v>0</v>
      </c>
      <c r="L997">
        <v>1</v>
      </c>
      <c r="M997">
        <v>0</v>
      </c>
      <c r="N997">
        <v>0</v>
      </c>
      <c r="O997">
        <v>0</v>
      </c>
      <c r="P997">
        <v>1</v>
      </c>
      <c r="Q997">
        <v>0</v>
      </c>
      <c r="R997">
        <v>0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>
        <v>0</v>
      </c>
      <c r="AB997">
        <v>0</v>
      </c>
      <c r="AC997">
        <v>0</v>
      </c>
      <c r="AD997">
        <v>0</v>
      </c>
      <c r="AE997">
        <v>0</v>
      </c>
      <c r="AF997">
        <v>0</v>
      </c>
      <c r="AG997">
        <v>0</v>
      </c>
      <c r="AH997">
        <v>0</v>
      </c>
      <c r="AI997">
        <v>0</v>
      </c>
      <c r="AJ997">
        <v>0</v>
      </c>
      <c r="AK997">
        <v>0</v>
      </c>
      <c r="AL997">
        <v>3</v>
      </c>
      <c r="AM997">
        <v>0.33333333333333331</v>
      </c>
      <c r="AN997">
        <v>7.0417410714286133</v>
      </c>
    </row>
    <row r="998" spans="1:40" x14ac:dyDescent="0.3">
      <c r="A998" t="s">
        <v>287</v>
      </c>
      <c r="B998" t="s">
        <v>139</v>
      </c>
      <c r="C998" t="s">
        <v>10</v>
      </c>
      <c r="D998" t="s">
        <v>14</v>
      </c>
      <c r="E998">
        <v>202602</v>
      </c>
      <c r="F998" t="s">
        <v>337</v>
      </c>
      <c r="G998">
        <v>0</v>
      </c>
      <c r="H998">
        <v>0</v>
      </c>
      <c r="I998">
        <v>1</v>
      </c>
      <c r="J998">
        <v>0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>
        <v>0</v>
      </c>
      <c r="AB998">
        <v>0</v>
      </c>
      <c r="AC998">
        <v>0</v>
      </c>
      <c r="AD998">
        <v>0</v>
      </c>
      <c r="AE998">
        <v>0</v>
      </c>
      <c r="AF998">
        <v>0</v>
      </c>
      <c r="AG998">
        <v>0</v>
      </c>
      <c r="AH998">
        <v>0</v>
      </c>
      <c r="AI998">
        <v>0</v>
      </c>
      <c r="AJ998">
        <v>0</v>
      </c>
      <c r="AK998">
        <v>0</v>
      </c>
      <c r="AL998">
        <v>1</v>
      </c>
      <c r="AM998">
        <v>0</v>
      </c>
      <c r="AN998">
        <v>1</v>
      </c>
    </row>
    <row r="999" spans="1:40" x14ac:dyDescent="0.3">
      <c r="A999" t="s">
        <v>287</v>
      </c>
      <c r="B999" t="s">
        <v>139</v>
      </c>
      <c r="C999" t="s">
        <v>10</v>
      </c>
      <c r="D999" t="s">
        <v>14</v>
      </c>
      <c r="E999">
        <v>202602</v>
      </c>
      <c r="F999" t="s">
        <v>338</v>
      </c>
      <c r="G999">
        <v>0</v>
      </c>
      <c r="H999">
        <v>0</v>
      </c>
      <c r="I999">
        <v>0</v>
      </c>
      <c r="J999">
        <v>0</v>
      </c>
      <c r="K999">
        <v>0</v>
      </c>
      <c r="L999">
        <v>0</v>
      </c>
      <c r="M999">
        <v>2</v>
      </c>
      <c r="N999">
        <v>0</v>
      </c>
      <c r="O999">
        <v>0</v>
      </c>
      <c r="P999">
        <v>0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>
        <v>0</v>
      </c>
      <c r="AB999">
        <v>0</v>
      </c>
      <c r="AC999">
        <v>0</v>
      </c>
      <c r="AD999">
        <v>0</v>
      </c>
      <c r="AE999">
        <v>0</v>
      </c>
      <c r="AF999">
        <v>0</v>
      </c>
      <c r="AG999">
        <v>0</v>
      </c>
      <c r="AH999">
        <v>0</v>
      </c>
      <c r="AI999">
        <v>0</v>
      </c>
      <c r="AJ999">
        <v>0</v>
      </c>
      <c r="AK999">
        <v>0</v>
      </c>
      <c r="AL999">
        <v>2</v>
      </c>
      <c r="AM999">
        <v>0</v>
      </c>
      <c r="AN999">
        <v>2</v>
      </c>
    </row>
    <row r="1000" spans="1:40" x14ac:dyDescent="0.3">
      <c r="A1000" t="s">
        <v>287</v>
      </c>
      <c r="B1000" t="s">
        <v>139</v>
      </c>
      <c r="C1000" t="s">
        <v>10</v>
      </c>
      <c r="D1000" t="s">
        <v>14</v>
      </c>
      <c r="E1000">
        <v>202602</v>
      </c>
      <c r="F1000" t="s">
        <v>692</v>
      </c>
      <c r="G1000">
        <v>0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1</v>
      </c>
      <c r="R1000">
        <v>0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>
        <v>0</v>
      </c>
      <c r="AB1000">
        <v>0</v>
      </c>
      <c r="AC1000">
        <v>0</v>
      </c>
      <c r="AD1000">
        <v>0</v>
      </c>
      <c r="AE1000">
        <v>0</v>
      </c>
      <c r="AF1000">
        <v>0</v>
      </c>
      <c r="AG1000">
        <v>0</v>
      </c>
      <c r="AH1000">
        <v>0</v>
      </c>
      <c r="AI1000">
        <v>0</v>
      </c>
      <c r="AJ1000">
        <v>0</v>
      </c>
      <c r="AK1000">
        <v>0</v>
      </c>
      <c r="AL1000">
        <v>1</v>
      </c>
      <c r="AM1000">
        <v>0.33333333333333331</v>
      </c>
      <c r="AN1000">
        <v>5.0417410714286133</v>
      </c>
    </row>
    <row r="1001" spans="1:40" x14ac:dyDescent="0.3">
      <c r="A1001" t="s">
        <v>287</v>
      </c>
      <c r="B1001" t="s">
        <v>139</v>
      </c>
      <c r="C1001" t="s">
        <v>10</v>
      </c>
      <c r="D1001" t="s">
        <v>14</v>
      </c>
      <c r="E1001">
        <v>202602</v>
      </c>
      <c r="F1001" t="s">
        <v>335</v>
      </c>
      <c r="G1001">
        <v>0</v>
      </c>
      <c r="H1001">
        <v>0</v>
      </c>
      <c r="I1001">
        <v>0</v>
      </c>
      <c r="J1001">
        <v>0</v>
      </c>
      <c r="K1001">
        <v>0</v>
      </c>
      <c r="L1001">
        <v>0</v>
      </c>
      <c r="M1001">
        <v>0</v>
      </c>
      <c r="N1001">
        <v>0</v>
      </c>
      <c r="O1001">
        <v>1</v>
      </c>
      <c r="P1001">
        <v>0</v>
      </c>
      <c r="Q1001">
        <v>0</v>
      </c>
      <c r="R1001">
        <v>0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>
        <v>0</v>
      </c>
      <c r="AB1001">
        <v>0</v>
      </c>
      <c r="AC1001">
        <v>0</v>
      </c>
      <c r="AD1001">
        <v>0</v>
      </c>
      <c r="AE1001">
        <v>0</v>
      </c>
      <c r="AF1001">
        <v>0</v>
      </c>
      <c r="AG1001">
        <v>0</v>
      </c>
      <c r="AH1001">
        <v>0</v>
      </c>
      <c r="AI1001">
        <v>0</v>
      </c>
      <c r="AJ1001">
        <v>0</v>
      </c>
      <c r="AK1001">
        <v>0</v>
      </c>
      <c r="AL1001">
        <v>1</v>
      </c>
      <c r="AM1001">
        <v>0.33333333333333331</v>
      </c>
      <c r="AN1001">
        <v>5.0417410714286133</v>
      </c>
    </row>
    <row r="1002" spans="1:40" x14ac:dyDescent="0.3">
      <c r="A1002" t="s">
        <v>287</v>
      </c>
      <c r="B1002" t="s">
        <v>139</v>
      </c>
      <c r="C1002" t="s">
        <v>10</v>
      </c>
      <c r="D1002" t="s">
        <v>14</v>
      </c>
      <c r="E1002">
        <v>202602</v>
      </c>
      <c r="F1002" t="s">
        <v>336</v>
      </c>
      <c r="G1002">
        <v>0</v>
      </c>
      <c r="H1002">
        <v>0</v>
      </c>
      <c r="I1002">
        <v>0</v>
      </c>
      <c r="J1002">
        <v>0</v>
      </c>
      <c r="K1002">
        <v>1</v>
      </c>
      <c r="L1002">
        <v>0</v>
      </c>
      <c r="M1002">
        <v>0</v>
      </c>
      <c r="N1002">
        <v>0</v>
      </c>
      <c r="O1002">
        <v>0</v>
      </c>
      <c r="P1002">
        <v>1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>
        <v>0</v>
      </c>
      <c r="AB1002">
        <v>0</v>
      </c>
      <c r="AC1002">
        <v>0</v>
      </c>
      <c r="AD1002">
        <v>0</v>
      </c>
      <c r="AE1002">
        <v>0</v>
      </c>
      <c r="AF1002">
        <v>0</v>
      </c>
      <c r="AG1002">
        <v>0</v>
      </c>
      <c r="AH1002">
        <v>0</v>
      </c>
      <c r="AI1002">
        <v>0</v>
      </c>
      <c r="AJ1002">
        <v>0</v>
      </c>
      <c r="AK1002">
        <v>0</v>
      </c>
      <c r="AL1002">
        <v>2</v>
      </c>
      <c r="AM1002">
        <v>0.33333333333333331</v>
      </c>
      <c r="AN1002">
        <v>6.0417410714286133</v>
      </c>
    </row>
    <row r="1003" spans="1:40" x14ac:dyDescent="0.3">
      <c r="A1003" t="s">
        <v>287</v>
      </c>
      <c r="B1003" t="s">
        <v>139</v>
      </c>
      <c r="C1003" t="s">
        <v>16</v>
      </c>
      <c r="D1003" t="s">
        <v>14</v>
      </c>
      <c r="E1003">
        <v>202602</v>
      </c>
      <c r="F1003" t="s">
        <v>332</v>
      </c>
      <c r="G1003">
        <v>0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v>2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>
        <v>0</v>
      </c>
      <c r="AB1003">
        <v>0</v>
      </c>
      <c r="AC1003">
        <v>0</v>
      </c>
      <c r="AD1003">
        <v>0</v>
      </c>
      <c r="AE1003">
        <v>0</v>
      </c>
      <c r="AF1003">
        <v>0</v>
      </c>
      <c r="AG1003">
        <v>0</v>
      </c>
      <c r="AH1003">
        <v>0</v>
      </c>
      <c r="AI1003">
        <v>0</v>
      </c>
      <c r="AJ1003">
        <v>0</v>
      </c>
      <c r="AK1003">
        <v>0</v>
      </c>
      <c r="AL1003">
        <v>2</v>
      </c>
      <c r="AM1003">
        <v>0</v>
      </c>
      <c r="AN1003">
        <v>2</v>
      </c>
    </row>
    <row r="1004" spans="1:40" x14ac:dyDescent="0.3">
      <c r="A1004" t="s">
        <v>287</v>
      </c>
      <c r="B1004" t="s">
        <v>239</v>
      </c>
      <c r="C1004" t="s">
        <v>10</v>
      </c>
      <c r="D1004" t="s">
        <v>14</v>
      </c>
      <c r="E1004">
        <v>202602</v>
      </c>
      <c r="F1004" t="s">
        <v>204</v>
      </c>
      <c r="G1004">
        <v>0</v>
      </c>
      <c r="H1004">
        <v>0</v>
      </c>
      <c r="I1004">
        <v>0</v>
      </c>
      <c r="J1004">
        <v>2</v>
      </c>
      <c r="K1004">
        <v>1</v>
      </c>
      <c r="L1004">
        <v>3</v>
      </c>
      <c r="M1004">
        <v>1</v>
      </c>
      <c r="N1004">
        <v>0</v>
      </c>
      <c r="O1004">
        <v>0</v>
      </c>
      <c r="P1004">
        <v>0</v>
      </c>
      <c r="Q1004">
        <v>1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>
        <v>0</v>
      </c>
      <c r="AB1004">
        <v>0</v>
      </c>
      <c r="AC1004">
        <v>0</v>
      </c>
      <c r="AD1004">
        <v>0</v>
      </c>
      <c r="AE1004">
        <v>0</v>
      </c>
      <c r="AF1004">
        <v>0</v>
      </c>
      <c r="AG1004">
        <v>0</v>
      </c>
      <c r="AH1004">
        <v>0</v>
      </c>
      <c r="AI1004">
        <v>0</v>
      </c>
      <c r="AJ1004">
        <v>0</v>
      </c>
      <c r="AK1004">
        <v>0</v>
      </c>
      <c r="AL1004">
        <v>8</v>
      </c>
      <c r="AM1004">
        <v>0.33333333333333331</v>
      </c>
      <c r="AN1004">
        <v>12.041741071428614</v>
      </c>
    </row>
    <row r="1005" spans="1:40" x14ac:dyDescent="0.3">
      <c r="A1005" t="s">
        <v>287</v>
      </c>
      <c r="B1005" t="s">
        <v>644</v>
      </c>
      <c r="C1005" t="s">
        <v>10</v>
      </c>
      <c r="D1005" t="s">
        <v>11</v>
      </c>
      <c r="E1005">
        <v>202602</v>
      </c>
      <c r="F1005" t="s">
        <v>295</v>
      </c>
      <c r="G1005">
        <v>0</v>
      </c>
      <c r="H1005">
        <v>0</v>
      </c>
      <c r="I1005">
        <v>0</v>
      </c>
      <c r="J1005">
        <v>0</v>
      </c>
      <c r="K1005">
        <v>0</v>
      </c>
      <c r="L1005">
        <v>0</v>
      </c>
      <c r="M1005">
        <v>0</v>
      </c>
      <c r="N1005">
        <v>0</v>
      </c>
      <c r="O1005">
        <v>1</v>
      </c>
      <c r="P1005">
        <v>0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>
        <v>0</v>
      </c>
      <c r="AB1005">
        <v>0</v>
      </c>
      <c r="AC1005">
        <v>0</v>
      </c>
      <c r="AD1005">
        <v>0</v>
      </c>
      <c r="AE1005">
        <v>0</v>
      </c>
      <c r="AF1005">
        <v>0</v>
      </c>
      <c r="AG1005">
        <v>0</v>
      </c>
      <c r="AH1005">
        <v>0</v>
      </c>
      <c r="AI1005">
        <v>0</v>
      </c>
      <c r="AJ1005">
        <v>0</v>
      </c>
      <c r="AK1005">
        <v>0</v>
      </c>
      <c r="AL1005">
        <v>1</v>
      </c>
      <c r="AM1005">
        <v>0.33333333333333331</v>
      </c>
      <c r="AN1005">
        <v>5.6046251398731117</v>
      </c>
    </row>
    <row r="1006" spans="1:40" x14ac:dyDescent="0.3">
      <c r="A1006" t="s">
        <v>287</v>
      </c>
      <c r="B1006" t="s">
        <v>644</v>
      </c>
      <c r="C1006" t="s">
        <v>10</v>
      </c>
      <c r="D1006" t="s">
        <v>14</v>
      </c>
      <c r="E1006">
        <v>202602</v>
      </c>
      <c r="F1006" t="s">
        <v>295</v>
      </c>
      <c r="G1006">
        <v>0</v>
      </c>
      <c r="H1006">
        <v>0</v>
      </c>
      <c r="I1006">
        <v>0</v>
      </c>
      <c r="J1006">
        <v>0</v>
      </c>
      <c r="K1006">
        <v>0</v>
      </c>
      <c r="L1006">
        <v>0</v>
      </c>
      <c r="M1006">
        <v>0</v>
      </c>
      <c r="N1006">
        <v>0</v>
      </c>
      <c r="O1006">
        <v>1</v>
      </c>
      <c r="P1006">
        <v>0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>
        <v>0</v>
      </c>
      <c r="AB1006">
        <v>0</v>
      </c>
      <c r="AC1006">
        <v>0</v>
      </c>
      <c r="AD1006">
        <v>0</v>
      </c>
      <c r="AE1006">
        <v>0</v>
      </c>
      <c r="AF1006">
        <v>0</v>
      </c>
      <c r="AG1006">
        <v>0</v>
      </c>
      <c r="AH1006">
        <v>0</v>
      </c>
      <c r="AI1006">
        <v>0</v>
      </c>
      <c r="AJ1006">
        <v>0</v>
      </c>
      <c r="AK1006">
        <v>0</v>
      </c>
      <c r="AL1006">
        <v>1</v>
      </c>
      <c r="AM1006">
        <v>0.33333333333333331</v>
      </c>
      <c r="AN1006">
        <v>5.0417410714286133</v>
      </c>
    </row>
    <row r="1007" spans="1:40" x14ac:dyDescent="0.3">
      <c r="A1007" t="s">
        <v>287</v>
      </c>
      <c r="B1007" t="s">
        <v>164</v>
      </c>
      <c r="C1007" t="s">
        <v>10</v>
      </c>
      <c r="D1007" t="s">
        <v>11</v>
      </c>
      <c r="E1007">
        <v>202602</v>
      </c>
      <c r="F1007" t="s">
        <v>18</v>
      </c>
      <c r="G1007">
        <v>0</v>
      </c>
      <c r="H1007">
        <v>5</v>
      </c>
      <c r="I1007">
        <v>7</v>
      </c>
      <c r="J1007">
        <v>5</v>
      </c>
      <c r="K1007">
        <v>10</v>
      </c>
      <c r="L1007">
        <v>7</v>
      </c>
      <c r="M1007">
        <v>6</v>
      </c>
      <c r="N1007">
        <v>0</v>
      </c>
      <c r="O1007">
        <v>7</v>
      </c>
      <c r="P1007">
        <v>7</v>
      </c>
      <c r="Q1007">
        <v>9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>
        <v>0</v>
      </c>
      <c r="AB1007">
        <v>0</v>
      </c>
      <c r="AC1007">
        <v>0</v>
      </c>
      <c r="AD1007">
        <v>0</v>
      </c>
      <c r="AE1007">
        <v>0</v>
      </c>
      <c r="AF1007">
        <v>0</v>
      </c>
      <c r="AG1007">
        <v>0</v>
      </c>
      <c r="AH1007">
        <v>0</v>
      </c>
      <c r="AI1007">
        <v>0</v>
      </c>
      <c r="AJ1007">
        <v>0</v>
      </c>
      <c r="AK1007">
        <v>0</v>
      </c>
      <c r="AL1007">
        <v>63</v>
      </c>
      <c r="AM1007">
        <v>7.666666666666667</v>
      </c>
      <c r="AN1007">
        <v>168.90637821708157</v>
      </c>
    </row>
    <row r="1008" spans="1:40" x14ac:dyDescent="0.3">
      <c r="A1008" t="s">
        <v>287</v>
      </c>
      <c r="B1008" t="s">
        <v>164</v>
      </c>
      <c r="C1008" t="s">
        <v>10</v>
      </c>
      <c r="D1008" t="s">
        <v>11</v>
      </c>
      <c r="E1008">
        <v>202602</v>
      </c>
      <c r="F1008" t="s">
        <v>138</v>
      </c>
      <c r="G1008">
        <v>0</v>
      </c>
      <c r="H1008">
        <v>8</v>
      </c>
      <c r="I1008">
        <v>7</v>
      </c>
      <c r="J1008">
        <v>6</v>
      </c>
      <c r="K1008">
        <v>6</v>
      </c>
      <c r="L1008">
        <v>5</v>
      </c>
      <c r="M1008">
        <v>3</v>
      </c>
      <c r="N1008">
        <v>0</v>
      </c>
      <c r="O1008">
        <v>5</v>
      </c>
      <c r="P1008">
        <v>6</v>
      </c>
      <c r="Q1008">
        <v>7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>
        <v>0</v>
      </c>
      <c r="AB1008">
        <v>0</v>
      </c>
      <c r="AC1008">
        <v>0</v>
      </c>
      <c r="AD1008">
        <v>0</v>
      </c>
      <c r="AE1008">
        <v>0</v>
      </c>
      <c r="AF1008">
        <v>0</v>
      </c>
      <c r="AG1008">
        <v>0</v>
      </c>
      <c r="AH1008">
        <v>0</v>
      </c>
      <c r="AI1008">
        <v>0</v>
      </c>
      <c r="AJ1008">
        <v>0</v>
      </c>
      <c r="AK1008">
        <v>0</v>
      </c>
      <c r="AL1008">
        <v>53</v>
      </c>
      <c r="AM1008">
        <v>6</v>
      </c>
      <c r="AN1008">
        <v>135.88325251771602</v>
      </c>
    </row>
    <row r="1009" spans="1:40" x14ac:dyDescent="0.3">
      <c r="A1009" t="s">
        <v>287</v>
      </c>
      <c r="B1009" t="s">
        <v>164</v>
      </c>
      <c r="C1009" t="s">
        <v>10</v>
      </c>
      <c r="D1009" t="s">
        <v>14</v>
      </c>
      <c r="E1009">
        <v>202602</v>
      </c>
      <c r="F1009" t="s">
        <v>18</v>
      </c>
      <c r="G1009">
        <v>4</v>
      </c>
      <c r="H1009">
        <v>11</v>
      </c>
      <c r="I1009">
        <v>12</v>
      </c>
      <c r="J1009">
        <v>14</v>
      </c>
      <c r="K1009">
        <v>9</v>
      </c>
      <c r="L1009">
        <v>11</v>
      </c>
      <c r="M1009">
        <v>6</v>
      </c>
      <c r="N1009">
        <v>4</v>
      </c>
      <c r="O1009">
        <v>12</v>
      </c>
      <c r="P1009">
        <v>13</v>
      </c>
      <c r="Q1009">
        <v>15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>
        <v>0</v>
      </c>
      <c r="AB1009">
        <v>0</v>
      </c>
      <c r="AC1009">
        <v>0</v>
      </c>
      <c r="AD1009">
        <v>0</v>
      </c>
      <c r="AE1009">
        <v>0</v>
      </c>
      <c r="AF1009">
        <v>0</v>
      </c>
      <c r="AG1009">
        <v>0</v>
      </c>
      <c r="AH1009">
        <v>0</v>
      </c>
      <c r="AI1009">
        <v>0</v>
      </c>
      <c r="AJ1009">
        <v>0</v>
      </c>
      <c r="AK1009">
        <v>0</v>
      </c>
      <c r="AL1009">
        <v>111</v>
      </c>
      <c r="AM1009">
        <v>13.333333333333334</v>
      </c>
      <c r="AN1009">
        <v>272.66964285714448</v>
      </c>
    </row>
    <row r="1010" spans="1:40" x14ac:dyDescent="0.3">
      <c r="A1010" t="s">
        <v>287</v>
      </c>
      <c r="B1010" t="s">
        <v>164</v>
      </c>
      <c r="C1010" t="s">
        <v>10</v>
      </c>
      <c r="D1010" t="s">
        <v>14</v>
      </c>
      <c r="E1010">
        <v>202602</v>
      </c>
      <c r="F1010" t="s">
        <v>138</v>
      </c>
      <c r="G1010">
        <v>0</v>
      </c>
      <c r="H1010">
        <v>9</v>
      </c>
      <c r="I1010">
        <v>10</v>
      </c>
      <c r="J1010">
        <v>4</v>
      </c>
      <c r="K1010">
        <v>16</v>
      </c>
      <c r="L1010">
        <v>9</v>
      </c>
      <c r="M1010">
        <v>2</v>
      </c>
      <c r="N1010">
        <v>0</v>
      </c>
      <c r="O1010">
        <v>8</v>
      </c>
      <c r="P1010">
        <v>14</v>
      </c>
      <c r="Q1010">
        <v>13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0</v>
      </c>
      <c r="X1010">
        <v>0</v>
      </c>
      <c r="Y1010">
        <v>0</v>
      </c>
      <c r="Z1010">
        <v>0</v>
      </c>
      <c r="AA1010">
        <v>0</v>
      </c>
      <c r="AB1010">
        <v>0</v>
      </c>
      <c r="AC1010">
        <v>0</v>
      </c>
      <c r="AD1010">
        <v>0</v>
      </c>
      <c r="AE1010">
        <v>0</v>
      </c>
      <c r="AF1010">
        <v>0</v>
      </c>
      <c r="AG1010">
        <v>0</v>
      </c>
      <c r="AH1010">
        <v>0</v>
      </c>
      <c r="AI1010">
        <v>0</v>
      </c>
      <c r="AJ1010">
        <v>0</v>
      </c>
      <c r="AK1010">
        <v>0</v>
      </c>
      <c r="AL1010">
        <v>85</v>
      </c>
      <c r="AM1010">
        <v>11.666666666666666</v>
      </c>
      <c r="AN1010">
        <v>226.46093750000142</v>
      </c>
    </row>
    <row r="1011" spans="1:40" x14ac:dyDescent="0.3">
      <c r="A1011" t="s">
        <v>287</v>
      </c>
      <c r="B1011" t="s">
        <v>164</v>
      </c>
      <c r="C1011" t="s">
        <v>16</v>
      </c>
      <c r="D1011" t="s">
        <v>11</v>
      </c>
      <c r="E1011">
        <v>202602</v>
      </c>
      <c r="F1011" t="s">
        <v>165</v>
      </c>
      <c r="G1011">
        <v>0</v>
      </c>
      <c r="H1011">
        <v>0</v>
      </c>
      <c r="I1011">
        <v>0</v>
      </c>
      <c r="J1011">
        <v>1</v>
      </c>
      <c r="K1011">
        <v>0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0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0</v>
      </c>
      <c r="X1011">
        <v>0</v>
      </c>
      <c r="Y1011">
        <v>0</v>
      </c>
      <c r="Z1011">
        <v>0</v>
      </c>
      <c r="AA1011">
        <v>0</v>
      </c>
      <c r="AB1011">
        <v>0</v>
      </c>
      <c r="AC1011">
        <v>0</v>
      </c>
      <c r="AD1011">
        <v>0</v>
      </c>
      <c r="AE1011">
        <v>0</v>
      </c>
      <c r="AF1011">
        <v>0</v>
      </c>
      <c r="AG1011">
        <v>0</v>
      </c>
      <c r="AH1011">
        <v>0</v>
      </c>
      <c r="AI1011">
        <v>0</v>
      </c>
      <c r="AJ1011">
        <v>0</v>
      </c>
      <c r="AK1011">
        <v>0</v>
      </c>
      <c r="AL1011">
        <v>1</v>
      </c>
      <c r="AM1011">
        <v>0</v>
      </c>
      <c r="AN1011">
        <v>1</v>
      </c>
    </row>
    <row r="1012" spans="1:40" x14ac:dyDescent="0.3">
      <c r="A1012" t="s">
        <v>287</v>
      </c>
      <c r="B1012" t="s">
        <v>164</v>
      </c>
      <c r="C1012" t="s">
        <v>16</v>
      </c>
      <c r="D1012" t="s">
        <v>11</v>
      </c>
      <c r="E1012">
        <v>202602</v>
      </c>
      <c r="F1012" t="s">
        <v>18</v>
      </c>
      <c r="G1012">
        <v>0</v>
      </c>
      <c r="H1012">
        <v>0</v>
      </c>
      <c r="I1012">
        <v>1</v>
      </c>
      <c r="J1012">
        <v>0</v>
      </c>
      <c r="K1012">
        <v>0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1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0</v>
      </c>
      <c r="X1012">
        <v>0</v>
      </c>
      <c r="Y1012">
        <v>0</v>
      </c>
      <c r="Z1012">
        <v>0</v>
      </c>
      <c r="AA1012">
        <v>0</v>
      </c>
      <c r="AB1012">
        <v>0</v>
      </c>
      <c r="AC1012">
        <v>0</v>
      </c>
      <c r="AD1012">
        <v>0</v>
      </c>
      <c r="AE1012">
        <v>0</v>
      </c>
      <c r="AF1012">
        <v>0</v>
      </c>
      <c r="AG1012">
        <v>0</v>
      </c>
      <c r="AH1012">
        <v>0</v>
      </c>
      <c r="AI1012">
        <v>0</v>
      </c>
      <c r="AJ1012">
        <v>0</v>
      </c>
      <c r="AK1012">
        <v>0</v>
      </c>
      <c r="AL1012">
        <v>2</v>
      </c>
      <c r="AM1012">
        <v>0.33333333333333331</v>
      </c>
      <c r="AN1012">
        <v>6.6046251398731117</v>
      </c>
    </row>
    <row r="1013" spans="1:40" x14ac:dyDescent="0.3">
      <c r="A1013" t="s">
        <v>287</v>
      </c>
      <c r="B1013" t="s">
        <v>164</v>
      </c>
      <c r="C1013" t="s">
        <v>16</v>
      </c>
      <c r="D1013" t="s">
        <v>11</v>
      </c>
      <c r="E1013">
        <v>202602</v>
      </c>
      <c r="F1013" t="s">
        <v>138</v>
      </c>
      <c r="G1013">
        <v>0</v>
      </c>
      <c r="H1013">
        <v>0</v>
      </c>
      <c r="I1013">
        <v>0</v>
      </c>
      <c r="J1013">
        <v>2</v>
      </c>
      <c r="K1013">
        <v>0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0</v>
      </c>
      <c r="Y1013">
        <v>0</v>
      </c>
      <c r="Z1013">
        <v>0</v>
      </c>
      <c r="AA1013">
        <v>0</v>
      </c>
      <c r="AB1013">
        <v>0</v>
      </c>
      <c r="AC1013">
        <v>0</v>
      </c>
      <c r="AD1013">
        <v>0</v>
      </c>
      <c r="AE1013">
        <v>0</v>
      </c>
      <c r="AF1013">
        <v>0</v>
      </c>
      <c r="AG1013">
        <v>0</v>
      </c>
      <c r="AH1013">
        <v>0</v>
      </c>
      <c r="AI1013">
        <v>0</v>
      </c>
      <c r="AJ1013">
        <v>0</v>
      </c>
      <c r="AK1013">
        <v>0</v>
      </c>
      <c r="AL1013">
        <v>2</v>
      </c>
      <c r="AM1013">
        <v>0</v>
      </c>
      <c r="AN1013">
        <v>2</v>
      </c>
    </row>
    <row r="1014" spans="1:40" x14ac:dyDescent="0.3">
      <c r="A1014" t="s">
        <v>287</v>
      </c>
      <c r="B1014" t="s">
        <v>164</v>
      </c>
      <c r="C1014" t="s">
        <v>16</v>
      </c>
      <c r="D1014" t="s">
        <v>14</v>
      </c>
      <c r="E1014">
        <v>202602</v>
      </c>
      <c r="F1014" t="s">
        <v>165</v>
      </c>
      <c r="G1014">
        <v>0</v>
      </c>
      <c r="H1014">
        <v>0</v>
      </c>
      <c r="I1014">
        <v>1</v>
      </c>
      <c r="J1014">
        <v>0</v>
      </c>
      <c r="K1014">
        <v>0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0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0</v>
      </c>
      <c r="X1014">
        <v>0</v>
      </c>
      <c r="Y1014">
        <v>0</v>
      </c>
      <c r="Z1014">
        <v>0</v>
      </c>
      <c r="AA1014">
        <v>0</v>
      </c>
      <c r="AB1014">
        <v>0</v>
      </c>
      <c r="AC1014">
        <v>0</v>
      </c>
      <c r="AD1014">
        <v>0</v>
      </c>
      <c r="AE1014">
        <v>0</v>
      </c>
      <c r="AF1014">
        <v>0</v>
      </c>
      <c r="AG1014">
        <v>0</v>
      </c>
      <c r="AH1014">
        <v>0</v>
      </c>
      <c r="AI1014">
        <v>0</v>
      </c>
      <c r="AJ1014">
        <v>0</v>
      </c>
      <c r="AK1014">
        <v>0</v>
      </c>
      <c r="AL1014">
        <v>1</v>
      </c>
      <c r="AM1014">
        <v>0</v>
      </c>
      <c r="AN1014">
        <v>1</v>
      </c>
    </row>
    <row r="1015" spans="1:40" x14ac:dyDescent="0.3">
      <c r="A1015" t="s">
        <v>287</v>
      </c>
      <c r="B1015" t="s">
        <v>164</v>
      </c>
      <c r="C1015" t="s">
        <v>16</v>
      </c>
      <c r="D1015" t="s">
        <v>14</v>
      </c>
      <c r="E1015">
        <v>202602</v>
      </c>
      <c r="F1015" t="s">
        <v>18</v>
      </c>
      <c r="G1015">
        <v>0</v>
      </c>
      <c r="H1015">
        <v>1</v>
      </c>
      <c r="I1015">
        <v>0</v>
      </c>
      <c r="J1015">
        <v>0</v>
      </c>
      <c r="K1015">
        <v>0</v>
      </c>
      <c r="L1015">
        <v>0</v>
      </c>
      <c r="M1015">
        <v>0</v>
      </c>
      <c r="N1015">
        <v>1</v>
      </c>
      <c r="O1015">
        <v>0</v>
      </c>
      <c r="P1015">
        <v>1</v>
      </c>
      <c r="Q1015">
        <v>0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0</v>
      </c>
      <c r="Y1015">
        <v>0</v>
      </c>
      <c r="Z1015">
        <v>0</v>
      </c>
      <c r="AA1015">
        <v>0</v>
      </c>
      <c r="AB1015">
        <v>0</v>
      </c>
      <c r="AC1015">
        <v>0</v>
      </c>
      <c r="AD1015">
        <v>0</v>
      </c>
      <c r="AE1015">
        <v>0</v>
      </c>
      <c r="AF1015">
        <v>0</v>
      </c>
      <c r="AG1015">
        <v>0</v>
      </c>
      <c r="AH1015">
        <v>0</v>
      </c>
      <c r="AI1015">
        <v>0</v>
      </c>
      <c r="AJ1015">
        <v>0</v>
      </c>
      <c r="AK1015">
        <v>0</v>
      </c>
      <c r="AL1015">
        <v>3</v>
      </c>
      <c r="AM1015">
        <v>0.33333333333333331</v>
      </c>
      <c r="AN1015">
        <v>7.0417410714286133</v>
      </c>
    </row>
    <row r="1016" spans="1:40" x14ac:dyDescent="0.3">
      <c r="A1016" t="s">
        <v>287</v>
      </c>
      <c r="B1016" t="s">
        <v>164</v>
      </c>
      <c r="C1016" t="s">
        <v>16</v>
      </c>
      <c r="D1016" t="s">
        <v>14</v>
      </c>
      <c r="E1016">
        <v>202602</v>
      </c>
      <c r="F1016" t="s">
        <v>138</v>
      </c>
      <c r="G1016">
        <v>0</v>
      </c>
      <c r="H1016">
        <v>1</v>
      </c>
      <c r="I1016">
        <v>1</v>
      </c>
      <c r="J1016">
        <v>1</v>
      </c>
      <c r="K1016">
        <v>0</v>
      </c>
      <c r="L1016">
        <v>0</v>
      </c>
      <c r="M1016">
        <v>0</v>
      </c>
      <c r="N1016">
        <v>0</v>
      </c>
      <c r="O1016">
        <v>0</v>
      </c>
      <c r="P1016">
        <v>1</v>
      </c>
      <c r="Q1016">
        <v>0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0</v>
      </c>
      <c r="Y1016">
        <v>0</v>
      </c>
      <c r="Z1016">
        <v>0</v>
      </c>
      <c r="AA1016">
        <v>0</v>
      </c>
      <c r="AB1016">
        <v>0</v>
      </c>
      <c r="AC1016">
        <v>0</v>
      </c>
      <c r="AD1016">
        <v>0</v>
      </c>
      <c r="AE1016">
        <v>0</v>
      </c>
      <c r="AF1016">
        <v>0</v>
      </c>
      <c r="AG1016">
        <v>0</v>
      </c>
      <c r="AH1016">
        <v>0</v>
      </c>
      <c r="AI1016">
        <v>0</v>
      </c>
      <c r="AJ1016">
        <v>0</v>
      </c>
      <c r="AK1016">
        <v>0</v>
      </c>
      <c r="AL1016">
        <v>4</v>
      </c>
      <c r="AM1016">
        <v>0.33333333333333331</v>
      </c>
      <c r="AN1016">
        <v>8.0417410714286142</v>
      </c>
    </row>
    <row r="1017" spans="1:40" x14ac:dyDescent="0.3">
      <c r="A1017" t="s">
        <v>287</v>
      </c>
      <c r="B1017" t="s">
        <v>644</v>
      </c>
      <c r="C1017" t="s">
        <v>10</v>
      </c>
      <c r="D1017" t="s">
        <v>11</v>
      </c>
      <c r="E1017">
        <v>202602</v>
      </c>
      <c r="F1017" t="s">
        <v>339</v>
      </c>
      <c r="G1017">
        <v>0</v>
      </c>
      <c r="H1017">
        <v>1</v>
      </c>
      <c r="I1017">
        <v>0</v>
      </c>
      <c r="J1017">
        <v>0</v>
      </c>
      <c r="K1017">
        <v>1</v>
      </c>
      <c r="L1017">
        <v>1</v>
      </c>
      <c r="M1017">
        <v>0</v>
      </c>
      <c r="N1017">
        <v>1</v>
      </c>
      <c r="O1017">
        <v>0</v>
      </c>
      <c r="P1017">
        <v>2</v>
      </c>
      <c r="Q1017">
        <v>1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>
        <v>0</v>
      </c>
      <c r="AB1017">
        <v>0</v>
      </c>
      <c r="AC1017">
        <v>0</v>
      </c>
      <c r="AD1017">
        <v>0</v>
      </c>
      <c r="AE1017">
        <v>0</v>
      </c>
      <c r="AF1017">
        <v>0</v>
      </c>
      <c r="AG1017">
        <v>0</v>
      </c>
      <c r="AH1017">
        <v>0</v>
      </c>
      <c r="AI1017">
        <v>0</v>
      </c>
      <c r="AJ1017">
        <v>0</v>
      </c>
      <c r="AK1017">
        <v>0</v>
      </c>
      <c r="AL1017">
        <v>7</v>
      </c>
      <c r="AM1017">
        <v>1</v>
      </c>
      <c r="AN1017">
        <v>20.813875419619336</v>
      </c>
    </row>
    <row r="1018" spans="1:40" x14ac:dyDescent="0.3">
      <c r="A1018" t="s">
        <v>287</v>
      </c>
      <c r="B1018" t="s">
        <v>644</v>
      </c>
      <c r="C1018" t="s">
        <v>10</v>
      </c>
      <c r="D1018" t="s">
        <v>14</v>
      </c>
      <c r="E1018">
        <v>202602</v>
      </c>
      <c r="F1018" t="s">
        <v>339</v>
      </c>
      <c r="G1018">
        <v>0</v>
      </c>
      <c r="H1018">
        <v>1</v>
      </c>
      <c r="I1018">
        <v>1</v>
      </c>
      <c r="J1018">
        <v>1</v>
      </c>
      <c r="K1018">
        <v>1</v>
      </c>
      <c r="L1018">
        <v>3</v>
      </c>
      <c r="M1018">
        <v>1</v>
      </c>
      <c r="N1018">
        <v>0</v>
      </c>
      <c r="O1018">
        <v>1</v>
      </c>
      <c r="P1018">
        <v>2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>
        <v>0</v>
      </c>
      <c r="AB1018">
        <v>0</v>
      </c>
      <c r="AC1018">
        <v>0</v>
      </c>
      <c r="AD1018">
        <v>0</v>
      </c>
      <c r="AE1018">
        <v>0</v>
      </c>
      <c r="AF1018">
        <v>0</v>
      </c>
      <c r="AG1018">
        <v>0</v>
      </c>
      <c r="AH1018">
        <v>0</v>
      </c>
      <c r="AI1018">
        <v>0</v>
      </c>
      <c r="AJ1018">
        <v>0</v>
      </c>
      <c r="AK1018">
        <v>0</v>
      </c>
      <c r="AL1018">
        <v>11</v>
      </c>
      <c r="AM1018">
        <v>1</v>
      </c>
      <c r="AN1018">
        <v>23.125223214285839</v>
      </c>
    </row>
    <row r="1019" spans="1:40" x14ac:dyDescent="0.3">
      <c r="A1019" t="s">
        <v>287</v>
      </c>
      <c r="B1019" t="s">
        <v>168</v>
      </c>
      <c r="C1019" t="s">
        <v>10</v>
      </c>
      <c r="D1019" t="s">
        <v>11</v>
      </c>
      <c r="E1019">
        <v>202602</v>
      </c>
      <c r="F1019" t="s">
        <v>169</v>
      </c>
      <c r="G1019">
        <v>0</v>
      </c>
      <c r="H1019">
        <v>0</v>
      </c>
      <c r="I1019">
        <v>0</v>
      </c>
      <c r="J1019">
        <v>0</v>
      </c>
      <c r="K1019">
        <v>1</v>
      </c>
      <c r="L1019">
        <v>0</v>
      </c>
      <c r="M1019">
        <v>0</v>
      </c>
      <c r="N1019">
        <v>0</v>
      </c>
      <c r="O1019">
        <v>0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>
        <v>0</v>
      </c>
      <c r="AB1019">
        <v>0</v>
      </c>
      <c r="AC1019">
        <v>0</v>
      </c>
      <c r="AD1019">
        <v>0</v>
      </c>
      <c r="AE1019">
        <v>0</v>
      </c>
      <c r="AF1019">
        <v>0</v>
      </c>
      <c r="AG1019">
        <v>0</v>
      </c>
      <c r="AH1019">
        <v>0</v>
      </c>
      <c r="AI1019">
        <v>0</v>
      </c>
      <c r="AJ1019">
        <v>0</v>
      </c>
      <c r="AK1019">
        <v>0</v>
      </c>
      <c r="AL1019">
        <v>1</v>
      </c>
      <c r="AM1019">
        <v>0</v>
      </c>
      <c r="AN1019">
        <v>1</v>
      </c>
    </row>
    <row r="1020" spans="1:40" x14ac:dyDescent="0.3">
      <c r="A1020" t="s">
        <v>287</v>
      </c>
      <c r="B1020" t="s">
        <v>168</v>
      </c>
      <c r="C1020" t="s">
        <v>10</v>
      </c>
      <c r="D1020" t="s">
        <v>11</v>
      </c>
      <c r="E1020">
        <v>202602</v>
      </c>
      <c r="F1020" t="s">
        <v>324</v>
      </c>
      <c r="G1020">
        <v>0</v>
      </c>
      <c r="H1020">
        <v>2</v>
      </c>
      <c r="I1020">
        <v>0</v>
      </c>
      <c r="J1020">
        <v>0</v>
      </c>
      <c r="K1020">
        <v>0</v>
      </c>
      <c r="L1020">
        <v>0</v>
      </c>
      <c r="M1020">
        <v>0</v>
      </c>
      <c r="N1020">
        <v>0</v>
      </c>
      <c r="O1020">
        <v>1</v>
      </c>
      <c r="P1020">
        <v>2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>
        <v>0</v>
      </c>
      <c r="AB1020">
        <v>0</v>
      </c>
      <c r="AC1020">
        <v>0</v>
      </c>
      <c r="AD1020">
        <v>0</v>
      </c>
      <c r="AE1020">
        <v>0</v>
      </c>
      <c r="AF1020">
        <v>0</v>
      </c>
      <c r="AG1020">
        <v>0</v>
      </c>
      <c r="AH1020">
        <v>0</v>
      </c>
      <c r="AI1020">
        <v>0</v>
      </c>
      <c r="AJ1020">
        <v>0</v>
      </c>
      <c r="AK1020">
        <v>0</v>
      </c>
      <c r="AL1020">
        <v>5</v>
      </c>
      <c r="AM1020">
        <v>1</v>
      </c>
      <c r="AN1020">
        <v>18.813875419619336</v>
      </c>
    </row>
    <row r="1021" spans="1:40" x14ac:dyDescent="0.3">
      <c r="A1021" t="s">
        <v>287</v>
      </c>
      <c r="B1021" t="s">
        <v>168</v>
      </c>
      <c r="C1021" t="s">
        <v>10</v>
      </c>
      <c r="D1021" t="s">
        <v>14</v>
      </c>
      <c r="E1021">
        <v>202602</v>
      </c>
      <c r="F1021" t="s">
        <v>169</v>
      </c>
      <c r="G1021">
        <v>0</v>
      </c>
      <c r="H1021">
        <v>0</v>
      </c>
      <c r="I1021">
        <v>1</v>
      </c>
      <c r="J1021">
        <v>1</v>
      </c>
      <c r="K1021">
        <v>0</v>
      </c>
      <c r="L1021">
        <v>0</v>
      </c>
      <c r="M1021">
        <v>0</v>
      </c>
      <c r="N1021">
        <v>0</v>
      </c>
      <c r="O1021">
        <v>1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>
        <v>0</v>
      </c>
      <c r="AB1021">
        <v>0</v>
      </c>
      <c r="AC1021">
        <v>0</v>
      </c>
      <c r="AD1021">
        <v>0</v>
      </c>
      <c r="AE1021">
        <v>0</v>
      </c>
      <c r="AF1021">
        <v>0</v>
      </c>
      <c r="AG1021">
        <v>0</v>
      </c>
      <c r="AH1021">
        <v>0</v>
      </c>
      <c r="AI1021">
        <v>0</v>
      </c>
      <c r="AJ1021">
        <v>0</v>
      </c>
      <c r="AK1021">
        <v>0</v>
      </c>
      <c r="AL1021">
        <v>3</v>
      </c>
      <c r="AM1021">
        <v>0.33333333333333331</v>
      </c>
      <c r="AN1021">
        <v>7.0417410714286133</v>
      </c>
    </row>
    <row r="1022" spans="1:40" x14ac:dyDescent="0.3">
      <c r="A1022" t="s">
        <v>287</v>
      </c>
      <c r="B1022" t="s">
        <v>168</v>
      </c>
      <c r="C1022" t="s">
        <v>10</v>
      </c>
      <c r="D1022" t="s">
        <v>14</v>
      </c>
      <c r="E1022">
        <v>202602</v>
      </c>
      <c r="F1022" t="s">
        <v>324</v>
      </c>
      <c r="G1022">
        <v>0</v>
      </c>
      <c r="H1022">
        <v>1</v>
      </c>
      <c r="I1022">
        <v>1</v>
      </c>
      <c r="J1022">
        <v>1</v>
      </c>
      <c r="K1022">
        <v>1</v>
      </c>
      <c r="L1022">
        <v>0</v>
      </c>
      <c r="M1022">
        <v>0</v>
      </c>
      <c r="N1022">
        <v>0</v>
      </c>
      <c r="O1022">
        <v>1</v>
      </c>
      <c r="P1022">
        <v>2</v>
      </c>
      <c r="Q1022">
        <v>1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>
        <v>0</v>
      </c>
      <c r="AB1022">
        <v>0</v>
      </c>
      <c r="AC1022">
        <v>0</v>
      </c>
      <c r="AD1022">
        <v>0</v>
      </c>
      <c r="AE1022">
        <v>0</v>
      </c>
      <c r="AF1022">
        <v>0</v>
      </c>
      <c r="AG1022">
        <v>0</v>
      </c>
      <c r="AH1022">
        <v>0</v>
      </c>
      <c r="AI1022">
        <v>0</v>
      </c>
      <c r="AJ1022">
        <v>0</v>
      </c>
      <c r="AK1022">
        <v>0</v>
      </c>
      <c r="AL1022">
        <v>8</v>
      </c>
      <c r="AM1022">
        <v>1.3333333333333333</v>
      </c>
      <c r="AN1022">
        <v>24.166964285714453</v>
      </c>
    </row>
    <row r="1023" spans="1:40" x14ac:dyDescent="0.3">
      <c r="A1023" t="s">
        <v>287</v>
      </c>
      <c r="B1023" t="s">
        <v>170</v>
      </c>
      <c r="C1023" t="s">
        <v>10</v>
      </c>
      <c r="D1023" t="s">
        <v>11</v>
      </c>
      <c r="E1023">
        <v>202602</v>
      </c>
      <c r="F1023" t="s">
        <v>50</v>
      </c>
      <c r="G1023">
        <v>0</v>
      </c>
      <c r="H1023">
        <v>0</v>
      </c>
      <c r="I1023">
        <v>0</v>
      </c>
      <c r="J1023">
        <v>0</v>
      </c>
      <c r="K1023">
        <v>0</v>
      </c>
      <c r="L1023">
        <v>0</v>
      </c>
      <c r="M1023">
        <v>0</v>
      </c>
      <c r="N1023">
        <v>0</v>
      </c>
      <c r="O1023">
        <v>1</v>
      </c>
      <c r="P1023">
        <v>0</v>
      </c>
      <c r="Q1023">
        <v>1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>
        <v>0</v>
      </c>
      <c r="AB1023">
        <v>0</v>
      </c>
      <c r="AC1023">
        <v>0</v>
      </c>
      <c r="AD1023">
        <v>0</v>
      </c>
      <c r="AE1023">
        <v>0</v>
      </c>
      <c r="AF1023">
        <v>0</v>
      </c>
      <c r="AG1023">
        <v>0</v>
      </c>
      <c r="AH1023">
        <v>0</v>
      </c>
      <c r="AI1023">
        <v>0</v>
      </c>
      <c r="AJ1023">
        <v>0</v>
      </c>
      <c r="AK1023">
        <v>0</v>
      </c>
      <c r="AL1023">
        <v>2</v>
      </c>
      <c r="AM1023">
        <v>0.66666666666666663</v>
      </c>
      <c r="AN1023">
        <v>11.209250279746223</v>
      </c>
    </row>
    <row r="1024" spans="1:40" x14ac:dyDescent="0.3">
      <c r="A1024" t="s">
        <v>287</v>
      </c>
      <c r="B1024" t="s">
        <v>170</v>
      </c>
      <c r="C1024" t="s">
        <v>10</v>
      </c>
      <c r="D1024" t="s">
        <v>14</v>
      </c>
      <c r="E1024">
        <v>202602</v>
      </c>
      <c r="F1024" t="s">
        <v>50</v>
      </c>
      <c r="G1024">
        <v>0</v>
      </c>
      <c r="H1024">
        <v>0</v>
      </c>
      <c r="I1024">
        <v>0</v>
      </c>
      <c r="J1024">
        <v>0</v>
      </c>
      <c r="K1024">
        <v>0</v>
      </c>
      <c r="L1024">
        <v>0</v>
      </c>
      <c r="M1024">
        <v>1</v>
      </c>
      <c r="N1024">
        <v>0</v>
      </c>
      <c r="O1024">
        <v>0</v>
      </c>
      <c r="P1024">
        <v>1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0</v>
      </c>
      <c r="W1024">
        <v>0</v>
      </c>
      <c r="X1024">
        <v>0</v>
      </c>
      <c r="Y1024">
        <v>0</v>
      </c>
      <c r="Z1024">
        <v>0</v>
      </c>
      <c r="AA1024">
        <v>0</v>
      </c>
      <c r="AB1024">
        <v>0</v>
      </c>
      <c r="AC1024">
        <v>0</v>
      </c>
      <c r="AD1024">
        <v>0</v>
      </c>
      <c r="AE1024">
        <v>0</v>
      </c>
      <c r="AF1024">
        <v>0</v>
      </c>
      <c r="AG1024">
        <v>0</v>
      </c>
      <c r="AH1024">
        <v>0</v>
      </c>
      <c r="AI1024">
        <v>0</v>
      </c>
      <c r="AJ1024">
        <v>0</v>
      </c>
      <c r="AK1024">
        <v>0</v>
      </c>
      <c r="AL1024">
        <v>2</v>
      </c>
      <c r="AM1024">
        <v>0.33333333333333331</v>
      </c>
      <c r="AN1024">
        <v>6.0417410714286133</v>
      </c>
    </row>
    <row r="1025" spans="1:40" x14ac:dyDescent="0.3">
      <c r="A1025" t="s">
        <v>287</v>
      </c>
      <c r="B1025" t="s">
        <v>171</v>
      </c>
      <c r="C1025" t="s">
        <v>10</v>
      </c>
      <c r="D1025" t="s">
        <v>11</v>
      </c>
      <c r="E1025">
        <v>202602</v>
      </c>
      <c r="F1025" t="s">
        <v>172</v>
      </c>
      <c r="G1025">
        <v>0</v>
      </c>
      <c r="H1025">
        <v>1</v>
      </c>
      <c r="I1025">
        <v>3</v>
      </c>
      <c r="J1025">
        <v>3</v>
      </c>
      <c r="K1025">
        <v>4</v>
      </c>
      <c r="L1025">
        <v>4</v>
      </c>
      <c r="M1025">
        <v>2</v>
      </c>
      <c r="N1025">
        <v>0</v>
      </c>
      <c r="O1025">
        <v>3</v>
      </c>
      <c r="P1025">
        <v>1</v>
      </c>
      <c r="Q1025">
        <v>5</v>
      </c>
      <c r="R1025">
        <v>0</v>
      </c>
      <c r="S1025">
        <v>0</v>
      </c>
      <c r="T1025">
        <v>0</v>
      </c>
      <c r="U1025">
        <v>0</v>
      </c>
      <c r="V1025">
        <v>0</v>
      </c>
      <c r="W1025">
        <v>0</v>
      </c>
      <c r="X1025">
        <v>0</v>
      </c>
      <c r="Y1025">
        <v>0</v>
      </c>
      <c r="Z1025">
        <v>0</v>
      </c>
      <c r="AA1025">
        <v>0</v>
      </c>
      <c r="AB1025">
        <v>0</v>
      </c>
      <c r="AC1025">
        <v>0</v>
      </c>
      <c r="AD1025">
        <v>0</v>
      </c>
      <c r="AE1025">
        <v>0</v>
      </c>
      <c r="AF1025">
        <v>0</v>
      </c>
      <c r="AG1025">
        <v>0</v>
      </c>
      <c r="AH1025">
        <v>0</v>
      </c>
      <c r="AI1025">
        <v>0</v>
      </c>
      <c r="AJ1025">
        <v>0</v>
      </c>
      <c r="AK1025">
        <v>0</v>
      </c>
      <c r="AL1025">
        <v>26</v>
      </c>
      <c r="AM1025">
        <v>3</v>
      </c>
      <c r="AN1025">
        <v>67.441626258858008</v>
      </c>
    </row>
    <row r="1026" spans="1:40" x14ac:dyDescent="0.3">
      <c r="A1026" t="s">
        <v>287</v>
      </c>
      <c r="B1026" t="s">
        <v>171</v>
      </c>
      <c r="C1026" t="s">
        <v>10</v>
      </c>
      <c r="D1026" t="s">
        <v>14</v>
      </c>
      <c r="E1026">
        <v>202602</v>
      </c>
      <c r="F1026" t="s">
        <v>172</v>
      </c>
      <c r="G1026">
        <v>0</v>
      </c>
      <c r="H1026">
        <v>4</v>
      </c>
      <c r="I1026">
        <v>4</v>
      </c>
      <c r="J1026">
        <v>8</v>
      </c>
      <c r="K1026">
        <v>4</v>
      </c>
      <c r="L1026">
        <v>9</v>
      </c>
      <c r="M1026">
        <v>2</v>
      </c>
      <c r="N1026">
        <v>0</v>
      </c>
      <c r="O1026">
        <v>10</v>
      </c>
      <c r="P1026">
        <v>10</v>
      </c>
      <c r="Q1026">
        <v>5</v>
      </c>
      <c r="R1026">
        <v>0</v>
      </c>
      <c r="S1026">
        <v>0</v>
      </c>
      <c r="T1026">
        <v>0</v>
      </c>
      <c r="U1026">
        <v>0</v>
      </c>
      <c r="V1026">
        <v>0</v>
      </c>
      <c r="W1026">
        <v>0</v>
      </c>
      <c r="X1026">
        <v>0</v>
      </c>
      <c r="Y1026">
        <v>0</v>
      </c>
      <c r="Z1026">
        <v>0</v>
      </c>
      <c r="AA1026">
        <v>0</v>
      </c>
      <c r="AB1026">
        <v>0</v>
      </c>
      <c r="AC1026">
        <v>0</v>
      </c>
      <c r="AD1026">
        <v>0</v>
      </c>
      <c r="AE1026">
        <v>0</v>
      </c>
      <c r="AF1026">
        <v>0</v>
      </c>
      <c r="AG1026">
        <v>0</v>
      </c>
      <c r="AH1026">
        <v>0</v>
      </c>
      <c r="AI1026">
        <v>0</v>
      </c>
      <c r="AJ1026">
        <v>0</v>
      </c>
      <c r="AK1026">
        <v>0</v>
      </c>
      <c r="AL1026">
        <v>56</v>
      </c>
      <c r="AM1026">
        <v>8.3333333333333339</v>
      </c>
      <c r="AN1026">
        <v>157.04352678571533</v>
      </c>
    </row>
    <row r="1027" spans="1:40" x14ac:dyDescent="0.3">
      <c r="A1027" t="s">
        <v>287</v>
      </c>
      <c r="B1027" t="s">
        <v>171</v>
      </c>
      <c r="C1027" t="s">
        <v>16</v>
      </c>
      <c r="D1027" t="s">
        <v>11</v>
      </c>
      <c r="E1027">
        <v>202602</v>
      </c>
      <c r="F1027" t="s">
        <v>172</v>
      </c>
      <c r="G1027">
        <v>0</v>
      </c>
      <c r="H1027">
        <v>0</v>
      </c>
      <c r="I1027">
        <v>1</v>
      </c>
      <c r="J1027">
        <v>0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2</v>
      </c>
      <c r="R1027">
        <v>0</v>
      </c>
      <c r="S1027">
        <v>0</v>
      </c>
      <c r="T1027">
        <v>0</v>
      </c>
      <c r="U1027">
        <v>0</v>
      </c>
      <c r="V1027">
        <v>0</v>
      </c>
      <c r="W1027">
        <v>0</v>
      </c>
      <c r="X1027">
        <v>0</v>
      </c>
      <c r="Y1027">
        <v>0</v>
      </c>
      <c r="Z1027">
        <v>0</v>
      </c>
      <c r="AA1027">
        <v>0</v>
      </c>
      <c r="AB1027">
        <v>0</v>
      </c>
      <c r="AC1027">
        <v>0</v>
      </c>
      <c r="AD1027">
        <v>0</v>
      </c>
      <c r="AE1027">
        <v>0</v>
      </c>
      <c r="AF1027">
        <v>0</v>
      </c>
      <c r="AG1027">
        <v>0</v>
      </c>
      <c r="AH1027">
        <v>0</v>
      </c>
      <c r="AI1027">
        <v>0</v>
      </c>
      <c r="AJ1027">
        <v>0</v>
      </c>
      <c r="AK1027">
        <v>0</v>
      </c>
      <c r="AL1027">
        <v>3</v>
      </c>
      <c r="AM1027">
        <v>0.66666666666666663</v>
      </c>
      <c r="AN1027">
        <v>12.209250279746223</v>
      </c>
    </row>
    <row r="1028" spans="1:40" x14ac:dyDescent="0.3">
      <c r="A1028" t="s">
        <v>287</v>
      </c>
      <c r="B1028" t="s">
        <v>171</v>
      </c>
      <c r="C1028" t="s">
        <v>16</v>
      </c>
      <c r="D1028" t="s">
        <v>14</v>
      </c>
      <c r="E1028">
        <v>202602</v>
      </c>
      <c r="F1028" t="s">
        <v>172</v>
      </c>
      <c r="G1028">
        <v>0</v>
      </c>
      <c r="H1028">
        <v>0</v>
      </c>
      <c r="I1028">
        <v>0</v>
      </c>
      <c r="J1028">
        <v>0</v>
      </c>
      <c r="K1028">
        <v>0</v>
      </c>
      <c r="L1028">
        <v>1</v>
      </c>
      <c r="M1028">
        <v>0</v>
      </c>
      <c r="N1028">
        <v>0</v>
      </c>
      <c r="O1028">
        <v>0</v>
      </c>
      <c r="P1028">
        <v>2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0</v>
      </c>
      <c r="W1028">
        <v>0</v>
      </c>
      <c r="X1028">
        <v>0</v>
      </c>
      <c r="Y1028">
        <v>0</v>
      </c>
      <c r="Z1028">
        <v>0</v>
      </c>
      <c r="AA1028">
        <v>0</v>
      </c>
      <c r="AB1028">
        <v>0</v>
      </c>
      <c r="AC1028">
        <v>0</v>
      </c>
      <c r="AD1028">
        <v>0</v>
      </c>
      <c r="AE1028">
        <v>0</v>
      </c>
      <c r="AF1028">
        <v>0</v>
      </c>
      <c r="AG1028">
        <v>0</v>
      </c>
      <c r="AH1028">
        <v>0</v>
      </c>
      <c r="AI1028">
        <v>0</v>
      </c>
      <c r="AJ1028">
        <v>0</v>
      </c>
      <c r="AK1028">
        <v>0</v>
      </c>
      <c r="AL1028">
        <v>3</v>
      </c>
      <c r="AM1028">
        <v>0.66666666666666663</v>
      </c>
      <c r="AN1028">
        <v>11.083482142857227</v>
      </c>
    </row>
    <row r="1029" spans="1:40" x14ac:dyDescent="0.3">
      <c r="A1029" t="s">
        <v>287</v>
      </c>
      <c r="B1029" t="s">
        <v>173</v>
      </c>
      <c r="C1029" t="s">
        <v>10</v>
      </c>
      <c r="D1029" t="s">
        <v>11</v>
      </c>
      <c r="E1029">
        <v>202602</v>
      </c>
      <c r="F1029" t="s">
        <v>172</v>
      </c>
      <c r="G1029">
        <v>0</v>
      </c>
      <c r="H1029">
        <v>3</v>
      </c>
      <c r="I1029">
        <v>1</v>
      </c>
      <c r="J1029">
        <v>2</v>
      </c>
      <c r="K1029">
        <v>1</v>
      </c>
      <c r="L1029">
        <v>3</v>
      </c>
      <c r="M1029">
        <v>0</v>
      </c>
      <c r="N1029">
        <v>0</v>
      </c>
      <c r="O1029">
        <v>3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0</v>
      </c>
      <c r="X1029">
        <v>0</v>
      </c>
      <c r="Y1029">
        <v>0</v>
      </c>
      <c r="Z1029">
        <v>0</v>
      </c>
      <c r="AA1029">
        <v>0</v>
      </c>
      <c r="AB1029">
        <v>0</v>
      </c>
      <c r="AC1029">
        <v>0</v>
      </c>
      <c r="AD1029">
        <v>0</v>
      </c>
      <c r="AE1029">
        <v>0</v>
      </c>
      <c r="AF1029">
        <v>0</v>
      </c>
      <c r="AG1029">
        <v>0</v>
      </c>
      <c r="AH1029">
        <v>0</v>
      </c>
      <c r="AI1029">
        <v>0</v>
      </c>
      <c r="AJ1029">
        <v>0</v>
      </c>
      <c r="AK1029">
        <v>0</v>
      </c>
      <c r="AL1029">
        <v>13</v>
      </c>
      <c r="AM1029">
        <v>1</v>
      </c>
      <c r="AN1029">
        <v>26.813875419619336</v>
      </c>
    </row>
    <row r="1030" spans="1:40" x14ac:dyDescent="0.3">
      <c r="A1030" t="s">
        <v>287</v>
      </c>
      <c r="B1030" t="s">
        <v>173</v>
      </c>
      <c r="C1030" t="s">
        <v>10</v>
      </c>
      <c r="D1030" t="s">
        <v>14</v>
      </c>
      <c r="E1030">
        <v>202602</v>
      </c>
      <c r="F1030" t="s">
        <v>172</v>
      </c>
      <c r="G1030">
        <v>0</v>
      </c>
      <c r="H1030">
        <v>3</v>
      </c>
      <c r="I1030">
        <v>2</v>
      </c>
      <c r="J1030">
        <v>5</v>
      </c>
      <c r="K1030">
        <v>3</v>
      </c>
      <c r="L1030">
        <v>0</v>
      </c>
      <c r="M1030">
        <v>0</v>
      </c>
      <c r="N1030">
        <v>0</v>
      </c>
      <c r="O1030">
        <v>0</v>
      </c>
      <c r="P1030">
        <v>2</v>
      </c>
      <c r="Q1030">
        <v>3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0</v>
      </c>
      <c r="X1030">
        <v>0</v>
      </c>
      <c r="Y1030">
        <v>0</v>
      </c>
      <c r="Z1030">
        <v>0</v>
      </c>
      <c r="AA1030">
        <v>0</v>
      </c>
      <c r="AB1030">
        <v>0</v>
      </c>
      <c r="AC1030">
        <v>0</v>
      </c>
      <c r="AD1030">
        <v>0</v>
      </c>
      <c r="AE1030">
        <v>0</v>
      </c>
      <c r="AF1030">
        <v>0</v>
      </c>
      <c r="AG1030">
        <v>0</v>
      </c>
      <c r="AH1030">
        <v>0</v>
      </c>
      <c r="AI1030">
        <v>0</v>
      </c>
      <c r="AJ1030">
        <v>0</v>
      </c>
      <c r="AK1030">
        <v>0</v>
      </c>
      <c r="AL1030">
        <v>18</v>
      </c>
      <c r="AM1030">
        <v>1.6666666666666667</v>
      </c>
      <c r="AN1030">
        <v>38.20870535714306</v>
      </c>
    </row>
    <row r="1031" spans="1:40" x14ac:dyDescent="0.3">
      <c r="A1031" t="s">
        <v>287</v>
      </c>
      <c r="B1031" t="s">
        <v>173</v>
      </c>
      <c r="C1031" t="s">
        <v>16</v>
      </c>
      <c r="D1031" t="s">
        <v>11</v>
      </c>
      <c r="E1031">
        <v>202602</v>
      </c>
      <c r="F1031" t="s">
        <v>172</v>
      </c>
      <c r="G1031">
        <v>0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v>1</v>
      </c>
      <c r="N1031">
        <v>0</v>
      </c>
      <c r="O1031">
        <v>0</v>
      </c>
      <c r="P1031">
        <v>0</v>
      </c>
      <c r="Q1031">
        <v>1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0</v>
      </c>
      <c r="X1031">
        <v>0</v>
      </c>
      <c r="Y1031">
        <v>0</v>
      </c>
      <c r="Z1031">
        <v>0</v>
      </c>
      <c r="AA1031">
        <v>0</v>
      </c>
      <c r="AB1031">
        <v>0</v>
      </c>
      <c r="AC1031">
        <v>0</v>
      </c>
      <c r="AD1031">
        <v>0</v>
      </c>
      <c r="AE1031">
        <v>0</v>
      </c>
      <c r="AF1031">
        <v>0</v>
      </c>
      <c r="AG1031">
        <v>0</v>
      </c>
      <c r="AH1031">
        <v>0</v>
      </c>
      <c r="AI1031">
        <v>0</v>
      </c>
      <c r="AJ1031">
        <v>0</v>
      </c>
      <c r="AK1031">
        <v>0</v>
      </c>
      <c r="AL1031">
        <v>2</v>
      </c>
      <c r="AM1031">
        <v>0.33333333333333331</v>
      </c>
      <c r="AN1031">
        <v>6.6046251398731117</v>
      </c>
    </row>
    <row r="1032" spans="1:40" x14ac:dyDescent="0.3">
      <c r="A1032" t="s">
        <v>287</v>
      </c>
      <c r="B1032" t="s">
        <v>173</v>
      </c>
      <c r="C1032" t="s">
        <v>16</v>
      </c>
      <c r="D1032" t="s">
        <v>14</v>
      </c>
      <c r="E1032">
        <v>202602</v>
      </c>
      <c r="F1032" t="s">
        <v>172</v>
      </c>
      <c r="G1032">
        <v>0</v>
      </c>
      <c r="H1032">
        <v>0</v>
      </c>
      <c r="I1032">
        <v>0</v>
      </c>
      <c r="J1032">
        <v>0</v>
      </c>
      <c r="K1032">
        <v>1</v>
      </c>
      <c r="L1032">
        <v>0</v>
      </c>
      <c r="M1032">
        <v>0</v>
      </c>
      <c r="N1032">
        <v>0</v>
      </c>
      <c r="O1032">
        <v>0</v>
      </c>
      <c r="P1032">
        <v>1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0</v>
      </c>
      <c r="X1032">
        <v>0</v>
      </c>
      <c r="Y1032">
        <v>0</v>
      </c>
      <c r="Z1032">
        <v>0</v>
      </c>
      <c r="AA1032">
        <v>0</v>
      </c>
      <c r="AB1032">
        <v>0</v>
      </c>
      <c r="AC1032">
        <v>0</v>
      </c>
      <c r="AD1032">
        <v>0</v>
      </c>
      <c r="AE1032">
        <v>0</v>
      </c>
      <c r="AF1032">
        <v>0</v>
      </c>
      <c r="AG1032">
        <v>0</v>
      </c>
      <c r="AH1032">
        <v>0</v>
      </c>
      <c r="AI1032">
        <v>0</v>
      </c>
      <c r="AJ1032">
        <v>0</v>
      </c>
      <c r="AK1032">
        <v>0</v>
      </c>
      <c r="AL1032">
        <v>2</v>
      </c>
      <c r="AM1032">
        <v>0.33333333333333331</v>
      </c>
      <c r="AN1032">
        <v>6.0417410714286133</v>
      </c>
    </row>
    <row r="1033" spans="1:40" x14ac:dyDescent="0.3">
      <c r="A1033" t="s">
        <v>340</v>
      </c>
      <c r="B1033" t="s">
        <v>9</v>
      </c>
      <c r="C1033" t="s">
        <v>10</v>
      </c>
      <c r="D1033" t="s">
        <v>11</v>
      </c>
      <c r="E1033">
        <v>202602</v>
      </c>
      <c r="F1033" t="s">
        <v>341</v>
      </c>
      <c r="G1033">
        <v>0</v>
      </c>
      <c r="H1033">
        <v>0</v>
      </c>
      <c r="I1033">
        <v>0</v>
      </c>
      <c r="J1033">
        <v>5</v>
      </c>
      <c r="K1033">
        <v>3</v>
      </c>
      <c r="L1033">
        <v>2</v>
      </c>
      <c r="M1033">
        <v>1</v>
      </c>
      <c r="N1033">
        <v>0</v>
      </c>
      <c r="O1033">
        <v>3</v>
      </c>
      <c r="P1033">
        <v>2</v>
      </c>
      <c r="Q1033">
        <v>4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0</v>
      </c>
      <c r="X1033">
        <v>0</v>
      </c>
      <c r="Y1033">
        <v>0</v>
      </c>
      <c r="Z1033">
        <v>0</v>
      </c>
      <c r="AA1033">
        <v>0</v>
      </c>
      <c r="AB1033">
        <v>0</v>
      </c>
      <c r="AC1033">
        <v>0</v>
      </c>
      <c r="AD1033">
        <v>0</v>
      </c>
      <c r="AE1033">
        <v>0</v>
      </c>
      <c r="AF1033">
        <v>0</v>
      </c>
      <c r="AG1033">
        <v>0</v>
      </c>
      <c r="AH1033">
        <v>0</v>
      </c>
      <c r="AI1033">
        <v>0</v>
      </c>
      <c r="AJ1033">
        <v>0</v>
      </c>
      <c r="AK1033">
        <v>0</v>
      </c>
      <c r="AL1033">
        <v>20</v>
      </c>
      <c r="AM1033">
        <v>3</v>
      </c>
      <c r="AN1033">
        <v>61.441626258858001</v>
      </c>
    </row>
    <row r="1034" spans="1:40" x14ac:dyDescent="0.3">
      <c r="A1034" t="s">
        <v>340</v>
      </c>
      <c r="B1034" t="s">
        <v>9</v>
      </c>
      <c r="C1034" t="s">
        <v>10</v>
      </c>
      <c r="D1034" t="s">
        <v>11</v>
      </c>
      <c r="E1034">
        <v>202602</v>
      </c>
      <c r="F1034" t="s">
        <v>15</v>
      </c>
      <c r="G1034">
        <v>0</v>
      </c>
      <c r="H1034">
        <v>0</v>
      </c>
      <c r="I1034">
        <v>0</v>
      </c>
      <c r="J1034">
        <v>1</v>
      </c>
      <c r="K1034">
        <v>0</v>
      </c>
      <c r="L1034">
        <v>0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0</v>
      </c>
      <c r="X1034">
        <v>0</v>
      </c>
      <c r="Y1034">
        <v>0</v>
      </c>
      <c r="Z1034">
        <v>0</v>
      </c>
      <c r="AA1034">
        <v>0</v>
      </c>
      <c r="AB1034">
        <v>0</v>
      </c>
      <c r="AC1034">
        <v>0</v>
      </c>
      <c r="AD1034">
        <v>0</v>
      </c>
      <c r="AE1034">
        <v>0</v>
      </c>
      <c r="AF1034">
        <v>0</v>
      </c>
      <c r="AG1034">
        <v>0</v>
      </c>
      <c r="AH1034">
        <v>0</v>
      </c>
      <c r="AI1034">
        <v>0</v>
      </c>
      <c r="AJ1034">
        <v>0</v>
      </c>
      <c r="AK1034">
        <v>0</v>
      </c>
      <c r="AL1034">
        <v>1</v>
      </c>
      <c r="AM1034">
        <v>0</v>
      </c>
      <c r="AN1034">
        <v>1</v>
      </c>
    </row>
    <row r="1035" spans="1:40" x14ac:dyDescent="0.3">
      <c r="A1035" t="s">
        <v>340</v>
      </c>
      <c r="B1035" t="s">
        <v>9</v>
      </c>
      <c r="C1035" t="s">
        <v>10</v>
      </c>
      <c r="D1035" t="s">
        <v>14</v>
      </c>
      <c r="E1035">
        <v>202602</v>
      </c>
      <c r="F1035" t="s">
        <v>13</v>
      </c>
      <c r="G1035">
        <v>0</v>
      </c>
      <c r="H1035">
        <v>0</v>
      </c>
      <c r="I1035">
        <v>0</v>
      </c>
      <c r="J1035">
        <v>0</v>
      </c>
      <c r="K1035">
        <v>0</v>
      </c>
      <c r="L1035">
        <v>0</v>
      </c>
      <c r="M1035">
        <v>0</v>
      </c>
      <c r="N1035">
        <v>0</v>
      </c>
      <c r="O1035">
        <v>0</v>
      </c>
      <c r="P1035">
        <v>0</v>
      </c>
      <c r="Q1035">
        <v>1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0</v>
      </c>
      <c r="AA1035">
        <v>0</v>
      </c>
      <c r="AB1035">
        <v>0</v>
      </c>
      <c r="AC1035">
        <v>0</v>
      </c>
      <c r="AD1035">
        <v>0</v>
      </c>
      <c r="AE1035">
        <v>0</v>
      </c>
      <c r="AF1035">
        <v>0</v>
      </c>
      <c r="AG1035">
        <v>0</v>
      </c>
      <c r="AH1035">
        <v>0</v>
      </c>
      <c r="AI1035">
        <v>0</v>
      </c>
      <c r="AJ1035">
        <v>0</v>
      </c>
      <c r="AK1035">
        <v>0</v>
      </c>
      <c r="AL1035">
        <v>1</v>
      </c>
      <c r="AM1035">
        <v>0.33333333333333331</v>
      </c>
      <c r="AN1035">
        <v>5.0417410714286133</v>
      </c>
    </row>
    <row r="1036" spans="1:40" x14ac:dyDescent="0.3">
      <c r="A1036" t="s">
        <v>340</v>
      </c>
      <c r="B1036" t="s">
        <v>9</v>
      </c>
      <c r="C1036" t="s">
        <v>10</v>
      </c>
      <c r="D1036" t="s">
        <v>14</v>
      </c>
      <c r="E1036">
        <v>202602</v>
      </c>
      <c r="F1036" t="s">
        <v>341</v>
      </c>
      <c r="G1036">
        <v>0</v>
      </c>
      <c r="H1036">
        <v>0</v>
      </c>
      <c r="I1036">
        <v>7</v>
      </c>
      <c r="J1036">
        <v>2</v>
      </c>
      <c r="K1036">
        <v>6</v>
      </c>
      <c r="L1036">
        <v>3</v>
      </c>
      <c r="M1036">
        <v>0</v>
      </c>
      <c r="N1036">
        <v>0</v>
      </c>
      <c r="O1036">
        <v>6</v>
      </c>
      <c r="P1036">
        <v>5</v>
      </c>
      <c r="Q1036">
        <v>3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0</v>
      </c>
      <c r="X1036">
        <v>0</v>
      </c>
      <c r="Y1036">
        <v>0</v>
      </c>
      <c r="Z1036">
        <v>0</v>
      </c>
      <c r="AA1036">
        <v>0</v>
      </c>
      <c r="AB1036">
        <v>0</v>
      </c>
      <c r="AC1036">
        <v>0</v>
      </c>
      <c r="AD1036">
        <v>0</v>
      </c>
      <c r="AE1036">
        <v>0</v>
      </c>
      <c r="AF1036">
        <v>0</v>
      </c>
      <c r="AG1036">
        <v>0</v>
      </c>
      <c r="AH1036">
        <v>0</v>
      </c>
      <c r="AI1036">
        <v>0</v>
      </c>
      <c r="AJ1036">
        <v>0</v>
      </c>
      <c r="AK1036">
        <v>0</v>
      </c>
      <c r="AL1036">
        <v>32</v>
      </c>
      <c r="AM1036">
        <v>4.666666666666667</v>
      </c>
      <c r="AN1036">
        <v>88.584375000000591</v>
      </c>
    </row>
    <row r="1037" spans="1:40" x14ac:dyDescent="0.3">
      <c r="A1037" t="s">
        <v>340</v>
      </c>
      <c r="B1037" t="s">
        <v>17</v>
      </c>
      <c r="C1037" t="s">
        <v>10</v>
      </c>
      <c r="D1037" t="s">
        <v>11</v>
      </c>
      <c r="E1037">
        <v>202602</v>
      </c>
      <c r="F1037" t="s">
        <v>18</v>
      </c>
      <c r="G1037">
        <v>0</v>
      </c>
      <c r="H1037">
        <v>1</v>
      </c>
      <c r="I1037">
        <v>1</v>
      </c>
      <c r="J1037">
        <v>1</v>
      </c>
      <c r="K1037">
        <v>1</v>
      </c>
      <c r="L1037">
        <v>0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0</v>
      </c>
      <c r="AA1037">
        <v>0</v>
      </c>
      <c r="AB1037">
        <v>0</v>
      </c>
      <c r="AC1037">
        <v>0</v>
      </c>
      <c r="AD1037">
        <v>0</v>
      </c>
      <c r="AE1037">
        <v>0</v>
      </c>
      <c r="AF1037">
        <v>0</v>
      </c>
      <c r="AG1037">
        <v>0</v>
      </c>
      <c r="AH1037">
        <v>0</v>
      </c>
      <c r="AI1037">
        <v>0</v>
      </c>
      <c r="AJ1037">
        <v>0</v>
      </c>
      <c r="AK1037">
        <v>0</v>
      </c>
      <c r="AL1037">
        <v>4</v>
      </c>
      <c r="AM1037">
        <v>0</v>
      </c>
      <c r="AN1037">
        <v>4</v>
      </c>
    </row>
    <row r="1038" spans="1:40" x14ac:dyDescent="0.3">
      <c r="A1038" t="s">
        <v>340</v>
      </c>
      <c r="B1038" t="s">
        <v>17</v>
      </c>
      <c r="C1038" t="s">
        <v>10</v>
      </c>
      <c r="D1038" t="s">
        <v>11</v>
      </c>
      <c r="E1038">
        <v>202602</v>
      </c>
      <c r="F1038" t="s">
        <v>342</v>
      </c>
      <c r="G1038">
        <v>0</v>
      </c>
      <c r="H1038">
        <v>0</v>
      </c>
      <c r="I1038">
        <v>0</v>
      </c>
      <c r="J1038">
        <v>0</v>
      </c>
      <c r="K1038">
        <v>1</v>
      </c>
      <c r="L1038">
        <v>0</v>
      </c>
      <c r="M1038">
        <v>0</v>
      </c>
      <c r="N1038">
        <v>0</v>
      </c>
      <c r="O1038">
        <v>0</v>
      </c>
      <c r="P1038">
        <v>0</v>
      </c>
      <c r="Q1038">
        <v>1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>
        <v>0</v>
      </c>
      <c r="AB1038">
        <v>0</v>
      </c>
      <c r="AC1038">
        <v>0</v>
      </c>
      <c r="AD1038">
        <v>0</v>
      </c>
      <c r="AE1038">
        <v>0</v>
      </c>
      <c r="AF1038">
        <v>0</v>
      </c>
      <c r="AG1038">
        <v>0</v>
      </c>
      <c r="AH1038">
        <v>0</v>
      </c>
      <c r="AI1038">
        <v>0</v>
      </c>
      <c r="AJ1038">
        <v>0</v>
      </c>
      <c r="AK1038">
        <v>0</v>
      </c>
      <c r="AL1038">
        <v>2</v>
      </c>
      <c r="AM1038">
        <v>0.33333333333333331</v>
      </c>
      <c r="AN1038">
        <v>6.6046251398731117</v>
      </c>
    </row>
    <row r="1039" spans="1:40" x14ac:dyDescent="0.3">
      <c r="A1039" t="s">
        <v>340</v>
      </c>
      <c r="B1039" t="s">
        <v>17</v>
      </c>
      <c r="C1039" t="s">
        <v>10</v>
      </c>
      <c r="D1039" t="s">
        <v>11</v>
      </c>
      <c r="E1039">
        <v>202602</v>
      </c>
      <c r="F1039" t="s">
        <v>343</v>
      </c>
      <c r="G1039">
        <v>0</v>
      </c>
      <c r="H1039">
        <v>0</v>
      </c>
      <c r="I1039">
        <v>2</v>
      </c>
      <c r="J1039">
        <v>1</v>
      </c>
      <c r="K1039">
        <v>0</v>
      </c>
      <c r="L1039">
        <v>0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>
        <v>0</v>
      </c>
      <c r="AB1039">
        <v>0</v>
      </c>
      <c r="AC1039">
        <v>0</v>
      </c>
      <c r="AD1039">
        <v>0</v>
      </c>
      <c r="AE1039">
        <v>0</v>
      </c>
      <c r="AF1039">
        <v>0</v>
      </c>
      <c r="AG1039">
        <v>0</v>
      </c>
      <c r="AH1039">
        <v>0</v>
      </c>
      <c r="AI1039">
        <v>0</v>
      </c>
      <c r="AJ1039">
        <v>0</v>
      </c>
      <c r="AK1039">
        <v>0</v>
      </c>
      <c r="AL1039">
        <v>3</v>
      </c>
      <c r="AM1039">
        <v>0</v>
      </c>
      <c r="AN1039">
        <v>3</v>
      </c>
    </row>
    <row r="1040" spans="1:40" x14ac:dyDescent="0.3">
      <c r="A1040" t="s">
        <v>340</v>
      </c>
      <c r="B1040" t="s">
        <v>17</v>
      </c>
      <c r="C1040" t="s">
        <v>10</v>
      </c>
      <c r="D1040" t="s">
        <v>11</v>
      </c>
      <c r="E1040">
        <v>202602</v>
      </c>
      <c r="F1040" t="s">
        <v>344</v>
      </c>
      <c r="G1040">
        <v>0</v>
      </c>
      <c r="H1040">
        <v>0</v>
      </c>
      <c r="I1040">
        <v>0</v>
      </c>
      <c r="J1040">
        <v>0</v>
      </c>
      <c r="K1040">
        <v>0</v>
      </c>
      <c r="L1040">
        <v>0</v>
      </c>
      <c r="M1040">
        <v>0</v>
      </c>
      <c r="N1040">
        <v>0</v>
      </c>
      <c r="O1040">
        <v>2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>
        <v>0</v>
      </c>
      <c r="AB1040">
        <v>0</v>
      </c>
      <c r="AC1040">
        <v>0</v>
      </c>
      <c r="AD1040">
        <v>0</v>
      </c>
      <c r="AE1040">
        <v>0</v>
      </c>
      <c r="AF1040">
        <v>0</v>
      </c>
      <c r="AG1040">
        <v>0</v>
      </c>
      <c r="AH1040">
        <v>0</v>
      </c>
      <c r="AI1040">
        <v>0</v>
      </c>
      <c r="AJ1040">
        <v>0</v>
      </c>
      <c r="AK1040">
        <v>0</v>
      </c>
      <c r="AL1040">
        <v>2</v>
      </c>
      <c r="AM1040">
        <v>0.66666666666666663</v>
      </c>
      <c r="AN1040">
        <v>11.209250279746223</v>
      </c>
    </row>
    <row r="1041" spans="1:40" x14ac:dyDescent="0.3">
      <c r="A1041" t="s">
        <v>340</v>
      </c>
      <c r="B1041" t="s">
        <v>17</v>
      </c>
      <c r="C1041" t="s">
        <v>10</v>
      </c>
      <c r="D1041" t="s">
        <v>11</v>
      </c>
      <c r="E1041">
        <v>202602</v>
      </c>
      <c r="F1041" t="s">
        <v>345</v>
      </c>
      <c r="G1041">
        <v>1</v>
      </c>
      <c r="H1041">
        <v>0</v>
      </c>
      <c r="I1041">
        <v>1</v>
      </c>
      <c r="J1041">
        <v>1</v>
      </c>
      <c r="K1041">
        <v>0</v>
      </c>
      <c r="L1041">
        <v>0</v>
      </c>
      <c r="M1041">
        <v>0</v>
      </c>
      <c r="N1041">
        <v>0</v>
      </c>
      <c r="O1041">
        <v>0</v>
      </c>
      <c r="P1041">
        <v>0</v>
      </c>
      <c r="Q1041">
        <v>1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>
        <v>0</v>
      </c>
      <c r="AB1041">
        <v>0</v>
      </c>
      <c r="AC1041">
        <v>0</v>
      </c>
      <c r="AD1041">
        <v>0</v>
      </c>
      <c r="AE1041">
        <v>0</v>
      </c>
      <c r="AF1041">
        <v>0</v>
      </c>
      <c r="AG1041">
        <v>0</v>
      </c>
      <c r="AH1041">
        <v>0</v>
      </c>
      <c r="AI1041">
        <v>0</v>
      </c>
      <c r="AJ1041">
        <v>0</v>
      </c>
      <c r="AK1041">
        <v>0</v>
      </c>
      <c r="AL1041">
        <v>4</v>
      </c>
      <c r="AM1041">
        <v>0.33333333333333331</v>
      </c>
      <c r="AN1041">
        <v>8.6046251398731108</v>
      </c>
    </row>
    <row r="1042" spans="1:40" x14ac:dyDescent="0.3">
      <c r="A1042" t="s">
        <v>340</v>
      </c>
      <c r="B1042" t="s">
        <v>17</v>
      </c>
      <c r="C1042" t="s">
        <v>10</v>
      </c>
      <c r="D1042" t="s">
        <v>11</v>
      </c>
      <c r="E1042">
        <v>202602</v>
      </c>
      <c r="F1042" t="s">
        <v>346</v>
      </c>
      <c r="G1042">
        <v>0</v>
      </c>
      <c r="H1042">
        <v>0</v>
      </c>
      <c r="I1042">
        <v>1</v>
      </c>
      <c r="J1042">
        <v>0</v>
      </c>
      <c r="K1042">
        <v>0</v>
      </c>
      <c r="L1042">
        <v>1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>
        <v>0</v>
      </c>
      <c r="AB1042">
        <v>0</v>
      </c>
      <c r="AC1042">
        <v>0</v>
      </c>
      <c r="AD1042">
        <v>0</v>
      </c>
      <c r="AE1042">
        <v>0</v>
      </c>
      <c r="AF1042">
        <v>0</v>
      </c>
      <c r="AG1042">
        <v>0</v>
      </c>
      <c r="AH1042">
        <v>0</v>
      </c>
      <c r="AI1042">
        <v>0</v>
      </c>
      <c r="AJ1042">
        <v>0</v>
      </c>
      <c r="AK1042">
        <v>0</v>
      </c>
      <c r="AL1042">
        <v>2</v>
      </c>
      <c r="AM1042">
        <v>0</v>
      </c>
      <c r="AN1042">
        <v>2</v>
      </c>
    </row>
    <row r="1043" spans="1:40" x14ac:dyDescent="0.3">
      <c r="A1043" t="s">
        <v>340</v>
      </c>
      <c r="B1043" t="s">
        <v>17</v>
      </c>
      <c r="C1043" t="s">
        <v>10</v>
      </c>
      <c r="D1043" t="s">
        <v>11</v>
      </c>
      <c r="E1043">
        <v>202602</v>
      </c>
      <c r="F1043" t="s">
        <v>347</v>
      </c>
      <c r="G1043">
        <v>0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v>0</v>
      </c>
      <c r="N1043">
        <v>0</v>
      </c>
      <c r="O1043">
        <v>1</v>
      </c>
      <c r="P1043">
        <v>1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0</v>
      </c>
      <c r="X1043">
        <v>0</v>
      </c>
      <c r="Y1043">
        <v>0</v>
      </c>
      <c r="Z1043">
        <v>0</v>
      </c>
      <c r="AA1043">
        <v>0</v>
      </c>
      <c r="AB1043">
        <v>0</v>
      </c>
      <c r="AC1043">
        <v>0</v>
      </c>
      <c r="AD1043">
        <v>0</v>
      </c>
      <c r="AE1043">
        <v>0</v>
      </c>
      <c r="AF1043">
        <v>0</v>
      </c>
      <c r="AG1043">
        <v>0</v>
      </c>
      <c r="AH1043">
        <v>0</v>
      </c>
      <c r="AI1043">
        <v>0</v>
      </c>
      <c r="AJ1043">
        <v>0</v>
      </c>
      <c r="AK1043">
        <v>0</v>
      </c>
      <c r="AL1043">
        <v>2</v>
      </c>
      <c r="AM1043">
        <v>0.66666666666666663</v>
      </c>
      <c r="AN1043">
        <v>11.209250279746223</v>
      </c>
    </row>
    <row r="1044" spans="1:40" x14ac:dyDescent="0.3">
      <c r="A1044" t="s">
        <v>340</v>
      </c>
      <c r="B1044" t="s">
        <v>17</v>
      </c>
      <c r="C1044" t="s">
        <v>10</v>
      </c>
      <c r="D1044" t="s">
        <v>11</v>
      </c>
      <c r="E1044">
        <v>202602</v>
      </c>
      <c r="F1044" t="s">
        <v>348</v>
      </c>
      <c r="G1044">
        <v>0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v>2</v>
      </c>
      <c r="N1044">
        <v>0</v>
      </c>
      <c r="O1044">
        <v>0</v>
      </c>
      <c r="P1044">
        <v>0</v>
      </c>
      <c r="Q1044">
        <v>1</v>
      </c>
      <c r="R1044">
        <v>0</v>
      </c>
      <c r="S1044">
        <v>0</v>
      </c>
      <c r="T1044">
        <v>0</v>
      </c>
      <c r="U1044">
        <v>0</v>
      </c>
      <c r="V1044">
        <v>0</v>
      </c>
      <c r="W1044">
        <v>0</v>
      </c>
      <c r="X1044">
        <v>0</v>
      </c>
      <c r="Y1044">
        <v>0</v>
      </c>
      <c r="Z1044">
        <v>0</v>
      </c>
      <c r="AA1044">
        <v>0</v>
      </c>
      <c r="AB1044">
        <v>0</v>
      </c>
      <c r="AC1044">
        <v>0</v>
      </c>
      <c r="AD1044">
        <v>0</v>
      </c>
      <c r="AE1044">
        <v>0</v>
      </c>
      <c r="AF1044">
        <v>0</v>
      </c>
      <c r="AG1044">
        <v>0</v>
      </c>
      <c r="AH1044">
        <v>0</v>
      </c>
      <c r="AI1044">
        <v>0</v>
      </c>
      <c r="AJ1044">
        <v>0</v>
      </c>
      <c r="AK1044">
        <v>0</v>
      </c>
      <c r="AL1044">
        <v>3</v>
      </c>
      <c r="AM1044">
        <v>0.33333333333333331</v>
      </c>
      <c r="AN1044">
        <v>7.6046251398731117</v>
      </c>
    </row>
    <row r="1045" spans="1:40" x14ac:dyDescent="0.3">
      <c r="A1045" t="s">
        <v>340</v>
      </c>
      <c r="B1045" t="s">
        <v>17</v>
      </c>
      <c r="C1045" t="s">
        <v>10</v>
      </c>
      <c r="D1045" t="s">
        <v>11</v>
      </c>
      <c r="E1045">
        <v>202602</v>
      </c>
      <c r="F1045" t="s">
        <v>349</v>
      </c>
      <c r="G1045">
        <v>0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v>0</v>
      </c>
      <c r="N1045">
        <v>0</v>
      </c>
      <c r="O1045">
        <v>1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0</v>
      </c>
      <c r="V1045">
        <v>0</v>
      </c>
      <c r="W1045">
        <v>0</v>
      </c>
      <c r="X1045">
        <v>0</v>
      </c>
      <c r="Y1045">
        <v>0</v>
      </c>
      <c r="Z1045">
        <v>0</v>
      </c>
      <c r="AA1045">
        <v>0</v>
      </c>
      <c r="AB1045">
        <v>0</v>
      </c>
      <c r="AC1045">
        <v>0</v>
      </c>
      <c r="AD1045">
        <v>0</v>
      </c>
      <c r="AE1045">
        <v>0</v>
      </c>
      <c r="AF1045">
        <v>0</v>
      </c>
      <c r="AG1045">
        <v>0</v>
      </c>
      <c r="AH1045">
        <v>0</v>
      </c>
      <c r="AI1045">
        <v>0</v>
      </c>
      <c r="AJ1045">
        <v>0</v>
      </c>
      <c r="AK1045">
        <v>0</v>
      </c>
      <c r="AL1045">
        <v>1</v>
      </c>
      <c r="AM1045">
        <v>0.33333333333333331</v>
      </c>
      <c r="AN1045">
        <v>5.6046251398731117</v>
      </c>
    </row>
    <row r="1046" spans="1:40" x14ac:dyDescent="0.3">
      <c r="A1046" t="s">
        <v>340</v>
      </c>
      <c r="B1046" t="s">
        <v>17</v>
      </c>
      <c r="C1046" t="s">
        <v>10</v>
      </c>
      <c r="D1046" t="s">
        <v>11</v>
      </c>
      <c r="E1046">
        <v>202602</v>
      </c>
      <c r="F1046" t="s">
        <v>350</v>
      </c>
      <c r="G1046">
        <v>0</v>
      </c>
      <c r="H1046">
        <v>0</v>
      </c>
      <c r="I1046">
        <v>1</v>
      </c>
      <c r="J1046">
        <v>0</v>
      </c>
      <c r="K1046">
        <v>1</v>
      </c>
      <c r="L1046">
        <v>0</v>
      </c>
      <c r="M1046">
        <v>2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0</v>
      </c>
      <c r="V1046">
        <v>0</v>
      </c>
      <c r="W1046">
        <v>0</v>
      </c>
      <c r="X1046">
        <v>0</v>
      </c>
      <c r="Y1046">
        <v>0</v>
      </c>
      <c r="Z1046">
        <v>0</v>
      </c>
      <c r="AA1046">
        <v>0</v>
      </c>
      <c r="AB1046">
        <v>0</v>
      </c>
      <c r="AC1046">
        <v>0</v>
      </c>
      <c r="AD1046">
        <v>0</v>
      </c>
      <c r="AE1046">
        <v>0</v>
      </c>
      <c r="AF1046">
        <v>0</v>
      </c>
      <c r="AG1046">
        <v>0</v>
      </c>
      <c r="AH1046">
        <v>0</v>
      </c>
      <c r="AI1046">
        <v>0</v>
      </c>
      <c r="AJ1046">
        <v>0</v>
      </c>
      <c r="AK1046">
        <v>0</v>
      </c>
      <c r="AL1046">
        <v>4</v>
      </c>
      <c r="AM1046">
        <v>0</v>
      </c>
      <c r="AN1046">
        <v>4</v>
      </c>
    </row>
    <row r="1047" spans="1:40" x14ac:dyDescent="0.3">
      <c r="A1047" t="s">
        <v>340</v>
      </c>
      <c r="B1047" t="s">
        <v>17</v>
      </c>
      <c r="C1047" t="s">
        <v>10</v>
      </c>
      <c r="D1047" t="s">
        <v>11</v>
      </c>
      <c r="E1047">
        <v>202602</v>
      </c>
      <c r="F1047" t="s">
        <v>351</v>
      </c>
      <c r="G1047">
        <v>0</v>
      </c>
      <c r="H1047">
        <v>0</v>
      </c>
      <c r="I1047">
        <v>0</v>
      </c>
      <c r="J1047">
        <v>0</v>
      </c>
      <c r="K1047">
        <v>0</v>
      </c>
      <c r="L1047">
        <v>1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0</v>
      </c>
      <c r="V1047">
        <v>0</v>
      </c>
      <c r="W1047">
        <v>0</v>
      </c>
      <c r="X1047">
        <v>0</v>
      </c>
      <c r="Y1047">
        <v>0</v>
      </c>
      <c r="Z1047">
        <v>0</v>
      </c>
      <c r="AA1047">
        <v>0</v>
      </c>
      <c r="AB1047">
        <v>0</v>
      </c>
      <c r="AC1047">
        <v>0</v>
      </c>
      <c r="AD1047">
        <v>0</v>
      </c>
      <c r="AE1047">
        <v>0</v>
      </c>
      <c r="AF1047">
        <v>0</v>
      </c>
      <c r="AG1047">
        <v>0</v>
      </c>
      <c r="AH1047">
        <v>0</v>
      </c>
      <c r="AI1047">
        <v>0</v>
      </c>
      <c r="AJ1047">
        <v>0</v>
      </c>
      <c r="AK1047">
        <v>0</v>
      </c>
      <c r="AL1047">
        <v>1</v>
      </c>
      <c r="AM1047">
        <v>0</v>
      </c>
      <c r="AN1047">
        <v>1</v>
      </c>
    </row>
    <row r="1048" spans="1:40" x14ac:dyDescent="0.3">
      <c r="A1048" t="s">
        <v>340</v>
      </c>
      <c r="B1048" t="s">
        <v>17</v>
      </c>
      <c r="C1048" t="s">
        <v>10</v>
      </c>
      <c r="D1048" t="s">
        <v>11</v>
      </c>
      <c r="E1048">
        <v>202602</v>
      </c>
      <c r="F1048" t="s">
        <v>352</v>
      </c>
      <c r="G1048">
        <v>0</v>
      </c>
      <c r="H1048">
        <v>0</v>
      </c>
      <c r="I1048">
        <v>0</v>
      </c>
      <c r="J1048">
        <v>0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1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0</v>
      </c>
      <c r="W1048">
        <v>0</v>
      </c>
      <c r="X1048">
        <v>0</v>
      </c>
      <c r="Y1048">
        <v>0</v>
      </c>
      <c r="Z1048">
        <v>0</v>
      </c>
      <c r="AA1048">
        <v>0</v>
      </c>
      <c r="AB1048">
        <v>0</v>
      </c>
      <c r="AC1048">
        <v>0</v>
      </c>
      <c r="AD1048">
        <v>0</v>
      </c>
      <c r="AE1048">
        <v>0</v>
      </c>
      <c r="AF1048">
        <v>0</v>
      </c>
      <c r="AG1048">
        <v>0</v>
      </c>
      <c r="AH1048">
        <v>0</v>
      </c>
      <c r="AI1048">
        <v>0</v>
      </c>
      <c r="AJ1048">
        <v>0</v>
      </c>
      <c r="AK1048">
        <v>0</v>
      </c>
      <c r="AL1048">
        <v>1</v>
      </c>
      <c r="AM1048">
        <v>0.33333333333333331</v>
      </c>
      <c r="AN1048">
        <v>5.6046251398731117</v>
      </c>
    </row>
    <row r="1049" spans="1:40" x14ac:dyDescent="0.3">
      <c r="A1049" t="s">
        <v>340</v>
      </c>
      <c r="B1049" t="s">
        <v>17</v>
      </c>
      <c r="C1049" t="s">
        <v>10</v>
      </c>
      <c r="D1049" t="s">
        <v>14</v>
      </c>
      <c r="E1049">
        <v>202602</v>
      </c>
      <c r="F1049" t="s">
        <v>18</v>
      </c>
      <c r="G1049">
        <v>0</v>
      </c>
      <c r="H1049">
        <v>1</v>
      </c>
      <c r="I1049">
        <v>1</v>
      </c>
      <c r="J1049">
        <v>0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0</v>
      </c>
      <c r="V1049">
        <v>0</v>
      </c>
      <c r="W1049">
        <v>0</v>
      </c>
      <c r="X1049">
        <v>0</v>
      </c>
      <c r="Y1049">
        <v>0</v>
      </c>
      <c r="Z1049">
        <v>0</v>
      </c>
      <c r="AA1049">
        <v>0</v>
      </c>
      <c r="AB1049">
        <v>0</v>
      </c>
      <c r="AC1049">
        <v>0</v>
      </c>
      <c r="AD1049">
        <v>0</v>
      </c>
      <c r="AE1049">
        <v>0</v>
      </c>
      <c r="AF1049">
        <v>0</v>
      </c>
      <c r="AG1049">
        <v>0</v>
      </c>
      <c r="AH1049">
        <v>0</v>
      </c>
      <c r="AI1049">
        <v>0</v>
      </c>
      <c r="AJ1049">
        <v>0</v>
      </c>
      <c r="AK1049">
        <v>0</v>
      </c>
      <c r="AL1049">
        <v>2</v>
      </c>
      <c r="AM1049">
        <v>0</v>
      </c>
      <c r="AN1049">
        <v>2</v>
      </c>
    </row>
    <row r="1050" spans="1:40" x14ac:dyDescent="0.3">
      <c r="A1050" t="s">
        <v>340</v>
      </c>
      <c r="B1050" t="s">
        <v>17</v>
      </c>
      <c r="C1050" t="s">
        <v>10</v>
      </c>
      <c r="D1050" t="s">
        <v>14</v>
      </c>
      <c r="E1050">
        <v>202602</v>
      </c>
      <c r="F1050" t="s">
        <v>342</v>
      </c>
      <c r="G1050">
        <v>0</v>
      </c>
      <c r="H1050">
        <v>1</v>
      </c>
      <c r="I1050">
        <v>1</v>
      </c>
      <c r="J1050">
        <v>0</v>
      </c>
      <c r="K1050">
        <v>0</v>
      </c>
      <c r="L1050">
        <v>0</v>
      </c>
      <c r="M1050">
        <v>1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0</v>
      </c>
      <c r="V1050">
        <v>0</v>
      </c>
      <c r="W1050">
        <v>0</v>
      </c>
      <c r="X1050">
        <v>0</v>
      </c>
      <c r="Y1050">
        <v>0</v>
      </c>
      <c r="Z1050">
        <v>0</v>
      </c>
      <c r="AA1050">
        <v>0</v>
      </c>
      <c r="AB1050">
        <v>0</v>
      </c>
      <c r="AC1050">
        <v>0</v>
      </c>
      <c r="AD1050">
        <v>0</v>
      </c>
      <c r="AE1050">
        <v>0</v>
      </c>
      <c r="AF1050">
        <v>0</v>
      </c>
      <c r="AG1050">
        <v>0</v>
      </c>
      <c r="AH1050">
        <v>0</v>
      </c>
      <c r="AI1050">
        <v>0</v>
      </c>
      <c r="AJ1050">
        <v>0</v>
      </c>
      <c r="AK1050">
        <v>0</v>
      </c>
      <c r="AL1050">
        <v>3</v>
      </c>
      <c r="AM1050">
        <v>0</v>
      </c>
      <c r="AN1050">
        <v>3</v>
      </c>
    </row>
    <row r="1051" spans="1:40" x14ac:dyDescent="0.3">
      <c r="A1051" t="s">
        <v>340</v>
      </c>
      <c r="B1051" t="s">
        <v>17</v>
      </c>
      <c r="C1051" t="s">
        <v>10</v>
      </c>
      <c r="D1051" t="s">
        <v>14</v>
      </c>
      <c r="E1051">
        <v>202602</v>
      </c>
      <c r="F1051" t="s">
        <v>344</v>
      </c>
      <c r="G1051">
        <v>0</v>
      </c>
      <c r="H1051">
        <v>0</v>
      </c>
      <c r="I1051">
        <v>0</v>
      </c>
      <c r="J1051">
        <v>0</v>
      </c>
      <c r="K1051">
        <v>1</v>
      </c>
      <c r="L1051">
        <v>1</v>
      </c>
      <c r="M1051">
        <v>0</v>
      </c>
      <c r="N1051">
        <v>0</v>
      </c>
      <c r="O1051">
        <v>1</v>
      </c>
      <c r="P1051">
        <v>0</v>
      </c>
      <c r="Q1051">
        <v>1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0</v>
      </c>
      <c r="AC1051">
        <v>0</v>
      </c>
      <c r="AD1051">
        <v>0</v>
      </c>
      <c r="AE1051">
        <v>0</v>
      </c>
      <c r="AF1051">
        <v>0</v>
      </c>
      <c r="AG1051">
        <v>0</v>
      </c>
      <c r="AH1051">
        <v>0</v>
      </c>
      <c r="AI1051">
        <v>0</v>
      </c>
      <c r="AJ1051">
        <v>0</v>
      </c>
      <c r="AK1051">
        <v>0</v>
      </c>
      <c r="AL1051">
        <v>4</v>
      </c>
      <c r="AM1051">
        <v>0.66666666666666663</v>
      </c>
      <c r="AN1051">
        <v>12.083482142857227</v>
      </c>
    </row>
    <row r="1052" spans="1:40" x14ac:dyDescent="0.3">
      <c r="A1052" t="s">
        <v>340</v>
      </c>
      <c r="B1052" t="s">
        <v>17</v>
      </c>
      <c r="C1052" t="s">
        <v>10</v>
      </c>
      <c r="D1052" t="s">
        <v>14</v>
      </c>
      <c r="E1052">
        <v>202602</v>
      </c>
      <c r="F1052" t="s">
        <v>345</v>
      </c>
      <c r="G1052">
        <v>0</v>
      </c>
      <c r="H1052">
        <v>0</v>
      </c>
      <c r="I1052">
        <v>0</v>
      </c>
      <c r="J1052">
        <v>1</v>
      </c>
      <c r="K1052">
        <v>0</v>
      </c>
      <c r="L1052">
        <v>0</v>
      </c>
      <c r="M1052">
        <v>0</v>
      </c>
      <c r="N1052">
        <v>0</v>
      </c>
      <c r="O1052">
        <v>1</v>
      </c>
      <c r="P1052">
        <v>1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>
        <v>0</v>
      </c>
      <c r="AB1052">
        <v>0</v>
      </c>
      <c r="AC1052">
        <v>0</v>
      </c>
      <c r="AD1052">
        <v>0</v>
      </c>
      <c r="AE1052">
        <v>0</v>
      </c>
      <c r="AF1052">
        <v>0</v>
      </c>
      <c r="AG1052">
        <v>0</v>
      </c>
      <c r="AH1052">
        <v>0</v>
      </c>
      <c r="AI1052">
        <v>0</v>
      </c>
      <c r="AJ1052">
        <v>0</v>
      </c>
      <c r="AK1052">
        <v>0</v>
      </c>
      <c r="AL1052">
        <v>3</v>
      </c>
      <c r="AM1052">
        <v>0.66666666666666663</v>
      </c>
      <c r="AN1052">
        <v>11.083482142857227</v>
      </c>
    </row>
    <row r="1053" spans="1:40" x14ac:dyDescent="0.3">
      <c r="A1053" t="s">
        <v>340</v>
      </c>
      <c r="B1053" t="s">
        <v>17</v>
      </c>
      <c r="C1053" t="s">
        <v>10</v>
      </c>
      <c r="D1053" t="s">
        <v>14</v>
      </c>
      <c r="E1053">
        <v>202602</v>
      </c>
      <c r="F1053" t="s">
        <v>46</v>
      </c>
      <c r="G1053">
        <v>0</v>
      </c>
      <c r="H1053">
        <v>0</v>
      </c>
      <c r="I1053">
        <v>0</v>
      </c>
      <c r="J1053">
        <v>0</v>
      </c>
      <c r="K1053">
        <v>0</v>
      </c>
      <c r="L1053">
        <v>0</v>
      </c>
      <c r="M1053">
        <v>0</v>
      </c>
      <c r="N1053">
        <v>1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>
        <v>0</v>
      </c>
      <c r="AB1053">
        <v>0</v>
      </c>
      <c r="AC1053">
        <v>0</v>
      </c>
      <c r="AD1053">
        <v>0</v>
      </c>
      <c r="AE1053">
        <v>0</v>
      </c>
      <c r="AF1053">
        <v>0</v>
      </c>
      <c r="AG1053">
        <v>0</v>
      </c>
      <c r="AH1053">
        <v>0</v>
      </c>
      <c r="AI1053">
        <v>0</v>
      </c>
      <c r="AJ1053">
        <v>0</v>
      </c>
      <c r="AK1053">
        <v>0</v>
      </c>
      <c r="AL1053">
        <v>1</v>
      </c>
      <c r="AM1053">
        <v>0</v>
      </c>
      <c r="AN1053">
        <v>1</v>
      </c>
    </row>
    <row r="1054" spans="1:40" x14ac:dyDescent="0.3">
      <c r="A1054" t="s">
        <v>340</v>
      </c>
      <c r="B1054" t="s">
        <v>17</v>
      </c>
      <c r="C1054" t="s">
        <v>10</v>
      </c>
      <c r="D1054" t="s">
        <v>14</v>
      </c>
      <c r="E1054">
        <v>202602</v>
      </c>
      <c r="F1054" t="s">
        <v>693</v>
      </c>
      <c r="G1054">
        <v>0</v>
      </c>
      <c r="H1054">
        <v>0</v>
      </c>
      <c r="I1054">
        <v>0</v>
      </c>
      <c r="J1054">
        <v>0</v>
      </c>
      <c r="K1054">
        <v>0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1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>
        <v>0</v>
      </c>
      <c r="AB1054">
        <v>0</v>
      </c>
      <c r="AC1054">
        <v>0</v>
      </c>
      <c r="AD1054">
        <v>0</v>
      </c>
      <c r="AE1054">
        <v>0</v>
      </c>
      <c r="AF1054">
        <v>0</v>
      </c>
      <c r="AG1054">
        <v>0</v>
      </c>
      <c r="AH1054">
        <v>0</v>
      </c>
      <c r="AI1054">
        <v>0</v>
      </c>
      <c r="AJ1054">
        <v>0</v>
      </c>
      <c r="AK1054">
        <v>0</v>
      </c>
      <c r="AL1054">
        <v>1</v>
      </c>
      <c r="AM1054">
        <v>0.33333333333333331</v>
      </c>
      <c r="AN1054">
        <v>5.0417410714286133</v>
      </c>
    </row>
    <row r="1055" spans="1:40" x14ac:dyDescent="0.3">
      <c r="A1055" t="s">
        <v>340</v>
      </c>
      <c r="B1055" t="s">
        <v>17</v>
      </c>
      <c r="C1055" t="s">
        <v>10</v>
      </c>
      <c r="D1055" t="s">
        <v>14</v>
      </c>
      <c r="E1055">
        <v>202602</v>
      </c>
      <c r="F1055" t="s">
        <v>346</v>
      </c>
      <c r="G1055">
        <v>0</v>
      </c>
      <c r="H1055">
        <v>1</v>
      </c>
      <c r="I1055">
        <v>1</v>
      </c>
      <c r="J1055">
        <v>0</v>
      </c>
      <c r="K1055">
        <v>0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1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>
        <v>0</v>
      </c>
      <c r="AB1055">
        <v>0</v>
      </c>
      <c r="AC1055">
        <v>0</v>
      </c>
      <c r="AD1055">
        <v>0</v>
      </c>
      <c r="AE1055">
        <v>0</v>
      </c>
      <c r="AF1055">
        <v>0</v>
      </c>
      <c r="AG1055">
        <v>0</v>
      </c>
      <c r="AH1055">
        <v>0</v>
      </c>
      <c r="AI1055">
        <v>0</v>
      </c>
      <c r="AJ1055">
        <v>0</v>
      </c>
      <c r="AK1055">
        <v>0</v>
      </c>
      <c r="AL1055">
        <v>3</v>
      </c>
      <c r="AM1055">
        <v>0.33333333333333331</v>
      </c>
      <c r="AN1055">
        <v>7.0417410714286133</v>
      </c>
    </row>
    <row r="1056" spans="1:40" x14ac:dyDescent="0.3">
      <c r="A1056" t="s">
        <v>340</v>
      </c>
      <c r="B1056" t="s">
        <v>17</v>
      </c>
      <c r="C1056" t="s">
        <v>10</v>
      </c>
      <c r="D1056" t="s">
        <v>14</v>
      </c>
      <c r="E1056">
        <v>202602</v>
      </c>
      <c r="F1056" t="s">
        <v>347</v>
      </c>
      <c r="G1056">
        <v>0</v>
      </c>
      <c r="H1056">
        <v>0</v>
      </c>
      <c r="I1056">
        <v>0</v>
      </c>
      <c r="J1056">
        <v>0</v>
      </c>
      <c r="K1056">
        <v>0</v>
      </c>
      <c r="L1056">
        <v>2</v>
      </c>
      <c r="M1056">
        <v>0</v>
      </c>
      <c r="N1056">
        <v>0</v>
      </c>
      <c r="O1056">
        <v>0</v>
      </c>
      <c r="P1056">
        <v>1</v>
      </c>
      <c r="Q1056">
        <v>1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>
        <v>0</v>
      </c>
      <c r="AB1056">
        <v>0</v>
      </c>
      <c r="AC1056">
        <v>0</v>
      </c>
      <c r="AD1056">
        <v>0</v>
      </c>
      <c r="AE1056">
        <v>0</v>
      </c>
      <c r="AF1056">
        <v>0</v>
      </c>
      <c r="AG1056">
        <v>0</v>
      </c>
      <c r="AH1056">
        <v>0</v>
      </c>
      <c r="AI1056">
        <v>0</v>
      </c>
      <c r="AJ1056">
        <v>0</v>
      </c>
      <c r="AK1056">
        <v>0</v>
      </c>
      <c r="AL1056">
        <v>4</v>
      </c>
      <c r="AM1056">
        <v>0.66666666666666663</v>
      </c>
      <c r="AN1056">
        <v>12.083482142857227</v>
      </c>
    </row>
    <row r="1057" spans="1:40" x14ac:dyDescent="0.3">
      <c r="A1057" t="s">
        <v>340</v>
      </c>
      <c r="B1057" t="s">
        <v>17</v>
      </c>
      <c r="C1057" t="s">
        <v>10</v>
      </c>
      <c r="D1057" t="s">
        <v>14</v>
      </c>
      <c r="E1057">
        <v>202602</v>
      </c>
      <c r="F1057" t="s">
        <v>348</v>
      </c>
      <c r="G1057">
        <v>0</v>
      </c>
      <c r="H1057">
        <v>0</v>
      </c>
      <c r="I1057">
        <v>0</v>
      </c>
      <c r="J1057">
        <v>1</v>
      </c>
      <c r="K1057">
        <v>1</v>
      </c>
      <c r="L1057">
        <v>2</v>
      </c>
      <c r="M1057">
        <v>0</v>
      </c>
      <c r="N1057">
        <v>0</v>
      </c>
      <c r="O1057">
        <v>0</v>
      </c>
      <c r="P1057">
        <v>1</v>
      </c>
      <c r="Q1057">
        <v>0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0</v>
      </c>
      <c r="AA1057">
        <v>0</v>
      </c>
      <c r="AB1057">
        <v>0</v>
      </c>
      <c r="AC1057">
        <v>0</v>
      </c>
      <c r="AD1057">
        <v>0</v>
      </c>
      <c r="AE1057">
        <v>0</v>
      </c>
      <c r="AF1057">
        <v>0</v>
      </c>
      <c r="AG1057">
        <v>0</v>
      </c>
      <c r="AH1057">
        <v>0</v>
      </c>
      <c r="AI1057">
        <v>0</v>
      </c>
      <c r="AJ1057">
        <v>0</v>
      </c>
      <c r="AK1057">
        <v>0</v>
      </c>
      <c r="AL1057">
        <v>5</v>
      </c>
      <c r="AM1057">
        <v>0.33333333333333331</v>
      </c>
      <c r="AN1057">
        <v>9.0417410714286142</v>
      </c>
    </row>
    <row r="1058" spans="1:40" x14ac:dyDescent="0.3">
      <c r="A1058" t="s">
        <v>340</v>
      </c>
      <c r="B1058" t="s">
        <v>17</v>
      </c>
      <c r="C1058" t="s">
        <v>10</v>
      </c>
      <c r="D1058" t="s">
        <v>14</v>
      </c>
      <c r="E1058">
        <v>202602</v>
      </c>
      <c r="F1058" t="s">
        <v>349</v>
      </c>
      <c r="G1058">
        <v>0</v>
      </c>
      <c r="H1058">
        <v>0</v>
      </c>
      <c r="I1058">
        <v>0</v>
      </c>
      <c r="J1058">
        <v>0</v>
      </c>
      <c r="K1058">
        <v>1</v>
      </c>
      <c r="L1058">
        <v>0</v>
      </c>
      <c r="M1058">
        <v>0</v>
      </c>
      <c r="N1058">
        <v>0</v>
      </c>
      <c r="O1058">
        <v>0</v>
      </c>
      <c r="P1058">
        <v>0</v>
      </c>
      <c r="Q1058">
        <v>0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0</v>
      </c>
      <c r="AA1058">
        <v>0</v>
      </c>
      <c r="AB1058">
        <v>0</v>
      </c>
      <c r="AC1058">
        <v>0</v>
      </c>
      <c r="AD1058">
        <v>0</v>
      </c>
      <c r="AE1058">
        <v>0</v>
      </c>
      <c r="AF1058">
        <v>0</v>
      </c>
      <c r="AG1058">
        <v>0</v>
      </c>
      <c r="AH1058">
        <v>0</v>
      </c>
      <c r="AI1058">
        <v>0</v>
      </c>
      <c r="AJ1058">
        <v>0</v>
      </c>
      <c r="AK1058">
        <v>0</v>
      </c>
      <c r="AL1058">
        <v>1</v>
      </c>
      <c r="AM1058">
        <v>0</v>
      </c>
      <c r="AN1058">
        <v>1</v>
      </c>
    </row>
    <row r="1059" spans="1:40" x14ac:dyDescent="0.3">
      <c r="A1059" t="s">
        <v>340</v>
      </c>
      <c r="B1059" t="s">
        <v>17</v>
      </c>
      <c r="C1059" t="s">
        <v>10</v>
      </c>
      <c r="D1059" t="s">
        <v>14</v>
      </c>
      <c r="E1059">
        <v>202602</v>
      </c>
      <c r="F1059" t="s">
        <v>350</v>
      </c>
      <c r="G1059">
        <v>1</v>
      </c>
      <c r="H1059">
        <v>2</v>
      </c>
      <c r="I1059">
        <v>0</v>
      </c>
      <c r="J1059">
        <v>0</v>
      </c>
      <c r="K1059">
        <v>0</v>
      </c>
      <c r="L1059">
        <v>0</v>
      </c>
      <c r="M1059">
        <v>0</v>
      </c>
      <c r="N1059">
        <v>0</v>
      </c>
      <c r="O1059">
        <v>0</v>
      </c>
      <c r="P1059">
        <v>0</v>
      </c>
      <c r="Q1059">
        <v>0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0</v>
      </c>
      <c r="Z1059">
        <v>0</v>
      </c>
      <c r="AA1059">
        <v>0</v>
      </c>
      <c r="AB1059">
        <v>0</v>
      </c>
      <c r="AC1059">
        <v>0</v>
      </c>
      <c r="AD1059">
        <v>0</v>
      </c>
      <c r="AE1059">
        <v>0</v>
      </c>
      <c r="AF1059">
        <v>0</v>
      </c>
      <c r="AG1059">
        <v>0</v>
      </c>
      <c r="AH1059">
        <v>0</v>
      </c>
      <c r="AI1059">
        <v>0</v>
      </c>
      <c r="AJ1059">
        <v>0</v>
      </c>
      <c r="AK1059">
        <v>0</v>
      </c>
      <c r="AL1059">
        <v>3</v>
      </c>
      <c r="AM1059">
        <v>0</v>
      </c>
      <c r="AN1059">
        <v>3</v>
      </c>
    </row>
    <row r="1060" spans="1:40" x14ac:dyDescent="0.3">
      <c r="A1060" t="s">
        <v>340</v>
      </c>
      <c r="B1060" t="s">
        <v>17</v>
      </c>
      <c r="C1060" t="s">
        <v>10</v>
      </c>
      <c r="D1060" t="s">
        <v>14</v>
      </c>
      <c r="E1060">
        <v>202602</v>
      </c>
      <c r="F1060" t="s">
        <v>351</v>
      </c>
      <c r="G1060">
        <v>0</v>
      </c>
      <c r="H1060">
        <v>0</v>
      </c>
      <c r="I1060">
        <v>0</v>
      </c>
      <c r="J1060">
        <v>1</v>
      </c>
      <c r="K1060">
        <v>0</v>
      </c>
      <c r="L1060">
        <v>0</v>
      </c>
      <c r="M1060">
        <v>0</v>
      </c>
      <c r="N1060">
        <v>0</v>
      </c>
      <c r="O1060">
        <v>0</v>
      </c>
      <c r="P1060">
        <v>0</v>
      </c>
      <c r="Q1060">
        <v>0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0</v>
      </c>
      <c r="Z1060">
        <v>0</v>
      </c>
      <c r="AA1060">
        <v>0</v>
      </c>
      <c r="AB1060">
        <v>0</v>
      </c>
      <c r="AC1060">
        <v>0</v>
      </c>
      <c r="AD1060">
        <v>0</v>
      </c>
      <c r="AE1060">
        <v>0</v>
      </c>
      <c r="AF1060">
        <v>0</v>
      </c>
      <c r="AG1060">
        <v>0</v>
      </c>
      <c r="AH1060">
        <v>0</v>
      </c>
      <c r="AI1060">
        <v>0</v>
      </c>
      <c r="AJ1060">
        <v>0</v>
      </c>
      <c r="AK1060">
        <v>0</v>
      </c>
      <c r="AL1060">
        <v>1</v>
      </c>
      <c r="AM1060">
        <v>0</v>
      </c>
      <c r="AN1060">
        <v>1</v>
      </c>
    </row>
    <row r="1061" spans="1:40" x14ac:dyDescent="0.3">
      <c r="A1061" t="s">
        <v>340</v>
      </c>
      <c r="B1061" t="s">
        <v>17</v>
      </c>
      <c r="C1061" t="s">
        <v>10</v>
      </c>
      <c r="D1061" t="s">
        <v>14</v>
      </c>
      <c r="E1061">
        <v>202602</v>
      </c>
      <c r="F1061" t="s">
        <v>352</v>
      </c>
      <c r="G1061">
        <v>0</v>
      </c>
      <c r="H1061">
        <v>0</v>
      </c>
      <c r="I1061">
        <v>0</v>
      </c>
      <c r="J1061">
        <v>0</v>
      </c>
      <c r="K1061">
        <v>1</v>
      </c>
      <c r="L1061">
        <v>0</v>
      </c>
      <c r="M1061">
        <v>0</v>
      </c>
      <c r="N1061">
        <v>0</v>
      </c>
      <c r="O1061">
        <v>0</v>
      </c>
      <c r="P1061">
        <v>0</v>
      </c>
      <c r="Q1061">
        <v>0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0</v>
      </c>
      <c r="Z1061">
        <v>0</v>
      </c>
      <c r="AA1061">
        <v>0</v>
      </c>
      <c r="AB1061">
        <v>0</v>
      </c>
      <c r="AC1061">
        <v>0</v>
      </c>
      <c r="AD1061">
        <v>0</v>
      </c>
      <c r="AE1061">
        <v>0</v>
      </c>
      <c r="AF1061">
        <v>0</v>
      </c>
      <c r="AG1061">
        <v>0</v>
      </c>
      <c r="AH1061">
        <v>0</v>
      </c>
      <c r="AI1061">
        <v>0</v>
      </c>
      <c r="AJ1061">
        <v>0</v>
      </c>
      <c r="AK1061">
        <v>0</v>
      </c>
      <c r="AL1061">
        <v>1</v>
      </c>
      <c r="AM1061">
        <v>0</v>
      </c>
      <c r="AN1061">
        <v>1</v>
      </c>
    </row>
    <row r="1062" spans="1:40" x14ac:dyDescent="0.3">
      <c r="A1062" t="s">
        <v>340</v>
      </c>
      <c r="B1062" t="s">
        <v>17</v>
      </c>
      <c r="C1062" t="s">
        <v>16</v>
      </c>
      <c r="D1062" t="s">
        <v>14</v>
      </c>
      <c r="E1062">
        <v>202602</v>
      </c>
      <c r="F1062" t="s">
        <v>343</v>
      </c>
      <c r="G1062">
        <v>0</v>
      </c>
      <c r="H1062">
        <v>0</v>
      </c>
      <c r="I1062">
        <v>0</v>
      </c>
      <c r="J1062">
        <v>0</v>
      </c>
      <c r="K1062">
        <v>0</v>
      </c>
      <c r="L1062">
        <v>0</v>
      </c>
      <c r="M1062">
        <v>0</v>
      </c>
      <c r="N1062">
        <v>0</v>
      </c>
      <c r="O1062">
        <v>0</v>
      </c>
      <c r="P1062">
        <v>0</v>
      </c>
      <c r="Q1062">
        <v>1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0</v>
      </c>
      <c r="AA1062">
        <v>0</v>
      </c>
      <c r="AB1062">
        <v>0</v>
      </c>
      <c r="AC1062">
        <v>0</v>
      </c>
      <c r="AD1062">
        <v>0</v>
      </c>
      <c r="AE1062">
        <v>0</v>
      </c>
      <c r="AF1062">
        <v>0</v>
      </c>
      <c r="AG1062">
        <v>0</v>
      </c>
      <c r="AH1062">
        <v>0</v>
      </c>
      <c r="AI1062">
        <v>0</v>
      </c>
      <c r="AJ1062">
        <v>0</v>
      </c>
      <c r="AK1062">
        <v>0</v>
      </c>
      <c r="AL1062">
        <v>1</v>
      </c>
      <c r="AM1062">
        <v>0.33333333333333331</v>
      </c>
      <c r="AN1062">
        <v>5.0417410714286133</v>
      </c>
    </row>
    <row r="1063" spans="1:40" x14ac:dyDescent="0.3">
      <c r="A1063" t="s">
        <v>340</v>
      </c>
      <c r="B1063" t="s">
        <v>17</v>
      </c>
      <c r="C1063" t="s">
        <v>16</v>
      </c>
      <c r="D1063" t="s">
        <v>14</v>
      </c>
      <c r="E1063">
        <v>202602</v>
      </c>
      <c r="F1063" t="s">
        <v>344</v>
      </c>
      <c r="G1063">
        <v>0</v>
      </c>
      <c r="H1063">
        <v>0</v>
      </c>
      <c r="I1063">
        <v>0</v>
      </c>
      <c r="J1063">
        <v>0</v>
      </c>
      <c r="K1063">
        <v>0</v>
      </c>
      <c r="L1063">
        <v>0</v>
      </c>
      <c r="M1063">
        <v>0</v>
      </c>
      <c r="N1063">
        <v>0</v>
      </c>
      <c r="O1063">
        <v>0</v>
      </c>
      <c r="P1063">
        <v>1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0</v>
      </c>
      <c r="Z1063">
        <v>0</v>
      </c>
      <c r="AA1063">
        <v>0</v>
      </c>
      <c r="AB1063">
        <v>0</v>
      </c>
      <c r="AC1063">
        <v>0</v>
      </c>
      <c r="AD1063">
        <v>0</v>
      </c>
      <c r="AE1063">
        <v>0</v>
      </c>
      <c r="AF1063">
        <v>0</v>
      </c>
      <c r="AG1063">
        <v>0</v>
      </c>
      <c r="AH1063">
        <v>0</v>
      </c>
      <c r="AI1063">
        <v>0</v>
      </c>
      <c r="AJ1063">
        <v>0</v>
      </c>
      <c r="AK1063">
        <v>0</v>
      </c>
      <c r="AL1063">
        <v>1</v>
      </c>
      <c r="AM1063">
        <v>0.33333333333333331</v>
      </c>
      <c r="AN1063">
        <v>5.0417410714286133</v>
      </c>
    </row>
    <row r="1064" spans="1:40" x14ac:dyDescent="0.3">
      <c r="A1064" t="s">
        <v>340</v>
      </c>
      <c r="B1064" t="s">
        <v>17</v>
      </c>
      <c r="C1064" t="s">
        <v>16</v>
      </c>
      <c r="D1064" t="s">
        <v>14</v>
      </c>
      <c r="E1064">
        <v>202602</v>
      </c>
      <c r="F1064" t="s">
        <v>353</v>
      </c>
      <c r="G1064">
        <v>0</v>
      </c>
      <c r="H1064">
        <v>0</v>
      </c>
      <c r="I1064">
        <v>0</v>
      </c>
      <c r="J1064">
        <v>0</v>
      </c>
      <c r="K1064">
        <v>0</v>
      </c>
      <c r="L1064">
        <v>0</v>
      </c>
      <c r="M1064">
        <v>0</v>
      </c>
      <c r="N1064">
        <v>0</v>
      </c>
      <c r="O1064">
        <v>1</v>
      </c>
      <c r="P1064">
        <v>0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0</v>
      </c>
      <c r="Z1064">
        <v>0</v>
      </c>
      <c r="AA1064">
        <v>0</v>
      </c>
      <c r="AB1064">
        <v>0</v>
      </c>
      <c r="AC1064">
        <v>0</v>
      </c>
      <c r="AD1064">
        <v>0</v>
      </c>
      <c r="AE1064">
        <v>0</v>
      </c>
      <c r="AF1064">
        <v>0</v>
      </c>
      <c r="AG1064">
        <v>0</v>
      </c>
      <c r="AH1064">
        <v>0</v>
      </c>
      <c r="AI1064">
        <v>0</v>
      </c>
      <c r="AJ1064">
        <v>0</v>
      </c>
      <c r="AK1064">
        <v>0</v>
      </c>
      <c r="AL1064">
        <v>1</v>
      </c>
      <c r="AM1064">
        <v>0.33333333333333331</v>
      </c>
      <c r="AN1064">
        <v>5.0417410714286133</v>
      </c>
    </row>
    <row r="1065" spans="1:40" x14ac:dyDescent="0.3">
      <c r="A1065" t="s">
        <v>340</v>
      </c>
      <c r="B1065" t="s">
        <v>17</v>
      </c>
      <c r="C1065" t="s">
        <v>16</v>
      </c>
      <c r="D1065" t="s">
        <v>14</v>
      </c>
      <c r="E1065">
        <v>202602</v>
      </c>
      <c r="F1065" t="s">
        <v>694</v>
      </c>
      <c r="G1065">
        <v>0</v>
      </c>
      <c r="H1065">
        <v>0</v>
      </c>
      <c r="I1065">
        <v>0</v>
      </c>
      <c r="J1065">
        <v>0</v>
      </c>
      <c r="K1065">
        <v>0</v>
      </c>
      <c r="L1065">
        <v>0</v>
      </c>
      <c r="M1065">
        <v>0</v>
      </c>
      <c r="N1065">
        <v>0</v>
      </c>
      <c r="O1065">
        <v>0</v>
      </c>
      <c r="P1065">
        <v>0</v>
      </c>
      <c r="Q1065">
        <v>1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0</v>
      </c>
      <c r="Z1065">
        <v>0</v>
      </c>
      <c r="AA1065">
        <v>0</v>
      </c>
      <c r="AB1065">
        <v>0</v>
      </c>
      <c r="AC1065">
        <v>0</v>
      </c>
      <c r="AD1065">
        <v>0</v>
      </c>
      <c r="AE1065">
        <v>0</v>
      </c>
      <c r="AF1065">
        <v>0</v>
      </c>
      <c r="AG1065">
        <v>0</v>
      </c>
      <c r="AH1065">
        <v>0</v>
      </c>
      <c r="AI1065">
        <v>0</v>
      </c>
      <c r="AJ1065">
        <v>0</v>
      </c>
      <c r="AK1065">
        <v>0</v>
      </c>
      <c r="AL1065">
        <v>1</v>
      </c>
      <c r="AM1065">
        <v>0.33333333333333331</v>
      </c>
      <c r="AN1065">
        <v>5.0417410714286133</v>
      </c>
    </row>
    <row r="1066" spans="1:40" x14ac:dyDescent="0.3">
      <c r="A1066" t="s">
        <v>340</v>
      </c>
      <c r="B1066" t="s">
        <v>17</v>
      </c>
      <c r="C1066" t="s">
        <v>16</v>
      </c>
      <c r="D1066" t="s">
        <v>14</v>
      </c>
      <c r="E1066">
        <v>202602</v>
      </c>
      <c r="F1066" t="s">
        <v>347</v>
      </c>
      <c r="G1066">
        <v>0</v>
      </c>
      <c r="H1066">
        <v>1</v>
      </c>
      <c r="I1066">
        <v>0</v>
      </c>
      <c r="J1066">
        <v>0</v>
      </c>
      <c r="K1066">
        <v>0</v>
      </c>
      <c r="L1066">
        <v>0</v>
      </c>
      <c r="M1066">
        <v>0</v>
      </c>
      <c r="N1066">
        <v>0</v>
      </c>
      <c r="O1066">
        <v>0</v>
      </c>
      <c r="P1066">
        <v>0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0</v>
      </c>
      <c r="Z1066">
        <v>0</v>
      </c>
      <c r="AA1066">
        <v>0</v>
      </c>
      <c r="AB1066">
        <v>0</v>
      </c>
      <c r="AC1066">
        <v>0</v>
      </c>
      <c r="AD1066">
        <v>0</v>
      </c>
      <c r="AE1066">
        <v>0</v>
      </c>
      <c r="AF1066">
        <v>0</v>
      </c>
      <c r="AG1066">
        <v>0</v>
      </c>
      <c r="AH1066">
        <v>0</v>
      </c>
      <c r="AI1066">
        <v>0</v>
      </c>
      <c r="AJ1066">
        <v>0</v>
      </c>
      <c r="AK1066">
        <v>0</v>
      </c>
      <c r="AL1066">
        <v>1</v>
      </c>
      <c r="AM1066">
        <v>0</v>
      </c>
      <c r="AN1066">
        <v>1</v>
      </c>
    </row>
    <row r="1067" spans="1:40" x14ac:dyDescent="0.3">
      <c r="A1067" t="s">
        <v>340</v>
      </c>
      <c r="B1067" t="s">
        <v>49</v>
      </c>
      <c r="C1067" t="s">
        <v>10</v>
      </c>
      <c r="D1067" t="s">
        <v>14</v>
      </c>
      <c r="E1067">
        <v>202602</v>
      </c>
      <c r="F1067" t="s">
        <v>50</v>
      </c>
      <c r="G1067">
        <v>0</v>
      </c>
      <c r="H1067">
        <v>1</v>
      </c>
      <c r="I1067">
        <v>0</v>
      </c>
      <c r="J1067">
        <v>0</v>
      </c>
      <c r="K1067">
        <v>0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1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>
        <v>0</v>
      </c>
      <c r="AB1067">
        <v>0</v>
      </c>
      <c r="AC1067">
        <v>0</v>
      </c>
      <c r="AD1067">
        <v>0</v>
      </c>
      <c r="AE1067">
        <v>0</v>
      </c>
      <c r="AF1067">
        <v>0</v>
      </c>
      <c r="AG1067">
        <v>0</v>
      </c>
      <c r="AH1067">
        <v>0</v>
      </c>
      <c r="AI1067">
        <v>0</v>
      </c>
      <c r="AJ1067">
        <v>0</v>
      </c>
      <c r="AK1067">
        <v>0</v>
      </c>
      <c r="AL1067">
        <v>2</v>
      </c>
      <c r="AM1067">
        <v>0.33333333333333331</v>
      </c>
      <c r="AN1067">
        <v>6.0417410714286133</v>
      </c>
    </row>
    <row r="1068" spans="1:40" x14ac:dyDescent="0.3">
      <c r="A1068" t="s">
        <v>340</v>
      </c>
      <c r="B1068" t="s">
        <v>49</v>
      </c>
      <c r="C1068" t="s">
        <v>16</v>
      </c>
      <c r="D1068" t="s">
        <v>14</v>
      </c>
      <c r="E1068">
        <v>202602</v>
      </c>
      <c r="F1068" t="s">
        <v>172</v>
      </c>
      <c r="G1068">
        <v>0</v>
      </c>
      <c r="H1068">
        <v>0</v>
      </c>
      <c r="I1068">
        <v>0</v>
      </c>
      <c r="J1068">
        <v>0</v>
      </c>
      <c r="K1068">
        <v>0</v>
      </c>
      <c r="L1068">
        <v>0</v>
      </c>
      <c r="M1068">
        <v>0</v>
      </c>
      <c r="N1068">
        <v>0</v>
      </c>
      <c r="O1068">
        <v>1</v>
      </c>
      <c r="P1068">
        <v>0</v>
      </c>
      <c r="Q1068">
        <v>0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>
        <v>0</v>
      </c>
      <c r="AB1068">
        <v>0</v>
      </c>
      <c r="AC1068">
        <v>0</v>
      </c>
      <c r="AD1068">
        <v>0</v>
      </c>
      <c r="AE1068">
        <v>0</v>
      </c>
      <c r="AF1068">
        <v>0</v>
      </c>
      <c r="AG1068">
        <v>0</v>
      </c>
      <c r="AH1068">
        <v>0</v>
      </c>
      <c r="AI1068">
        <v>0</v>
      </c>
      <c r="AJ1068">
        <v>0</v>
      </c>
      <c r="AK1068">
        <v>0</v>
      </c>
      <c r="AL1068">
        <v>1</v>
      </c>
      <c r="AM1068">
        <v>0.33333333333333331</v>
      </c>
      <c r="AN1068">
        <v>5.0417410714286133</v>
      </c>
    </row>
    <row r="1069" spans="1:40" x14ac:dyDescent="0.3">
      <c r="A1069" t="s">
        <v>340</v>
      </c>
      <c r="B1069" t="s">
        <v>54</v>
      </c>
      <c r="C1069" t="s">
        <v>10</v>
      </c>
      <c r="D1069" t="s">
        <v>11</v>
      </c>
      <c r="E1069">
        <v>202602</v>
      </c>
      <c r="F1069" t="s">
        <v>55</v>
      </c>
      <c r="G1069">
        <v>0</v>
      </c>
      <c r="H1069">
        <v>0</v>
      </c>
      <c r="I1069">
        <v>0</v>
      </c>
      <c r="J1069">
        <v>1</v>
      </c>
      <c r="K1069">
        <v>0</v>
      </c>
      <c r="L1069">
        <v>0</v>
      </c>
      <c r="M1069">
        <v>0</v>
      </c>
      <c r="N1069">
        <v>0</v>
      </c>
      <c r="O1069">
        <v>0</v>
      </c>
      <c r="P1069">
        <v>1</v>
      </c>
      <c r="Q1069">
        <v>0</v>
      </c>
      <c r="R1069">
        <v>0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0</v>
      </c>
      <c r="AA1069">
        <v>0</v>
      </c>
      <c r="AB1069">
        <v>0</v>
      </c>
      <c r="AC1069">
        <v>0</v>
      </c>
      <c r="AD1069">
        <v>0</v>
      </c>
      <c r="AE1069">
        <v>0</v>
      </c>
      <c r="AF1069">
        <v>0</v>
      </c>
      <c r="AG1069">
        <v>0</v>
      </c>
      <c r="AH1069">
        <v>0</v>
      </c>
      <c r="AI1069">
        <v>0</v>
      </c>
      <c r="AJ1069">
        <v>0</v>
      </c>
      <c r="AK1069">
        <v>0</v>
      </c>
      <c r="AL1069">
        <v>2</v>
      </c>
      <c r="AM1069">
        <v>0.33333333333333331</v>
      </c>
      <c r="AN1069">
        <v>6.6046251398731117</v>
      </c>
    </row>
    <row r="1070" spans="1:40" x14ac:dyDescent="0.3">
      <c r="A1070" t="s">
        <v>340</v>
      </c>
      <c r="B1070" t="s">
        <v>54</v>
      </c>
      <c r="C1070" t="s">
        <v>10</v>
      </c>
      <c r="D1070" t="s">
        <v>11</v>
      </c>
      <c r="E1070">
        <v>202602</v>
      </c>
      <c r="F1070" t="s">
        <v>56</v>
      </c>
      <c r="G1070">
        <v>0</v>
      </c>
      <c r="H1070">
        <v>0</v>
      </c>
      <c r="I1070">
        <v>5</v>
      </c>
      <c r="J1070">
        <v>3</v>
      </c>
      <c r="K1070">
        <v>2</v>
      </c>
      <c r="L1070">
        <v>2</v>
      </c>
      <c r="M1070">
        <v>1</v>
      </c>
      <c r="N1070">
        <v>0</v>
      </c>
      <c r="O1070">
        <v>2</v>
      </c>
      <c r="P1070">
        <v>1</v>
      </c>
      <c r="Q1070">
        <v>0</v>
      </c>
      <c r="R1070">
        <v>0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0</v>
      </c>
      <c r="AA1070">
        <v>0</v>
      </c>
      <c r="AB1070">
        <v>0</v>
      </c>
      <c r="AC1070">
        <v>0</v>
      </c>
      <c r="AD1070">
        <v>0</v>
      </c>
      <c r="AE1070">
        <v>0</v>
      </c>
      <c r="AF1070">
        <v>0</v>
      </c>
      <c r="AG1070">
        <v>0</v>
      </c>
      <c r="AH1070">
        <v>0</v>
      </c>
      <c r="AI1070">
        <v>0</v>
      </c>
      <c r="AJ1070">
        <v>0</v>
      </c>
      <c r="AK1070">
        <v>0</v>
      </c>
      <c r="AL1070">
        <v>16</v>
      </c>
      <c r="AM1070">
        <v>1</v>
      </c>
      <c r="AN1070">
        <v>29.813875419619336</v>
      </c>
    </row>
    <row r="1071" spans="1:40" x14ac:dyDescent="0.3">
      <c r="A1071" t="s">
        <v>340</v>
      </c>
      <c r="B1071" t="s">
        <v>54</v>
      </c>
      <c r="C1071" t="s">
        <v>10</v>
      </c>
      <c r="D1071" t="s">
        <v>11</v>
      </c>
      <c r="E1071">
        <v>202602</v>
      </c>
      <c r="F1071" t="s">
        <v>57</v>
      </c>
      <c r="G1071">
        <v>0</v>
      </c>
      <c r="H1071">
        <v>0</v>
      </c>
      <c r="I1071">
        <v>2</v>
      </c>
      <c r="J1071">
        <v>0</v>
      </c>
      <c r="K1071">
        <v>1</v>
      </c>
      <c r="L1071">
        <v>3</v>
      </c>
      <c r="M1071">
        <v>1</v>
      </c>
      <c r="N1071">
        <v>0</v>
      </c>
      <c r="O1071">
        <v>1</v>
      </c>
      <c r="P1071">
        <v>1</v>
      </c>
      <c r="Q1071">
        <v>0</v>
      </c>
      <c r="R1071">
        <v>0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0</v>
      </c>
      <c r="AA1071">
        <v>0</v>
      </c>
      <c r="AB1071">
        <v>0</v>
      </c>
      <c r="AC1071">
        <v>0</v>
      </c>
      <c r="AD1071">
        <v>0</v>
      </c>
      <c r="AE1071">
        <v>0</v>
      </c>
      <c r="AF1071">
        <v>0</v>
      </c>
      <c r="AG1071">
        <v>0</v>
      </c>
      <c r="AH1071">
        <v>0</v>
      </c>
      <c r="AI1071">
        <v>0</v>
      </c>
      <c r="AJ1071">
        <v>0</v>
      </c>
      <c r="AK1071">
        <v>0</v>
      </c>
      <c r="AL1071">
        <v>9</v>
      </c>
      <c r="AM1071">
        <v>0.66666666666666663</v>
      </c>
      <c r="AN1071">
        <v>18.209250279746222</v>
      </c>
    </row>
    <row r="1072" spans="1:40" x14ac:dyDescent="0.3">
      <c r="A1072" t="s">
        <v>340</v>
      </c>
      <c r="B1072" t="s">
        <v>54</v>
      </c>
      <c r="C1072" t="s">
        <v>10</v>
      </c>
      <c r="D1072" t="s">
        <v>14</v>
      </c>
      <c r="E1072">
        <v>202602</v>
      </c>
      <c r="F1072" t="s">
        <v>55</v>
      </c>
      <c r="G1072">
        <v>0</v>
      </c>
      <c r="H1072">
        <v>0</v>
      </c>
      <c r="I1072">
        <v>1</v>
      </c>
      <c r="J1072">
        <v>0</v>
      </c>
      <c r="K1072">
        <v>0</v>
      </c>
      <c r="L1072">
        <v>1</v>
      </c>
      <c r="M1072">
        <v>1</v>
      </c>
      <c r="N1072">
        <v>0</v>
      </c>
      <c r="O1072">
        <v>0</v>
      </c>
      <c r="P1072">
        <v>0</v>
      </c>
      <c r="Q1072">
        <v>0</v>
      </c>
      <c r="R1072">
        <v>0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0</v>
      </c>
      <c r="AA1072">
        <v>0</v>
      </c>
      <c r="AB1072">
        <v>0</v>
      </c>
      <c r="AC1072">
        <v>0</v>
      </c>
      <c r="AD1072">
        <v>0</v>
      </c>
      <c r="AE1072">
        <v>0</v>
      </c>
      <c r="AF1072">
        <v>0</v>
      </c>
      <c r="AG1072">
        <v>0</v>
      </c>
      <c r="AH1072">
        <v>0</v>
      </c>
      <c r="AI1072">
        <v>0</v>
      </c>
      <c r="AJ1072">
        <v>0</v>
      </c>
      <c r="AK1072">
        <v>0</v>
      </c>
      <c r="AL1072">
        <v>3</v>
      </c>
      <c r="AM1072">
        <v>0</v>
      </c>
      <c r="AN1072">
        <v>3</v>
      </c>
    </row>
    <row r="1073" spans="1:40" x14ac:dyDescent="0.3">
      <c r="A1073" t="s">
        <v>340</v>
      </c>
      <c r="B1073" t="s">
        <v>54</v>
      </c>
      <c r="C1073" t="s">
        <v>10</v>
      </c>
      <c r="D1073" t="s">
        <v>14</v>
      </c>
      <c r="E1073">
        <v>202602</v>
      </c>
      <c r="F1073" t="s">
        <v>56</v>
      </c>
      <c r="G1073">
        <v>0</v>
      </c>
      <c r="H1073">
        <v>2</v>
      </c>
      <c r="I1073">
        <v>3</v>
      </c>
      <c r="J1073">
        <v>3</v>
      </c>
      <c r="K1073">
        <v>2</v>
      </c>
      <c r="L1073">
        <v>2</v>
      </c>
      <c r="M1073">
        <v>0</v>
      </c>
      <c r="N1073">
        <v>0</v>
      </c>
      <c r="O1073">
        <v>1</v>
      </c>
      <c r="P1073">
        <v>1</v>
      </c>
      <c r="Q1073">
        <v>1</v>
      </c>
      <c r="R1073">
        <v>0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</v>
      </c>
      <c r="AA1073">
        <v>0</v>
      </c>
      <c r="AB1073">
        <v>0</v>
      </c>
      <c r="AC1073">
        <v>0</v>
      </c>
      <c r="AD1073">
        <v>0</v>
      </c>
      <c r="AE1073">
        <v>0</v>
      </c>
      <c r="AF1073">
        <v>0</v>
      </c>
      <c r="AG1073">
        <v>0</v>
      </c>
      <c r="AH1073">
        <v>0</v>
      </c>
      <c r="AI1073">
        <v>0</v>
      </c>
      <c r="AJ1073">
        <v>0</v>
      </c>
      <c r="AK1073">
        <v>0</v>
      </c>
      <c r="AL1073">
        <v>15</v>
      </c>
      <c r="AM1073">
        <v>1</v>
      </c>
      <c r="AN1073">
        <v>27.125223214285839</v>
      </c>
    </row>
    <row r="1074" spans="1:40" x14ac:dyDescent="0.3">
      <c r="A1074" t="s">
        <v>340</v>
      </c>
      <c r="B1074" t="s">
        <v>54</v>
      </c>
      <c r="C1074" t="s">
        <v>10</v>
      </c>
      <c r="D1074" t="s">
        <v>14</v>
      </c>
      <c r="E1074">
        <v>202602</v>
      </c>
      <c r="F1074" t="s">
        <v>57</v>
      </c>
      <c r="G1074">
        <v>0</v>
      </c>
      <c r="H1074">
        <v>0</v>
      </c>
      <c r="I1074">
        <v>2</v>
      </c>
      <c r="J1074">
        <v>3</v>
      </c>
      <c r="K1074">
        <v>2</v>
      </c>
      <c r="L1074">
        <v>2</v>
      </c>
      <c r="M1074">
        <v>0</v>
      </c>
      <c r="N1074">
        <v>0</v>
      </c>
      <c r="O1074">
        <v>0</v>
      </c>
      <c r="P1074">
        <v>0</v>
      </c>
      <c r="Q1074">
        <v>2</v>
      </c>
      <c r="R1074">
        <v>0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0</v>
      </c>
      <c r="AA1074">
        <v>0</v>
      </c>
      <c r="AB1074">
        <v>0</v>
      </c>
      <c r="AC1074">
        <v>0</v>
      </c>
      <c r="AD1074">
        <v>0</v>
      </c>
      <c r="AE1074">
        <v>0</v>
      </c>
      <c r="AF1074">
        <v>0</v>
      </c>
      <c r="AG1074">
        <v>0</v>
      </c>
      <c r="AH1074">
        <v>0</v>
      </c>
      <c r="AI1074">
        <v>0</v>
      </c>
      <c r="AJ1074">
        <v>0</v>
      </c>
      <c r="AK1074">
        <v>0</v>
      </c>
      <c r="AL1074">
        <v>11</v>
      </c>
      <c r="AM1074">
        <v>0.66666666666666663</v>
      </c>
      <c r="AN1074">
        <v>19.083482142857228</v>
      </c>
    </row>
    <row r="1075" spans="1:40" x14ac:dyDescent="0.3">
      <c r="A1075" t="s">
        <v>340</v>
      </c>
      <c r="B1075" t="s">
        <v>54</v>
      </c>
      <c r="C1075" t="s">
        <v>16</v>
      </c>
      <c r="D1075" t="s">
        <v>14</v>
      </c>
      <c r="E1075">
        <v>202602</v>
      </c>
      <c r="F1075" t="s">
        <v>56</v>
      </c>
      <c r="G1075">
        <v>0</v>
      </c>
      <c r="H1075">
        <v>0</v>
      </c>
      <c r="I1075">
        <v>0</v>
      </c>
      <c r="J1075">
        <v>0</v>
      </c>
      <c r="K1075">
        <v>0</v>
      </c>
      <c r="L1075">
        <v>0</v>
      </c>
      <c r="M1075">
        <v>0</v>
      </c>
      <c r="N1075">
        <v>0</v>
      </c>
      <c r="O1075">
        <v>1</v>
      </c>
      <c r="P1075">
        <v>0</v>
      </c>
      <c r="Q1075">
        <v>0</v>
      </c>
      <c r="R1075">
        <v>0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0</v>
      </c>
      <c r="Z1075">
        <v>0</v>
      </c>
      <c r="AA1075">
        <v>0</v>
      </c>
      <c r="AB1075">
        <v>0</v>
      </c>
      <c r="AC1075">
        <v>0</v>
      </c>
      <c r="AD1075">
        <v>0</v>
      </c>
      <c r="AE1075">
        <v>0</v>
      </c>
      <c r="AF1075">
        <v>0</v>
      </c>
      <c r="AG1075">
        <v>0</v>
      </c>
      <c r="AH1075">
        <v>0</v>
      </c>
      <c r="AI1075">
        <v>0</v>
      </c>
      <c r="AJ1075">
        <v>0</v>
      </c>
      <c r="AK1075">
        <v>0</v>
      </c>
      <c r="AL1075">
        <v>1</v>
      </c>
      <c r="AM1075">
        <v>0.33333333333333331</v>
      </c>
      <c r="AN1075">
        <v>5.0417410714286133</v>
      </c>
    </row>
    <row r="1076" spans="1:40" x14ac:dyDescent="0.3">
      <c r="A1076" t="s">
        <v>340</v>
      </c>
      <c r="B1076" t="s">
        <v>59</v>
      </c>
      <c r="C1076" t="s">
        <v>10</v>
      </c>
      <c r="D1076" t="s">
        <v>11</v>
      </c>
      <c r="E1076">
        <v>202602</v>
      </c>
      <c r="F1076" t="s">
        <v>205</v>
      </c>
      <c r="G1076">
        <v>0</v>
      </c>
      <c r="H1076">
        <v>0</v>
      </c>
      <c r="I1076">
        <v>0</v>
      </c>
      <c r="J1076">
        <v>1</v>
      </c>
      <c r="K1076">
        <v>0</v>
      </c>
      <c r="L1076">
        <v>0</v>
      </c>
      <c r="M1076">
        <v>0</v>
      </c>
      <c r="N1076">
        <v>0</v>
      </c>
      <c r="O1076">
        <v>0</v>
      </c>
      <c r="P1076">
        <v>1</v>
      </c>
      <c r="Q1076">
        <v>0</v>
      </c>
      <c r="R1076">
        <v>0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0</v>
      </c>
      <c r="Z1076">
        <v>0</v>
      </c>
      <c r="AA1076">
        <v>0</v>
      </c>
      <c r="AB1076">
        <v>0</v>
      </c>
      <c r="AC1076">
        <v>0</v>
      </c>
      <c r="AD1076">
        <v>0</v>
      </c>
      <c r="AE1076">
        <v>0</v>
      </c>
      <c r="AF1076">
        <v>0</v>
      </c>
      <c r="AG1076">
        <v>0</v>
      </c>
      <c r="AH1076">
        <v>0</v>
      </c>
      <c r="AI1076">
        <v>0</v>
      </c>
      <c r="AJ1076">
        <v>0</v>
      </c>
      <c r="AK1076">
        <v>0</v>
      </c>
      <c r="AL1076">
        <v>2</v>
      </c>
      <c r="AM1076">
        <v>0.33333333333333331</v>
      </c>
      <c r="AN1076">
        <v>6.6046251398731117</v>
      </c>
    </row>
    <row r="1077" spans="1:40" x14ac:dyDescent="0.3">
      <c r="A1077" t="s">
        <v>340</v>
      </c>
      <c r="B1077" t="s">
        <v>59</v>
      </c>
      <c r="C1077" t="s">
        <v>10</v>
      </c>
      <c r="D1077" t="s">
        <v>11</v>
      </c>
      <c r="E1077">
        <v>202602</v>
      </c>
      <c r="F1077" t="s">
        <v>303</v>
      </c>
      <c r="G1077">
        <v>0</v>
      </c>
      <c r="H1077">
        <v>1</v>
      </c>
      <c r="I1077">
        <v>1</v>
      </c>
      <c r="J1077">
        <v>3</v>
      </c>
      <c r="K1077">
        <v>6</v>
      </c>
      <c r="L1077">
        <v>7</v>
      </c>
      <c r="M1077">
        <v>2</v>
      </c>
      <c r="N1077">
        <v>2</v>
      </c>
      <c r="O1077">
        <v>6</v>
      </c>
      <c r="P1077">
        <v>4</v>
      </c>
      <c r="Q1077">
        <v>5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0</v>
      </c>
      <c r="Z1077">
        <v>0</v>
      </c>
      <c r="AA1077">
        <v>0</v>
      </c>
      <c r="AB1077">
        <v>0</v>
      </c>
      <c r="AC1077">
        <v>0</v>
      </c>
      <c r="AD1077">
        <v>0</v>
      </c>
      <c r="AE1077">
        <v>0</v>
      </c>
      <c r="AF1077">
        <v>0</v>
      </c>
      <c r="AG1077">
        <v>0</v>
      </c>
      <c r="AH1077">
        <v>0</v>
      </c>
      <c r="AI1077">
        <v>0</v>
      </c>
      <c r="AJ1077">
        <v>0</v>
      </c>
      <c r="AK1077">
        <v>0</v>
      </c>
      <c r="AL1077">
        <v>37</v>
      </c>
      <c r="AM1077">
        <v>5</v>
      </c>
      <c r="AN1077">
        <v>106.06937709809668</v>
      </c>
    </row>
    <row r="1078" spans="1:40" x14ac:dyDescent="0.3">
      <c r="A1078" t="s">
        <v>340</v>
      </c>
      <c r="B1078" t="s">
        <v>59</v>
      </c>
      <c r="C1078" t="s">
        <v>10</v>
      </c>
      <c r="D1078" t="s">
        <v>11</v>
      </c>
      <c r="E1078">
        <v>202602</v>
      </c>
      <c r="F1078" t="s">
        <v>61</v>
      </c>
      <c r="G1078">
        <v>0</v>
      </c>
      <c r="H1078">
        <v>0</v>
      </c>
      <c r="I1078">
        <v>0</v>
      </c>
      <c r="J1078">
        <v>0</v>
      </c>
      <c r="K1078">
        <v>1</v>
      </c>
      <c r="L1078">
        <v>0</v>
      </c>
      <c r="M1078">
        <v>0</v>
      </c>
      <c r="N1078">
        <v>0</v>
      </c>
      <c r="O1078">
        <v>1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0</v>
      </c>
      <c r="Z1078">
        <v>0</v>
      </c>
      <c r="AA1078">
        <v>0</v>
      </c>
      <c r="AB1078">
        <v>0</v>
      </c>
      <c r="AC1078">
        <v>0</v>
      </c>
      <c r="AD1078">
        <v>0</v>
      </c>
      <c r="AE1078">
        <v>0</v>
      </c>
      <c r="AF1078">
        <v>0</v>
      </c>
      <c r="AG1078">
        <v>0</v>
      </c>
      <c r="AH1078">
        <v>0</v>
      </c>
      <c r="AI1078">
        <v>0</v>
      </c>
      <c r="AJ1078">
        <v>0</v>
      </c>
      <c r="AK1078">
        <v>0</v>
      </c>
      <c r="AL1078">
        <v>2</v>
      </c>
      <c r="AM1078">
        <v>0.33333333333333331</v>
      </c>
      <c r="AN1078">
        <v>6.6046251398731117</v>
      </c>
    </row>
    <row r="1079" spans="1:40" x14ac:dyDescent="0.3">
      <c r="A1079" t="s">
        <v>340</v>
      </c>
      <c r="B1079" t="s">
        <v>59</v>
      </c>
      <c r="C1079" t="s">
        <v>10</v>
      </c>
      <c r="D1079" t="s">
        <v>11</v>
      </c>
      <c r="E1079">
        <v>202602</v>
      </c>
      <c r="F1079" t="s">
        <v>206</v>
      </c>
      <c r="G1079">
        <v>0</v>
      </c>
      <c r="H1079">
        <v>0</v>
      </c>
      <c r="I1079">
        <v>0</v>
      </c>
      <c r="J1079">
        <v>1</v>
      </c>
      <c r="K1079">
        <v>0</v>
      </c>
      <c r="L1079">
        <v>0</v>
      </c>
      <c r="M1079">
        <v>0</v>
      </c>
      <c r="N1079">
        <v>0</v>
      </c>
      <c r="O1079">
        <v>0</v>
      </c>
      <c r="P1079">
        <v>2</v>
      </c>
      <c r="Q1079">
        <v>2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0</v>
      </c>
      <c r="Z1079">
        <v>0</v>
      </c>
      <c r="AA1079">
        <v>0</v>
      </c>
      <c r="AB1079">
        <v>0</v>
      </c>
      <c r="AC1079">
        <v>0</v>
      </c>
      <c r="AD1079">
        <v>0</v>
      </c>
      <c r="AE1079">
        <v>0</v>
      </c>
      <c r="AF1079">
        <v>0</v>
      </c>
      <c r="AG1079">
        <v>0</v>
      </c>
      <c r="AH1079">
        <v>0</v>
      </c>
      <c r="AI1079">
        <v>0</v>
      </c>
      <c r="AJ1079">
        <v>0</v>
      </c>
      <c r="AK1079">
        <v>0</v>
      </c>
      <c r="AL1079">
        <v>5</v>
      </c>
      <c r="AM1079">
        <v>1.3333333333333333</v>
      </c>
      <c r="AN1079">
        <v>23.418500559492447</v>
      </c>
    </row>
    <row r="1080" spans="1:40" x14ac:dyDescent="0.3">
      <c r="A1080" t="s">
        <v>340</v>
      </c>
      <c r="B1080" t="s">
        <v>59</v>
      </c>
      <c r="C1080" t="s">
        <v>10</v>
      </c>
      <c r="D1080" t="s">
        <v>11</v>
      </c>
      <c r="E1080">
        <v>202602</v>
      </c>
      <c r="F1080" t="s">
        <v>75</v>
      </c>
      <c r="G1080">
        <v>0</v>
      </c>
      <c r="H1080">
        <v>0</v>
      </c>
      <c r="I1080">
        <v>0</v>
      </c>
      <c r="J1080">
        <v>0</v>
      </c>
      <c r="K1080">
        <v>0</v>
      </c>
      <c r="L1080">
        <v>0</v>
      </c>
      <c r="M1080">
        <v>0</v>
      </c>
      <c r="N1080">
        <v>0</v>
      </c>
      <c r="O1080">
        <v>0</v>
      </c>
      <c r="P1080">
        <v>0</v>
      </c>
      <c r="Q1080">
        <v>1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0</v>
      </c>
      <c r="Z1080">
        <v>0</v>
      </c>
      <c r="AA1080">
        <v>0</v>
      </c>
      <c r="AB1080">
        <v>0</v>
      </c>
      <c r="AC1080">
        <v>0</v>
      </c>
      <c r="AD1080">
        <v>0</v>
      </c>
      <c r="AE1080">
        <v>0</v>
      </c>
      <c r="AF1080">
        <v>0</v>
      </c>
      <c r="AG1080">
        <v>0</v>
      </c>
      <c r="AH1080">
        <v>0</v>
      </c>
      <c r="AI1080">
        <v>0</v>
      </c>
      <c r="AJ1080">
        <v>0</v>
      </c>
      <c r="AK1080">
        <v>0</v>
      </c>
      <c r="AL1080">
        <v>1</v>
      </c>
      <c r="AM1080">
        <v>0.33333333333333331</v>
      </c>
      <c r="AN1080">
        <v>5.6046251398731117</v>
      </c>
    </row>
    <row r="1081" spans="1:40" x14ac:dyDescent="0.3">
      <c r="A1081" t="s">
        <v>340</v>
      </c>
      <c r="B1081" t="s">
        <v>59</v>
      </c>
      <c r="C1081" t="s">
        <v>10</v>
      </c>
      <c r="D1081" t="s">
        <v>11</v>
      </c>
      <c r="E1081">
        <v>202602</v>
      </c>
      <c r="F1081" t="s">
        <v>207</v>
      </c>
      <c r="G1081">
        <v>0</v>
      </c>
      <c r="H1081">
        <v>0</v>
      </c>
      <c r="I1081">
        <v>1</v>
      </c>
      <c r="J1081">
        <v>0</v>
      </c>
      <c r="K1081">
        <v>0</v>
      </c>
      <c r="L1081">
        <v>0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0</v>
      </c>
      <c r="Y1081">
        <v>0</v>
      </c>
      <c r="Z1081">
        <v>0</v>
      </c>
      <c r="AA1081">
        <v>0</v>
      </c>
      <c r="AB1081">
        <v>0</v>
      </c>
      <c r="AC1081">
        <v>0</v>
      </c>
      <c r="AD1081">
        <v>0</v>
      </c>
      <c r="AE1081">
        <v>0</v>
      </c>
      <c r="AF1081">
        <v>0</v>
      </c>
      <c r="AG1081">
        <v>0</v>
      </c>
      <c r="AH1081">
        <v>0</v>
      </c>
      <c r="AI1081">
        <v>0</v>
      </c>
      <c r="AJ1081">
        <v>0</v>
      </c>
      <c r="AK1081">
        <v>0</v>
      </c>
      <c r="AL1081">
        <v>1</v>
      </c>
      <c r="AM1081">
        <v>0</v>
      </c>
      <c r="AN1081">
        <v>1</v>
      </c>
    </row>
    <row r="1082" spans="1:40" x14ac:dyDescent="0.3">
      <c r="A1082" t="s">
        <v>340</v>
      </c>
      <c r="B1082" t="s">
        <v>59</v>
      </c>
      <c r="C1082" t="s">
        <v>10</v>
      </c>
      <c r="D1082" t="s">
        <v>11</v>
      </c>
      <c r="E1082">
        <v>202602</v>
      </c>
      <c r="F1082" t="s">
        <v>76</v>
      </c>
      <c r="G1082">
        <v>0</v>
      </c>
      <c r="H1082">
        <v>2</v>
      </c>
      <c r="I1082">
        <v>2</v>
      </c>
      <c r="J1082">
        <v>2</v>
      </c>
      <c r="K1082">
        <v>5</v>
      </c>
      <c r="L1082">
        <v>4</v>
      </c>
      <c r="M1082">
        <v>0</v>
      </c>
      <c r="N1082">
        <v>1</v>
      </c>
      <c r="O1082">
        <v>5</v>
      </c>
      <c r="P1082">
        <v>1</v>
      </c>
      <c r="Q1082">
        <v>1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0</v>
      </c>
      <c r="Y1082">
        <v>0</v>
      </c>
      <c r="Z1082">
        <v>0</v>
      </c>
      <c r="AA1082">
        <v>0</v>
      </c>
      <c r="AB1082">
        <v>0</v>
      </c>
      <c r="AC1082">
        <v>0</v>
      </c>
      <c r="AD1082">
        <v>0</v>
      </c>
      <c r="AE1082">
        <v>0</v>
      </c>
      <c r="AF1082">
        <v>0</v>
      </c>
      <c r="AG1082">
        <v>0</v>
      </c>
      <c r="AH1082">
        <v>0</v>
      </c>
      <c r="AI1082">
        <v>0</v>
      </c>
      <c r="AJ1082">
        <v>0</v>
      </c>
      <c r="AK1082">
        <v>0</v>
      </c>
      <c r="AL1082">
        <v>23</v>
      </c>
      <c r="AM1082">
        <v>2.3333333333333335</v>
      </c>
      <c r="AN1082">
        <v>55.232375979111779</v>
      </c>
    </row>
    <row r="1083" spans="1:40" x14ac:dyDescent="0.3">
      <c r="A1083" t="s">
        <v>340</v>
      </c>
      <c r="B1083" t="s">
        <v>59</v>
      </c>
      <c r="C1083" t="s">
        <v>10</v>
      </c>
      <c r="D1083" t="s">
        <v>11</v>
      </c>
      <c r="E1083">
        <v>202602</v>
      </c>
      <c r="F1083" t="s">
        <v>64</v>
      </c>
      <c r="G1083">
        <v>0</v>
      </c>
      <c r="H1083">
        <v>0</v>
      </c>
      <c r="I1083">
        <v>0</v>
      </c>
      <c r="J1083">
        <v>0</v>
      </c>
      <c r="K1083">
        <v>0</v>
      </c>
      <c r="L1083">
        <v>1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0</v>
      </c>
      <c r="Y1083">
        <v>0</v>
      </c>
      <c r="Z1083">
        <v>0</v>
      </c>
      <c r="AA1083">
        <v>0</v>
      </c>
      <c r="AB1083">
        <v>0</v>
      </c>
      <c r="AC1083">
        <v>0</v>
      </c>
      <c r="AD1083">
        <v>0</v>
      </c>
      <c r="AE1083">
        <v>0</v>
      </c>
      <c r="AF1083">
        <v>0</v>
      </c>
      <c r="AG1083">
        <v>0</v>
      </c>
      <c r="AH1083">
        <v>0</v>
      </c>
      <c r="AI1083">
        <v>0</v>
      </c>
      <c r="AJ1083">
        <v>0</v>
      </c>
      <c r="AK1083">
        <v>0</v>
      </c>
      <c r="AL1083">
        <v>1</v>
      </c>
      <c r="AM1083">
        <v>0</v>
      </c>
      <c r="AN1083">
        <v>1</v>
      </c>
    </row>
    <row r="1084" spans="1:40" x14ac:dyDescent="0.3">
      <c r="A1084" t="s">
        <v>340</v>
      </c>
      <c r="B1084" t="s">
        <v>59</v>
      </c>
      <c r="C1084" t="s">
        <v>10</v>
      </c>
      <c r="D1084" t="s">
        <v>11</v>
      </c>
      <c r="E1084">
        <v>202602</v>
      </c>
      <c r="F1084" t="s">
        <v>354</v>
      </c>
      <c r="G1084">
        <v>0</v>
      </c>
      <c r="H1084">
        <v>1</v>
      </c>
      <c r="I1084">
        <v>1</v>
      </c>
      <c r="J1084">
        <v>3</v>
      </c>
      <c r="K1084">
        <v>1</v>
      </c>
      <c r="L1084">
        <v>2</v>
      </c>
      <c r="M1084">
        <v>2</v>
      </c>
      <c r="N1084">
        <v>0</v>
      </c>
      <c r="O1084">
        <v>2</v>
      </c>
      <c r="P1084">
        <v>0</v>
      </c>
      <c r="Q1084">
        <v>1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0</v>
      </c>
      <c r="Y1084">
        <v>0</v>
      </c>
      <c r="Z1084">
        <v>0</v>
      </c>
      <c r="AA1084">
        <v>0</v>
      </c>
      <c r="AB1084">
        <v>0</v>
      </c>
      <c r="AC1084">
        <v>0</v>
      </c>
      <c r="AD1084">
        <v>0</v>
      </c>
      <c r="AE1084">
        <v>0</v>
      </c>
      <c r="AF1084">
        <v>0</v>
      </c>
      <c r="AG1084">
        <v>0</v>
      </c>
      <c r="AH1084">
        <v>0</v>
      </c>
      <c r="AI1084">
        <v>0</v>
      </c>
      <c r="AJ1084">
        <v>0</v>
      </c>
      <c r="AK1084">
        <v>0</v>
      </c>
      <c r="AL1084">
        <v>13</v>
      </c>
      <c r="AM1084">
        <v>1</v>
      </c>
      <c r="AN1084">
        <v>26.813875419619336</v>
      </c>
    </row>
    <row r="1085" spans="1:40" x14ac:dyDescent="0.3">
      <c r="A1085" t="s">
        <v>340</v>
      </c>
      <c r="B1085" t="s">
        <v>59</v>
      </c>
      <c r="C1085" t="s">
        <v>10</v>
      </c>
      <c r="D1085" t="s">
        <v>11</v>
      </c>
      <c r="E1085">
        <v>202602</v>
      </c>
      <c r="F1085" t="s">
        <v>305</v>
      </c>
      <c r="G1085">
        <v>0</v>
      </c>
      <c r="H1085">
        <v>4</v>
      </c>
      <c r="I1085">
        <v>8</v>
      </c>
      <c r="J1085">
        <v>8</v>
      </c>
      <c r="K1085">
        <v>5</v>
      </c>
      <c r="L1085">
        <v>5</v>
      </c>
      <c r="M1085">
        <v>7</v>
      </c>
      <c r="N1085">
        <v>1</v>
      </c>
      <c r="O1085">
        <v>8</v>
      </c>
      <c r="P1085">
        <v>8</v>
      </c>
      <c r="Q1085">
        <v>13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0</v>
      </c>
      <c r="Y1085">
        <v>0</v>
      </c>
      <c r="Z1085">
        <v>0</v>
      </c>
      <c r="AA1085">
        <v>0</v>
      </c>
      <c r="AB1085">
        <v>0</v>
      </c>
      <c r="AC1085">
        <v>0</v>
      </c>
      <c r="AD1085">
        <v>0</v>
      </c>
      <c r="AE1085">
        <v>0</v>
      </c>
      <c r="AF1085">
        <v>0</v>
      </c>
      <c r="AG1085">
        <v>0</v>
      </c>
      <c r="AH1085">
        <v>0</v>
      </c>
      <c r="AI1085">
        <v>0</v>
      </c>
      <c r="AJ1085">
        <v>0</v>
      </c>
      <c r="AK1085">
        <v>0</v>
      </c>
      <c r="AL1085">
        <v>67</v>
      </c>
      <c r="AM1085">
        <v>9.6666666666666661</v>
      </c>
      <c r="AN1085">
        <v>200.53412905632021</v>
      </c>
    </row>
    <row r="1086" spans="1:40" x14ac:dyDescent="0.3">
      <c r="A1086" t="s">
        <v>340</v>
      </c>
      <c r="B1086" t="s">
        <v>59</v>
      </c>
      <c r="C1086" t="s">
        <v>10</v>
      </c>
      <c r="D1086" t="s">
        <v>11</v>
      </c>
      <c r="E1086">
        <v>202602</v>
      </c>
      <c r="F1086" t="s">
        <v>69</v>
      </c>
      <c r="G1086">
        <v>1</v>
      </c>
      <c r="H1086">
        <v>2</v>
      </c>
      <c r="I1086">
        <v>7</v>
      </c>
      <c r="J1086">
        <v>2</v>
      </c>
      <c r="K1086">
        <v>7</v>
      </c>
      <c r="L1086">
        <v>7</v>
      </c>
      <c r="M1086">
        <v>2</v>
      </c>
      <c r="N1086">
        <v>1</v>
      </c>
      <c r="O1086">
        <v>7</v>
      </c>
      <c r="P1086">
        <v>3</v>
      </c>
      <c r="Q1086">
        <v>2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0</v>
      </c>
      <c r="Y1086">
        <v>0</v>
      </c>
      <c r="Z1086">
        <v>0</v>
      </c>
      <c r="AA1086">
        <v>0</v>
      </c>
      <c r="AB1086">
        <v>0</v>
      </c>
      <c r="AC1086">
        <v>0</v>
      </c>
      <c r="AD1086">
        <v>0</v>
      </c>
      <c r="AE1086">
        <v>0</v>
      </c>
      <c r="AF1086">
        <v>0</v>
      </c>
      <c r="AG1086">
        <v>0</v>
      </c>
      <c r="AH1086">
        <v>0</v>
      </c>
      <c r="AI1086">
        <v>0</v>
      </c>
      <c r="AJ1086">
        <v>0</v>
      </c>
      <c r="AK1086">
        <v>0</v>
      </c>
      <c r="AL1086">
        <v>41</v>
      </c>
      <c r="AM1086">
        <v>4</v>
      </c>
      <c r="AN1086">
        <v>96.255501678477344</v>
      </c>
    </row>
    <row r="1087" spans="1:40" x14ac:dyDescent="0.3">
      <c r="A1087" t="s">
        <v>340</v>
      </c>
      <c r="B1087" t="s">
        <v>59</v>
      </c>
      <c r="C1087" t="s">
        <v>10</v>
      </c>
      <c r="D1087" t="s">
        <v>11</v>
      </c>
      <c r="E1087">
        <v>202602</v>
      </c>
      <c r="F1087" t="s">
        <v>355</v>
      </c>
      <c r="G1087">
        <v>0</v>
      </c>
      <c r="H1087">
        <v>0</v>
      </c>
      <c r="I1087">
        <v>0</v>
      </c>
      <c r="J1087">
        <v>0</v>
      </c>
      <c r="K1087">
        <v>0</v>
      </c>
      <c r="L1087">
        <v>0</v>
      </c>
      <c r="M1087">
        <v>0</v>
      </c>
      <c r="N1087">
        <v>0</v>
      </c>
      <c r="O1087">
        <v>0</v>
      </c>
      <c r="P1087">
        <v>0</v>
      </c>
      <c r="Q1087">
        <v>1</v>
      </c>
      <c r="R1087">
        <v>0</v>
      </c>
      <c r="S1087">
        <v>0</v>
      </c>
      <c r="T1087">
        <v>0</v>
      </c>
      <c r="U1087">
        <v>0</v>
      </c>
      <c r="V1087">
        <v>0</v>
      </c>
      <c r="W1087">
        <v>0</v>
      </c>
      <c r="X1087">
        <v>0</v>
      </c>
      <c r="Y1087">
        <v>0</v>
      </c>
      <c r="Z1087">
        <v>0</v>
      </c>
      <c r="AA1087">
        <v>0</v>
      </c>
      <c r="AB1087">
        <v>0</v>
      </c>
      <c r="AC1087">
        <v>0</v>
      </c>
      <c r="AD1087">
        <v>0</v>
      </c>
      <c r="AE1087">
        <v>0</v>
      </c>
      <c r="AF1087">
        <v>0</v>
      </c>
      <c r="AG1087">
        <v>0</v>
      </c>
      <c r="AH1087">
        <v>0</v>
      </c>
      <c r="AI1087">
        <v>0</v>
      </c>
      <c r="AJ1087">
        <v>0</v>
      </c>
      <c r="AK1087">
        <v>0</v>
      </c>
      <c r="AL1087">
        <v>1</v>
      </c>
      <c r="AM1087">
        <v>0.33333333333333331</v>
      </c>
      <c r="AN1087">
        <v>5.6046251398731117</v>
      </c>
    </row>
    <row r="1088" spans="1:40" x14ac:dyDescent="0.3">
      <c r="A1088" t="s">
        <v>340</v>
      </c>
      <c r="B1088" t="s">
        <v>59</v>
      </c>
      <c r="C1088" t="s">
        <v>10</v>
      </c>
      <c r="D1088" t="s">
        <v>11</v>
      </c>
      <c r="E1088">
        <v>202602</v>
      </c>
      <c r="F1088" t="s">
        <v>78</v>
      </c>
      <c r="G1088">
        <v>0</v>
      </c>
      <c r="H1088">
        <v>0</v>
      </c>
      <c r="I1088">
        <v>0</v>
      </c>
      <c r="J1088">
        <v>0</v>
      </c>
      <c r="K1088">
        <v>4</v>
      </c>
      <c r="L1088">
        <v>1</v>
      </c>
      <c r="M1088">
        <v>0</v>
      </c>
      <c r="N1088">
        <v>0</v>
      </c>
      <c r="O1088">
        <v>3</v>
      </c>
      <c r="P1088">
        <v>0</v>
      </c>
      <c r="Q1088">
        <v>1</v>
      </c>
      <c r="R1088">
        <v>0</v>
      </c>
      <c r="S1088">
        <v>0</v>
      </c>
      <c r="T1088">
        <v>0</v>
      </c>
      <c r="U1088">
        <v>0</v>
      </c>
      <c r="V1088">
        <v>0</v>
      </c>
      <c r="W1088">
        <v>0</v>
      </c>
      <c r="X1088">
        <v>0</v>
      </c>
      <c r="Y1088">
        <v>0</v>
      </c>
      <c r="Z1088">
        <v>0</v>
      </c>
      <c r="AA1088">
        <v>0</v>
      </c>
      <c r="AB1088">
        <v>0</v>
      </c>
      <c r="AC1088">
        <v>0</v>
      </c>
      <c r="AD1088">
        <v>0</v>
      </c>
      <c r="AE1088">
        <v>0</v>
      </c>
      <c r="AF1088">
        <v>0</v>
      </c>
      <c r="AG1088">
        <v>0</v>
      </c>
      <c r="AH1088">
        <v>0</v>
      </c>
      <c r="AI1088">
        <v>0</v>
      </c>
      <c r="AJ1088">
        <v>0</v>
      </c>
      <c r="AK1088">
        <v>0</v>
      </c>
      <c r="AL1088">
        <v>9</v>
      </c>
      <c r="AM1088">
        <v>1.3333333333333333</v>
      </c>
      <c r="AN1088">
        <v>27.418500559492447</v>
      </c>
    </row>
    <row r="1089" spans="1:40" x14ac:dyDescent="0.3">
      <c r="A1089" t="s">
        <v>340</v>
      </c>
      <c r="B1089" t="s">
        <v>59</v>
      </c>
      <c r="C1089" t="s">
        <v>10</v>
      </c>
      <c r="D1089" t="s">
        <v>11</v>
      </c>
      <c r="E1089">
        <v>202602</v>
      </c>
      <c r="F1089" t="s">
        <v>79</v>
      </c>
      <c r="G1089">
        <v>0</v>
      </c>
      <c r="H1089">
        <v>0</v>
      </c>
      <c r="I1089">
        <v>2</v>
      </c>
      <c r="J1089">
        <v>1</v>
      </c>
      <c r="K1089">
        <v>0</v>
      </c>
      <c r="L1089">
        <v>1</v>
      </c>
      <c r="M1089">
        <v>0</v>
      </c>
      <c r="N1089">
        <v>0</v>
      </c>
      <c r="O1089">
        <v>2</v>
      </c>
      <c r="P1089">
        <v>1</v>
      </c>
      <c r="Q1089">
        <v>0</v>
      </c>
      <c r="R1089">
        <v>0</v>
      </c>
      <c r="S1089">
        <v>0</v>
      </c>
      <c r="T1089">
        <v>0</v>
      </c>
      <c r="U1089">
        <v>0</v>
      </c>
      <c r="V1089">
        <v>0</v>
      </c>
      <c r="W1089">
        <v>0</v>
      </c>
      <c r="X1089">
        <v>0</v>
      </c>
      <c r="Y1089">
        <v>0</v>
      </c>
      <c r="Z1089">
        <v>0</v>
      </c>
      <c r="AA1089">
        <v>0</v>
      </c>
      <c r="AB1089">
        <v>0</v>
      </c>
      <c r="AC1089">
        <v>0</v>
      </c>
      <c r="AD1089">
        <v>0</v>
      </c>
      <c r="AE1089">
        <v>0</v>
      </c>
      <c r="AF1089">
        <v>0</v>
      </c>
      <c r="AG1089">
        <v>0</v>
      </c>
      <c r="AH1089">
        <v>0</v>
      </c>
      <c r="AI1089">
        <v>0</v>
      </c>
      <c r="AJ1089">
        <v>0</v>
      </c>
      <c r="AK1089">
        <v>0</v>
      </c>
      <c r="AL1089">
        <v>7</v>
      </c>
      <c r="AM1089">
        <v>1</v>
      </c>
      <c r="AN1089">
        <v>20.813875419619336</v>
      </c>
    </row>
    <row r="1090" spans="1:40" x14ac:dyDescent="0.3">
      <c r="A1090" t="s">
        <v>340</v>
      </c>
      <c r="B1090" t="s">
        <v>59</v>
      </c>
      <c r="C1090" t="s">
        <v>10</v>
      </c>
      <c r="D1090" t="s">
        <v>14</v>
      </c>
      <c r="E1090">
        <v>202602</v>
      </c>
      <c r="F1090" t="s">
        <v>205</v>
      </c>
      <c r="G1090">
        <v>0</v>
      </c>
      <c r="H1090">
        <v>0</v>
      </c>
      <c r="I1090">
        <v>1</v>
      </c>
      <c r="J1090">
        <v>1</v>
      </c>
      <c r="K1090">
        <v>0</v>
      </c>
      <c r="L1090">
        <v>0</v>
      </c>
      <c r="M1090">
        <v>0</v>
      </c>
      <c r="N1090">
        <v>0</v>
      </c>
      <c r="O1090">
        <v>0</v>
      </c>
      <c r="P1090">
        <v>0</v>
      </c>
      <c r="Q1090">
        <v>0</v>
      </c>
      <c r="R1090">
        <v>0</v>
      </c>
      <c r="S1090">
        <v>0</v>
      </c>
      <c r="T1090">
        <v>0</v>
      </c>
      <c r="U1090">
        <v>0</v>
      </c>
      <c r="V1090">
        <v>0</v>
      </c>
      <c r="W1090">
        <v>0</v>
      </c>
      <c r="X1090">
        <v>0</v>
      </c>
      <c r="Y1090">
        <v>0</v>
      </c>
      <c r="Z1090">
        <v>0</v>
      </c>
      <c r="AA1090">
        <v>0</v>
      </c>
      <c r="AB1090">
        <v>0</v>
      </c>
      <c r="AC1090">
        <v>0</v>
      </c>
      <c r="AD1090">
        <v>0</v>
      </c>
      <c r="AE1090">
        <v>0</v>
      </c>
      <c r="AF1090">
        <v>0</v>
      </c>
      <c r="AG1090">
        <v>0</v>
      </c>
      <c r="AH1090">
        <v>0</v>
      </c>
      <c r="AI1090">
        <v>0</v>
      </c>
      <c r="AJ1090">
        <v>0</v>
      </c>
      <c r="AK1090">
        <v>0</v>
      </c>
      <c r="AL1090">
        <v>2</v>
      </c>
      <c r="AM1090">
        <v>0</v>
      </c>
      <c r="AN1090">
        <v>2</v>
      </c>
    </row>
    <row r="1091" spans="1:40" x14ac:dyDescent="0.3">
      <c r="A1091" t="s">
        <v>340</v>
      </c>
      <c r="B1091" t="s">
        <v>59</v>
      </c>
      <c r="C1091" t="s">
        <v>10</v>
      </c>
      <c r="D1091" t="s">
        <v>14</v>
      </c>
      <c r="E1091">
        <v>202602</v>
      </c>
      <c r="F1091" t="s">
        <v>303</v>
      </c>
      <c r="G1091">
        <v>0</v>
      </c>
      <c r="H1091">
        <v>10</v>
      </c>
      <c r="I1091">
        <v>9</v>
      </c>
      <c r="J1091">
        <v>9</v>
      </c>
      <c r="K1091">
        <v>5</v>
      </c>
      <c r="L1091">
        <v>9</v>
      </c>
      <c r="M1091">
        <v>0</v>
      </c>
      <c r="N1091">
        <v>0</v>
      </c>
      <c r="O1091">
        <v>8</v>
      </c>
      <c r="P1091">
        <v>8</v>
      </c>
      <c r="Q1091">
        <v>7</v>
      </c>
      <c r="R1091">
        <v>0</v>
      </c>
      <c r="S1091">
        <v>0</v>
      </c>
      <c r="T1091">
        <v>0</v>
      </c>
      <c r="U1091">
        <v>0</v>
      </c>
      <c r="V1091">
        <v>0</v>
      </c>
      <c r="W1091">
        <v>0</v>
      </c>
      <c r="X1091">
        <v>0</v>
      </c>
      <c r="Y1091">
        <v>0</v>
      </c>
      <c r="Z1091">
        <v>0</v>
      </c>
      <c r="AA1091">
        <v>0</v>
      </c>
      <c r="AB1091">
        <v>0</v>
      </c>
      <c r="AC1091">
        <v>0</v>
      </c>
      <c r="AD1091">
        <v>0</v>
      </c>
      <c r="AE1091">
        <v>0</v>
      </c>
      <c r="AF1091">
        <v>0</v>
      </c>
      <c r="AG1091">
        <v>0</v>
      </c>
      <c r="AH1091">
        <v>0</v>
      </c>
      <c r="AI1091">
        <v>0</v>
      </c>
      <c r="AJ1091">
        <v>0</v>
      </c>
      <c r="AK1091">
        <v>0</v>
      </c>
      <c r="AL1091">
        <v>65</v>
      </c>
      <c r="AM1091">
        <v>7.666666666666667</v>
      </c>
      <c r="AN1091">
        <v>157.96004464285812</v>
      </c>
    </row>
    <row r="1092" spans="1:40" x14ac:dyDescent="0.3">
      <c r="A1092" t="s">
        <v>340</v>
      </c>
      <c r="B1092" t="s">
        <v>59</v>
      </c>
      <c r="C1092" t="s">
        <v>10</v>
      </c>
      <c r="D1092" t="s">
        <v>14</v>
      </c>
      <c r="E1092">
        <v>202602</v>
      </c>
      <c r="F1092" t="s">
        <v>61</v>
      </c>
      <c r="G1092">
        <v>0</v>
      </c>
      <c r="H1092">
        <v>0</v>
      </c>
      <c r="I1092">
        <v>1</v>
      </c>
      <c r="J1092">
        <v>0</v>
      </c>
      <c r="K1092">
        <v>0</v>
      </c>
      <c r="L1092">
        <v>1</v>
      </c>
      <c r="M1092">
        <v>0</v>
      </c>
      <c r="N1092">
        <v>0</v>
      </c>
      <c r="O1092">
        <v>0</v>
      </c>
      <c r="P1092">
        <v>1</v>
      </c>
      <c r="Q1092">
        <v>1</v>
      </c>
      <c r="R1092">
        <v>0</v>
      </c>
      <c r="S1092">
        <v>0</v>
      </c>
      <c r="T1092">
        <v>0</v>
      </c>
      <c r="U1092">
        <v>0</v>
      </c>
      <c r="V1092">
        <v>0</v>
      </c>
      <c r="W1092">
        <v>0</v>
      </c>
      <c r="X1092">
        <v>0</v>
      </c>
      <c r="Y1092">
        <v>0</v>
      </c>
      <c r="Z1092">
        <v>0</v>
      </c>
      <c r="AA1092">
        <v>0</v>
      </c>
      <c r="AB1092">
        <v>0</v>
      </c>
      <c r="AC1092">
        <v>0</v>
      </c>
      <c r="AD1092">
        <v>0</v>
      </c>
      <c r="AE1092">
        <v>0</v>
      </c>
      <c r="AF1092">
        <v>0</v>
      </c>
      <c r="AG1092">
        <v>0</v>
      </c>
      <c r="AH1092">
        <v>0</v>
      </c>
      <c r="AI1092">
        <v>0</v>
      </c>
      <c r="AJ1092">
        <v>0</v>
      </c>
      <c r="AK1092">
        <v>0</v>
      </c>
      <c r="AL1092">
        <v>4</v>
      </c>
      <c r="AM1092">
        <v>0.66666666666666663</v>
      </c>
      <c r="AN1092">
        <v>12.083482142857227</v>
      </c>
    </row>
    <row r="1093" spans="1:40" x14ac:dyDescent="0.3">
      <c r="A1093" t="s">
        <v>340</v>
      </c>
      <c r="B1093" t="s">
        <v>59</v>
      </c>
      <c r="C1093" t="s">
        <v>10</v>
      </c>
      <c r="D1093" t="s">
        <v>14</v>
      </c>
      <c r="E1093">
        <v>202602</v>
      </c>
      <c r="F1093" t="s">
        <v>206</v>
      </c>
      <c r="G1093">
        <v>0</v>
      </c>
      <c r="H1093">
        <v>0</v>
      </c>
      <c r="I1093">
        <v>0</v>
      </c>
      <c r="J1093">
        <v>0</v>
      </c>
      <c r="K1093">
        <v>0</v>
      </c>
      <c r="L1093">
        <v>3</v>
      </c>
      <c r="M1093">
        <v>0</v>
      </c>
      <c r="N1093">
        <v>0</v>
      </c>
      <c r="O1093">
        <v>1</v>
      </c>
      <c r="P1093">
        <v>3</v>
      </c>
      <c r="Q1093">
        <v>3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>
        <v>0</v>
      </c>
      <c r="AB1093">
        <v>0</v>
      </c>
      <c r="AC1093">
        <v>0</v>
      </c>
      <c r="AD1093">
        <v>0</v>
      </c>
      <c r="AE1093">
        <v>0</v>
      </c>
      <c r="AF1093">
        <v>0</v>
      </c>
      <c r="AG1093">
        <v>0</v>
      </c>
      <c r="AH1093">
        <v>0</v>
      </c>
      <c r="AI1093">
        <v>0</v>
      </c>
      <c r="AJ1093">
        <v>0</v>
      </c>
      <c r="AK1093">
        <v>0</v>
      </c>
      <c r="AL1093">
        <v>10</v>
      </c>
      <c r="AM1093">
        <v>2.3333333333333335</v>
      </c>
      <c r="AN1093">
        <v>38.292187500000296</v>
      </c>
    </row>
    <row r="1094" spans="1:40" x14ac:dyDescent="0.3">
      <c r="A1094" t="s">
        <v>340</v>
      </c>
      <c r="B1094" t="s">
        <v>59</v>
      </c>
      <c r="C1094" t="s">
        <v>10</v>
      </c>
      <c r="D1094" t="s">
        <v>14</v>
      </c>
      <c r="E1094">
        <v>202602</v>
      </c>
      <c r="F1094" t="s">
        <v>75</v>
      </c>
      <c r="G1094">
        <v>0</v>
      </c>
      <c r="H1094">
        <v>0</v>
      </c>
      <c r="I1094">
        <v>0</v>
      </c>
      <c r="J1094">
        <v>0</v>
      </c>
      <c r="K1094">
        <v>0</v>
      </c>
      <c r="L1094">
        <v>0</v>
      </c>
      <c r="M1094">
        <v>0</v>
      </c>
      <c r="N1094">
        <v>0</v>
      </c>
      <c r="O1094">
        <v>0</v>
      </c>
      <c r="P1094">
        <v>1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>
        <v>0</v>
      </c>
      <c r="AB1094">
        <v>0</v>
      </c>
      <c r="AC1094">
        <v>0</v>
      </c>
      <c r="AD1094">
        <v>0</v>
      </c>
      <c r="AE1094">
        <v>0</v>
      </c>
      <c r="AF1094">
        <v>0</v>
      </c>
      <c r="AG1094">
        <v>0</v>
      </c>
      <c r="AH1094">
        <v>0</v>
      </c>
      <c r="AI1094">
        <v>0</v>
      </c>
      <c r="AJ1094">
        <v>0</v>
      </c>
      <c r="AK1094">
        <v>0</v>
      </c>
      <c r="AL1094">
        <v>1</v>
      </c>
      <c r="AM1094">
        <v>0.33333333333333331</v>
      </c>
      <c r="AN1094">
        <v>5.0417410714286133</v>
      </c>
    </row>
    <row r="1095" spans="1:40" x14ac:dyDescent="0.3">
      <c r="A1095" t="s">
        <v>340</v>
      </c>
      <c r="B1095" t="s">
        <v>59</v>
      </c>
      <c r="C1095" t="s">
        <v>10</v>
      </c>
      <c r="D1095" t="s">
        <v>14</v>
      </c>
      <c r="E1095">
        <v>202602</v>
      </c>
      <c r="F1095" t="s">
        <v>76</v>
      </c>
      <c r="G1095">
        <v>0</v>
      </c>
      <c r="H1095">
        <v>2</v>
      </c>
      <c r="I1095">
        <v>4</v>
      </c>
      <c r="J1095">
        <v>1</v>
      </c>
      <c r="K1095">
        <v>6</v>
      </c>
      <c r="L1095">
        <v>5</v>
      </c>
      <c r="M1095">
        <v>1</v>
      </c>
      <c r="N1095">
        <v>0</v>
      </c>
      <c r="O1095">
        <v>3</v>
      </c>
      <c r="P1095">
        <v>2</v>
      </c>
      <c r="Q1095">
        <v>3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>
        <v>0</v>
      </c>
      <c r="AB1095">
        <v>0</v>
      </c>
      <c r="AC1095">
        <v>0</v>
      </c>
      <c r="AD1095">
        <v>0</v>
      </c>
      <c r="AE1095">
        <v>0</v>
      </c>
      <c r="AF1095">
        <v>0</v>
      </c>
      <c r="AG1095">
        <v>0</v>
      </c>
      <c r="AH1095">
        <v>0</v>
      </c>
      <c r="AI1095">
        <v>0</v>
      </c>
      <c r="AJ1095">
        <v>0</v>
      </c>
      <c r="AK1095">
        <v>0</v>
      </c>
      <c r="AL1095">
        <v>27</v>
      </c>
      <c r="AM1095">
        <v>2.6666666666666665</v>
      </c>
      <c r="AN1095">
        <v>59.333928571428906</v>
      </c>
    </row>
    <row r="1096" spans="1:40" x14ac:dyDescent="0.3">
      <c r="A1096" t="s">
        <v>340</v>
      </c>
      <c r="B1096" t="s">
        <v>59</v>
      </c>
      <c r="C1096" t="s">
        <v>10</v>
      </c>
      <c r="D1096" t="s">
        <v>14</v>
      </c>
      <c r="E1096">
        <v>202602</v>
      </c>
      <c r="F1096" t="s">
        <v>354</v>
      </c>
      <c r="G1096">
        <v>0</v>
      </c>
      <c r="H1096">
        <v>4</v>
      </c>
      <c r="I1096">
        <v>1</v>
      </c>
      <c r="J1096">
        <v>3</v>
      </c>
      <c r="K1096">
        <v>2</v>
      </c>
      <c r="L1096">
        <v>1</v>
      </c>
      <c r="M1096">
        <v>0</v>
      </c>
      <c r="N1096">
        <v>0</v>
      </c>
      <c r="O1096">
        <v>2</v>
      </c>
      <c r="P1096">
        <v>5</v>
      </c>
      <c r="Q1096">
        <v>3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>
        <v>0</v>
      </c>
      <c r="AB1096">
        <v>0</v>
      </c>
      <c r="AC1096">
        <v>0</v>
      </c>
      <c r="AD1096">
        <v>0</v>
      </c>
      <c r="AE1096">
        <v>0</v>
      </c>
      <c r="AF1096">
        <v>0</v>
      </c>
      <c r="AG1096">
        <v>0</v>
      </c>
      <c r="AH1096">
        <v>0</v>
      </c>
      <c r="AI1096">
        <v>0</v>
      </c>
      <c r="AJ1096">
        <v>0</v>
      </c>
      <c r="AK1096">
        <v>0</v>
      </c>
      <c r="AL1096">
        <v>21</v>
      </c>
      <c r="AM1096">
        <v>3.3333333333333335</v>
      </c>
      <c r="AN1096">
        <v>61.417410714286127</v>
      </c>
    </row>
    <row r="1097" spans="1:40" x14ac:dyDescent="0.3">
      <c r="A1097" t="s">
        <v>340</v>
      </c>
      <c r="B1097" t="s">
        <v>59</v>
      </c>
      <c r="C1097" t="s">
        <v>10</v>
      </c>
      <c r="D1097" t="s">
        <v>14</v>
      </c>
      <c r="E1097">
        <v>202602</v>
      </c>
      <c r="F1097" t="s">
        <v>305</v>
      </c>
      <c r="G1097">
        <v>2</v>
      </c>
      <c r="H1097">
        <v>4</v>
      </c>
      <c r="I1097">
        <v>10</v>
      </c>
      <c r="J1097">
        <v>18</v>
      </c>
      <c r="K1097">
        <v>14</v>
      </c>
      <c r="L1097">
        <v>17</v>
      </c>
      <c r="M1097">
        <v>0</v>
      </c>
      <c r="N1097">
        <v>0</v>
      </c>
      <c r="O1097">
        <v>16</v>
      </c>
      <c r="P1097">
        <v>7</v>
      </c>
      <c r="Q1097">
        <v>15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>
        <v>0</v>
      </c>
      <c r="AB1097">
        <v>0</v>
      </c>
      <c r="AC1097">
        <v>0</v>
      </c>
      <c r="AD1097">
        <v>0</v>
      </c>
      <c r="AE1097">
        <v>0</v>
      </c>
      <c r="AF1097">
        <v>0</v>
      </c>
      <c r="AG1097">
        <v>0</v>
      </c>
      <c r="AH1097">
        <v>0</v>
      </c>
      <c r="AI1097">
        <v>0</v>
      </c>
      <c r="AJ1097">
        <v>0</v>
      </c>
      <c r="AK1097">
        <v>0</v>
      </c>
      <c r="AL1097">
        <v>103</v>
      </c>
      <c r="AM1097">
        <v>12.666666666666666</v>
      </c>
      <c r="AN1097">
        <v>256.5861607142873</v>
      </c>
    </row>
    <row r="1098" spans="1:40" x14ac:dyDescent="0.3">
      <c r="A1098" t="s">
        <v>340</v>
      </c>
      <c r="B1098" t="s">
        <v>59</v>
      </c>
      <c r="C1098" t="s">
        <v>10</v>
      </c>
      <c r="D1098" t="s">
        <v>14</v>
      </c>
      <c r="E1098">
        <v>202602</v>
      </c>
      <c r="F1098" t="s">
        <v>69</v>
      </c>
      <c r="G1098">
        <v>0</v>
      </c>
      <c r="H1098">
        <v>4</v>
      </c>
      <c r="I1098">
        <v>12</v>
      </c>
      <c r="J1098">
        <v>13</v>
      </c>
      <c r="K1098">
        <v>4</v>
      </c>
      <c r="L1098">
        <v>6</v>
      </c>
      <c r="M1098">
        <v>0</v>
      </c>
      <c r="N1098">
        <v>0</v>
      </c>
      <c r="O1098">
        <v>6</v>
      </c>
      <c r="P1098">
        <v>8</v>
      </c>
      <c r="Q1098">
        <v>6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>
        <v>0</v>
      </c>
      <c r="AB1098">
        <v>0</v>
      </c>
      <c r="AC1098">
        <v>0</v>
      </c>
      <c r="AD1098">
        <v>0</v>
      </c>
      <c r="AE1098">
        <v>0</v>
      </c>
      <c r="AF1098">
        <v>0</v>
      </c>
      <c r="AG1098">
        <v>0</v>
      </c>
      <c r="AH1098">
        <v>0</v>
      </c>
      <c r="AI1098">
        <v>0</v>
      </c>
      <c r="AJ1098">
        <v>0</v>
      </c>
      <c r="AK1098">
        <v>0</v>
      </c>
      <c r="AL1098">
        <v>59</v>
      </c>
      <c r="AM1098">
        <v>6.666666666666667</v>
      </c>
      <c r="AN1098">
        <v>139.83482142857224</v>
      </c>
    </row>
    <row r="1099" spans="1:40" x14ac:dyDescent="0.3">
      <c r="A1099" t="s">
        <v>340</v>
      </c>
      <c r="B1099" t="s">
        <v>59</v>
      </c>
      <c r="C1099" t="s">
        <v>10</v>
      </c>
      <c r="D1099" t="s">
        <v>14</v>
      </c>
      <c r="E1099">
        <v>202602</v>
      </c>
      <c r="F1099" t="s">
        <v>355</v>
      </c>
      <c r="G1099">
        <v>0</v>
      </c>
      <c r="H1099">
        <v>0</v>
      </c>
      <c r="I1099">
        <v>1</v>
      </c>
      <c r="J1099">
        <v>0</v>
      </c>
      <c r="K1099">
        <v>0</v>
      </c>
      <c r="L1099">
        <v>0</v>
      </c>
      <c r="M1099">
        <v>0</v>
      </c>
      <c r="N1099">
        <v>0</v>
      </c>
      <c r="O1099">
        <v>0</v>
      </c>
      <c r="P1099">
        <v>2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>
        <v>0</v>
      </c>
      <c r="AB1099">
        <v>0</v>
      </c>
      <c r="AC1099">
        <v>0</v>
      </c>
      <c r="AD1099">
        <v>0</v>
      </c>
      <c r="AE1099">
        <v>0</v>
      </c>
      <c r="AF1099">
        <v>0</v>
      </c>
      <c r="AG1099">
        <v>0</v>
      </c>
      <c r="AH1099">
        <v>0</v>
      </c>
      <c r="AI1099">
        <v>0</v>
      </c>
      <c r="AJ1099">
        <v>0</v>
      </c>
      <c r="AK1099">
        <v>0</v>
      </c>
      <c r="AL1099">
        <v>3</v>
      </c>
      <c r="AM1099">
        <v>0.66666666666666663</v>
      </c>
      <c r="AN1099">
        <v>11.083482142857227</v>
      </c>
    </row>
    <row r="1100" spans="1:40" x14ac:dyDescent="0.3">
      <c r="A1100" t="s">
        <v>340</v>
      </c>
      <c r="B1100" t="s">
        <v>59</v>
      </c>
      <c r="C1100" t="s">
        <v>10</v>
      </c>
      <c r="D1100" t="s">
        <v>14</v>
      </c>
      <c r="E1100">
        <v>202602</v>
      </c>
      <c r="F1100" t="s">
        <v>78</v>
      </c>
      <c r="G1100">
        <v>0</v>
      </c>
      <c r="H1100">
        <v>0</v>
      </c>
      <c r="I1100">
        <v>2</v>
      </c>
      <c r="J1100">
        <v>3</v>
      </c>
      <c r="K1100">
        <v>0</v>
      </c>
      <c r="L1100">
        <v>3</v>
      </c>
      <c r="M1100">
        <v>0</v>
      </c>
      <c r="N1100">
        <v>0</v>
      </c>
      <c r="O1100">
        <v>0</v>
      </c>
      <c r="P1100">
        <v>2</v>
      </c>
      <c r="Q1100">
        <v>2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>
        <v>0</v>
      </c>
      <c r="AB1100">
        <v>0</v>
      </c>
      <c r="AC1100">
        <v>0</v>
      </c>
      <c r="AD1100">
        <v>0</v>
      </c>
      <c r="AE1100">
        <v>0</v>
      </c>
      <c r="AF1100">
        <v>0</v>
      </c>
      <c r="AG1100">
        <v>0</v>
      </c>
      <c r="AH1100">
        <v>0</v>
      </c>
      <c r="AI1100">
        <v>0</v>
      </c>
      <c r="AJ1100">
        <v>0</v>
      </c>
      <c r="AK1100">
        <v>0</v>
      </c>
      <c r="AL1100">
        <v>12</v>
      </c>
      <c r="AM1100">
        <v>1.3333333333333333</v>
      </c>
      <c r="AN1100">
        <v>28.166964285714453</v>
      </c>
    </row>
    <row r="1101" spans="1:40" x14ac:dyDescent="0.3">
      <c r="A1101" t="s">
        <v>340</v>
      </c>
      <c r="B1101" t="s">
        <v>59</v>
      </c>
      <c r="C1101" t="s">
        <v>10</v>
      </c>
      <c r="D1101" t="s">
        <v>14</v>
      </c>
      <c r="E1101">
        <v>202602</v>
      </c>
      <c r="F1101" t="s">
        <v>79</v>
      </c>
      <c r="G1101">
        <v>0</v>
      </c>
      <c r="H1101">
        <v>0</v>
      </c>
      <c r="I1101">
        <v>1</v>
      </c>
      <c r="J1101">
        <v>1</v>
      </c>
      <c r="K1101">
        <v>0</v>
      </c>
      <c r="L1101">
        <v>1</v>
      </c>
      <c r="M1101">
        <v>0</v>
      </c>
      <c r="N1101">
        <v>0</v>
      </c>
      <c r="O1101">
        <v>1</v>
      </c>
      <c r="P1101">
        <v>1</v>
      </c>
      <c r="Q1101">
        <v>4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>
        <v>0</v>
      </c>
      <c r="AB1101">
        <v>0</v>
      </c>
      <c r="AC1101">
        <v>0</v>
      </c>
      <c r="AD1101">
        <v>0</v>
      </c>
      <c r="AE1101">
        <v>0</v>
      </c>
      <c r="AF1101">
        <v>0</v>
      </c>
      <c r="AG1101">
        <v>0</v>
      </c>
      <c r="AH1101">
        <v>0</v>
      </c>
      <c r="AI1101">
        <v>0</v>
      </c>
      <c r="AJ1101">
        <v>0</v>
      </c>
      <c r="AK1101">
        <v>0</v>
      </c>
      <c r="AL1101">
        <v>9</v>
      </c>
      <c r="AM1101">
        <v>2</v>
      </c>
      <c r="AN1101">
        <v>33.250446428571678</v>
      </c>
    </row>
    <row r="1102" spans="1:40" x14ac:dyDescent="0.3">
      <c r="A1102" t="s">
        <v>340</v>
      </c>
      <c r="B1102" t="s">
        <v>81</v>
      </c>
      <c r="C1102" t="s">
        <v>10</v>
      </c>
      <c r="D1102" t="s">
        <v>11</v>
      </c>
      <c r="E1102">
        <v>202602</v>
      </c>
      <c r="F1102" t="s">
        <v>83</v>
      </c>
      <c r="G1102">
        <v>0</v>
      </c>
      <c r="H1102">
        <v>0</v>
      </c>
      <c r="I1102">
        <v>0</v>
      </c>
      <c r="J1102">
        <v>0</v>
      </c>
      <c r="K1102">
        <v>0</v>
      </c>
      <c r="L1102">
        <v>2</v>
      </c>
      <c r="M1102">
        <v>0</v>
      </c>
      <c r="N1102">
        <v>0</v>
      </c>
      <c r="O1102">
        <v>0</v>
      </c>
      <c r="P1102">
        <v>0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>
        <v>0</v>
      </c>
      <c r="AB1102">
        <v>0</v>
      </c>
      <c r="AC1102">
        <v>0</v>
      </c>
      <c r="AD1102">
        <v>0</v>
      </c>
      <c r="AE1102">
        <v>0</v>
      </c>
      <c r="AF1102">
        <v>0</v>
      </c>
      <c r="AG1102">
        <v>0</v>
      </c>
      <c r="AH1102">
        <v>0</v>
      </c>
      <c r="AI1102">
        <v>0</v>
      </c>
      <c r="AJ1102">
        <v>0</v>
      </c>
      <c r="AK1102">
        <v>0</v>
      </c>
      <c r="AL1102">
        <v>2</v>
      </c>
      <c r="AM1102">
        <v>0</v>
      </c>
      <c r="AN1102">
        <v>2</v>
      </c>
    </row>
    <row r="1103" spans="1:40" x14ac:dyDescent="0.3">
      <c r="A1103" t="s">
        <v>340</v>
      </c>
      <c r="B1103" t="s">
        <v>81</v>
      </c>
      <c r="C1103" t="s">
        <v>10</v>
      </c>
      <c r="D1103" t="s">
        <v>11</v>
      </c>
      <c r="E1103">
        <v>202602</v>
      </c>
      <c r="F1103" t="s">
        <v>356</v>
      </c>
      <c r="G1103">
        <v>0</v>
      </c>
      <c r="H1103">
        <v>0</v>
      </c>
      <c r="I1103">
        <v>0</v>
      </c>
      <c r="J1103">
        <v>0</v>
      </c>
      <c r="K1103">
        <v>0</v>
      </c>
      <c r="L1103">
        <v>2</v>
      </c>
      <c r="M1103">
        <v>1</v>
      </c>
      <c r="N1103">
        <v>0</v>
      </c>
      <c r="O1103">
        <v>0</v>
      </c>
      <c r="P1103">
        <v>0</v>
      </c>
      <c r="Q1103">
        <v>1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>
        <v>0</v>
      </c>
      <c r="AB1103">
        <v>0</v>
      </c>
      <c r="AC1103">
        <v>0</v>
      </c>
      <c r="AD1103">
        <v>0</v>
      </c>
      <c r="AE1103">
        <v>0</v>
      </c>
      <c r="AF1103">
        <v>0</v>
      </c>
      <c r="AG1103">
        <v>0</v>
      </c>
      <c r="AH1103">
        <v>0</v>
      </c>
      <c r="AI1103">
        <v>0</v>
      </c>
      <c r="AJ1103">
        <v>0</v>
      </c>
      <c r="AK1103">
        <v>0</v>
      </c>
      <c r="AL1103">
        <v>4</v>
      </c>
      <c r="AM1103">
        <v>0.33333333333333331</v>
      </c>
      <c r="AN1103">
        <v>8.6046251398731108</v>
      </c>
    </row>
    <row r="1104" spans="1:40" x14ac:dyDescent="0.3">
      <c r="A1104" t="s">
        <v>340</v>
      </c>
      <c r="B1104" t="s">
        <v>81</v>
      </c>
      <c r="C1104" t="s">
        <v>10</v>
      </c>
      <c r="D1104" t="s">
        <v>11</v>
      </c>
      <c r="E1104">
        <v>202602</v>
      </c>
      <c r="F1104" t="s">
        <v>357</v>
      </c>
      <c r="G1104">
        <v>0</v>
      </c>
      <c r="H1104">
        <v>0</v>
      </c>
      <c r="I1104">
        <v>1</v>
      </c>
      <c r="J1104">
        <v>0</v>
      </c>
      <c r="K1104">
        <v>2</v>
      </c>
      <c r="L1104">
        <v>0</v>
      </c>
      <c r="M1104">
        <v>1</v>
      </c>
      <c r="N1104">
        <v>0</v>
      </c>
      <c r="O1104">
        <v>0</v>
      </c>
      <c r="P1104">
        <v>0</v>
      </c>
      <c r="Q1104">
        <v>2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>
        <v>0</v>
      </c>
      <c r="AB1104">
        <v>0</v>
      </c>
      <c r="AC1104">
        <v>0</v>
      </c>
      <c r="AD1104">
        <v>0</v>
      </c>
      <c r="AE1104">
        <v>0</v>
      </c>
      <c r="AF1104">
        <v>0</v>
      </c>
      <c r="AG1104">
        <v>0</v>
      </c>
      <c r="AH1104">
        <v>0</v>
      </c>
      <c r="AI1104">
        <v>0</v>
      </c>
      <c r="AJ1104">
        <v>0</v>
      </c>
      <c r="AK1104">
        <v>0</v>
      </c>
      <c r="AL1104">
        <v>6</v>
      </c>
      <c r="AM1104">
        <v>0.66666666666666663</v>
      </c>
      <c r="AN1104">
        <v>15.209250279746223</v>
      </c>
    </row>
    <row r="1105" spans="1:40" x14ac:dyDescent="0.3">
      <c r="A1105" t="s">
        <v>340</v>
      </c>
      <c r="B1105" t="s">
        <v>81</v>
      </c>
      <c r="C1105" t="s">
        <v>10</v>
      </c>
      <c r="D1105" t="s">
        <v>11</v>
      </c>
      <c r="E1105">
        <v>202602</v>
      </c>
      <c r="F1105" t="s">
        <v>358</v>
      </c>
      <c r="G1105">
        <v>0</v>
      </c>
      <c r="H1105">
        <v>0</v>
      </c>
      <c r="I1105">
        <v>2</v>
      </c>
      <c r="J1105">
        <v>0</v>
      </c>
      <c r="K1105">
        <v>0</v>
      </c>
      <c r="L1105">
        <v>0</v>
      </c>
      <c r="M1105">
        <v>0</v>
      </c>
      <c r="N1105">
        <v>0</v>
      </c>
      <c r="O1105">
        <v>1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0</v>
      </c>
      <c r="X1105">
        <v>0</v>
      </c>
      <c r="Y1105">
        <v>0</v>
      </c>
      <c r="Z1105">
        <v>0</v>
      </c>
      <c r="AA1105">
        <v>0</v>
      </c>
      <c r="AB1105">
        <v>0</v>
      </c>
      <c r="AC1105">
        <v>0</v>
      </c>
      <c r="AD1105">
        <v>0</v>
      </c>
      <c r="AE1105">
        <v>0</v>
      </c>
      <c r="AF1105">
        <v>0</v>
      </c>
      <c r="AG1105">
        <v>0</v>
      </c>
      <c r="AH1105">
        <v>0</v>
      </c>
      <c r="AI1105">
        <v>0</v>
      </c>
      <c r="AJ1105">
        <v>0</v>
      </c>
      <c r="AK1105">
        <v>0</v>
      </c>
      <c r="AL1105">
        <v>3</v>
      </c>
      <c r="AM1105">
        <v>0.33333333333333331</v>
      </c>
      <c r="AN1105">
        <v>7.6046251398731117</v>
      </c>
    </row>
    <row r="1106" spans="1:40" x14ac:dyDescent="0.3">
      <c r="A1106" t="s">
        <v>340</v>
      </c>
      <c r="B1106" t="s">
        <v>81</v>
      </c>
      <c r="C1106" t="s">
        <v>10</v>
      </c>
      <c r="D1106" t="s">
        <v>11</v>
      </c>
      <c r="E1106">
        <v>202602</v>
      </c>
      <c r="F1106" t="s">
        <v>359</v>
      </c>
      <c r="G1106">
        <v>0</v>
      </c>
      <c r="H1106">
        <v>0</v>
      </c>
      <c r="I1106">
        <v>1</v>
      </c>
      <c r="J1106">
        <v>5</v>
      </c>
      <c r="K1106">
        <v>1</v>
      </c>
      <c r="L1106">
        <v>3</v>
      </c>
      <c r="M1106">
        <v>0</v>
      </c>
      <c r="N1106">
        <v>0</v>
      </c>
      <c r="O1106">
        <v>1</v>
      </c>
      <c r="P1106">
        <v>1</v>
      </c>
      <c r="Q1106">
        <v>1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0</v>
      </c>
      <c r="X1106">
        <v>0</v>
      </c>
      <c r="Y1106">
        <v>0</v>
      </c>
      <c r="Z1106">
        <v>0</v>
      </c>
      <c r="AA1106">
        <v>0</v>
      </c>
      <c r="AB1106">
        <v>0</v>
      </c>
      <c r="AC1106">
        <v>0</v>
      </c>
      <c r="AD1106">
        <v>0</v>
      </c>
      <c r="AE1106">
        <v>0</v>
      </c>
      <c r="AF1106">
        <v>0</v>
      </c>
      <c r="AG1106">
        <v>0</v>
      </c>
      <c r="AH1106">
        <v>0</v>
      </c>
      <c r="AI1106">
        <v>0</v>
      </c>
      <c r="AJ1106">
        <v>0</v>
      </c>
      <c r="AK1106">
        <v>0</v>
      </c>
      <c r="AL1106">
        <v>13</v>
      </c>
      <c r="AM1106">
        <v>1</v>
      </c>
      <c r="AN1106">
        <v>26.813875419619336</v>
      </c>
    </row>
    <row r="1107" spans="1:40" x14ac:dyDescent="0.3">
      <c r="A1107" t="s">
        <v>340</v>
      </c>
      <c r="B1107" t="s">
        <v>81</v>
      </c>
      <c r="C1107" t="s">
        <v>10</v>
      </c>
      <c r="D1107" t="s">
        <v>11</v>
      </c>
      <c r="E1107">
        <v>202602</v>
      </c>
      <c r="F1107" t="s">
        <v>360</v>
      </c>
      <c r="G1107">
        <v>0</v>
      </c>
      <c r="H1107">
        <v>1</v>
      </c>
      <c r="I1107">
        <v>0</v>
      </c>
      <c r="J1107">
        <v>2</v>
      </c>
      <c r="K1107">
        <v>2</v>
      </c>
      <c r="L1107">
        <v>1</v>
      </c>
      <c r="M1107">
        <v>0</v>
      </c>
      <c r="N1107">
        <v>0</v>
      </c>
      <c r="O1107">
        <v>1</v>
      </c>
      <c r="P1107">
        <v>0</v>
      </c>
      <c r="Q1107">
        <v>3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0</v>
      </c>
      <c r="X1107">
        <v>0</v>
      </c>
      <c r="Y1107">
        <v>0</v>
      </c>
      <c r="Z1107">
        <v>0</v>
      </c>
      <c r="AA1107">
        <v>0</v>
      </c>
      <c r="AB1107">
        <v>0</v>
      </c>
      <c r="AC1107">
        <v>0</v>
      </c>
      <c r="AD1107">
        <v>0</v>
      </c>
      <c r="AE1107">
        <v>0</v>
      </c>
      <c r="AF1107">
        <v>0</v>
      </c>
      <c r="AG1107">
        <v>0</v>
      </c>
      <c r="AH1107">
        <v>0</v>
      </c>
      <c r="AI1107">
        <v>0</v>
      </c>
      <c r="AJ1107">
        <v>0</v>
      </c>
      <c r="AK1107">
        <v>0</v>
      </c>
      <c r="AL1107">
        <v>10</v>
      </c>
      <c r="AM1107">
        <v>1.3333333333333333</v>
      </c>
      <c r="AN1107">
        <v>28.418500559492447</v>
      </c>
    </row>
    <row r="1108" spans="1:40" x14ac:dyDescent="0.3">
      <c r="A1108" t="s">
        <v>340</v>
      </c>
      <c r="B1108" t="s">
        <v>81</v>
      </c>
      <c r="C1108" t="s">
        <v>10</v>
      </c>
      <c r="D1108" t="s">
        <v>11</v>
      </c>
      <c r="E1108">
        <v>202602</v>
      </c>
      <c r="F1108" t="s">
        <v>361</v>
      </c>
      <c r="G1108">
        <v>1</v>
      </c>
      <c r="H1108">
        <v>0</v>
      </c>
      <c r="I1108">
        <v>1</v>
      </c>
      <c r="J1108">
        <v>0</v>
      </c>
      <c r="K1108">
        <v>1</v>
      </c>
      <c r="L1108">
        <v>2</v>
      </c>
      <c r="M1108">
        <v>0</v>
      </c>
      <c r="N1108">
        <v>0</v>
      </c>
      <c r="O1108">
        <v>1</v>
      </c>
      <c r="P1108">
        <v>1</v>
      </c>
      <c r="Q1108">
        <v>2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0</v>
      </c>
      <c r="X1108">
        <v>0</v>
      </c>
      <c r="Y1108">
        <v>0</v>
      </c>
      <c r="Z1108">
        <v>0</v>
      </c>
      <c r="AA1108">
        <v>0</v>
      </c>
      <c r="AB1108">
        <v>0</v>
      </c>
      <c r="AC1108">
        <v>0</v>
      </c>
      <c r="AD1108">
        <v>0</v>
      </c>
      <c r="AE1108">
        <v>0</v>
      </c>
      <c r="AF1108">
        <v>0</v>
      </c>
      <c r="AG1108">
        <v>0</v>
      </c>
      <c r="AH1108">
        <v>0</v>
      </c>
      <c r="AI1108">
        <v>0</v>
      </c>
      <c r="AJ1108">
        <v>0</v>
      </c>
      <c r="AK1108">
        <v>0</v>
      </c>
      <c r="AL1108">
        <v>9</v>
      </c>
      <c r="AM1108">
        <v>1.3333333333333333</v>
      </c>
      <c r="AN1108">
        <v>27.418500559492447</v>
      </c>
    </row>
    <row r="1109" spans="1:40" x14ac:dyDescent="0.3">
      <c r="A1109" t="s">
        <v>340</v>
      </c>
      <c r="B1109" t="s">
        <v>81</v>
      </c>
      <c r="C1109" t="s">
        <v>10</v>
      </c>
      <c r="D1109" t="s">
        <v>11</v>
      </c>
      <c r="E1109">
        <v>202602</v>
      </c>
      <c r="F1109" t="s">
        <v>362</v>
      </c>
      <c r="G1109">
        <v>0</v>
      </c>
      <c r="H1109">
        <v>0</v>
      </c>
      <c r="I1109">
        <v>0</v>
      </c>
      <c r="J1109">
        <v>0</v>
      </c>
      <c r="K1109">
        <v>0</v>
      </c>
      <c r="L1109">
        <v>0</v>
      </c>
      <c r="M1109">
        <v>0</v>
      </c>
      <c r="N1109">
        <v>0</v>
      </c>
      <c r="O1109">
        <v>1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0</v>
      </c>
      <c r="X1109">
        <v>0</v>
      </c>
      <c r="Y1109">
        <v>0</v>
      </c>
      <c r="Z1109">
        <v>0</v>
      </c>
      <c r="AA1109">
        <v>0</v>
      </c>
      <c r="AB1109">
        <v>0</v>
      </c>
      <c r="AC1109">
        <v>0</v>
      </c>
      <c r="AD1109">
        <v>0</v>
      </c>
      <c r="AE1109">
        <v>0</v>
      </c>
      <c r="AF1109">
        <v>0</v>
      </c>
      <c r="AG1109">
        <v>0</v>
      </c>
      <c r="AH1109">
        <v>0</v>
      </c>
      <c r="AI1109">
        <v>0</v>
      </c>
      <c r="AJ1109">
        <v>0</v>
      </c>
      <c r="AK1109">
        <v>0</v>
      </c>
      <c r="AL1109">
        <v>1</v>
      </c>
      <c r="AM1109">
        <v>0.33333333333333331</v>
      </c>
      <c r="AN1109">
        <v>5.6046251398731117</v>
      </c>
    </row>
    <row r="1110" spans="1:40" x14ac:dyDescent="0.3">
      <c r="A1110" t="s">
        <v>340</v>
      </c>
      <c r="B1110" t="s">
        <v>81</v>
      </c>
      <c r="C1110" t="s">
        <v>10</v>
      </c>
      <c r="D1110" t="s">
        <v>14</v>
      </c>
      <c r="E1110">
        <v>202602</v>
      </c>
      <c r="F1110" t="s">
        <v>83</v>
      </c>
      <c r="G1110">
        <v>0</v>
      </c>
      <c r="H1110">
        <v>0</v>
      </c>
      <c r="I1110">
        <v>0</v>
      </c>
      <c r="J1110">
        <v>3</v>
      </c>
      <c r="K1110">
        <v>0</v>
      </c>
      <c r="L1110">
        <v>0</v>
      </c>
      <c r="M1110">
        <v>0</v>
      </c>
      <c r="N1110">
        <v>0</v>
      </c>
      <c r="O1110">
        <v>0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0</v>
      </c>
      <c r="X1110">
        <v>0</v>
      </c>
      <c r="Y1110">
        <v>0</v>
      </c>
      <c r="Z1110">
        <v>0</v>
      </c>
      <c r="AA1110">
        <v>0</v>
      </c>
      <c r="AB1110">
        <v>0</v>
      </c>
      <c r="AC1110">
        <v>0</v>
      </c>
      <c r="AD1110">
        <v>0</v>
      </c>
      <c r="AE1110">
        <v>0</v>
      </c>
      <c r="AF1110">
        <v>0</v>
      </c>
      <c r="AG1110">
        <v>0</v>
      </c>
      <c r="AH1110">
        <v>0</v>
      </c>
      <c r="AI1110">
        <v>0</v>
      </c>
      <c r="AJ1110">
        <v>0</v>
      </c>
      <c r="AK1110">
        <v>0</v>
      </c>
      <c r="AL1110">
        <v>3</v>
      </c>
      <c r="AM1110">
        <v>0</v>
      </c>
      <c r="AN1110">
        <v>3</v>
      </c>
    </row>
    <row r="1111" spans="1:40" x14ac:dyDescent="0.3">
      <c r="A1111" t="s">
        <v>340</v>
      </c>
      <c r="B1111" t="s">
        <v>81</v>
      </c>
      <c r="C1111" t="s">
        <v>10</v>
      </c>
      <c r="D1111" t="s">
        <v>14</v>
      </c>
      <c r="E1111">
        <v>202602</v>
      </c>
      <c r="F1111" t="s">
        <v>356</v>
      </c>
      <c r="G1111">
        <v>0</v>
      </c>
      <c r="H1111">
        <v>0</v>
      </c>
      <c r="I1111">
        <v>0</v>
      </c>
      <c r="J1111">
        <v>2</v>
      </c>
      <c r="K1111">
        <v>0</v>
      </c>
      <c r="L1111">
        <v>1</v>
      </c>
      <c r="M1111">
        <v>0</v>
      </c>
      <c r="N1111">
        <v>0</v>
      </c>
      <c r="O1111">
        <v>1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0</v>
      </c>
      <c r="Y1111">
        <v>0</v>
      </c>
      <c r="Z1111">
        <v>0</v>
      </c>
      <c r="AA1111">
        <v>0</v>
      </c>
      <c r="AB1111">
        <v>0</v>
      </c>
      <c r="AC1111">
        <v>0</v>
      </c>
      <c r="AD1111">
        <v>0</v>
      </c>
      <c r="AE1111">
        <v>0</v>
      </c>
      <c r="AF1111">
        <v>0</v>
      </c>
      <c r="AG1111">
        <v>0</v>
      </c>
      <c r="AH1111">
        <v>0</v>
      </c>
      <c r="AI1111">
        <v>0</v>
      </c>
      <c r="AJ1111">
        <v>0</v>
      </c>
      <c r="AK1111">
        <v>0</v>
      </c>
      <c r="AL1111">
        <v>4</v>
      </c>
      <c r="AM1111">
        <v>0.33333333333333331</v>
      </c>
      <c r="AN1111">
        <v>8.0417410714286142</v>
      </c>
    </row>
    <row r="1112" spans="1:40" x14ac:dyDescent="0.3">
      <c r="A1112" t="s">
        <v>340</v>
      </c>
      <c r="B1112" t="s">
        <v>81</v>
      </c>
      <c r="C1112" t="s">
        <v>10</v>
      </c>
      <c r="D1112" t="s">
        <v>14</v>
      </c>
      <c r="E1112">
        <v>202602</v>
      </c>
      <c r="F1112" t="s">
        <v>357</v>
      </c>
      <c r="G1112">
        <v>0</v>
      </c>
      <c r="H1112">
        <v>2</v>
      </c>
      <c r="I1112">
        <v>0</v>
      </c>
      <c r="J1112">
        <v>1</v>
      </c>
      <c r="K1112">
        <v>2</v>
      </c>
      <c r="L1112">
        <v>0</v>
      </c>
      <c r="M1112">
        <v>0</v>
      </c>
      <c r="N1112">
        <v>0</v>
      </c>
      <c r="O1112">
        <v>1</v>
      </c>
      <c r="P1112">
        <v>1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0</v>
      </c>
      <c r="Y1112">
        <v>0</v>
      </c>
      <c r="Z1112">
        <v>0</v>
      </c>
      <c r="AA1112">
        <v>0</v>
      </c>
      <c r="AB1112">
        <v>0</v>
      </c>
      <c r="AC1112">
        <v>0</v>
      </c>
      <c r="AD1112">
        <v>0</v>
      </c>
      <c r="AE1112">
        <v>0</v>
      </c>
      <c r="AF1112">
        <v>0</v>
      </c>
      <c r="AG1112">
        <v>0</v>
      </c>
      <c r="AH1112">
        <v>0</v>
      </c>
      <c r="AI1112">
        <v>0</v>
      </c>
      <c r="AJ1112">
        <v>0</v>
      </c>
      <c r="AK1112">
        <v>0</v>
      </c>
      <c r="AL1112">
        <v>7</v>
      </c>
      <c r="AM1112">
        <v>0.66666666666666663</v>
      </c>
      <c r="AN1112">
        <v>15.083482142857227</v>
      </c>
    </row>
    <row r="1113" spans="1:40" x14ac:dyDescent="0.3">
      <c r="A1113" t="s">
        <v>340</v>
      </c>
      <c r="B1113" t="s">
        <v>81</v>
      </c>
      <c r="C1113" t="s">
        <v>10</v>
      </c>
      <c r="D1113" t="s">
        <v>14</v>
      </c>
      <c r="E1113">
        <v>202602</v>
      </c>
      <c r="F1113" t="s">
        <v>358</v>
      </c>
      <c r="G1113">
        <v>0</v>
      </c>
      <c r="H1113">
        <v>0</v>
      </c>
      <c r="I1113">
        <v>0</v>
      </c>
      <c r="J1113">
        <v>0</v>
      </c>
      <c r="K1113">
        <v>1</v>
      </c>
      <c r="L1113">
        <v>0</v>
      </c>
      <c r="M1113">
        <v>1</v>
      </c>
      <c r="N1113">
        <v>0</v>
      </c>
      <c r="O1113">
        <v>0</v>
      </c>
      <c r="P1113">
        <v>0</v>
      </c>
      <c r="Q1113">
        <v>2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0</v>
      </c>
      <c r="Y1113">
        <v>0</v>
      </c>
      <c r="Z1113">
        <v>0</v>
      </c>
      <c r="AA1113">
        <v>0</v>
      </c>
      <c r="AB1113">
        <v>0</v>
      </c>
      <c r="AC1113">
        <v>0</v>
      </c>
      <c r="AD1113">
        <v>0</v>
      </c>
      <c r="AE1113">
        <v>0</v>
      </c>
      <c r="AF1113">
        <v>0</v>
      </c>
      <c r="AG1113">
        <v>0</v>
      </c>
      <c r="AH1113">
        <v>0</v>
      </c>
      <c r="AI1113">
        <v>0</v>
      </c>
      <c r="AJ1113">
        <v>0</v>
      </c>
      <c r="AK1113">
        <v>0</v>
      </c>
      <c r="AL1113">
        <v>4</v>
      </c>
      <c r="AM1113">
        <v>0.66666666666666663</v>
      </c>
      <c r="AN1113">
        <v>12.083482142857227</v>
      </c>
    </row>
    <row r="1114" spans="1:40" x14ac:dyDescent="0.3">
      <c r="A1114" t="s">
        <v>340</v>
      </c>
      <c r="B1114" t="s">
        <v>81</v>
      </c>
      <c r="C1114" t="s">
        <v>10</v>
      </c>
      <c r="D1114" t="s">
        <v>14</v>
      </c>
      <c r="E1114">
        <v>202602</v>
      </c>
      <c r="F1114" t="s">
        <v>359</v>
      </c>
      <c r="G1114">
        <v>0</v>
      </c>
      <c r="H1114">
        <v>3</v>
      </c>
      <c r="I1114">
        <v>3</v>
      </c>
      <c r="J1114">
        <v>3</v>
      </c>
      <c r="K1114">
        <v>3</v>
      </c>
      <c r="L1114">
        <v>3</v>
      </c>
      <c r="M1114">
        <v>2</v>
      </c>
      <c r="N1114">
        <v>0</v>
      </c>
      <c r="O1114">
        <v>0</v>
      </c>
      <c r="P1114">
        <v>5</v>
      </c>
      <c r="Q1114">
        <v>4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0</v>
      </c>
      <c r="Y1114">
        <v>0</v>
      </c>
      <c r="Z1114">
        <v>0</v>
      </c>
      <c r="AA1114">
        <v>0</v>
      </c>
      <c r="AB1114">
        <v>0</v>
      </c>
      <c r="AC1114">
        <v>0</v>
      </c>
      <c r="AD1114">
        <v>0</v>
      </c>
      <c r="AE1114">
        <v>0</v>
      </c>
      <c r="AF1114">
        <v>0</v>
      </c>
      <c r="AG1114">
        <v>0</v>
      </c>
      <c r="AH1114">
        <v>0</v>
      </c>
      <c r="AI1114">
        <v>0</v>
      </c>
      <c r="AJ1114">
        <v>0</v>
      </c>
      <c r="AK1114">
        <v>0</v>
      </c>
      <c r="AL1114">
        <v>26</v>
      </c>
      <c r="AM1114">
        <v>3</v>
      </c>
      <c r="AN1114">
        <v>62.375669642857517</v>
      </c>
    </row>
    <row r="1115" spans="1:40" x14ac:dyDescent="0.3">
      <c r="A1115" t="s">
        <v>340</v>
      </c>
      <c r="B1115" t="s">
        <v>81</v>
      </c>
      <c r="C1115" t="s">
        <v>10</v>
      </c>
      <c r="D1115" t="s">
        <v>14</v>
      </c>
      <c r="E1115">
        <v>202602</v>
      </c>
      <c r="F1115" t="s">
        <v>363</v>
      </c>
      <c r="G1115">
        <v>0</v>
      </c>
      <c r="H1115">
        <v>0</v>
      </c>
      <c r="I1115">
        <v>1</v>
      </c>
      <c r="J1115">
        <v>0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1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0</v>
      </c>
      <c r="Y1115">
        <v>0</v>
      </c>
      <c r="Z1115">
        <v>0</v>
      </c>
      <c r="AA1115">
        <v>0</v>
      </c>
      <c r="AB1115">
        <v>0</v>
      </c>
      <c r="AC1115">
        <v>0</v>
      </c>
      <c r="AD1115">
        <v>0</v>
      </c>
      <c r="AE1115">
        <v>0</v>
      </c>
      <c r="AF1115">
        <v>0</v>
      </c>
      <c r="AG1115">
        <v>0</v>
      </c>
      <c r="AH1115">
        <v>0</v>
      </c>
      <c r="AI1115">
        <v>0</v>
      </c>
      <c r="AJ1115">
        <v>0</v>
      </c>
      <c r="AK1115">
        <v>0</v>
      </c>
      <c r="AL1115">
        <v>2</v>
      </c>
      <c r="AM1115">
        <v>0.33333333333333331</v>
      </c>
      <c r="AN1115">
        <v>6.0417410714286133</v>
      </c>
    </row>
    <row r="1116" spans="1:40" x14ac:dyDescent="0.3">
      <c r="A1116" t="s">
        <v>340</v>
      </c>
      <c r="B1116" t="s">
        <v>81</v>
      </c>
      <c r="C1116" t="s">
        <v>10</v>
      </c>
      <c r="D1116" t="s">
        <v>14</v>
      </c>
      <c r="E1116">
        <v>202602</v>
      </c>
      <c r="F1116" t="s">
        <v>360</v>
      </c>
      <c r="G1116">
        <v>0</v>
      </c>
      <c r="H1116">
        <v>0</v>
      </c>
      <c r="I1116">
        <v>3</v>
      </c>
      <c r="J1116">
        <v>1</v>
      </c>
      <c r="K1116">
        <v>1</v>
      </c>
      <c r="L1116">
        <v>2</v>
      </c>
      <c r="M1116">
        <v>0</v>
      </c>
      <c r="N1116">
        <v>0</v>
      </c>
      <c r="O1116">
        <v>3</v>
      </c>
      <c r="P1116">
        <v>2</v>
      </c>
      <c r="Q1116">
        <v>3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0</v>
      </c>
      <c r="Y1116">
        <v>0</v>
      </c>
      <c r="Z1116">
        <v>0</v>
      </c>
      <c r="AA1116">
        <v>0</v>
      </c>
      <c r="AB1116">
        <v>0</v>
      </c>
      <c r="AC1116">
        <v>0</v>
      </c>
      <c r="AD1116">
        <v>0</v>
      </c>
      <c r="AE1116">
        <v>0</v>
      </c>
      <c r="AF1116">
        <v>0</v>
      </c>
      <c r="AG1116">
        <v>0</v>
      </c>
      <c r="AH1116">
        <v>0</v>
      </c>
      <c r="AI1116">
        <v>0</v>
      </c>
      <c r="AJ1116">
        <v>0</v>
      </c>
      <c r="AK1116">
        <v>0</v>
      </c>
      <c r="AL1116">
        <v>15</v>
      </c>
      <c r="AM1116">
        <v>2.6666666666666665</v>
      </c>
      <c r="AN1116">
        <v>47.333928571428906</v>
      </c>
    </row>
    <row r="1117" spans="1:40" x14ac:dyDescent="0.3">
      <c r="A1117" t="s">
        <v>340</v>
      </c>
      <c r="B1117" t="s">
        <v>81</v>
      </c>
      <c r="C1117" t="s">
        <v>10</v>
      </c>
      <c r="D1117" t="s">
        <v>14</v>
      </c>
      <c r="E1117">
        <v>202602</v>
      </c>
      <c r="F1117" t="s">
        <v>361</v>
      </c>
      <c r="G1117">
        <v>0</v>
      </c>
      <c r="H1117">
        <v>1</v>
      </c>
      <c r="I1117">
        <v>0</v>
      </c>
      <c r="J1117">
        <v>0</v>
      </c>
      <c r="K1117">
        <v>3</v>
      </c>
      <c r="L1117">
        <v>1</v>
      </c>
      <c r="M1117">
        <v>0</v>
      </c>
      <c r="N1117">
        <v>0</v>
      </c>
      <c r="O1117">
        <v>2</v>
      </c>
      <c r="P1117">
        <v>2</v>
      </c>
      <c r="Q1117">
        <v>1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0</v>
      </c>
      <c r="AA1117">
        <v>0</v>
      </c>
      <c r="AB1117">
        <v>0</v>
      </c>
      <c r="AC1117">
        <v>0</v>
      </c>
      <c r="AD1117">
        <v>0</v>
      </c>
      <c r="AE1117">
        <v>0</v>
      </c>
      <c r="AF1117">
        <v>0</v>
      </c>
      <c r="AG1117">
        <v>0</v>
      </c>
      <c r="AH1117">
        <v>0</v>
      </c>
      <c r="AI1117">
        <v>0</v>
      </c>
      <c r="AJ1117">
        <v>0</v>
      </c>
      <c r="AK1117">
        <v>0</v>
      </c>
      <c r="AL1117">
        <v>10</v>
      </c>
      <c r="AM1117">
        <v>1.6666666666666667</v>
      </c>
      <c r="AN1117">
        <v>30.208705357143064</v>
      </c>
    </row>
    <row r="1118" spans="1:40" x14ac:dyDescent="0.3">
      <c r="A1118" t="s">
        <v>340</v>
      </c>
      <c r="B1118" t="s">
        <v>81</v>
      </c>
      <c r="C1118" t="s">
        <v>10</v>
      </c>
      <c r="D1118" t="s">
        <v>14</v>
      </c>
      <c r="E1118">
        <v>202602</v>
      </c>
      <c r="F1118" t="s">
        <v>364</v>
      </c>
      <c r="G1118">
        <v>0</v>
      </c>
      <c r="H1118">
        <v>0</v>
      </c>
      <c r="I1118">
        <v>0</v>
      </c>
      <c r="J1118">
        <v>0</v>
      </c>
      <c r="K1118">
        <v>0</v>
      </c>
      <c r="L1118">
        <v>0</v>
      </c>
      <c r="M1118">
        <v>0</v>
      </c>
      <c r="N1118">
        <v>0</v>
      </c>
      <c r="O1118">
        <v>1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0</v>
      </c>
      <c r="AA1118">
        <v>0</v>
      </c>
      <c r="AB1118">
        <v>0</v>
      </c>
      <c r="AC1118">
        <v>0</v>
      </c>
      <c r="AD1118">
        <v>0</v>
      </c>
      <c r="AE1118">
        <v>0</v>
      </c>
      <c r="AF1118">
        <v>0</v>
      </c>
      <c r="AG1118">
        <v>0</v>
      </c>
      <c r="AH1118">
        <v>0</v>
      </c>
      <c r="AI1118">
        <v>0</v>
      </c>
      <c r="AJ1118">
        <v>0</v>
      </c>
      <c r="AK1118">
        <v>0</v>
      </c>
      <c r="AL1118">
        <v>1</v>
      </c>
      <c r="AM1118">
        <v>0.33333333333333331</v>
      </c>
      <c r="AN1118">
        <v>5.0417410714286133</v>
      </c>
    </row>
    <row r="1119" spans="1:40" x14ac:dyDescent="0.3">
      <c r="A1119" t="s">
        <v>340</v>
      </c>
      <c r="B1119" t="s">
        <v>81</v>
      </c>
      <c r="C1119" t="s">
        <v>10</v>
      </c>
      <c r="D1119" t="s">
        <v>14</v>
      </c>
      <c r="E1119">
        <v>202602</v>
      </c>
      <c r="F1119" t="s">
        <v>365</v>
      </c>
      <c r="G1119">
        <v>0</v>
      </c>
      <c r="H1119">
        <v>0</v>
      </c>
      <c r="I1119">
        <v>0</v>
      </c>
      <c r="J1119">
        <v>0</v>
      </c>
      <c r="K1119">
        <v>0</v>
      </c>
      <c r="L1119">
        <v>0</v>
      </c>
      <c r="M1119">
        <v>0</v>
      </c>
      <c r="N1119">
        <v>0</v>
      </c>
      <c r="O1119">
        <v>0</v>
      </c>
      <c r="P1119">
        <v>1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0</v>
      </c>
      <c r="AA1119">
        <v>0</v>
      </c>
      <c r="AB1119">
        <v>0</v>
      </c>
      <c r="AC1119">
        <v>0</v>
      </c>
      <c r="AD1119">
        <v>0</v>
      </c>
      <c r="AE1119">
        <v>0</v>
      </c>
      <c r="AF1119">
        <v>0</v>
      </c>
      <c r="AG1119">
        <v>0</v>
      </c>
      <c r="AH1119">
        <v>0</v>
      </c>
      <c r="AI1119">
        <v>0</v>
      </c>
      <c r="AJ1119">
        <v>0</v>
      </c>
      <c r="AK1119">
        <v>0</v>
      </c>
      <c r="AL1119">
        <v>1</v>
      </c>
      <c r="AM1119">
        <v>0.33333333333333331</v>
      </c>
      <c r="AN1119">
        <v>5.0417410714286133</v>
      </c>
    </row>
    <row r="1120" spans="1:40" x14ac:dyDescent="0.3">
      <c r="A1120" t="s">
        <v>340</v>
      </c>
      <c r="B1120" t="s">
        <v>81</v>
      </c>
      <c r="C1120" t="s">
        <v>10</v>
      </c>
      <c r="D1120" t="s">
        <v>14</v>
      </c>
      <c r="E1120">
        <v>202602</v>
      </c>
      <c r="F1120" t="s">
        <v>362</v>
      </c>
      <c r="G1120">
        <v>0</v>
      </c>
      <c r="H1120">
        <v>1</v>
      </c>
      <c r="I1120">
        <v>0</v>
      </c>
      <c r="J1120">
        <v>0</v>
      </c>
      <c r="K1120">
        <v>0</v>
      </c>
      <c r="L1120">
        <v>1</v>
      </c>
      <c r="M1120">
        <v>0</v>
      </c>
      <c r="N1120">
        <v>0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0</v>
      </c>
      <c r="AA1120">
        <v>0</v>
      </c>
      <c r="AB1120">
        <v>0</v>
      </c>
      <c r="AC1120">
        <v>0</v>
      </c>
      <c r="AD1120">
        <v>0</v>
      </c>
      <c r="AE1120">
        <v>0</v>
      </c>
      <c r="AF1120">
        <v>0</v>
      </c>
      <c r="AG1120">
        <v>0</v>
      </c>
      <c r="AH1120">
        <v>0</v>
      </c>
      <c r="AI1120">
        <v>0</v>
      </c>
      <c r="AJ1120">
        <v>0</v>
      </c>
      <c r="AK1120">
        <v>0</v>
      </c>
      <c r="AL1120">
        <v>2</v>
      </c>
      <c r="AM1120">
        <v>0</v>
      </c>
      <c r="AN1120">
        <v>2</v>
      </c>
    </row>
    <row r="1121" spans="1:40" x14ac:dyDescent="0.3">
      <c r="A1121" t="s">
        <v>340</v>
      </c>
      <c r="B1121" t="s">
        <v>81</v>
      </c>
      <c r="C1121" t="s">
        <v>16</v>
      </c>
      <c r="D1121" t="s">
        <v>11</v>
      </c>
      <c r="E1121">
        <v>202602</v>
      </c>
      <c r="F1121" t="s">
        <v>359</v>
      </c>
      <c r="G1121">
        <v>0</v>
      </c>
      <c r="H1121">
        <v>0</v>
      </c>
      <c r="I1121">
        <v>0</v>
      </c>
      <c r="J1121">
        <v>0</v>
      </c>
      <c r="K1121">
        <v>0</v>
      </c>
      <c r="L1121">
        <v>0</v>
      </c>
      <c r="M1121">
        <v>0</v>
      </c>
      <c r="N1121">
        <v>0</v>
      </c>
      <c r="O1121">
        <v>1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0</v>
      </c>
      <c r="AA1121">
        <v>0</v>
      </c>
      <c r="AB1121">
        <v>0</v>
      </c>
      <c r="AC1121">
        <v>0</v>
      </c>
      <c r="AD1121">
        <v>0</v>
      </c>
      <c r="AE1121">
        <v>0</v>
      </c>
      <c r="AF1121">
        <v>0</v>
      </c>
      <c r="AG1121">
        <v>0</v>
      </c>
      <c r="AH1121">
        <v>0</v>
      </c>
      <c r="AI1121">
        <v>0</v>
      </c>
      <c r="AJ1121">
        <v>0</v>
      </c>
      <c r="AK1121">
        <v>0</v>
      </c>
      <c r="AL1121">
        <v>1</v>
      </c>
      <c r="AM1121">
        <v>0.33333333333333331</v>
      </c>
      <c r="AN1121">
        <v>5.6046251398731117</v>
      </c>
    </row>
    <row r="1122" spans="1:40" x14ac:dyDescent="0.3">
      <c r="A1122" t="s">
        <v>340</v>
      </c>
      <c r="B1122" t="s">
        <v>81</v>
      </c>
      <c r="C1122" t="s">
        <v>16</v>
      </c>
      <c r="D1122" t="s">
        <v>14</v>
      </c>
      <c r="E1122">
        <v>202602</v>
      </c>
      <c r="F1122" t="s">
        <v>359</v>
      </c>
      <c r="G1122">
        <v>0</v>
      </c>
      <c r="H1122">
        <v>0</v>
      </c>
      <c r="I1122">
        <v>0</v>
      </c>
      <c r="J1122">
        <v>0</v>
      </c>
      <c r="K1122">
        <v>0</v>
      </c>
      <c r="L1122">
        <v>1</v>
      </c>
      <c r="M1122">
        <v>0</v>
      </c>
      <c r="N1122">
        <v>0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0</v>
      </c>
      <c r="AA1122">
        <v>0</v>
      </c>
      <c r="AB1122">
        <v>0</v>
      </c>
      <c r="AC1122">
        <v>0</v>
      </c>
      <c r="AD1122">
        <v>0</v>
      </c>
      <c r="AE1122">
        <v>0</v>
      </c>
      <c r="AF1122">
        <v>0</v>
      </c>
      <c r="AG1122">
        <v>0</v>
      </c>
      <c r="AH1122">
        <v>0</v>
      </c>
      <c r="AI1122">
        <v>0</v>
      </c>
      <c r="AJ1122">
        <v>0</v>
      </c>
      <c r="AK1122">
        <v>0</v>
      </c>
      <c r="AL1122">
        <v>1</v>
      </c>
      <c r="AM1122">
        <v>0</v>
      </c>
      <c r="AN1122">
        <v>1</v>
      </c>
    </row>
    <row r="1123" spans="1:40" x14ac:dyDescent="0.3">
      <c r="A1123" t="s">
        <v>340</v>
      </c>
      <c r="B1123" t="s">
        <v>100</v>
      </c>
      <c r="C1123" t="s">
        <v>10</v>
      </c>
      <c r="D1123" t="s">
        <v>14</v>
      </c>
      <c r="E1123">
        <v>202602</v>
      </c>
      <c r="F1123" t="s">
        <v>101</v>
      </c>
      <c r="G1123">
        <v>0</v>
      </c>
      <c r="H1123">
        <v>0</v>
      </c>
      <c r="I1123">
        <v>0</v>
      </c>
      <c r="J1123">
        <v>0</v>
      </c>
      <c r="K1123">
        <v>0</v>
      </c>
      <c r="L1123">
        <v>0</v>
      </c>
      <c r="M1123">
        <v>0</v>
      </c>
      <c r="N1123">
        <v>0</v>
      </c>
      <c r="O1123">
        <v>0</v>
      </c>
      <c r="P1123">
        <v>0</v>
      </c>
      <c r="Q1123">
        <v>1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0</v>
      </c>
      <c r="AA1123">
        <v>0</v>
      </c>
      <c r="AB1123">
        <v>0</v>
      </c>
      <c r="AC1123">
        <v>0</v>
      </c>
      <c r="AD1123">
        <v>0</v>
      </c>
      <c r="AE1123">
        <v>0</v>
      </c>
      <c r="AF1123">
        <v>0</v>
      </c>
      <c r="AG1123">
        <v>0</v>
      </c>
      <c r="AH1123">
        <v>0</v>
      </c>
      <c r="AI1123">
        <v>0</v>
      </c>
      <c r="AJ1123">
        <v>0</v>
      </c>
      <c r="AK1123">
        <v>0</v>
      </c>
      <c r="AL1123">
        <v>1</v>
      </c>
      <c r="AM1123">
        <v>0.33333333333333331</v>
      </c>
      <c r="AN1123">
        <v>5.0417410714286133</v>
      </c>
    </row>
    <row r="1124" spans="1:40" x14ac:dyDescent="0.3">
      <c r="A1124" t="s">
        <v>340</v>
      </c>
      <c r="B1124" t="s">
        <v>644</v>
      </c>
      <c r="C1124" t="s">
        <v>10</v>
      </c>
      <c r="D1124" t="s">
        <v>11</v>
      </c>
      <c r="E1124">
        <v>202602</v>
      </c>
      <c r="F1124" t="s">
        <v>61</v>
      </c>
      <c r="G1124">
        <v>0</v>
      </c>
      <c r="H1124">
        <v>0</v>
      </c>
      <c r="I1124">
        <v>0</v>
      </c>
      <c r="J1124">
        <v>0</v>
      </c>
      <c r="K1124">
        <v>0</v>
      </c>
      <c r="L1124">
        <v>0</v>
      </c>
      <c r="M1124">
        <v>0</v>
      </c>
      <c r="N1124">
        <v>0</v>
      </c>
      <c r="O1124">
        <v>0</v>
      </c>
      <c r="P1124">
        <v>1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0</v>
      </c>
      <c r="Y1124">
        <v>0</v>
      </c>
      <c r="Z1124">
        <v>0</v>
      </c>
      <c r="AA1124">
        <v>0</v>
      </c>
      <c r="AB1124">
        <v>0</v>
      </c>
      <c r="AC1124">
        <v>0</v>
      </c>
      <c r="AD1124">
        <v>0</v>
      </c>
      <c r="AE1124">
        <v>0</v>
      </c>
      <c r="AF1124">
        <v>0</v>
      </c>
      <c r="AG1124">
        <v>0</v>
      </c>
      <c r="AH1124">
        <v>0</v>
      </c>
      <c r="AI1124">
        <v>0</v>
      </c>
      <c r="AJ1124">
        <v>0</v>
      </c>
      <c r="AK1124">
        <v>0</v>
      </c>
      <c r="AL1124">
        <v>1</v>
      </c>
      <c r="AM1124">
        <v>0.33333333333333331</v>
      </c>
      <c r="AN1124">
        <v>5.6046251398731117</v>
      </c>
    </row>
    <row r="1125" spans="1:40" x14ac:dyDescent="0.3">
      <c r="A1125" t="s">
        <v>340</v>
      </c>
      <c r="B1125" t="s">
        <v>644</v>
      </c>
      <c r="C1125" t="s">
        <v>10</v>
      </c>
      <c r="D1125" t="s">
        <v>11</v>
      </c>
      <c r="E1125">
        <v>202602</v>
      </c>
      <c r="F1125" t="s">
        <v>112</v>
      </c>
      <c r="G1125">
        <v>0</v>
      </c>
      <c r="H1125">
        <v>0</v>
      </c>
      <c r="I1125">
        <v>1</v>
      </c>
      <c r="J1125">
        <v>0</v>
      </c>
      <c r="K1125">
        <v>0</v>
      </c>
      <c r="L1125">
        <v>1</v>
      </c>
      <c r="M1125">
        <v>0</v>
      </c>
      <c r="N1125">
        <v>0</v>
      </c>
      <c r="O1125">
        <v>0</v>
      </c>
      <c r="P1125">
        <v>1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0</v>
      </c>
      <c r="Y1125">
        <v>0</v>
      </c>
      <c r="Z1125">
        <v>0</v>
      </c>
      <c r="AA1125">
        <v>0</v>
      </c>
      <c r="AB1125">
        <v>0</v>
      </c>
      <c r="AC1125">
        <v>0</v>
      </c>
      <c r="AD1125">
        <v>0</v>
      </c>
      <c r="AE1125">
        <v>0</v>
      </c>
      <c r="AF1125">
        <v>0</v>
      </c>
      <c r="AG1125">
        <v>0</v>
      </c>
      <c r="AH1125">
        <v>0</v>
      </c>
      <c r="AI1125">
        <v>0</v>
      </c>
      <c r="AJ1125">
        <v>0</v>
      </c>
      <c r="AK1125">
        <v>0</v>
      </c>
      <c r="AL1125">
        <v>3</v>
      </c>
      <c r="AM1125">
        <v>0.33333333333333331</v>
      </c>
      <c r="AN1125">
        <v>7.6046251398731117</v>
      </c>
    </row>
    <row r="1126" spans="1:40" x14ac:dyDescent="0.3">
      <c r="A1126" t="s">
        <v>340</v>
      </c>
      <c r="B1126" t="s">
        <v>644</v>
      </c>
      <c r="C1126" t="s">
        <v>10</v>
      </c>
      <c r="D1126" t="s">
        <v>11</v>
      </c>
      <c r="E1126">
        <v>202602</v>
      </c>
      <c r="F1126" t="s">
        <v>366</v>
      </c>
      <c r="G1126">
        <v>0</v>
      </c>
      <c r="H1126">
        <v>0</v>
      </c>
      <c r="I1126">
        <v>0</v>
      </c>
      <c r="J1126">
        <v>0</v>
      </c>
      <c r="K1126">
        <v>1</v>
      </c>
      <c r="L1126">
        <v>0</v>
      </c>
      <c r="M1126">
        <v>0</v>
      </c>
      <c r="N1126">
        <v>0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0</v>
      </c>
      <c r="Y1126">
        <v>0</v>
      </c>
      <c r="Z1126">
        <v>0</v>
      </c>
      <c r="AA1126">
        <v>0</v>
      </c>
      <c r="AB1126">
        <v>0</v>
      </c>
      <c r="AC1126">
        <v>0</v>
      </c>
      <c r="AD1126">
        <v>0</v>
      </c>
      <c r="AE1126">
        <v>0</v>
      </c>
      <c r="AF1126">
        <v>0</v>
      </c>
      <c r="AG1126">
        <v>0</v>
      </c>
      <c r="AH1126">
        <v>0</v>
      </c>
      <c r="AI1126">
        <v>0</v>
      </c>
      <c r="AJ1126">
        <v>0</v>
      </c>
      <c r="AK1126">
        <v>0</v>
      </c>
      <c r="AL1126">
        <v>1</v>
      </c>
      <c r="AM1126">
        <v>0</v>
      </c>
      <c r="AN1126">
        <v>1</v>
      </c>
    </row>
    <row r="1127" spans="1:40" x14ac:dyDescent="0.3">
      <c r="A1127" t="s">
        <v>340</v>
      </c>
      <c r="B1127" t="s">
        <v>644</v>
      </c>
      <c r="C1127" t="s">
        <v>10</v>
      </c>
      <c r="D1127" t="s">
        <v>11</v>
      </c>
      <c r="E1127">
        <v>202602</v>
      </c>
      <c r="F1127" t="s">
        <v>114</v>
      </c>
      <c r="G1127">
        <v>0</v>
      </c>
      <c r="H1127">
        <v>0</v>
      </c>
      <c r="I1127">
        <v>3</v>
      </c>
      <c r="J1127">
        <v>0</v>
      </c>
      <c r="K1127">
        <v>0</v>
      </c>
      <c r="L1127">
        <v>0</v>
      </c>
      <c r="M1127">
        <v>0</v>
      </c>
      <c r="N1127">
        <v>0</v>
      </c>
      <c r="O1127">
        <v>0</v>
      </c>
      <c r="P1127">
        <v>1</v>
      </c>
      <c r="Q1127">
        <v>1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0</v>
      </c>
      <c r="Y1127">
        <v>0</v>
      </c>
      <c r="Z1127">
        <v>0</v>
      </c>
      <c r="AA1127">
        <v>0</v>
      </c>
      <c r="AB1127">
        <v>0</v>
      </c>
      <c r="AC1127">
        <v>0</v>
      </c>
      <c r="AD1127">
        <v>0</v>
      </c>
      <c r="AE1127">
        <v>0</v>
      </c>
      <c r="AF1127">
        <v>0</v>
      </c>
      <c r="AG1127">
        <v>0</v>
      </c>
      <c r="AH1127">
        <v>0</v>
      </c>
      <c r="AI1127">
        <v>0</v>
      </c>
      <c r="AJ1127">
        <v>0</v>
      </c>
      <c r="AK1127">
        <v>0</v>
      </c>
      <c r="AL1127">
        <v>5</v>
      </c>
      <c r="AM1127">
        <v>0.66666666666666663</v>
      </c>
      <c r="AN1127">
        <v>14.209250279746223</v>
      </c>
    </row>
    <row r="1128" spans="1:40" x14ac:dyDescent="0.3">
      <c r="A1128" t="s">
        <v>340</v>
      </c>
      <c r="B1128" t="s">
        <v>644</v>
      </c>
      <c r="C1128" t="s">
        <v>10</v>
      </c>
      <c r="D1128" t="s">
        <v>11</v>
      </c>
      <c r="E1128">
        <v>202602</v>
      </c>
      <c r="F1128" t="s">
        <v>129</v>
      </c>
      <c r="G1128">
        <v>0</v>
      </c>
      <c r="H1128">
        <v>0</v>
      </c>
      <c r="I1128">
        <v>0</v>
      </c>
      <c r="J1128">
        <v>1</v>
      </c>
      <c r="K1128">
        <v>0</v>
      </c>
      <c r="L1128">
        <v>0</v>
      </c>
      <c r="M1128">
        <v>0</v>
      </c>
      <c r="N1128">
        <v>0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0</v>
      </c>
      <c r="Y1128">
        <v>0</v>
      </c>
      <c r="Z1128">
        <v>0</v>
      </c>
      <c r="AA1128">
        <v>0</v>
      </c>
      <c r="AB1128">
        <v>0</v>
      </c>
      <c r="AC1128">
        <v>0</v>
      </c>
      <c r="AD1128">
        <v>0</v>
      </c>
      <c r="AE1128">
        <v>0</v>
      </c>
      <c r="AF1128">
        <v>0</v>
      </c>
      <c r="AG1128">
        <v>0</v>
      </c>
      <c r="AH1128">
        <v>0</v>
      </c>
      <c r="AI1128">
        <v>0</v>
      </c>
      <c r="AJ1128">
        <v>0</v>
      </c>
      <c r="AK1128">
        <v>0</v>
      </c>
      <c r="AL1128">
        <v>1</v>
      </c>
      <c r="AM1128">
        <v>0</v>
      </c>
      <c r="AN1128">
        <v>1</v>
      </c>
    </row>
    <row r="1129" spans="1:40" x14ac:dyDescent="0.3">
      <c r="A1129" t="s">
        <v>340</v>
      </c>
      <c r="B1129" t="s">
        <v>644</v>
      </c>
      <c r="C1129" t="s">
        <v>10</v>
      </c>
      <c r="D1129" t="s">
        <v>11</v>
      </c>
      <c r="E1129">
        <v>202602</v>
      </c>
      <c r="F1129" t="s">
        <v>115</v>
      </c>
      <c r="G1129">
        <v>0</v>
      </c>
      <c r="H1129">
        <v>0</v>
      </c>
      <c r="I1129">
        <v>0</v>
      </c>
      <c r="J1129">
        <v>0</v>
      </c>
      <c r="K1129">
        <v>2</v>
      </c>
      <c r="L1129">
        <v>0</v>
      </c>
      <c r="M1129">
        <v>0</v>
      </c>
      <c r="N1129">
        <v>0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0</v>
      </c>
      <c r="Y1129">
        <v>0</v>
      </c>
      <c r="Z1129">
        <v>0</v>
      </c>
      <c r="AA1129">
        <v>0</v>
      </c>
      <c r="AB1129">
        <v>0</v>
      </c>
      <c r="AC1129">
        <v>0</v>
      </c>
      <c r="AD1129">
        <v>0</v>
      </c>
      <c r="AE1129">
        <v>0</v>
      </c>
      <c r="AF1129">
        <v>0</v>
      </c>
      <c r="AG1129">
        <v>0</v>
      </c>
      <c r="AH1129">
        <v>0</v>
      </c>
      <c r="AI1129">
        <v>0</v>
      </c>
      <c r="AJ1129">
        <v>0</v>
      </c>
      <c r="AK1129">
        <v>0</v>
      </c>
      <c r="AL1129">
        <v>2</v>
      </c>
      <c r="AM1129">
        <v>0</v>
      </c>
      <c r="AN1129">
        <v>2</v>
      </c>
    </row>
    <row r="1130" spans="1:40" x14ac:dyDescent="0.3">
      <c r="A1130" t="s">
        <v>340</v>
      </c>
      <c r="B1130" t="s">
        <v>644</v>
      </c>
      <c r="C1130" t="s">
        <v>10</v>
      </c>
      <c r="D1130" t="s">
        <v>11</v>
      </c>
      <c r="E1130">
        <v>202602</v>
      </c>
      <c r="F1130" t="s">
        <v>116</v>
      </c>
      <c r="G1130">
        <v>0</v>
      </c>
      <c r="H1130">
        <v>0</v>
      </c>
      <c r="I1130">
        <v>1</v>
      </c>
      <c r="J1130">
        <v>1</v>
      </c>
      <c r="K1130">
        <v>0</v>
      </c>
      <c r="L1130">
        <v>0</v>
      </c>
      <c r="M1130">
        <v>0</v>
      </c>
      <c r="N1130">
        <v>0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0</v>
      </c>
      <c r="Y1130">
        <v>0</v>
      </c>
      <c r="Z1130">
        <v>0</v>
      </c>
      <c r="AA1130">
        <v>0</v>
      </c>
      <c r="AB1130">
        <v>0</v>
      </c>
      <c r="AC1130">
        <v>0</v>
      </c>
      <c r="AD1130">
        <v>0</v>
      </c>
      <c r="AE1130">
        <v>0</v>
      </c>
      <c r="AF1130">
        <v>0</v>
      </c>
      <c r="AG1130">
        <v>0</v>
      </c>
      <c r="AH1130">
        <v>0</v>
      </c>
      <c r="AI1130">
        <v>0</v>
      </c>
      <c r="AJ1130">
        <v>0</v>
      </c>
      <c r="AK1130">
        <v>0</v>
      </c>
      <c r="AL1130">
        <v>2</v>
      </c>
      <c r="AM1130">
        <v>0</v>
      </c>
      <c r="AN1130">
        <v>2</v>
      </c>
    </row>
    <row r="1131" spans="1:40" x14ac:dyDescent="0.3">
      <c r="A1131" t="s">
        <v>340</v>
      </c>
      <c r="B1131" t="s">
        <v>644</v>
      </c>
      <c r="C1131" t="s">
        <v>10</v>
      </c>
      <c r="D1131" t="s">
        <v>11</v>
      </c>
      <c r="E1131">
        <v>202602</v>
      </c>
      <c r="F1131" t="s">
        <v>118</v>
      </c>
      <c r="G1131">
        <v>0</v>
      </c>
      <c r="H1131">
        <v>0</v>
      </c>
      <c r="I1131">
        <v>0</v>
      </c>
      <c r="J1131">
        <v>0</v>
      </c>
      <c r="K1131">
        <v>0</v>
      </c>
      <c r="L1131">
        <v>1</v>
      </c>
      <c r="M1131">
        <v>0</v>
      </c>
      <c r="N1131">
        <v>0</v>
      </c>
      <c r="O1131">
        <v>1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>
        <v>0</v>
      </c>
      <c r="AB1131">
        <v>0</v>
      </c>
      <c r="AC1131">
        <v>0</v>
      </c>
      <c r="AD1131">
        <v>0</v>
      </c>
      <c r="AE1131">
        <v>0</v>
      </c>
      <c r="AF1131">
        <v>0</v>
      </c>
      <c r="AG1131">
        <v>0</v>
      </c>
      <c r="AH1131">
        <v>0</v>
      </c>
      <c r="AI1131">
        <v>0</v>
      </c>
      <c r="AJ1131">
        <v>0</v>
      </c>
      <c r="AK1131">
        <v>0</v>
      </c>
      <c r="AL1131">
        <v>2</v>
      </c>
      <c r="AM1131">
        <v>0.33333333333333331</v>
      </c>
      <c r="AN1131">
        <v>6.6046251398731117</v>
      </c>
    </row>
    <row r="1132" spans="1:40" x14ac:dyDescent="0.3">
      <c r="A1132" t="s">
        <v>340</v>
      </c>
      <c r="B1132" t="s">
        <v>644</v>
      </c>
      <c r="C1132" t="s">
        <v>10</v>
      </c>
      <c r="D1132" t="s">
        <v>11</v>
      </c>
      <c r="E1132">
        <v>202602</v>
      </c>
      <c r="F1132" t="s">
        <v>121</v>
      </c>
      <c r="G1132">
        <v>0</v>
      </c>
      <c r="H1132">
        <v>2</v>
      </c>
      <c r="I1132">
        <v>0</v>
      </c>
      <c r="J1132">
        <v>1</v>
      </c>
      <c r="K1132">
        <v>0</v>
      </c>
      <c r="L1132">
        <v>0</v>
      </c>
      <c r="M1132">
        <v>3</v>
      </c>
      <c r="N1132">
        <v>0</v>
      </c>
      <c r="O1132">
        <v>4</v>
      </c>
      <c r="P1132">
        <v>4</v>
      </c>
      <c r="Q1132">
        <v>2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>
        <v>0</v>
      </c>
      <c r="AB1132">
        <v>0</v>
      </c>
      <c r="AC1132">
        <v>0</v>
      </c>
      <c r="AD1132">
        <v>0</v>
      </c>
      <c r="AE1132">
        <v>0</v>
      </c>
      <c r="AF1132">
        <v>0</v>
      </c>
      <c r="AG1132">
        <v>0</v>
      </c>
      <c r="AH1132">
        <v>0</v>
      </c>
      <c r="AI1132">
        <v>0</v>
      </c>
      <c r="AJ1132">
        <v>0</v>
      </c>
      <c r="AK1132">
        <v>0</v>
      </c>
      <c r="AL1132">
        <v>16</v>
      </c>
      <c r="AM1132">
        <v>3.3333333333333335</v>
      </c>
      <c r="AN1132">
        <v>62.046251398731116</v>
      </c>
    </row>
    <row r="1133" spans="1:40" x14ac:dyDescent="0.3">
      <c r="A1133" t="s">
        <v>340</v>
      </c>
      <c r="B1133" t="s">
        <v>644</v>
      </c>
      <c r="C1133" t="s">
        <v>10</v>
      </c>
      <c r="D1133" t="s">
        <v>11</v>
      </c>
      <c r="E1133">
        <v>202602</v>
      </c>
      <c r="F1133" t="s">
        <v>322</v>
      </c>
      <c r="G1133">
        <v>0</v>
      </c>
      <c r="H1133">
        <v>0</v>
      </c>
      <c r="I1133">
        <v>0</v>
      </c>
      <c r="J1133">
        <v>0</v>
      </c>
      <c r="K1133">
        <v>0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1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>
        <v>0</v>
      </c>
      <c r="AB1133">
        <v>0</v>
      </c>
      <c r="AC1133">
        <v>0</v>
      </c>
      <c r="AD1133">
        <v>0</v>
      </c>
      <c r="AE1133">
        <v>0</v>
      </c>
      <c r="AF1133">
        <v>0</v>
      </c>
      <c r="AG1133">
        <v>0</v>
      </c>
      <c r="AH1133">
        <v>0</v>
      </c>
      <c r="AI1133">
        <v>0</v>
      </c>
      <c r="AJ1133">
        <v>0</v>
      </c>
      <c r="AK1133">
        <v>0</v>
      </c>
      <c r="AL1133">
        <v>1</v>
      </c>
      <c r="AM1133">
        <v>0.33333333333333331</v>
      </c>
      <c r="AN1133">
        <v>5.6046251398731117</v>
      </c>
    </row>
    <row r="1134" spans="1:40" x14ac:dyDescent="0.3">
      <c r="A1134" t="s">
        <v>340</v>
      </c>
      <c r="B1134" t="s">
        <v>644</v>
      </c>
      <c r="C1134" t="s">
        <v>10</v>
      </c>
      <c r="D1134" t="s">
        <v>14</v>
      </c>
      <c r="E1134">
        <v>202602</v>
      </c>
      <c r="F1134" t="s">
        <v>61</v>
      </c>
      <c r="G1134">
        <v>0</v>
      </c>
      <c r="H1134">
        <v>0</v>
      </c>
      <c r="I1134">
        <v>0</v>
      </c>
      <c r="J1134">
        <v>0</v>
      </c>
      <c r="K1134">
        <v>0</v>
      </c>
      <c r="L1134">
        <v>1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>
        <v>0</v>
      </c>
      <c r="AB1134">
        <v>0</v>
      </c>
      <c r="AC1134">
        <v>0</v>
      </c>
      <c r="AD1134">
        <v>0</v>
      </c>
      <c r="AE1134">
        <v>0</v>
      </c>
      <c r="AF1134">
        <v>0</v>
      </c>
      <c r="AG1134">
        <v>0</v>
      </c>
      <c r="AH1134">
        <v>0</v>
      </c>
      <c r="AI1134">
        <v>0</v>
      </c>
      <c r="AJ1134">
        <v>0</v>
      </c>
      <c r="AK1134">
        <v>0</v>
      </c>
      <c r="AL1134">
        <v>1</v>
      </c>
      <c r="AM1134">
        <v>0</v>
      </c>
      <c r="AN1134">
        <v>1</v>
      </c>
    </row>
    <row r="1135" spans="1:40" x14ac:dyDescent="0.3">
      <c r="A1135" t="s">
        <v>340</v>
      </c>
      <c r="B1135" t="s">
        <v>644</v>
      </c>
      <c r="C1135" t="s">
        <v>10</v>
      </c>
      <c r="D1135" t="s">
        <v>14</v>
      </c>
      <c r="E1135">
        <v>202602</v>
      </c>
      <c r="F1135" t="s">
        <v>112</v>
      </c>
      <c r="G1135">
        <v>0</v>
      </c>
      <c r="H1135">
        <v>0</v>
      </c>
      <c r="I1135">
        <v>0</v>
      </c>
      <c r="J1135">
        <v>0</v>
      </c>
      <c r="K1135">
        <v>1</v>
      </c>
      <c r="L1135">
        <v>0</v>
      </c>
      <c r="M1135">
        <v>0</v>
      </c>
      <c r="N1135">
        <v>0</v>
      </c>
      <c r="O1135">
        <v>1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>
        <v>0</v>
      </c>
      <c r="AB1135">
        <v>0</v>
      </c>
      <c r="AC1135">
        <v>0</v>
      </c>
      <c r="AD1135">
        <v>0</v>
      </c>
      <c r="AE1135">
        <v>0</v>
      </c>
      <c r="AF1135">
        <v>0</v>
      </c>
      <c r="AG1135">
        <v>0</v>
      </c>
      <c r="AH1135">
        <v>0</v>
      </c>
      <c r="AI1135">
        <v>0</v>
      </c>
      <c r="AJ1135">
        <v>0</v>
      </c>
      <c r="AK1135">
        <v>0</v>
      </c>
      <c r="AL1135">
        <v>2</v>
      </c>
      <c r="AM1135">
        <v>0.33333333333333331</v>
      </c>
      <c r="AN1135">
        <v>6.0417410714286133</v>
      </c>
    </row>
    <row r="1136" spans="1:40" x14ac:dyDescent="0.3">
      <c r="A1136" t="s">
        <v>340</v>
      </c>
      <c r="B1136" t="s">
        <v>644</v>
      </c>
      <c r="C1136" t="s">
        <v>10</v>
      </c>
      <c r="D1136" t="s">
        <v>14</v>
      </c>
      <c r="E1136">
        <v>202602</v>
      </c>
      <c r="F1136" t="s">
        <v>366</v>
      </c>
      <c r="G1136">
        <v>0</v>
      </c>
      <c r="H1136">
        <v>0</v>
      </c>
      <c r="I1136">
        <v>1</v>
      </c>
      <c r="J1136">
        <v>0</v>
      </c>
      <c r="K1136">
        <v>0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>
        <v>0</v>
      </c>
      <c r="AB1136">
        <v>0</v>
      </c>
      <c r="AC1136">
        <v>0</v>
      </c>
      <c r="AD1136">
        <v>0</v>
      </c>
      <c r="AE1136">
        <v>0</v>
      </c>
      <c r="AF1136">
        <v>0</v>
      </c>
      <c r="AG1136">
        <v>0</v>
      </c>
      <c r="AH1136">
        <v>0</v>
      </c>
      <c r="AI1136">
        <v>0</v>
      </c>
      <c r="AJ1136">
        <v>0</v>
      </c>
      <c r="AK1136">
        <v>0</v>
      </c>
      <c r="AL1136">
        <v>1</v>
      </c>
      <c r="AM1136">
        <v>0</v>
      </c>
      <c r="AN1136">
        <v>1</v>
      </c>
    </row>
    <row r="1137" spans="1:40" x14ac:dyDescent="0.3">
      <c r="A1137" t="s">
        <v>340</v>
      </c>
      <c r="B1137" t="s">
        <v>644</v>
      </c>
      <c r="C1137" t="s">
        <v>10</v>
      </c>
      <c r="D1137" t="s">
        <v>14</v>
      </c>
      <c r="E1137">
        <v>202602</v>
      </c>
      <c r="F1137" t="s">
        <v>279</v>
      </c>
      <c r="G1137">
        <v>0</v>
      </c>
      <c r="H1137">
        <v>0</v>
      </c>
      <c r="I1137">
        <v>0</v>
      </c>
      <c r="J1137">
        <v>0</v>
      </c>
      <c r="K1137">
        <v>0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1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0</v>
      </c>
      <c r="Z1137">
        <v>0</v>
      </c>
      <c r="AA1137">
        <v>0</v>
      </c>
      <c r="AB1137">
        <v>0</v>
      </c>
      <c r="AC1137">
        <v>0</v>
      </c>
      <c r="AD1137">
        <v>0</v>
      </c>
      <c r="AE1137">
        <v>0</v>
      </c>
      <c r="AF1137">
        <v>0</v>
      </c>
      <c r="AG1137">
        <v>0</v>
      </c>
      <c r="AH1137">
        <v>0</v>
      </c>
      <c r="AI1137">
        <v>0</v>
      </c>
      <c r="AJ1137">
        <v>0</v>
      </c>
      <c r="AK1137">
        <v>0</v>
      </c>
      <c r="AL1137">
        <v>1</v>
      </c>
      <c r="AM1137">
        <v>0.33333333333333331</v>
      </c>
      <c r="AN1137">
        <v>5.0417410714286133</v>
      </c>
    </row>
    <row r="1138" spans="1:40" x14ac:dyDescent="0.3">
      <c r="A1138" t="s">
        <v>340</v>
      </c>
      <c r="B1138" t="s">
        <v>644</v>
      </c>
      <c r="C1138" t="s">
        <v>10</v>
      </c>
      <c r="D1138" t="s">
        <v>14</v>
      </c>
      <c r="E1138">
        <v>202602</v>
      </c>
      <c r="F1138" t="s">
        <v>114</v>
      </c>
      <c r="G1138">
        <v>0</v>
      </c>
      <c r="H1138">
        <v>0</v>
      </c>
      <c r="I1138">
        <v>0</v>
      </c>
      <c r="J1138">
        <v>0</v>
      </c>
      <c r="K1138">
        <v>0</v>
      </c>
      <c r="L1138">
        <v>0</v>
      </c>
      <c r="M1138">
        <v>1</v>
      </c>
      <c r="N1138">
        <v>0</v>
      </c>
      <c r="O1138">
        <v>2</v>
      </c>
      <c r="P1138">
        <v>0</v>
      </c>
      <c r="Q1138">
        <v>1</v>
      </c>
      <c r="R1138">
        <v>0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0</v>
      </c>
      <c r="Z1138">
        <v>0</v>
      </c>
      <c r="AA1138">
        <v>0</v>
      </c>
      <c r="AB1138">
        <v>0</v>
      </c>
      <c r="AC1138">
        <v>0</v>
      </c>
      <c r="AD1138">
        <v>0</v>
      </c>
      <c r="AE1138">
        <v>0</v>
      </c>
      <c r="AF1138">
        <v>0</v>
      </c>
      <c r="AG1138">
        <v>0</v>
      </c>
      <c r="AH1138">
        <v>0</v>
      </c>
      <c r="AI1138">
        <v>0</v>
      </c>
      <c r="AJ1138">
        <v>0</v>
      </c>
      <c r="AK1138">
        <v>0</v>
      </c>
      <c r="AL1138">
        <v>4</v>
      </c>
      <c r="AM1138">
        <v>1</v>
      </c>
      <c r="AN1138">
        <v>16.125223214285839</v>
      </c>
    </row>
    <row r="1139" spans="1:40" x14ac:dyDescent="0.3">
      <c r="A1139" t="s">
        <v>340</v>
      </c>
      <c r="B1139" t="s">
        <v>644</v>
      </c>
      <c r="C1139" t="s">
        <v>10</v>
      </c>
      <c r="D1139" t="s">
        <v>14</v>
      </c>
      <c r="E1139">
        <v>202602</v>
      </c>
      <c r="F1139" t="s">
        <v>129</v>
      </c>
      <c r="G1139">
        <v>0</v>
      </c>
      <c r="H1139">
        <v>1</v>
      </c>
      <c r="I1139">
        <v>0</v>
      </c>
      <c r="J1139">
        <v>0</v>
      </c>
      <c r="K1139">
        <v>0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0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0</v>
      </c>
      <c r="Z1139">
        <v>0</v>
      </c>
      <c r="AA1139">
        <v>0</v>
      </c>
      <c r="AB1139">
        <v>0</v>
      </c>
      <c r="AC1139">
        <v>0</v>
      </c>
      <c r="AD1139">
        <v>0</v>
      </c>
      <c r="AE1139">
        <v>0</v>
      </c>
      <c r="AF1139">
        <v>0</v>
      </c>
      <c r="AG1139">
        <v>0</v>
      </c>
      <c r="AH1139">
        <v>0</v>
      </c>
      <c r="AI1139">
        <v>0</v>
      </c>
      <c r="AJ1139">
        <v>0</v>
      </c>
      <c r="AK1139">
        <v>0</v>
      </c>
      <c r="AL1139">
        <v>1</v>
      </c>
      <c r="AM1139">
        <v>0</v>
      </c>
      <c r="AN1139">
        <v>1</v>
      </c>
    </row>
    <row r="1140" spans="1:40" x14ac:dyDescent="0.3">
      <c r="A1140" t="s">
        <v>340</v>
      </c>
      <c r="B1140" t="s">
        <v>644</v>
      </c>
      <c r="C1140" t="s">
        <v>10</v>
      </c>
      <c r="D1140" t="s">
        <v>14</v>
      </c>
      <c r="E1140">
        <v>202602</v>
      </c>
      <c r="F1140" t="s">
        <v>115</v>
      </c>
      <c r="G1140">
        <v>0</v>
      </c>
      <c r="H1140">
        <v>0</v>
      </c>
      <c r="I1140">
        <v>1</v>
      </c>
      <c r="J1140">
        <v>0</v>
      </c>
      <c r="K1140">
        <v>0</v>
      </c>
      <c r="L1140">
        <v>0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0</v>
      </c>
      <c r="S1140">
        <v>0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0</v>
      </c>
      <c r="Z1140">
        <v>0</v>
      </c>
      <c r="AA1140">
        <v>0</v>
      </c>
      <c r="AB1140">
        <v>0</v>
      </c>
      <c r="AC1140">
        <v>0</v>
      </c>
      <c r="AD1140">
        <v>0</v>
      </c>
      <c r="AE1140">
        <v>0</v>
      </c>
      <c r="AF1140">
        <v>0</v>
      </c>
      <c r="AG1140">
        <v>0</v>
      </c>
      <c r="AH1140">
        <v>0</v>
      </c>
      <c r="AI1140">
        <v>0</v>
      </c>
      <c r="AJ1140">
        <v>0</v>
      </c>
      <c r="AK1140">
        <v>0</v>
      </c>
      <c r="AL1140">
        <v>1</v>
      </c>
      <c r="AM1140">
        <v>0</v>
      </c>
      <c r="AN1140">
        <v>1</v>
      </c>
    </row>
    <row r="1141" spans="1:40" x14ac:dyDescent="0.3">
      <c r="A1141" t="s">
        <v>340</v>
      </c>
      <c r="B1141" t="s">
        <v>644</v>
      </c>
      <c r="C1141" t="s">
        <v>10</v>
      </c>
      <c r="D1141" t="s">
        <v>14</v>
      </c>
      <c r="E1141">
        <v>202602</v>
      </c>
      <c r="F1141" t="s">
        <v>116</v>
      </c>
      <c r="G1141">
        <v>0</v>
      </c>
      <c r="H1141">
        <v>1</v>
      </c>
      <c r="I1141">
        <v>0</v>
      </c>
      <c r="J1141">
        <v>0</v>
      </c>
      <c r="K1141">
        <v>1</v>
      </c>
      <c r="L1141">
        <v>0</v>
      </c>
      <c r="M1141">
        <v>0</v>
      </c>
      <c r="N1141">
        <v>0</v>
      </c>
      <c r="O1141">
        <v>0</v>
      </c>
      <c r="P1141">
        <v>0</v>
      </c>
      <c r="Q1141">
        <v>0</v>
      </c>
      <c r="R1141">
        <v>0</v>
      </c>
      <c r="S1141">
        <v>0</v>
      </c>
      <c r="T1141">
        <v>0</v>
      </c>
      <c r="U1141">
        <v>0</v>
      </c>
      <c r="V1141">
        <v>0</v>
      </c>
      <c r="W1141">
        <v>0</v>
      </c>
      <c r="X1141">
        <v>0</v>
      </c>
      <c r="Y1141">
        <v>0</v>
      </c>
      <c r="Z1141">
        <v>0</v>
      </c>
      <c r="AA1141">
        <v>0</v>
      </c>
      <c r="AB1141">
        <v>0</v>
      </c>
      <c r="AC1141">
        <v>0</v>
      </c>
      <c r="AD1141">
        <v>0</v>
      </c>
      <c r="AE1141">
        <v>0</v>
      </c>
      <c r="AF1141">
        <v>0</v>
      </c>
      <c r="AG1141">
        <v>0</v>
      </c>
      <c r="AH1141">
        <v>0</v>
      </c>
      <c r="AI1141">
        <v>0</v>
      </c>
      <c r="AJ1141">
        <v>0</v>
      </c>
      <c r="AK1141">
        <v>0</v>
      </c>
      <c r="AL1141">
        <v>2</v>
      </c>
      <c r="AM1141">
        <v>0</v>
      </c>
      <c r="AN1141">
        <v>2</v>
      </c>
    </row>
    <row r="1142" spans="1:40" x14ac:dyDescent="0.3">
      <c r="A1142" t="s">
        <v>340</v>
      </c>
      <c r="B1142" t="s">
        <v>644</v>
      </c>
      <c r="C1142" t="s">
        <v>10</v>
      </c>
      <c r="D1142" t="s">
        <v>14</v>
      </c>
      <c r="E1142">
        <v>202602</v>
      </c>
      <c r="F1142" t="s">
        <v>130</v>
      </c>
      <c r="G1142">
        <v>0</v>
      </c>
      <c r="H1142">
        <v>0</v>
      </c>
      <c r="I1142">
        <v>0</v>
      </c>
      <c r="J1142">
        <v>0</v>
      </c>
      <c r="K1142">
        <v>0</v>
      </c>
      <c r="L1142">
        <v>0</v>
      </c>
      <c r="M1142">
        <v>0</v>
      </c>
      <c r="N1142">
        <v>0</v>
      </c>
      <c r="O1142">
        <v>0</v>
      </c>
      <c r="P1142">
        <v>1</v>
      </c>
      <c r="Q1142">
        <v>1</v>
      </c>
      <c r="R1142">
        <v>0</v>
      </c>
      <c r="S1142">
        <v>0</v>
      </c>
      <c r="T1142">
        <v>0</v>
      </c>
      <c r="U1142">
        <v>0</v>
      </c>
      <c r="V1142">
        <v>0</v>
      </c>
      <c r="W1142">
        <v>0</v>
      </c>
      <c r="X1142">
        <v>0</v>
      </c>
      <c r="Y1142">
        <v>0</v>
      </c>
      <c r="Z1142">
        <v>0</v>
      </c>
      <c r="AA1142">
        <v>0</v>
      </c>
      <c r="AB1142">
        <v>0</v>
      </c>
      <c r="AC1142">
        <v>0</v>
      </c>
      <c r="AD1142">
        <v>0</v>
      </c>
      <c r="AE1142">
        <v>0</v>
      </c>
      <c r="AF1142">
        <v>0</v>
      </c>
      <c r="AG1142">
        <v>0</v>
      </c>
      <c r="AH1142">
        <v>0</v>
      </c>
      <c r="AI1142">
        <v>0</v>
      </c>
      <c r="AJ1142">
        <v>0</v>
      </c>
      <c r="AK1142">
        <v>0</v>
      </c>
      <c r="AL1142">
        <v>2</v>
      </c>
      <c r="AM1142">
        <v>0.66666666666666663</v>
      </c>
      <c r="AN1142">
        <v>10.083482142857227</v>
      </c>
    </row>
    <row r="1143" spans="1:40" x14ac:dyDescent="0.3">
      <c r="A1143" t="s">
        <v>340</v>
      </c>
      <c r="B1143" t="s">
        <v>644</v>
      </c>
      <c r="C1143" t="s">
        <v>10</v>
      </c>
      <c r="D1143" t="s">
        <v>14</v>
      </c>
      <c r="E1143">
        <v>202602</v>
      </c>
      <c r="F1143" t="s">
        <v>118</v>
      </c>
      <c r="G1143">
        <v>0</v>
      </c>
      <c r="H1143">
        <v>1</v>
      </c>
      <c r="I1143">
        <v>0</v>
      </c>
      <c r="J1143">
        <v>0</v>
      </c>
      <c r="K1143">
        <v>0</v>
      </c>
      <c r="L1143">
        <v>1</v>
      </c>
      <c r="M1143">
        <v>0</v>
      </c>
      <c r="N1143">
        <v>0</v>
      </c>
      <c r="O1143">
        <v>0</v>
      </c>
      <c r="P1143">
        <v>0</v>
      </c>
      <c r="Q1143">
        <v>2</v>
      </c>
      <c r="R1143">
        <v>0</v>
      </c>
      <c r="S1143">
        <v>0</v>
      </c>
      <c r="T1143">
        <v>0</v>
      </c>
      <c r="U1143">
        <v>0</v>
      </c>
      <c r="V1143">
        <v>0</v>
      </c>
      <c r="W1143">
        <v>0</v>
      </c>
      <c r="X1143">
        <v>0</v>
      </c>
      <c r="Y1143">
        <v>0</v>
      </c>
      <c r="Z1143">
        <v>0</v>
      </c>
      <c r="AA1143">
        <v>0</v>
      </c>
      <c r="AB1143">
        <v>0</v>
      </c>
      <c r="AC1143">
        <v>0</v>
      </c>
      <c r="AD1143">
        <v>0</v>
      </c>
      <c r="AE1143">
        <v>0</v>
      </c>
      <c r="AF1143">
        <v>0</v>
      </c>
      <c r="AG1143">
        <v>0</v>
      </c>
      <c r="AH1143">
        <v>0</v>
      </c>
      <c r="AI1143">
        <v>0</v>
      </c>
      <c r="AJ1143">
        <v>0</v>
      </c>
      <c r="AK1143">
        <v>0</v>
      </c>
      <c r="AL1143">
        <v>4</v>
      </c>
      <c r="AM1143">
        <v>0.66666666666666663</v>
      </c>
      <c r="AN1143">
        <v>12.083482142857227</v>
      </c>
    </row>
    <row r="1144" spans="1:40" x14ac:dyDescent="0.3">
      <c r="A1144" t="s">
        <v>340</v>
      </c>
      <c r="B1144" t="s">
        <v>644</v>
      </c>
      <c r="C1144" t="s">
        <v>10</v>
      </c>
      <c r="D1144" t="s">
        <v>14</v>
      </c>
      <c r="E1144">
        <v>202602</v>
      </c>
      <c r="F1144" t="s">
        <v>321</v>
      </c>
      <c r="G1144">
        <v>0</v>
      </c>
      <c r="H1144">
        <v>0</v>
      </c>
      <c r="I1144">
        <v>0</v>
      </c>
      <c r="J1144">
        <v>0</v>
      </c>
      <c r="K1144">
        <v>0</v>
      </c>
      <c r="L1144">
        <v>0</v>
      </c>
      <c r="M1144">
        <v>0</v>
      </c>
      <c r="N1144">
        <v>0</v>
      </c>
      <c r="O1144">
        <v>0</v>
      </c>
      <c r="P1144">
        <v>2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0</v>
      </c>
      <c r="W1144">
        <v>0</v>
      </c>
      <c r="X1144">
        <v>0</v>
      </c>
      <c r="Y1144">
        <v>0</v>
      </c>
      <c r="Z1144">
        <v>0</v>
      </c>
      <c r="AA1144">
        <v>0</v>
      </c>
      <c r="AB1144">
        <v>0</v>
      </c>
      <c r="AC1144">
        <v>0</v>
      </c>
      <c r="AD1144">
        <v>0</v>
      </c>
      <c r="AE1144">
        <v>0</v>
      </c>
      <c r="AF1144">
        <v>0</v>
      </c>
      <c r="AG1144">
        <v>0</v>
      </c>
      <c r="AH1144">
        <v>0</v>
      </c>
      <c r="AI1144">
        <v>0</v>
      </c>
      <c r="AJ1144">
        <v>0</v>
      </c>
      <c r="AK1144">
        <v>0</v>
      </c>
      <c r="AL1144">
        <v>2</v>
      </c>
      <c r="AM1144">
        <v>0.66666666666666663</v>
      </c>
      <c r="AN1144">
        <v>10.083482142857227</v>
      </c>
    </row>
    <row r="1145" spans="1:40" x14ac:dyDescent="0.3">
      <c r="A1145" t="s">
        <v>340</v>
      </c>
      <c r="B1145" t="s">
        <v>644</v>
      </c>
      <c r="C1145" t="s">
        <v>10</v>
      </c>
      <c r="D1145" t="s">
        <v>14</v>
      </c>
      <c r="E1145">
        <v>202602</v>
      </c>
      <c r="F1145" t="s">
        <v>132</v>
      </c>
      <c r="G1145">
        <v>0</v>
      </c>
      <c r="H1145">
        <v>0</v>
      </c>
      <c r="I1145">
        <v>0</v>
      </c>
      <c r="J1145">
        <v>0</v>
      </c>
      <c r="K1145">
        <v>0</v>
      </c>
      <c r="L1145">
        <v>0</v>
      </c>
      <c r="M1145">
        <v>0</v>
      </c>
      <c r="N1145">
        <v>0</v>
      </c>
      <c r="O1145">
        <v>1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>
        <v>0</v>
      </c>
      <c r="AB1145">
        <v>0</v>
      </c>
      <c r="AC1145">
        <v>0</v>
      </c>
      <c r="AD1145">
        <v>0</v>
      </c>
      <c r="AE1145">
        <v>0</v>
      </c>
      <c r="AF1145">
        <v>0</v>
      </c>
      <c r="AG1145">
        <v>0</v>
      </c>
      <c r="AH1145">
        <v>0</v>
      </c>
      <c r="AI1145">
        <v>0</v>
      </c>
      <c r="AJ1145">
        <v>0</v>
      </c>
      <c r="AK1145">
        <v>0</v>
      </c>
      <c r="AL1145">
        <v>1</v>
      </c>
      <c r="AM1145">
        <v>0.33333333333333331</v>
      </c>
      <c r="AN1145">
        <v>5.0417410714286133</v>
      </c>
    </row>
    <row r="1146" spans="1:40" x14ac:dyDescent="0.3">
      <c r="A1146" t="s">
        <v>340</v>
      </c>
      <c r="B1146" t="s">
        <v>644</v>
      </c>
      <c r="C1146" t="s">
        <v>10</v>
      </c>
      <c r="D1146" t="s">
        <v>14</v>
      </c>
      <c r="E1146">
        <v>202602</v>
      </c>
      <c r="F1146" t="s">
        <v>121</v>
      </c>
      <c r="G1146">
        <v>0</v>
      </c>
      <c r="H1146">
        <v>0</v>
      </c>
      <c r="I1146">
        <v>1</v>
      </c>
      <c r="J1146">
        <v>1</v>
      </c>
      <c r="K1146">
        <v>1</v>
      </c>
      <c r="L1146">
        <v>5</v>
      </c>
      <c r="M1146">
        <v>5</v>
      </c>
      <c r="N1146">
        <v>0</v>
      </c>
      <c r="O1146">
        <v>1</v>
      </c>
      <c r="P1146">
        <v>3</v>
      </c>
      <c r="Q1146">
        <v>4</v>
      </c>
      <c r="R1146">
        <v>0</v>
      </c>
      <c r="S1146">
        <v>0</v>
      </c>
      <c r="T1146">
        <v>0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>
        <v>0</v>
      </c>
      <c r="AB1146">
        <v>0</v>
      </c>
      <c r="AC1146">
        <v>0</v>
      </c>
      <c r="AD1146">
        <v>0</v>
      </c>
      <c r="AE1146">
        <v>0</v>
      </c>
      <c r="AF1146">
        <v>0</v>
      </c>
      <c r="AG1146">
        <v>0</v>
      </c>
      <c r="AH1146">
        <v>0</v>
      </c>
      <c r="AI1146">
        <v>0</v>
      </c>
      <c r="AJ1146">
        <v>0</v>
      </c>
      <c r="AK1146">
        <v>0</v>
      </c>
      <c r="AL1146">
        <v>21</v>
      </c>
      <c r="AM1146">
        <v>2.6666666666666665</v>
      </c>
      <c r="AN1146">
        <v>53.333928571428906</v>
      </c>
    </row>
    <row r="1147" spans="1:40" x14ac:dyDescent="0.3">
      <c r="A1147" t="s">
        <v>340</v>
      </c>
      <c r="B1147" t="s">
        <v>644</v>
      </c>
      <c r="C1147" t="s">
        <v>10</v>
      </c>
      <c r="D1147" t="s">
        <v>14</v>
      </c>
      <c r="E1147">
        <v>202602</v>
      </c>
      <c r="F1147" t="s">
        <v>322</v>
      </c>
      <c r="G1147">
        <v>0</v>
      </c>
      <c r="H1147">
        <v>0</v>
      </c>
      <c r="I1147">
        <v>0</v>
      </c>
      <c r="J1147">
        <v>0</v>
      </c>
      <c r="K1147">
        <v>0</v>
      </c>
      <c r="L1147">
        <v>0</v>
      </c>
      <c r="M1147">
        <v>0</v>
      </c>
      <c r="N1147">
        <v>0</v>
      </c>
      <c r="O1147">
        <v>1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>
        <v>0</v>
      </c>
      <c r="AB1147">
        <v>0</v>
      </c>
      <c r="AC1147">
        <v>0</v>
      </c>
      <c r="AD1147">
        <v>0</v>
      </c>
      <c r="AE1147">
        <v>0</v>
      </c>
      <c r="AF1147">
        <v>0</v>
      </c>
      <c r="AG1147">
        <v>0</v>
      </c>
      <c r="AH1147">
        <v>0</v>
      </c>
      <c r="AI1147">
        <v>0</v>
      </c>
      <c r="AJ1147">
        <v>0</v>
      </c>
      <c r="AK1147">
        <v>0</v>
      </c>
      <c r="AL1147">
        <v>1</v>
      </c>
      <c r="AM1147">
        <v>0.33333333333333331</v>
      </c>
      <c r="AN1147">
        <v>5.0417410714286133</v>
      </c>
    </row>
    <row r="1148" spans="1:40" x14ac:dyDescent="0.3">
      <c r="A1148" t="s">
        <v>340</v>
      </c>
      <c r="B1148" t="s">
        <v>644</v>
      </c>
      <c r="C1148" t="s">
        <v>10</v>
      </c>
      <c r="D1148" t="s">
        <v>14</v>
      </c>
      <c r="E1148">
        <v>202602</v>
      </c>
      <c r="F1148" t="s">
        <v>320</v>
      </c>
      <c r="G1148">
        <v>0</v>
      </c>
      <c r="H1148">
        <v>0</v>
      </c>
      <c r="I1148">
        <v>0</v>
      </c>
      <c r="J1148">
        <v>0</v>
      </c>
      <c r="K1148">
        <v>1</v>
      </c>
      <c r="L1148">
        <v>0</v>
      </c>
      <c r="M1148">
        <v>0</v>
      </c>
      <c r="N1148">
        <v>0</v>
      </c>
      <c r="O1148">
        <v>0</v>
      </c>
      <c r="P1148">
        <v>1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0</v>
      </c>
      <c r="AA1148">
        <v>0</v>
      </c>
      <c r="AB1148">
        <v>0</v>
      </c>
      <c r="AC1148">
        <v>0</v>
      </c>
      <c r="AD1148">
        <v>0</v>
      </c>
      <c r="AE1148">
        <v>0</v>
      </c>
      <c r="AF1148">
        <v>0</v>
      </c>
      <c r="AG1148">
        <v>0</v>
      </c>
      <c r="AH1148">
        <v>0</v>
      </c>
      <c r="AI1148">
        <v>0</v>
      </c>
      <c r="AJ1148">
        <v>0</v>
      </c>
      <c r="AK1148">
        <v>0</v>
      </c>
      <c r="AL1148">
        <v>2</v>
      </c>
      <c r="AM1148">
        <v>0.33333333333333331</v>
      </c>
      <c r="AN1148">
        <v>6.0417410714286133</v>
      </c>
    </row>
    <row r="1149" spans="1:40" x14ac:dyDescent="0.3">
      <c r="A1149" t="s">
        <v>340</v>
      </c>
      <c r="B1149" t="s">
        <v>644</v>
      </c>
      <c r="C1149" t="s">
        <v>16</v>
      </c>
      <c r="D1149" t="s">
        <v>11</v>
      </c>
      <c r="E1149">
        <v>202602</v>
      </c>
      <c r="F1149" t="s">
        <v>112</v>
      </c>
      <c r="G1149">
        <v>0</v>
      </c>
      <c r="H1149">
        <v>1</v>
      </c>
      <c r="I1149">
        <v>0</v>
      </c>
      <c r="J1149">
        <v>0</v>
      </c>
      <c r="K1149">
        <v>0</v>
      </c>
      <c r="L1149">
        <v>0</v>
      </c>
      <c r="M1149">
        <v>0</v>
      </c>
      <c r="N1149">
        <v>0</v>
      </c>
      <c r="O1149">
        <v>0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0</v>
      </c>
      <c r="AA1149">
        <v>0</v>
      </c>
      <c r="AB1149">
        <v>0</v>
      </c>
      <c r="AC1149">
        <v>0</v>
      </c>
      <c r="AD1149">
        <v>0</v>
      </c>
      <c r="AE1149">
        <v>0</v>
      </c>
      <c r="AF1149">
        <v>0</v>
      </c>
      <c r="AG1149">
        <v>0</v>
      </c>
      <c r="AH1149">
        <v>0</v>
      </c>
      <c r="AI1149">
        <v>0</v>
      </c>
      <c r="AJ1149">
        <v>0</v>
      </c>
      <c r="AK1149">
        <v>0</v>
      </c>
      <c r="AL1149">
        <v>1</v>
      </c>
      <c r="AM1149">
        <v>0</v>
      </c>
      <c r="AN1149">
        <v>1</v>
      </c>
    </row>
    <row r="1150" spans="1:40" x14ac:dyDescent="0.3">
      <c r="A1150" t="s">
        <v>340</v>
      </c>
      <c r="B1150" t="s">
        <v>644</v>
      </c>
      <c r="C1150" t="s">
        <v>16</v>
      </c>
      <c r="D1150" t="s">
        <v>11</v>
      </c>
      <c r="E1150">
        <v>202602</v>
      </c>
      <c r="F1150" t="s">
        <v>114</v>
      </c>
      <c r="G1150">
        <v>0</v>
      </c>
      <c r="H1150">
        <v>0</v>
      </c>
      <c r="I1150">
        <v>0</v>
      </c>
      <c r="J1150">
        <v>0</v>
      </c>
      <c r="K1150">
        <v>0</v>
      </c>
      <c r="L1150">
        <v>0</v>
      </c>
      <c r="M1150">
        <v>0</v>
      </c>
      <c r="N1150">
        <v>0</v>
      </c>
      <c r="O1150">
        <v>1</v>
      </c>
      <c r="P1150">
        <v>0</v>
      </c>
      <c r="Q1150">
        <v>0</v>
      </c>
      <c r="R1150">
        <v>0</v>
      </c>
      <c r="S1150">
        <v>0</v>
      </c>
      <c r="T1150">
        <v>0</v>
      </c>
      <c r="U1150">
        <v>0</v>
      </c>
      <c r="V1150">
        <v>0</v>
      </c>
      <c r="W1150">
        <v>0</v>
      </c>
      <c r="X1150">
        <v>0</v>
      </c>
      <c r="Y1150">
        <v>0</v>
      </c>
      <c r="Z1150">
        <v>0</v>
      </c>
      <c r="AA1150">
        <v>0</v>
      </c>
      <c r="AB1150">
        <v>0</v>
      </c>
      <c r="AC1150">
        <v>0</v>
      </c>
      <c r="AD1150">
        <v>0</v>
      </c>
      <c r="AE1150">
        <v>0</v>
      </c>
      <c r="AF1150">
        <v>0</v>
      </c>
      <c r="AG1150">
        <v>0</v>
      </c>
      <c r="AH1150">
        <v>0</v>
      </c>
      <c r="AI1150">
        <v>0</v>
      </c>
      <c r="AJ1150">
        <v>0</v>
      </c>
      <c r="AK1150">
        <v>0</v>
      </c>
      <c r="AL1150">
        <v>1</v>
      </c>
      <c r="AM1150">
        <v>0.33333333333333331</v>
      </c>
      <c r="AN1150">
        <v>5.6046251398731117</v>
      </c>
    </row>
    <row r="1151" spans="1:40" x14ac:dyDescent="0.3">
      <c r="A1151" t="s">
        <v>340</v>
      </c>
      <c r="B1151" t="s">
        <v>644</v>
      </c>
      <c r="C1151" t="s">
        <v>16</v>
      </c>
      <c r="D1151" t="s">
        <v>14</v>
      </c>
      <c r="E1151">
        <v>202602</v>
      </c>
      <c r="F1151" t="s">
        <v>114</v>
      </c>
      <c r="G1151">
        <v>0</v>
      </c>
      <c r="H1151">
        <v>1</v>
      </c>
      <c r="I1151">
        <v>0</v>
      </c>
      <c r="J1151">
        <v>0</v>
      </c>
      <c r="K1151">
        <v>0</v>
      </c>
      <c r="L1151">
        <v>0</v>
      </c>
      <c r="M1151">
        <v>0</v>
      </c>
      <c r="N1151">
        <v>0</v>
      </c>
      <c r="O1151">
        <v>0</v>
      </c>
      <c r="P1151">
        <v>0</v>
      </c>
      <c r="Q1151">
        <v>0</v>
      </c>
      <c r="R1151">
        <v>0</v>
      </c>
      <c r="S1151">
        <v>0</v>
      </c>
      <c r="T1151">
        <v>0</v>
      </c>
      <c r="U1151">
        <v>0</v>
      </c>
      <c r="V1151">
        <v>0</v>
      </c>
      <c r="W1151">
        <v>0</v>
      </c>
      <c r="X1151">
        <v>0</v>
      </c>
      <c r="Y1151">
        <v>0</v>
      </c>
      <c r="Z1151">
        <v>0</v>
      </c>
      <c r="AA1151">
        <v>0</v>
      </c>
      <c r="AB1151">
        <v>0</v>
      </c>
      <c r="AC1151">
        <v>0</v>
      </c>
      <c r="AD1151">
        <v>0</v>
      </c>
      <c r="AE1151">
        <v>0</v>
      </c>
      <c r="AF1151">
        <v>0</v>
      </c>
      <c r="AG1151">
        <v>0</v>
      </c>
      <c r="AH1151">
        <v>0</v>
      </c>
      <c r="AI1151">
        <v>0</v>
      </c>
      <c r="AJ1151">
        <v>0</v>
      </c>
      <c r="AK1151">
        <v>0</v>
      </c>
      <c r="AL1151">
        <v>1</v>
      </c>
      <c r="AM1151">
        <v>0</v>
      </c>
      <c r="AN1151">
        <v>1</v>
      </c>
    </row>
    <row r="1152" spans="1:40" x14ac:dyDescent="0.3">
      <c r="A1152" t="s">
        <v>340</v>
      </c>
      <c r="B1152" t="s">
        <v>644</v>
      </c>
      <c r="C1152" t="s">
        <v>16</v>
      </c>
      <c r="D1152" t="s">
        <v>14</v>
      </c>
      <c r="E1152">
        <v>202602</v>
      </c>
      <c r="F1152" t="s">
        <v>121</v>
      </c>
      <c r="G1152">
        <v>0</v>
      </c>
      <c r="H1152">
        <v>0</v>
      </c>
      <c r="I1152">
        <v>0</v>
      </c>
      <c r="J1152">
        <v>0</v>
      </c>
      <c r="K1152">
        <v>0</v>
      </c>
      <c r="L1152">
        <v>1</v>
      </c>
      <c r="M1152">
        <v>0</v>
      </c>
      <c r="N1152">
        <v>0</v>
      </c>
      <c r="O1152">
        <v>0</v>
      </c>
      <c r="P1152">
        <v>0</v>
      </c>
      <c r="Q1152">
        <v>0</v>
      </c>
      <c r="R1152">
        <v>0</v>
      </c>
      <c r="S1152">
        <v>0</v>
      </c>
      <c r="T1152">
        <v>0</v>
      </c>
      <c r="U1152">
        <v>0</v>
      </c>
      <c r="V1152">
        <v>0</v>
      </c>
      <c r="W1152">
        <v>0</v>
      </c>
      <c r="X1152">
        <v>0</v>
      </c>
      <c r="Y1152">
        <v>0</v>
      </c>
      <c r="Z1152">
        <v>0</v>
      </c>
      <c r="AA1152">
        <v>0</v>
      </c>
      <c r="AB1152">
        <v>0</v>
      </c>
      <c r="AC1152">
        <v>0</v>
      </c>
      <c r="AD1152">
        <v>0</v>
      </c>
      <c r="AE1152">
        <v>0</v>
      </c>
      <c r="AF1152">
        <v>0</v>
      </c>
      <c r="AG1152">
        <v>0</v>
      </c>
      <c r="AH1152">
        <v>0</v>
      </c>
      <c r="AI1152">
        <v>0</v>
      </c>
      <c r="AJ1152">
        <v>0</v>
      </c>
      <c r="AK1152">
        <v>0</v>
      </c>
      <c r="AL1152">
        <v>1</v>
      </c>
      <c r="AM1152">
        <v>0</v>
      </c>
      <c r="AN1152">
        <v>1</v>
      </c>
    </row>
    <row r="1153" spans="1:40" x14ac:dyDescent="0.3">
      <c r="A1153" t="s">
        <v>340</v>
      </c>
      <c r="B1153" t="s">
        <v>136</v>
      </c>
      <c r="C1153" t="s">
        <v>10</v>
      </c>
      <c r="D1153" t="s">
        <v>11</v>
      </c>
      <c r="E1153">
        <v>202602</v>
      </c>
      <c r="F1153" t="s">
        <v>367</v>
      </c>
      <c r="G1153">
        <v>0</v>
      </c>
      <c r="H1153">
        <v>0</v>
      </c>
      <c r="I1153">
        <v>0</v>
      </c>
      <c r="J1153">
        <v>0</v>
      </c>
      <c r="K1153">
        <v>0</v>
      </c>
      <c r="L1153">
        <v>0</v>
      </c>
      <c r="M1153">
        <v>0</v>
      </c>
      <c r="N1153">
        <v>1</v>
      </c>
      <c r="O1153">
        <v>1</v>
      </c>
      <c r="P1153">
        <v>0</v>
      </c>
      <c r="Q1153">
        <v>1</v>
      </c>
      <c r="R1153">
        <v>0</v>
      </c>
      <c r="S1153">
        <v>0</v>
      </c>
      <c r="T1153">
        <v>0</v>
      </c>
      <c r="U1153">
        <v>0</v>
      </c>
      <c r="V1153">
        <v>0</v>
      </c>
      <c r="W1153">
        <v>0</v>
      </c>
      <c r="X1153">
        <v>0</v>
      </c>
      <c r="Y1153">
        <v>0</v>
      </c>
      <c r="Z1153">
        <v>0</v>
      </c>
      <c r="AA1153">
        <v>0</v>
      </c>
      <c r="AB1153">
        <v>0</v>
      </c>
      <c r="AC1153">
        <v>0</v>
      </c>
      <c r="AD1153">
        <v>0</v>
      </c>
      <c r="AE1153">
        <v>0</v>
      </c>
      <c r="AF1153">
        <v>0</v>
      </c>
      <c r="AG1153">
        <v>0</v>
      </c>
      <c r="AH1153">
        <v>0</v>
      </c>
      <c r="AI1153">
        <v>0</v>
      </c>
      <c r="AJ1153">
        <v>0</v>
      </c>
      <c r="AK1153">
        <v>0</v>
      </c>
      <c r="AL1153">
        <v>3</v>
      </c>
      <c r="AM1153">
        <v>0.66666666666666663</v>
      </c>
      <c r="AN1153">
        <v>12.209250279746223</v>
      </c>
    </row>
    <row r="1154" spans="1:40" x14ac:dyDescent="0.3">
      <c r="A1154" t="s">
        <v>340</v>
      </c>
      <c r="B1154" t="s">
        <v>136</v>
      </c>
      <c r="C1154" t="s">
        <v>10</v>
      </c>
      <c r="D1154" t="s">
        <v>14</v>
      </c>
      <c r="E1154">
        <v>202602</v>
      </c>
      <c r="F1154" t="s">
        <v>367</v>
      </c>
      <c r="G1154">
        <v>0</v>
      </c>
      <c r="H1154">
        <v>0</v>
      </c>
      <c r="I1154">
        <v>0</v>
      </c>
      <c r="J1154">
        <v>0</v>
      </c>
      <c r="K1154">
        <v>0</v>
      </c>
      <c r="L1154">
        <v>2</v>
      </c>
      <c r="M1154">
        <v>0</v>
      </c>
      <c r="N1154">
        <v>0</v>
      </c>
      <c r="O1154">
        <v>0</v>
      </c>
      <c r="P1154">
        <v>1</v>
      </c>
      <c r="Q1154">
        <v>0</v>
      </c>
      <c r="R1154">
        <v>0</v>
      </c>
      <c r="S1154">
        <v>0</v>
      </c>
      <c r="T1154">
        <v>0</v>
      </c>
      <c r="U1154">
        <v>0</v>
      </c>
      <c r="V1154">
        <v>0</v>
      </c>
      <c r="W1154">
        <v>0</v>
      </c>
      <c r="X1154">
        <v>0</v>
      </c>
      <c r="Y1154">
        <v>0</v>
      </c>
      <c r="Z1154">
        <v>0</v>
      </c>
      <c r="AA1154">
        <v>0</v>
      </c>
      <c r="AB1154">
        <v>0</v>
      </c>
      <c r="AC1154">
        <v>0</v>
      </c>
      <c r="AD1154">
        <v>0</v>
      </c>
      <c r="AE1154">
        <v>0</v>
      </c>
      <c r="AF1154">
        <v>0</v>
      </c>
      <c r="AG1154">
        <v>0</v>
      </c>
      <c r="AH1154">
        <v>0</v>
      </c>
      <c r="AI1154">
        <v>0</v>
      </c>
      <c r="AJ1154">
        <v>0</v>
      </c>
      <c r="AK1154">
        <v>0</v>
      </c>
      <c r="AL1154">
        <v>3</v>
      </c>
      <c r="AM1154">
        <v>0.33333333333333331</v>
      </c>
      <c r="AN1154">
        <v>7.0417410714286133</v>
      </c>
    </row>
    <row r="1155" spans="1:40" x14ac:dyDescent="0.3">
      <c r="A1155" t="s">
        <v>340</v>
      </c>
      <c r="B1155" t="s">
        <v>684</v>
      </c>
      <c r="C1155" t="s">
        <v>10</v>
      </c>
      <c r="D1155" t="s">
        <v>11</v>
      </c>
      <c r="E1155">
        <v>202602</v>
      </c>
      <c r="F1155" t="s">
        <v>101</v>
      </c>
      <c r="G1155">
        <v>0</v>
      </c>
      <c r="H1155">
        <v>1</v>
      </c>
      <c r="I1155">
        <v>0</v>
      </c>
      <c r="J1155">
        <v>0</v>
      </c>
      <c r="K1155">
        <v>0</v>
      </c>
      <c r="L1155">
        <v>0</v>
      </c>
      <c r="M1155">
        <v>0</v>
      </c>
      <c r="N1155">
        <v>0</v>
      </c>
      <c r="O1155">
        <v>1</v>
      </c>
      <c r="P1155">
        <v>0</v>
      </c>
      <c r="Q1155">
        <v>0</v>
      </c>
      <c r="R1155">
        <v>0</v>
      </c>
      <c r="S1155">
        <v>0</v>
      </c>
      <c r="T1155">
        <v>0</v>
      </c>
      <c r="U1155">
        <v>0</v>
      </c>
      <c r="V1155">
        <v>0</v>
      </c>
      <c r="W1155">
        <v>0</v>
      </c>
      <c r="X1155">
        <v>0</v>
      </c>
      <c r="Y1155">
        <v>0</v>
      </c>
      <c r="Z1155">
        <v>0</v>
      </c>
      <c r="AA1155">
        <v>0</v>
      </c>
      <c r="AB1155">
        <v>0</v>
      </c>
      <c r="AC1155">
        <v>0</v>
      </c>
      <c r="AD1155">
        <v>0</v>
      </c>
      <c r="AE1155">
        <v>0</v>
      </c>
      <c r="AF1155">
        <v>0</v>
      </c>
      <c r="AG1155">
        <v>0</v>
      </c>
      <c r="AH1155">
        <v>0</v>
      </c>
      <c r="AI1155">
        <v>0</v>
      </c>
      <c r="AJ1155">
        <v>0</v>
      </c>
      <c r="AK1155">
        <v>0</v>
      </c>
      <c r="AL1155">
        <v>2</v>
      </c>
      <c r="AM1155">
        <v>0.33333333333333331</v>
      </c>
      <c r="AN1155">
        <v>6.6046251398731117</v>
      </c>
    </row>
    <row r="1156" spans="1:40" x14ac:dyDescent="0.3">
      <c r="A1156" t="s">
        <v>340</v>
      </c>
      <c r="B1156" t="s">
        <v>684</v>
      </c>
      <c r="C1156" t="s">
        <v>10</v>
      </c>
      <c r="D1156" t="s">
        <v>11</v>
      </c>
      <c r="E1156">
        <v>202602</v>
      </c>
      <c r="F1156" t="s">
        <v>138</v>
      </c>
      <c r="G1156">
        <v>0</v>
      </c>
      <c r="H1156">
        <v>0</v>
      </c>
      <c r="I1156">
        <v>0</v>
      </c>
      <c r="J1156">
        <v>0</v>
      </c>
      <c r="K1156">
        <v>2</v>
      </c>
      <c r="L1156">
        <v>0</v>
      </c>
      <c r="M1156">
        <v>0</v>
      </c>
      <c r="N1156">
        <v>0</v>
      </c>
      <c r="O1156">
        <v>0</v>
      </c>
      <c r="P1156">
        <v>0</v>
      </c>
      <c r="Q1156">
        <v>0</v>
      </c>
      <c r="R1156">
        <v>0</v>
      </c>
      <c r="S1156">
        <v>0</v>
      </c>
      <c r="T1156">
        <v>0</v>
      </c>
      <c r="U1156">
        <v>0</v>
      </c>
      <c r="V1156">
        <v>0</v>
      </c>
      <c r="W1156">
        <v>0</v>
      </c>
      <c r="X1156">
        <v>0</v>
      </c>
      <c r="Y1156">
        <v>0</v>
      </c>
      <c r="Z1156">
        <v>0</v>
      </c>
      <c r="AA1156">
        <v>0</v>
      </c>
      <c r="AB1156">
        <v>0</v>
      </c>
      <c r="AC1156">
        <v>0</v>
      </c>
      <c r="AD1156">
        <v>0</v>
      </c>
      <c r="AE1156">
        <v>0</v>
      </c>
      <c r="AF1156">
        <v>0</v>
      </c>
      <c r="AG1156">
        <v>0</v>
      </c>
      <c r="AH1156">
        <v>0</v>
      </c>
      <c r="AI1156">
        <v>0</v>
      </c>
      <c r="AJ1156">
        <v>0</v>
      </c>
      <c r="AK1156">
        <v>0</v>
      </c>
      <c r="AL1156">
        <v>2</v>
      </c>
      <c r="AM1156">
        <v>0</v>
      </c>
      <c r="AN1156">
        <v>2</v>
      </c>
    </row>
    <row r="1157" spans="1:40" x14ac:dyDescent="0.3">
      <c r="A1157" t="s">
        <v>340</v>
      </c>
      <c r="B1157" t="s">
        <v>684</v>
      </c>
      <c r="C1157" t="s">
        <v>10</v>
      </c>
      <c r="D1157" t="s">
        <v>14</v>
      </c>
      <c r="E1157">
        <v>202602</v>
      </c>
      <c r="F1157" t="s">
        <v>101</v>
      </c>
      <c r="G1157">
        <v>0</v>
      </c>
      <c r="H1157">
        <v>0</v>
      </c>
      <c r="I1157">
        <v>0</v>
      </c>
      <c r="J1157">
        <v>0</v>
      </c>
      <c r="K1157">
        <v>1</v>
      </c>
      <c r="L1157">
        <v>0</v>
      </c>
      <c r="M1157">
        <v>0</v>
      </c>
      <c r="N1157">
        <v>0</v>
      </c>
      <c r="O1157">
        <v>0</v>
      </c>
      <c r="P1157">
        <v>0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0</v>
      </c>
      <c r="W1157">
        <v>0</v>
      </c>
      <c r="X1157">
        <v>0</v>
      </c>
      <c r="Y1157">
        <v>0</v>
      </c>
      <c r="Z1157">
        <v>0</v>
      </c>
      <c r="AA1157">
        <v>0</v>
      </c>
      <c r="AB1157">
        <v>0</v>
      </c>
      <c r="AC1157">
        <v>0</v>
      </c>
      <c r="AD1157">
        <v>0</v>
      </c>
      <c r="AE1157">
        <v>0</v>
      </c>
      <c r="AF1157">
        <v>0</v>
      </c>
      <c r="AG1157">
        <v>0</v>
      </c>
      <c r="AH1157">
        <v>0</v>
      </c>
      <c r="AI1157">
        <v>0</v>
      </c>
      <c r="AJ1157">
        <v>0</v>
      </c>
      <c r="AK1157">
        <v>0</v>
      </c>
      <c r="AL1157">
        <v>1</v>
      </c>
      <c r="AM1157">
        <v>0</v>
      </c>
      <c r="AN1157">
        <v>1</v>
      </c>
    </row>
    <row r="1158" spans="1:40" x14ac:dyDescent="0.3">
      <c r="A1158" t="s">
        <v>340</v>
      </c>
      <c r="B1158" t="s">
        <v>684</v>
      </c>
      <c r="C1158" t="s">
        <v>10</v>
      </c>
      <c r="D1158" t="s">
        <v>14</v>
      </c>
      <c r="E1158">
        <v>202602</v>
      </c>
      <c r="F1158" t="s">
        <v>138</v>
      </c>
      <c r="G1158">
        <v>0</v>
      </c>
      <c r="H1158">
        <v>1</v>
      </c>
      <c r="I1158">
        <v>1</v>
      </c>
      <c r="J1158">
        <v>0</v>
      </c>
      <c r="K1158">
        <v>0</v>
      </c>
      <c r="L1158">
        <v>0</v>
      </c>
      <c r="M1158">
        <v>0</v>
      </c>
      <c r="N1158">
        <v>0</v>
      </c>
      <c r="O1158">
        <v>0</v>
      </c>
      <c r="P1158">
        <v>0</v>
      </c>
      <c r="Q1158">
        <v>0</v>
      </c>
      <c r="R1158">
        <v>0</v>
      </c>
      <c r="S1158">
        <v>0</v>
      </c>
      <c r="T1158">
        <v>0</v>
      </c>
      <c r="U1158">
        <v>0</v>
      </c>
      <c r="V1158">
        <v>0</v>
      </c>
      <c r="W1158">
        <v>0</v>
      </c>
      <c r="X1158">
        <v>0</v>
      </c>
      <c r="Y1158">
        <v>0</v>
      </c>
      <c r="Z1158">
        <v>0</v>
      </c>
      <c r="AA1158">
        <v>0</v>
      </c>
      <c r="AB1158">
        <v>0</v>
      </c>
      <c r="AC1158">
        <v>0</v>
      </c>
      <c r="AD1158">
        <v>0</v>
      </c>
      <c r="AE1158">
        <v>0</v>
      </c>
      <c r="AF1158">
        <v>0</v>
      </c>
      <c r="AG1158">
        <v>0</v>
      </c>
      <c r="AH1158">
        <v>0</v>
      </c>
      <c r="AI1158">
        <v>0</v>
      </c>
      <c r="AJ1158">
        <v>0</v>
      </c>
      <c r="AK1158">
        <v>0</v>
      </c>
      <c r="AL1158">
        <v>2</v>
      </c>
      <c r="AM1158">
        <v>0</v>
      </c>
      <c r="AN1158">
        <v>2</v>
      </c>
    </row>
    <row r="1159" spans="1:40" x14ac:dyDescent="0.3">
      <c r="A1159" t="s">
        <v>340</v>
      </c>
      <c r="B1159" t="s">
        <v>139</v>
      </c>
      <c r="C1159" t="s">
        <v>10</v>
      </c>
      <c r="D1159" t="s">
        <v>11</v>
      </c>
      <c r="E1159">
        <v>202602</v>
      </c>
      <c r="F1159" t="s">
        <v>140</v>
      </c>
      <c r="G1159">
        <v>0</v>
      </c>
      <c r="H1159">
        <v>0</v>
      </c>
      <c r="I1159">
        <v>0</v>
      </c>
      <c r="J1159">
        <v>0</v>
      </c>
      <c r="K1159">
        <v>0</v>
      </c>
      <c r="L1159">
        <v>1</v>
      </c>
      <c r="M1159">
        <v>0</v>
      </c>
      <c r="N1159">
        <v>0</v>
      </c>
      <c r="O1159">
        <v>0</v>
      </c>
      <c r="P1159">
        <v>0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0</v>
      </c>
      <c r="W1159">
        <v>0</v>
      </c>
      <c r="X1159">
        <v>0</v>
      </c>
      <c r="Y1159">
        <v>0</v>
      </c>
      <c r="Z1159">
        <v>0</v>
      </c>
      <c r="AA1159">
        <v>0</v>
      </c>
      <c r="AB1159">
        <v>0</v>
      </c>
      <c r="AC1159">
        <v>0</v>
      </c>
      <c r="AD1159">
        <v>0</v>
      </c>
      <c r="AE1159">
        <v>0</v>
      </c>
      <c r="AF1159">
        <v>0</v>
      </c>
      <c r="AG1159">
        <v>0</v>
      </c>
      <c r="AH1159">
        <v>0</v>
      </c>
      <c r="AI1159">
        <v>0</v>
      </c>
      <c r="AJ1159">
        <v>0</v>
      </c>
      <c r="AK1159">
        <v>0</v>
      </c>
      <c r="AL1159">
        <v>1</v>
      </c>
      <c r="AM1159">
        <v>0</v>
      </c>
      <c r="AN1159">
        <v>1</v>
      </c>
    </row>
    <row r="1160" spans="1:40" x14ac:dyDescent="0.3">
      <c r="A1160" t="s">
        <v>340</v>
      </c>
      <c r="B1160" t="s">
        <v>139</v>
      </c>
      <c r="C1160" t="s">
        <v>10</v>
      </c>
      <c r="D1160" t="s">
        <v>11</v>
      </c>
      <c r="E1160">
        <v>202602</v>
      </c>
      <c r="F1160" t="s">
        <v>368</v>
      </c>
      <c r="G1160">
        <v>0</v>
      </c>
      <c r="H1160">
        <v>2</v>
      </c>
      <c r="I1160">
        <v>2</v>
      </c>
      <c r="J1160">
        <v>3</v>
      </c>
      <c r="K1160">
        <v>2</v>
      </c>
      <c r="L1160">
        <v>3</v>
      </c>
      <c r="M1160">
        <v>1</v>
      </c>
      <c r="N1160">
        <v>0</v>
      </c>
      <c r="O1160">
        <v>0</v>
      </c>
      <c r="P1160">
        <v>3</v>
      </c>
      <c r="Q1160">
        <v>5</v>
      </c>
      <c r="R1160">
        <v>0</v>
      </c>
      <c r="S1160">
        <v>0</v>
      </c>
      <c r="T1160">
        <v>0</v>
      </c>
      <c r="U1160">
        <v>0</v>
      </c>
      <c r="V1160">
        <v>0</v>
      </c>
      <c r="W1160">
        <v>0</v>
      </c>
      <c r="X1160">
        <v>0</v>
      </c>
      <c r="Y1160">
        <v>0</v>
      </c>
      <c r="Z1160">
        <v>0</v>
      </c>
      <c r="AA1160">
        <v>0</v>
      </c>
      <c r="AB1160">
        <v>0</v>
      </c>
      <c r="AC1160">
        <v>0</v>
      </c>
      <c r="AD1160">
        <v>0</v>
      </c>
      <c r="AE1160">
        <v>0</v>
      </c>
      <c r="AF1160">
        <v>0</v>
      </c>
      <c r="AG1160">
        <v>0</v>
      </c>
      <c r="AH1160">
        <v>0</v>
      </c>
      <c r="AI1160">
        <v>0</v>
      </c>
      <c r="AJ1160">
        <v>0</v>
      </c>
      <c r="AK1160">
        <v>0</v>
      </c>
      <c r="AL1160">
        <v>21</v>
      </c>
      <c r="AM1160">
        <v>2.6666666666666665</v>
      </c>
      <c r="AN1160">
        <v>57.837001118984894</v>
      </c>
    </row>
    <row r="1161" spans="1:40" x14ac:dyDescent="0.3">
      <c r="A1161" t="s">
        <v>340</v>
      </c>
      <c r="B1161" t="s">
        <v>139</v>
      </c>
      <c r="C1161" t="s">
        <v>10</v>
      </c>
      <c r="D1161" t="s">
        <v>11</v>
      </c>
      <c r="E1161">
        <v>202602</v>
      </c>
      <c r="F1161" t="s">
        <v>369</v>
      </c>
      <c r="G1161">
        <v>0</v>
      </c>
      <c r="H1161">
        <v>0</v>
      </c>
      <c r="I1161">
        <v>0</v>
      </c>
      <c r="J1161">
        <v>0</v>
      </c>
      <c r="K1161">
        <v>0</v>
      </c>
      <c r="L1161">
        <v>0</v>
      </c>
      <c r="M1161">
        <v>0</v>
      </c>
      <c r="N1161">
        <v>0</v>
      </c>
      <c r="O1161">
        <v>0</v>
      </c>
      <c r="P1161">
        <v>1</v>
      </c>
      <c r="Q1161">
        <v>1</v>
      </c>
      <c r="R1161">
        <v>0</v>
      </c>
      <c r="S1161">
        <v>0</v>
      </c>
      <c r="T1161">
        <v>0</v>
      </c>
      <c r="U1161">
        <v>0</v>
      </c>
      <c r="V1161">
        <v>0</v>
      </c>
      <c r="W1161">
        <v>0</v>
      </c>
      <c r="X1161">
        <v>0</v>
      </c>
      <c r="Y1161">
        <v>0</v>
      </c>
      <c r="Z1161">
        <v>0</v>
      </c>
      <c r="AA1161">
        <v>0</v>
      </c>
      <c r="AB1161">
        <v>0</v>
      </c>
      <c r="AC1161">
        <v>0</v>
      </c>
      <c r="AD1161">
        <v>0</v>
      </c>
      <c r="AE1161">
        <v>0</v>
      </c>
      <c r="AF1161">
        <v>0</v>
      </c>
      <c r="AG1161">
        <v>0</v>
      </c>
      <c r="AH1161">
        <v>0</v>
      </c>
      <c r="AI1161">
        <v>0</v>
      </c>
      <c r="AJ1161">
        <v>0</v>
      </c>
      <c r="AK1161">
        <v>0</v>
      </c>
      <c r="AL1161">
        <v>2</v>
      </c>
      <c r="AM1161">
        <v>0.66666666666666663</v>
      </c>
      <c r="AN1161">
        <v>11.209250279746223</v>
      </c>
    </row>
    <row r="1162" spans="1:40" x14ac:dyDescent="0.3">
      <c r="A1162" t="s">
        <v>340</v>
      </c>
      <c r="B1162" t="s">
        <v>139</v>
      </c>
      <c r="C1162" t="s">
        <v>10</v>
      </c>
      <c r="D1162" t="s">
        <v>11</v>
      </c>
      <c r="E1162">
        <v>202602</v>
      </c>
      <c r="F1162" t="s">
        <v>370</v>
      </c>
      <c r="G1162">
        <v>0</v>
      </c>
      <c r="H1162">
        <v>1</v>
      </c>
      <c r="I1162">
        <v>1</v>
      </c>
      <c r="J1162">
        <v>2</v>
      </c>
      <c r="K1162">
        <v>3</v>
      </c>
      <c r="L1162">
        <v>2</v>
      </c>
      <c r="M1162">
        <v>0</v>
      </c>
      <c r="N1162">
        <v>0</v>
      </c>
      <c r="O1162">
        <v>0</v>
      </c>
      <c r="P1162">
        <v>2</v>
      </c>
      <c r="Q1162">
        <v>3</v>
      </c>
      <c r="R1162">
        <v>0</v>
      </c>
      <c r="S1162">
        <v>0</v>
      </c>
      <c r="T1162">
        <v>0</v>
      </c>
      <c r="U1162">
        <v>0</v>
      </c>
      <c r="V1162">
        <v>0</v>
      </c>
      <c r="W1162">
        <v>0</v>
      </c>
      <c r="X1162">
        <v>0</v>
      </c>
      <c r="Y1162">
        <v>0</v>
      </c>
      <c r="Z1162">
        <v>0</v>
      </c>
      <c r="AA1162">
        <v>0</v>
      </c>
      <c r="AB1162">
        <v>0</v>
      </c>
      <c r="AC1162">
        <v>0</v>
      </c>
      <c r="AD1162">
        <v>0</v>
      </c>
      <c r="AE1162">
        <v>0</v>
      </c>
      <c r="AF1162">
        <v>0</v>
      </c>
      <c r="AG1162">
        <v>0</v>
      </c>
      <c r="AH1162">
        <v>0</v>
      </c>
      <c r="AI1162">
        <v>0</v>
      </c>
      <c r="AJ1162">
        <v>0</v>
      </c>
      <c r="AK1162">
        <v>0</v>
      </c>
      <c r="AL1162">
        <v>14</v>
      </c>
      <c r="AM1162">
        <v>1.6666666666666667</v>
      </c>
      <c r="AN1162">
        <v>37.023125699365558</v>
      </c>
    </row>
    <row r="1163" spans="1:40" x14ac:dyDescent="0.3">
      <c r="A1163" t="s">
        <v>340</v>
      </c>
      <c r="B1163" t="s">
        <v>139</v>
      </c>
      <c r="C1163" t="s">
        <v>10</v>
      </c>
      <c r="D1163" t="s">
        <v>11</v>
      </c>
      <c r="E1163">
        <v>202602</v>
      </c>
      <c r="F1163" t="s">
        <v>371</v>
      </c>
      <c r="G1163">
        <v>0</v>
      </c>
      <c r="H1163">
        <v>0</v>
      </c>
      <c r="I1163">
        <v>0</v>
      </c>
      <c r="J1163">
        <v>0</v>
      </c>
      <c r="K1163">
        <v>1</v>
      </c>
      <c r="L1163">
        <v>0</v>
      </c>
      <c r="M1163">
        <v>0</v>
      </c>
      <c r="N1163">
        <v>0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0</v>
      </c>
      <c r="U1163">
        <v>0</v>
      </c>
      <c r="V1163">
        <v>0</v>
      </c>
      <c r="W1163">
        <v>0</v>
      </c>
      <c r="X1163">
        <v>0</v>
      </c>
      <c r="Y1163">
        <v>0</v>
      </c>
      <c r="Z1163">
        <v>0</v>
      </c>
      <c r="AA1163">
        <v>0</v>
      </c>
      <c r="AB1163">
        <v>0</v>
      </c>
      <c r="AC1163">
        <v>0</v>
      </c>
      <c r="AD1163">
        <v>0</v>
      </c>
      <c r="AE1163">
        <v>0</v>
      </c>
      <c r="AF1163">
        <v>0</v>
      </c>
      <c r="AG1163">
        <v>0</v>
      </c>
      <c r="AH1163">
        <v>0</v>
      </c>
      <c r="AI1163">
        <v>0</v>
      </c>
      <c r="AJ1163">
        <v>0</v>
      </c>
      <c r="AK1163">
        <v>0</v>
      </c>
      <c r="AL1163">
        <v>1</v>
      </c>
      <c r="AM1163">
        <v>0</v>
      </c>
      <c r="AN1163">
        <v>1</v>
      </c>
    </row>
    <row r="1164" spans="1:40" x14ac:dyDescent="0.3">
      <c r="A1164" t="s">
        <v>340</v>
      </c>
      <c r="B1164" t="s">
        <v>139</v>
      </c>
      <c r="C1164" t="s">
        <v>10</v>
      </c>
      <c r="D1164" t="s">
        <v>11</v>
      </c>
      <c r="E1164">
        <v>202602</v>
      </c>
      <c r="F1164" t="s">
        <v>372</v>
      </c>
      <c r="G1164">
        <v>0</v>
      </c>
      <c r="H1164">
        <v>2</v>
      </c>
      <c r="I1164">
        <v>1</v>
      </c>
      <c r="J1164">
        <v>0</v>
      </c>
      <c r="K1164">
        <v>0</v>
      </c>
      <c r="L1164">
        <v>0</v>
      </c>
      <c r="M1164">
        <v>0</v>
      </c>
      <c r="N1164">
        <v>0</v>
      </c>
      <c r="O1164">
        <v>0</v>
      </c>
      <c r="P1164">
        <v>0</v>
      </c>
      <c r="Q1164">
        <v>2</v>
      </c>
      <c r="R1164">
        <v>0</v>
      </c>
      <c r="S1164">
        <v>0</v>
      </c>
      <c r="T1164">
        <v>0</v>
      </c>
      <c r="U1164">
        <v>0</v>
      </c>
      <c r="V1164">
        <v>0</v>
      </c>
      <c r="W1164">
        <v>0</v>
      </c>
      <c r="X1164">
        <v>0</v>
      </c>
      <c r="Y1164">
        <v>0</v>
      </c>
      <c r="Z1164">
        <v>0</v>
      </c>
      <c r="AA1164">
        <v>0</v>
      </c>
      <c r="AB1164">
        <v>0</v>
      </c>
      <c r="AC1164">
        <v>0</v>
      </c>
      <c r="AD1164">
        <v>0</v>
      </c>
      <c r="AE1164">
        <v>0</v>
      </c>
      <c r="AF1164">
        <v>0</v>
      </c>
      <c r="AG1164">
        <v>0</v>
      </c>
      <c r="AH1164">
        <v>0</v>
      </c>
      <c r="AI1164">
        <v>0</v>
      </c>
      <c r="AJ1164">
        <v>0</v>
      </c>
      <c r="AK1164">
        <v>0</v>
      </c>
      <c r="AL1164">
        <v>5</v>
      </c>
      <c r="AM1164">
        <v>0.66666666666666663</v>
      </c>
      <c r="AN1164">
        <v>14.209250279746223</v>
      </c>
    </row>
    <row r="1165" spans="1:40" x14ac:dyDescent="0.3">
      <c r="A1165" t="s">
        <v>340</v>
      </c>
      <c r="B1165" t="s">
        <v>139</v>
      </c>
      <c r="C1165" t="s">
        <v>10</v>
      </c>
      <c r="D1165" t="s">
        <v>11</v>
      </c>
      <c r="E1165">
        <v>202602</v>
      </c>
      <c r="F1165" t="s">
        <v>373</v>
      </c>
      <c r="G1165">
        <v>0</v>
      </c>
      <c r="H1165">
        <v>0</v>
      </c>
      <c r="I1165">
        <v>0</v>
      </c>
      <c r="J1165">
        <v>0</v>
      </c>
      <c r="K1165">
        <v>1</v>
      </c>
      <c r="L1165">
        <v>1</v>
      </c>
      <c r="M1165">
        <v>0</v>
      </c>
      <c r="N1165">
        <v>0</v>
      </c>
      <c r="O1165">
        <v>0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  <c r="V1165">
        <v>0</v>
      </c>
      <c r="W1165">
        <v>0</v>
      </c>
      <c r="X1165">
        <v>0</v>
      </c>
      <c r="Y1165">
        <v>0</v>
      </c>
      <c r="Z1165">
        <v>0</v>
      </c>
      <c r="AA1165">
        <v>0</v>
      </c>
      <c r="AB1165">
        <v>0</v>
      </c>
      <c r="AC1165">
        <v>0</v>
      </c>
      <c r="AD1165">
        <v>0</v>
      </c>
      <c r="AE1165">
        <v>0</v>
      </c>
      <c r="AF1165">
        <v>0</v>
      </c>
      <c r="AG1165">
        <v>0</v>
      </c>
      <c r="AH1165">
        <v>0</v>
      </c>
      <c r="AI1165">
        <v>0</v>
      </c>
      <c r="AJ1165">
        <v>0</v>
      </c>
      <c r="AK1165">
        <v>0</v>
      </c>
      <c r="AL1165">
        <v>2</v>
      </c>
      <c r="AM1165">
        <v>0</v>
      </c>
      <c r="AN1165">
        <v>2</v>
      </c>
    </row>
    <row r="1166" spans="1:40" x14ac:dyDescent="0.3">
      <c r="A1166" t="s">
        <v>340</v>
      </c>
      <c r="B1166" t="s">
        <v>139</v>
      </c>
      <c r="C1166" t="s">
        <v>10</v>
      </c>
      <c r="D1166" t="s">
        <v>11</v>
      </c>
      <c r="E1166">
        <v>202602</v>
      </c>
      <c r="F1166" t="s">
        <v>374</v>
      </c>
      <c r="G1166">
        <v>0</v>
      </c>
      <c r="H1166">
        <v>0</v>
      </c>
      <c r="I1166">
        <v>0</v>
      </c>
      <c r="J1166">
        <v>1</v>
      </c>
      <c r="K1166">
        <v>0</v>
      </c>
      <c r="L1166">
        <v>0</v>
      </c>
      <c r="M1166">
        <v>0</v>
      </c>
      <c r="N1166">
        <v>0</v>
      </c>
      <c r="O1166">
        <v>0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0</v>
      </c>
      <c r="W1166">
        <v>0</v>
      </c>
      <c r="X1166">
        <v>0</v>
      </c>
      <c r="Y1166">
        <v>0</v>
      </c>
      <c r="Z1166">
        <v>0</v>
      </c>
      <c r="AA1166">
        <v>0</v>
      </c>
      <c r="AB1166">
        <v>0</v>
      </c>
      <c r="AC1166">
        <v>0</v>
      </c>
      <c r="AD1166">
        <v>0</v>
      </c>
      <c r="AE1166">
        <v>0</v>
      </c>
      <c r="AF1166">
        <v>0</v>
      </c>
      <c r="AG1166">
        <v>0</v>
      </c>
      <c r="AH1166">
        <v>0</v>
      </c>
      <c r="AI1166">
        <v>0</v>
      </c>
      <c r="AJ1166">
        <v>0</v>
      </c>
      <c r="AK1166">
        <v>0</v>
      </c>
      <c r="AL1166">
        <v>1</v>
      </c>
      <c r="AM1166">
        <v>0</v>
      </c>
      <c r="AN1166">
        <v>1</v>
      </c>
    </row>
    <row r="1167" spans="1:40" x14ac:dyDescent="0.3">
      <c r="A1167" t="s">
        <v>340</v>
      </c>
      <c r="B1167" t="s">
        <v>139</v>
      </c>
      <c r="C1167" t="s">
        <v>10</v>
      </c>
      <c r="D1167" t="s">
        <v>11</v>
      </c>
      <c r="E1167">
        <v>202602</v>
      </c>
      <c r="F1167" t="s">
        <v>375</v>
      </c>
      <c r="G1167">
        <v>0</v>
      </c>
      <c r="H1167">
        <v>0</v>
      </c>
      <c r="I1167">
        <v>0</v>
      </c>
      <c r="J1167">
        <v>2</v>
      </c>
      <c r="K1167">
        <v>0</v>
      </c>
      <c r="L1167">
        <v>0</v>
      </c>
      <c r="M1167">
        <v>1</v>
      </c>
      <c r="N1167">
        <v>0</v>
      </c>
      <c r="O1167">
        <v>1</v>
      </c>
      <c r="P1167">
        <v>0</v>
      </c>
      <c r="Q1167">
        <v>1</v>
      </c>
      <c r="R1167">
        <v>0</v>
      </c>
      <c r="S1167">
        <v>0</v>
      </c>
      <c r="T1167">
        <v>0</v>
      </c>
      <c r="U1167">
        <v>0</v>
      </c>
      <c r="V1167">
        <v>0</v>
      </c>
      <c r="W1167">
        <v>0</v>
      </c>
      <c r="X1167">
        <v>0</v>
      </c>
      <c r="Y1167">
        <v>0</v>
      </c>
      <c r="Z1167">
        <v>0</v>
      </c>
      <c r="AA1167">
        <v>0</v>
      </c>
      <c r="AB1167">
        <v>0</v>
      </c>
      <c r="AC1167">
        <v>0</v>
      </c>
      <c r="AD1167">
        <v>0</v>
      </c>
      <c r="AE1167">
        <v>0</v>
      </c>
      <c r="AF1167">
        <v>0</v>
      </c>
      <c r="AG1167">
        <v>0</v>
      </c>
      <c r="AH1167">
        <v>0</v>
      </c>
      <c r="AI1167">
        <v>0</v>
      </c>
      <c r="AJ1167">
        <v>0</v>
      </c>
      <c r="AK1167">
        <v>0</v>
      </c>
      <c r="AL1167">
        <v>5</v>
      </c>
      <c r="AM1167">
        <v>0.66666666666666663</v>
      </c>
      <c r="AN1167">
        <v>14.209250279746223</v>
      </c>
    </row>
    <row r="1168" spans="1:40" x14ac:dyDescent="0.3">
      <c r="A1168" t="s">
        <v>340</v>
      </c>
      <c r="B1168" t="s">
        <v>139</v>
      </c>
      <c r="C1168" t="s">
        <v>10</v>
      </c>
      <c r="D1168" t="s">
        <v>11</v>
      </c>
      <c r="E1168">
        <v>202602</v>
      </c>
      <c r="F1168" t="s">
        <v>376</v>
      </c>
      <c r="G1168">
        <v>0</v>
      </c>
      <c r="H1168">
        <v>0</v>
      </c>
      <c r="I1168">
        <v>0</v>
      </c>
      <c r="J1168">
        <v>0</v>
      </c>
      <c r="K1168">
        <v>0</v>
      </c>
      <c r="L1168">
        <v>0</v>
      </c>
      <c r="M1168">
        <v>1</v>
      </c>
      <c r="N1168">
        <v>0</v>
      </c>
      <c r="O1168">
        <v>0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0</v>
      </c>
      <c r="AA1168">
        <v>0</v>
      </c>
      <c r="AB1168">
        <v>0</v>
      </c>
      <c r="AC1168">
        <v>0</v>
      </c>
      <c r="AD1168">
        <v>0</v>
      </c>
      <c r="AE1168">
        <v>0</v>
      </c>
      <c r="AF1168">
        <v>0</v>
      </c>
      <c r="AG1168">
        <v>0</v>
      </c>
      <c r="AH1168">
        <v>0</v>
      </c>
      <c r="AI1168">
        <v>0</v>
      </c>
      <c r="AJ1168">
        <v>0</v>
      </c>
      <c r="AK1168">
        <v>0</v>
      </c>
      <c r="AL1168">
        <v>1</v>
      </c>
      <c r="AM1168">
        <v>0</v>
      </c>
      <c r="AN1168">
        <v>1</v>
      </c>
    </row>
    <row r="1169" spans="1:40" x14ac:dyDescent="0.3">
      <c r="A1169" t="s">
        <v>340</v>
      </c>
      <c r="B1169" t="s">
        <v>139</v>
      </c>
      <c r="C1169" t="s">
        <v>10</v>
      </c>
      <c r="D1169" t="s">
        <v>11</v>
      </c>
      <c r="E1169">
        <v>202602</v>
      </c>
      <c r="F1169" t="s">
        <v>238</v>
      </c>
      <c r="G1169">
        <v>0</v>
      </c>
      <c r="H1169">
        <v>0</v>
      </c>
      <c r="I1169">
        <v>1</v>
      </c>
      <c r="J1169">
        <v>0</v>
      </c>
      <c r="K1169">
        <v>0</v>
      </c>
      <c r="L1169">
        <v>0</v>
      </c>
      <c r="M1169">
        <v>0</v>
      </c>
      <c r="N1169">
        <v>0</v>
      </c>
      <c r="O1169">
        <v>0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0</v>
      </c>
      <c r="W1169">
        <v>0</v>
      </c>
      <c r="X1169">
        <v>0</v>
      </c>
      <c r="Y1169">
        <v>0</v>
      </c>
      <c r="Z1169">
        <v>0</v>
      </c>
      <c r="AA1169">
        <v>0</v>
      </c>
      <c r="AB1169">
        <v>0</v>
      </c>
      <c r="AC1169">
        <v>0</v>
      </c>
      <c r="AD1169">
        <v>0</v>
      </c>
      <c r="AE1169">
        <v>0</v>
      </c>
      <c r="AF1169">
        <v>0</v>
      </c>
      <c r="AG1169">
        <v>0</v>
      </c>
      <c r="AH1169">
        <v>0</v>
      </c>
      <c r="AI1169">
        <v>0</v>
      </c>
      <c r="AJ1169">
        <v>0</v>
      </c>
      <c r="AK1169">
        <v>0</v>
      </c>
      <c r="AL1169">
        <v>1</v>
      </c>
      <c r="AM1169">
        <v>0</v>
      </c>
      <c r="AN1169">
        <v>1</v>
      </c>
    </row>
    <row r="1170" spans="1:40" x14ac:dyDescent="0.3">
      <c r="A1170" t="s">
        <v>340</v>
      </c>
      <c r="B1170" t="s">
        <v>139</v>
      </c>
      <c r="C1170" t="s">
        <v>10</v>
      </c>
      <c r="D1170" t="s">
        <v>14</v>
      </c>
      <c r="E1170">
        <v>202602</v>
      </c>
      <c r="F1170" t="s">
        <v>140</v>
      </c>
      <c r="G1170">
        <v>0</v>
      </c>
      <c r="H1170">
        <v>0</v>
      </c>
      <c r="I1170">
        <v>1</v>
      </c>
      <c r="J1170">
        <v>0</v>
      </c>
      <c r="K1170">
        <v>0</v>
      </c>
      <c r="L1170">
        <v>0</v>
      </c>
      <c r="M1170">
        <v>0</v>
      </c>
      <c r="N1170">
        <v>0</v>
      </c>
      <c r="O1170">
        <v>0</v>
      </c>
      <c r="P1170">
        <v>0</v>
      </c>
      <c r="Q1170">
        <v>0</v>
      </c>
      <c r="R1170">
        <v>0</v>
      </c>
      <c r="S1170">
        <v>0</v>
      </c>
      <c r="T1170">
        <v>0</v>
      </c>
      <c r="U1170">
        <v>0</v>
      </c>
      <c r="V1170">
        <v>0</v>
      </c>
      <c r="W1170">
        <v>0</v>
      </c>
      <c r="X1170">
        <v>0</v>
      </c>
      <c r="Y1170">
        <v>0</v>
      </c>
      <c r="Z1170">
        <v>0</v>
      </c>
      <c r="AA1170">
        <v>0</v>
      </c>
      <c r="AB1170">
        <v>0</v>
      </c>
      <c r="AC1170">
        <v>0</v>
      </c>
      <c r="AD1170">
        <v>0</v>
      </c>
      <c r="AE1170">
        <v>0</v>
      </c>
      <c r="AF1170">
        <v>0</v>
      </c>
      <c r="AG1170">
        <v>0</v>
      </c>
      <c r="AH1170">
        <v>0</v>
      </c>
      <c r="AI1170">
        <v>0</v>
      </c>
      <c r="AJ1170">
        <v>0</v>
      </c>
      <c r="AK1170">
        <v>0</v>
      </c>
      <c r="AL1170">
        <v>1</v>
      </c>
      <c r="AM1170">
        <v>0</v>
      </c>
      <c r="AN1170">
        <v>1</v>
      </c>
    </row>
    <row r="1171" spans="1:40" x14ac:dyDescent="0.3">
      <c r="A1171" t="s">
        <v>340</v>
      </c>
      <c r="B1171" t="s">
        <v>139</v>
      </c>
      <c r="C1171" t="s">
        <v>10</v>
      </c>
      <c r="D1171" t="s">
        <v>14</v>
      </c>
      <c r="E1171">
        <v>202602</v>
      </c>
      <c r="F1171" t="s">
        <v>368</v>
      </c>
      <c r="G1171">
        <v>1</v>
      </c>
      <c r="H1171">
        <v>3</v>
      </c>
      <c r="I1171">
        <v>3</v>
      </c>
      <c r="J1171">
        <v>2</v>
      </c>
      <c r="K1171">
        <v>3</v>
      </c>
      <c r="L1171">
        <v>3</v>
      </c>
      <c r="M1171">
        <v>2</v>
      </c>
      <c r="N1171">
        <v>0</v>
      </c>
      <c r="O1171">
        <v>4</v>
      </c>
      <c r="P1171">
        <v>7</v>
      </c>
      <c r="Q1171">
        <v>5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0</v>
      </c>
      <c r="AA1171">
        <v>0</v>
      </c>
      <c r="AB1171">
        <v>0</v>
      </c>
      <c r="AC1171">
        <v>0</v>
      </c>
      <c r="AD1171">
        <v>0</v>
      </c>
      <c r="AE1171">
        <v>0</v>
      </c>
      <c r="AF1171">
        <v>0</v>
      </c>
      <c r="AG1171">
        <v>0</v>
      </c>
      <c r="AH1171">
        <v>0</v>
      </c>
      <c r="AI1171">
        <v>0</v>
      </c>
      <c r="AJ1171">
        <v>0</v>
      </c>
      <c r="AK1171">
        <v>0</v>
      </c>
      <c r="AL1171">
        <v>33</v>
      </c>
      <c r="AM1171">
        <v>5.333333333333333</v>
      </c>
      <c r="AN1171">
        <v>97.667857142857812</v>
      </c>
    </row>
    <row r="1172" spans="1:40" x14ac:dyDescent="0.3">
      <c r="A1172" t="s">
        <v>340</v>
      </c>
      <c r="B1172" t="s">
        <v>139</v>
      </c>
      <c r="C1172" t="s">
        <v>10</v>
      </c>
      <c r="D1172" t="s">
        <v>14</v>
      </c>
      <c r="E1172">
        <v>202602</v>
      </c>
      <c r="F1172" t="s">
        <v>369</v>
      </c>
      <c r="G1172">
        <v>0</v>
      </c>
      <c r="H1172">
        <v>0</v>
      </c>
      <c r="I1172">
        <v>0</v>
      </c>
      <c r="J1172">
        <v>0</v>
      </c>
      <c r="K1172">
        <v>0</v>
      </c>
      <c r="L1172">
        <v>0</v>
      </c>
      <c r="M1172">
        <v>0</v>
      </c>
      <c r="N1172">
        <v>0</v>
      </c>
      <c r="O1172">
        <v>1</v>
      </c>
      <c r="P1172">
        <v>1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0</v>
      </c>
      <c r="AA1172">
        <v>0</v>
      </c>
      <c r="AB1172">
        <v>0</v>
      </c>
      <c r="AC1172">
        <v>0</v>
      </c>
      <c r="AD1172">
        <v>0</v>
      </c>
      <c r="AE1172">
        <v>0</v>
      </c>
      <c r="AF1172">
        <v>0</v>
      </c>
      <c r="AG1172">
        <v>0</v>
      </c>
      <c r="AH1172">
        <v>0</v>
      </c>
      <c r="AI1172">
        <v>0</v>
      </c>
      <c r="AJ1172">
        <v>0</v>
      </c>
      <c r="AK1172">
        <v>0</v>
      </c>
      <c r="AL1172">
        <v>2</v>
      </c>
      <c r="AM1172">
        <v>0.66666666666666663</v>
      </c>
      <c r="AN1172">
        <v>10.083482142857227</v>
      </c>
    </row>
    <row r="1173" spans="1:40" x14ac:dyDescent="0.3">
      <c r="A1173" t="s">
        <v>340</v>
      </c>
      <c r="B1173" t="s">
        <v>139</v>
      </c>
      <c r="C1173" t="s">
        <v>10</v>
      </c>
      <c r="D1173" t="s">
        <v>14</v>
      </c>
      <c r="E1173">
        <v>202602</v>
      </c>
      <c r="F1173" t="s">
        <v>370</v>
      </c>
      <c r="G1173">
        <v>0</v>
      </c>
      <c r="H1173">
        <v>2</v>
      </c>
      <c r="I1173">
        <v>2</v>
      </c>
      <c r="J1173">
        <v>3</v>
      </c>
      <c r="K1173">
        <v>2</v>
      </c>
      <c r="L1173">
        <v>0</v>
      </c>
      <c r="M1173">
        <v>0</v>
      </c>
      <c r="N1173">
        <v>0</v>
      </c>
      <c r="O1173">
        <v>5</v>
      </c>
      <c r="P1173">
        <v>1</v>
      </c>
      <c r="Q1173">
        <v>5</v>
      </c>
      <c r="R1173">
        <v>0</v>
      </c>
      <c r="S1173">
        <v>0</v>
      </c>
      <c r="T1173">
        <v>0</v>
      </c>
      <c r="U1173">
        <v>0</v>
      </c>
      <c r="V1173">
        <v>0</v>
      </c>
      <c r="W1173">
        <v>0</v>
      </c>
      <c r="X1173">
        <v>0</v>
      </c>
      <c r="Y1173">
        <v>0</v>
      </c>
      <c r="Z1173">
        <v>0</v>
      </c>
      <c r="AA1173">
        <v>0</v>
      </c>
      <c r="AB1173">
        <v>0</v>
      </c>
      <c r="AC1173">
        <v>0</v>
      </c>
      <c r="AD1173">
        <v>0</v>
      </c>
      <c r="AE1173">
        <v>0</v>
      </c>
      <c r="AF1173">
        <v>0</v>
      </c>
      <c r="AG1173">
        <v>0</v>
      </c>
      <c r="AH1173">
        <v>0</v>
      </c>
      <c r="AI1173">
        <v>0</v>
      </c>
      <c r="AJ1173">
        <v>0</v>
      </c>
      <c r="AK1173">
        <v>0</v>
      </c>
      <c r="AL1173">
        <v>20</v>
      </c>
      <c r="AM1173">
        <v>3.6666666666666665</v>
      </c>
      <c r="AN1173">
        <v>64.459151785714738</v>
      </c>
    </row>
    <row r="1174" spans="1:40" x14ac:dyDescent="0.3">
      <c r="A1174" t="s">
        <v>340</v>
      </c>
      <c r="B1174" t="s">
        <v>139</v>
      </c>
      <c r="C1174" t="s">
        <v>10</v>
      </c>
      <c r="D1174" t="s">
        <v>14</v>
      </c>
      <c r="E1174">
        <v>202602</v>
      </c>
      <c r="F1174" t="s">
        <v>371</v>
      </c>
      <c r="G1174">
        <v>0</v>
      </c>
      <c r="H1174">
        <v>0</v>
      </c>
      <c r="I1174">
        <v>0</v>
      </c>
      <c r="J1174">
        <v>1</v>
      </c>
      <c r="K1174">
        <v>0</v>
      </c>
      <c r="L1174">
        <v>0</v>
      </c>
      <c r="M1174">
        <v>0</v>
      </c>
      <c r="N1174">
        <v>0</v>
      </c>
      <c r="O1174">
        <v>0</v>
      </c>
      <c r="P1174">
        <v>1</v>
      </c>
      <c r="Q1174">
        <v>0</v>
      </c>
      <c r="R1174">
        <v>0</v>
      </c>
      <c r="S1174">
        <v>0</v>
      </c>
      <c r="T1174">
        <v>0</v>
      </c>
      <c r="U1174">
        <v>0</v>
      </c>
      <c r="V1174">
        <v>0</v>
      </c>
      <c r="W1174">
        <v>0</v>
      </c>
      <c r="X1174">
        <v>0</v>
      </c>
      <c r="Y1174">
        <v>0</v>
      </c>
      <c r="Z1174">
        <v>0</v>
      </c>
      <c r="AA1174">
        <v>0</v>
      </c>
      <c r="AB1174">
        <v>0</v>
      </c>
      <c r="AC1174">
        <v>0</v>
      </c>
      <c r="AD1174">
        <v>0</v>
      </c>
      <c r="AE1174">
        <v>0</v>
      </c>
      <c r="AF1174">
        <v>0</v>
      </c>
      <c r="AG1174">
        <v>0</v>
      </c>
      <c r="AH1174">
        <v>0</v>
      </c>
      <c r="AI1174">
        <v>0</v>
      </c>
      <c r="AJ1174">
        <v>0</v>
      </c>
      <c r="AK1174">
        <v>0</v>
      </c>
      <c r="AL1174">
        <v>2</v>
      </c>
      <c r="AM1174">
        <v>0.33333333333333331</v>
      </c>
      <c r="AN1174">
        <v>6.0417410714286133</v>
      </c>
    </row>
    <row r="1175" spans="1:40" x14ac:dyDescent="0.3">
      <c r="A1175" t="s">
        <v>340</v>
      </c>
      <c r="B1175" t="s">
        <v>139</v>
      </c>
      <c r="C1175" t="s">
        <v>10</v>
      </c>
      <c r="D1175" t="s">
        <v>14</v>
      </c>
      <c r="E1175">
        <v>202602</v>
      </c>
      <c r="F1175" t="s">
        <v>377</v>
      </c>
      <c r="G1175">
        <v>0</v>
      </c>
      <c r="H1175">
        <v>0</v>
      </c>
      <c r="I1175">
        <v>1</v>
      </c>
      <c r="J1175">
        <v>0</v>
      </c>
      <c r="K1175">
        <v>0</v>
      </c>
      <c r="L1175">
        <v>0</v>
      </c>
      <c r="M1175">
        <v>0</v>
      </c>
      <c r="N1175">
        <v>0</v>
      </c>
      <c r="O1175">
        <v>0</v>
      </c>
      <c r="P1175">
        <v>0</v>
      </c>
      <c r="Q1175">
        <v>0</v>
      </c>
      <c r="R1175">
        <v>0</v>
      </c>
      <c r="S1175">
        <v>0</v>
      </c>
      <c r="T1175">
        <v>0</v>
      </c>
      <c r="U1175">
        <v>0</v>
      </c>
      <c r="V1175">
        <v>0</v>
      </c>
      <c r="W1175">
        <v>0</v>
      </c>
      <c r="X1175">
        <v>0</v>
      </c>
      <c r="Y1175">
        <v>0</v>
      </c>
      <c r="Z1175">
        <v>0</v>
      </c>
      <c r="AA1175">
        <v>0</v>
      </c>
      <c r="AB1175">
        <v>0</v>
      </c>
      <c r="AC1175">
        <v>0</v>
      </c>
      <c r="AD1175">
        <v>0</v>
      </c>
      <c r="AE1175">
        <v>0</v>
      </c>
      <c r="AF1175">
        <v>0</v>
      </c>
      <c r="AG1175">
        <v>0</v>
      </c>
      <c r="AH1175">
        <v>0</v>
      </c>
      <c r="AI1175">
        <v>0</v>
      </c>
      <c r="AJ1175">
        <v>0</v>
      </c>
      <c r="AK1175">
        <v>0</v>
      </c>
      <c r="AL1175">
        <v>1</v>
      </c>
      <c r="AM1175">
        <v>0</v>
      </c>
      <c r="AN1175">
        <v>1</v>
      </c>
    </row>
    <row r="1176" spans="1:40" x14ac:dyDescent="0.3">
      <c r="A1176" t="s">
        <v>340</v>
      </c>
      <c r="B1176" t="s">
        <v>139</v>
      </c>
      <c r="C1176" t="s">
        <v>10</v>
      </c>
      <c r="D1176" t="s">
        <v>14</v>
      </c>
      <c r="E1176">
        <v>202602</v>
      </c>
      <c r="F1176" t="s">
        <v>372</v>
      </c>
      <c r="G1176">
        <v>0</v>
      </c>
      <c r="H1176">
        <v>1</v>
      </c>
      <c r="I1176">
        <v>0</v>
      </c>
      <c r="J1176">
        <v>1</v>
      </c>
      <c r="K1176">
        <v>0</v>
      </c>
      <c r="L1176">
        <v>0</v>
      </c>
      <c r="M1176">
        <v>1</v>
      </c>
      <c r="N1176">
        <v>0</v>
      </c>
      <c r="O1176">
        <v>0</v>
      </c>
      <c r="P1176">
        <v>1</v>
      </c>
      <c r="Q1176">
        <v>0</v>
      </c>
      <c r="R1176">
        <v>0</v>
      </c>
      <c r="S1176">
        <v>0</v>
      </c>
      <c r="T1176">
        <v>0</v>
      </c>
      <c r="U1176">
        <v>0</v>
      </c>
      <c r="V1176">
        <v>0</v>
      </c>
      <c r="W1176">
        <v>0</v>
      </c>
      <c r="X1176">
        <v>0</v>
      </c>
      <c r="Y1176">
        <v>0</v>
      </c>
      <c r="Z1176">
        <v>0</v>
      </c>
      <c r="AA1176">
        <v>0</v>
      </c>
      <c r="AB1176">
        <v>0</v>
      </c>
      <c r="AC1176">
        <v>0</v>
      </c>
      <c r="AD1176">
        <v>0</v>
      </c>
      <c r="AE1176">
        <v>0</v>
      </c>
      <c r="AF1176">
        <v>0</v>
      </c>
      <c r="AG1176">
        <v>0</v>
      </c>
      <c r="AH1176">
        <v>0</v>
      </c>
      <c r="AI1176">
        <v>0</v>
      </c>
      <c r="AJ1176">
        <v>0</v>
      </c>
      <c r="AK1176">
        <v>0</v>
      </c>
      <c r="AL1176">
        <v>4</v>
      </c>
      <c r="AM1176">
        <v>0.33333333333333331</v>
      </c>
      <c r="AN1176">
        <v>8.0417410714286142</v>
      </c>
    </row>
    <row r="1177" spans="1:40" x14ac:dyDescent="0.3">
      <c r="A1177" t="s">
        <v>340</v>
      </c>
      <c r="B1177" t="s">
        <v>139</v>
      </c>
      <c r="C1177" t="s">
        <v>10</v>
      </c>
      <c r="D1177" t="s">
        <v>14</v>
      </c>
      <c r="E1177">
        <v>202602</v>
      </c>
      <c r="F1177" t="s">
        <v>378</v>
      </c>
      <c r="G1177">
        <v>0</v>
      </c>
      <c r="H1177">
        <v>0</v>
      </c>
      <c r="I1177">
        <v>0</v>
      </c>
      <c r="J1177">
        <v>0</v>
      </c>
      <c r="K1177">
        <v>0</v>
      </c>
      <c r="L1177">
        <v>0</v>
      </c>
      <c r="M1177">
        <v>0</v>
      </c>
      <c r="N1177">
        <v>0</v>
      </c>
      <c r="O1177">
        <v>0</v>
      </c>
      <c r="P1177">
        <v>1</v>
      </c>
      <c r="Q1177">
        <v>0</v>
      </c>
      <c r="R1177">
        <v>0</v>
      </c>
      <c r="S1177">
        <v>0</v>
      </c>
      <c r="T1177">
        <v>0</v>
      </c>
      <c r="U1177">
        <v>0</v>
      </c>
      <c r="V1177">
        <v>0</v>
      </c>
      <c r="W1177">
        <v>0</v>
      </c>
      <c r="X1177">
        <v>0</v>
      </c>
      <c r="Y1177">
        <v>0</v>
      </c>
      <c r="Z1177">
        <v>0</v>
      </c>
      <c r="AA1177">
        <v>0</v>
      </c>
      <c r="AB1177">
        <v>0</v>
      </c>
      <c r="AC1177">
        <v>0</v>
      </c>
      <c r="AD1177">
        <v>0</v>
      </c>
      <c r="AE1177">
        <v>0</v>
      </c>
      <c r="AF1177">
        <v>0</v>
      </c>
      <c r="AG1177">
        <v>0</v>
      </c>
      <c r="AH1177">
        <v>0</v>
      </c>
      <c r="AI1177">
        <v>0</v>
      </c>
      <c r="AJ1177">
        <v>0</v>
      </c>
      <c r="AK1177">
        <v>0</v>
      </c>
      <c r="AL1177">
        <v>1</v>
      </c>
      <c r="AM1177">
        <v>0.33333333333333331</v>
      </c>
      <c r="AN1177">
        <v>5.0417410714286133</v>
      </c>
    </row>
    <row r="1178" spans="1:40" x14ac:dyDescent="0.3">
      <c r="A1178" t="s">
        <v>340</v>
      </c>
      <c r="B1178" t="s">
        <v>139</v>
      </c>
      <c r="C1178" t="s">
        <v>10</v>
      </c>
      <c r="D1178" t="s">
        <v>14</v>
      </c>
      <c r="E1178">
        <v>202602</v>
      </c>
      <c r="F1178" t="s">
        <v>373</v>
      </c>
      <c r="G1178">
        <v>0</v>
      </c>
      <c r="H1178">
        <v>0</v>
      </c>
      <c r="I1178">
        <v>0</v>
      </c>
      <c r="J1178">
        <v>0</v>
      </c>
      <c r="K1178">
        <v>1</v>
      </c>
      <c r="L1178">
        <v>0</v>
      </c>
      <c r="M1178">
        <v>0</v>
      </c>
      <c r="N1178">
        <v>0</v>
      </c>
      <c r="O1178">
        <v>1</v>
      </c>
      <c r="P1178">
        <v>1</v>
      </c>
      <c r="Q1178">
        <v>1</v>
      </c>
      <c r="R1178">
        <v>0</v>
      </c>
      <c r="S1178">
        <v>0</v>
      </c>
      <c r="T1178">
        <v>0</v>
      </c>
      <c r="U1178">
        <v>0</v>
      </c>
      <c r="V1178">
        <v>0</v>
      </c>
      <c r="W1178">
        <v>0</v>
      </c>
      <c r="X1178">
        <v>0</v>
      </c>
      <c r="Y1178">
        <v>0</v>
      </c>
      <c r="Z1178">
        <v>0</v>
      </c>
      <c r="AA1178">
        <v>0</v>
      </c>
      <c r="AB1178">
        <v>0</v>
      </c>
      <c r="AC1178">
        <v>0</v>
      </c>
      <c r="AD1178">
        <v>0</v>
      </c>
      <c r="AE1178">
        <v>0</v>
      </c>
      <c r="AF1178">
        <v>0</v>
      </c>
      <c r="AG1178">
        <v>0</v>
      </c>
      <c r="AH1178">
        <v>0</v>
      </c>
      <c r="AI1178">
        <v>0</v>
      </c>
      <c r="AJ1178">
        <v>0</v>
      </c>
      <c r="AK1178">
        <v>0</v>
      </c>
      <c r="AL1178">
        <v>4</v>
      </c>
      <c r="AM1178">
        <v>1</v>
      </c>
      <c r="AN1178">
        <v>16.125223214285839</v>
      </c>
    </row>
    <row r="1179" spans="1:40" x14ac:dyDescent="0.3">
      <c r="A1179" t="s">
        <v>340</v>
      </c>
      <c r="B1179" t="s">
        <v>139</v>
      </c>
      <c r="C1179" t="s">
        <v>10</v>
      </c>
      <c r="D1179" t="s">
        <v>14</v>
      </c>
      <c r="E1179">
        <v>202602</v>
      </c>
      <c r="F1179" t="s">
        <v>374</v>
      </c>
      <c r="G1179">
        <v>0</v>
      </c>
      <c r="H1179">
        <v>0</v>
      </c>
      <c r="I1179">
        <v>1</v>
      </c>
      <c r="J1179">
        <v>0</v>
      </c>
      <c r="K1179">
        <v>0</v>
      </c>
      <c r="L1179">
        <v>0</v>
      </c>
      <c r="M1179">
        <v>0</v>
      </c>
      <c r="N1179">
        <v>0</v>
      </c>
      <c r="O1179">
        <v>0</v>
      </c>
      <c r="P1179">
        <v>0</v>
      </c>
      <c r="Q1179">
        <v>1</v>
      </c>
      <c r="R1179">
        <v>0</v>
      </c>
      <c r="S1179">
        <v>0</v>
      </c>
      <c r="T1179">
        <v>0</v>
      </c>
      <c r="U1179">
        <v>0</v>
      </c>
      <c r="V1179">
        <v>0</v>
      </c>
      <c r="W1179">
        <v>0</v>
      </c>
      <c r="X1179">
        <v>0</v>
      </c>
      <c r="Y1179">
        <v>0</v>
      </c>
      <c r="Z1179">
        <v>0</v>
      </c>
      <c r="AA1179">
        <v>0</v>
      </c>
      <c r="AB1179">
        <v>0</v>
      </c>
      <c r="AC1179">
        <v>0</v>
      </c>
      <c r="AD1179">
        <v>0</v>
      </c>
      <c r="AE1179">
        <v>0</v>
      </c>
      <c r="AF1179">
        <v>0</v>
      </c>
      <c r="AG1179">
        <v>0</v>
      </c>
      <c r="AH1179">
        <v>0</v>
      </c>
      <c r="AI1179">
        <v>0</v>
      </c>
      <c r="AJ1179">
        <v>0</v>
      </c>
      <c r="AK1179">
        <v>0</v>
      </c>
      <c r="AL1179">
        <v>2</v>
      </c>
      <c r="AM1179">
        <v>0.33333333333333331</v>
      </c>
      <c r="AN1179">
        <v>6.0417410714286133</v>
      </c>
    </row>
    <row r="1180" spans="1:40" x14ac:dyDescent="0.3">
      <c r="A1180" t="s">
        <v>340</v>
      </c>
      <c r="B1180" t="s">
        <v>139</v>
      </c>
      <c r="C1180" t="s">
        <v>10</v>
      </c>
      <c r="D1180" t="s">
        <v>14</v>
      </c>
      <c r="E1180">
        <v>202602</v>
      </c>
      <c r="F1180" t="s">
        <v>375</v>
      </c>
      <c r="G1180">
        <v>0</v>
      </c>
      <c r="H1180">
        <v>0</v>
      </c>
      <c r="I1180">
        <v>1</v>
      </c>
      <c r="J1180">
        <v>0</v>
      </c>
      <c r="K1180">
        <v>1</v>
      </c>
      <c r="L1180">
        <v>1</v>
      </c>
      <c r="M1180">
        <v>0</v>
      </c>
      <c r="N1180">
        <v>0</v>
      </c>
      <c r="O1180">
        <v>0</v>
      </c>
      <c r="P1180">
        <v>1</v>
      </c>
      <c r="Q1180">
        <v>0</v>
      </c>
      <c r="R1180">
        <v>0</v>
      </c>
      <c r="S1180">
        <v>0</v>
      </c>
      <c r="T1180">
        <v>0</v>
      </c>
      <c r="U1180">
        <v>0</v>
      </c>
      <c r="V1180">
        <v>0</v>
      </c>
      <c r="W1180">
        <v>0</v>
      </c>
      <c r="X1180">
        <v>0</v>
      </c>
      <c r="Y1180">
        <v>0</v>
      </c>
      <c r="Z1180">
        <v>0</v>
      </c>
      <c r="AA1180">
        <v>0</v>
      </c>
      <c r="AB1180">
        <v>0</v>
      </c>
      <c r="AC1180">
        <v>0</v>
      </c>
      <c r="AD1180">
        <v>0</v>
      </c>
      <c r="AE1180">
        <v>0</v>
      </c>
      <c r="AF1180">
        <v>0</v>
      </c>
      <c r="AG1180">
        <v>0</v>
      </c>
      <c r="AH1180">
        <v>0</v>
      </c>
      <c r="AI1180">
        <v>0</v>
      </c>
      <c r="AJ1180">
        <v>0</v>
      </c>
      <c r="AK1180">
        <v>0</v>
      </c>
      <c r="AL1180">
        <v>4</v>
      </c>
      <c r="AM1180">
        <v>0.33333333333333331</v>
      </c>
      <c r="AN1180">
        <v>8.0417410714286142</v>
      </c>
    </row>
    <row r="1181" spans="1:40" x14ac:dyDescent="0.3">
      <c r="A1181" t="s">
        <v>340</v>
      </c>
      <c r="B1181" t="s">
        <v>139</v>
      </c>
      <c r="C1181" t="s">
        <v>10</v>
      </c>
      <c r="D1181" t="s">
        <v>14</v>
      </c>
      <c r="E1181">
        <v>202602</v>
      </c>
      <c r="F1181" t="s">
        <v>376</v>
      </c>
      <c r="G1181">
        <v>0</v>
      </c>
      <c r="H1181">
        <v>0</v>
      </c>
      <c r="I1181">
        <v>0</v>
      </c>
      <c r="J1181">
        <v>0</v>
      </c>
      <c r="K1181">
        <v>0</v>
      </c>
      <c r="L1181">
        <v>1</v>
      </c>
      <c r="M1181">
        <v>0</v>
      </c>
      <c r="N1181">
        <v>0</v>
      </c>
      <c r="O1181">
        <v>0</v>
      </c>
      <c r="P1181">
        <v>0</v>
      </c>
      <c r="Q1181">
        <v>0</v>
      </c>
      <c r="R1181">
        <v>0</v>
      </c>
      <c r="S1181">
        <v>0</v>
      </c>
      <c r="T1181">
        <v>0</v>
      </c>
      <c r="U1181">
        <v>0</v>
      </c>
      <c r="V1181">
        <v>0</v>
      </c>
      <c r="W1181">
        <v>0</v>
      </c>
      <c r="X1181">
        <v>0</v>
      </c>
      <c r="Y1181">
        <v>0</v>
      </c>
      <c r="Z1181">
        <v>0</v>
      </c>
      <c r="AA1181">
        <v>0</v>
      </c>
      <c r="AB1181">
        <v>0</v>
      </c>
      <c r="AC1181">
        <v>0</v>
      </c>
      <c r="AD1181">
        <v>0</v>
      </c>
      <c r="AE1181">
        <v>0</v>
      </c>
      <c r="AF1181">
        <v>0</v>
      </c>
      <c r="AG1181">
        <v>0</v>
      </c>
      <c r="AH1181">
        <v>0</v>
      </c>
      <c r="AI1181">
        <v>0</v>
      </c>
      <c r="AJ1181">
        <v>0</v>
      </c>
      <c r="AK1181">
        <v>0</v>
      </c>
      <c r="AL1181">
        <v>1</v>
      </c>
      <c r="AM1181">
        <v>0</v>
      </c>
      <c r="AN1181">
        <v>1</v>
      </c>
    </row>
    <row r="1182" spans="1:40" x14ac:dyDescent="0.3">
      <c r="A1182" t="s">
        <v>340</v>
      </c>
      <c r="B1182" t="s">
        <v>139</v>
      </c>
      <c r="C1182" t="s">
        <v>10</v>
      </c>
      <c r="D1182" t="s">
        <v>14</v>
      </c>
      <c r="E1182">
        <v>202602</v>
      </c>
      <c r="F1182" t="s">
        <v>148</v>
      </c>
      <c r="G1182">
        <v>0</v>
      </c>
      <c r="H1182">
        <v>0</v>
      </c>
      <c r="I1182">
        <v>0</v>
      </c>
      <c r="J1182">
        <v>0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1</v>
      </c>
      <c r="Q1182">
        <v>0</v>
      </c>
      <c r="R1182">
        <v>0</v>
      </c>
      <c r="S1182">
        <v>0</v>
      </c>
      <c r="T1182">
        <v>0</v>
      </c>
      <c r="U1182">
        <v>0</v>
      </c>
      <c r="V1182">
        <v>0</v>
      </c>
      <c r="W1182">
        <v>0</v>
      </c>
      <c r="X1182">
        <v>0</v>
      </c>
      <c r="Y1182">
        <v>0</v>
      </c>
      <c r="Z1182">
        <v>0</v>
      </c>
      <c r="AA1182">
        <v>0</v>
      </c>
      <c r="AB1182">
        <v>0</v>
      </c>
      <c r="AC1182">
        <v>0</v>
      </c>
      <c r="AD1182">
        <v>0</v>
      </c>
      <c r="AE1182">
        <v>0</v>
      </c>
      <c r="AF1182">
        <v>0</v>
      </c>
      <c r="AG1182">
        <v>0</v>
      </c>
      <c r="AH1182">
        <v>0</v>
      </c>
      <c r="AI1182">
        <v>0</v>
      </c>
      <c r="AJ1182">
        <v>0</v>
      </c>
      <c r="AK1182">
        <v>0</v>
      </c>
      <c r="AL1182">
        <v>1</v>
      </c>
      <c r="AM1182">
        <v>0.33333333333333331</v>
      </c>
      <c r="AN1182">
        <v>5.0417410714286133</v>
      </c>
    </row>
    <row r="1183" spans="1:40" x14ac:dyDescent="0.3">
      <c r="A1183" t="s">
        <v>340</v>
      </c>
      <c r="B1183" t="s">
        <v>139</v>
      </c>
      <c r="C1183" t="s">
        <v>10</v>
      </c>
      <c r="D1183" t="s">
        <v>14</v>
      </c>
      <c r="E1183">
        <v>202602</v>
      </c>
      <c r="F1183" t="s">
        <v>379</v>
      </c>
      <c r="G1183">
        <v>0</v>
      </c>
      <c r="H1183">
        <v>0</v>
      </c>
      <c r="I1183">
        <v>0</v>
      </c>
      <c r="J1183">
        <v>0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1</v>
      </c>
      <c r="Q1183">
        <v>0</v>
      </c>
      <c r="R1183">
        <v>0</v>
      </c>
      <c r="S1183">
        <v>0</v>
      </c>
      <c r="T1183">
        <v>0</v>
      </c>
      <c r="U1183">
        <v>0</v>
      </c>
      <c r="V1183">
        <v>0</v>
      </c>
      <c r="W1183">
        <v>0</v>
      </c>
      <c r="X1183">
        <v>0</v>
      </c>
      <c r="Y1183">
        <v>0</v>
      </c>
      <c r="Z1183">
        <v>0</v>
      </c>
      <c r="AA1183">
        <v>0</v>
      </c>
      <c r="AB1183">
        <v>0</v>
      </c>
      <c r="AC1183">
        <v>0</v>
      </c>
      <c r="AD1183">
        <v>0</v>
      </c>
      <c r="AE1183">
        <v>0</v>
      </c>
      <c r="AF1183">
        <v>0</v>
      </c>
      <c r="AG1183">
        <v>0</v>
      </c>
      <c r="AH1183">
        <v>0</v>
      </c>
      <c r="AI1183">
        <v>0</v>
      </c>
      <c r="AJ1183">
        <v>0</v>
      </c>
      <c r="AK1183">
        <v>0</v>
      </c>
      <c r="AL1183">
        <v>1</v>
      </c>
      <c r="AM1183">
        <v>0.33333333333333331</v>
      </c>
      <c r="AN1183">
        <v>5.0417410714286133</v>
      </c>
    </row>
    <row r="1184" spans="1:40" x14ac:dyDescent="0.3">
      <c r="A1184" t="s">
        <v>340</v>
      </c>
      <c r="B1184" t="s">
        <v>164</v>
      </c>
      <c r="C1184" t="s">
        <v>10</v>
      </c>
      <c r="D1184" t="s">
        <v>11</v>
      </c>
      <c r="E1184">
        <v>202602</v>
      </c>
      <c r="F1184" t="s">
        <v>18</v>
      </c>
      <c r="G1184">
        <v>0</v>
      </c>
      <c r="H1184">
        <v>0</v>
      </c>
      <c r="I1184">
        <v>0</v>
      </c>
      <c r="J1184">
        <v>10</v>
      </c>
      <c r="K1184">
        <v>5</v>
      </c>
      <c r="L1184">
        <v>5</v>
      </c>
      <c r="M1184">
        <v>1</v>
      </c>
      <c r="N1184">
        <v>1</v>
      </c>
      <c r="O1184">
        <v>5</v>
      </c>
      <c r="P1184">
        <v>3</v>
      </c>
      <c r="Q1184">
        <v>0</v>
      </c>
      <c r="R1184">
        <v>0</v>
      </c>
      <c r="S1184">
        <v>0</v>
      </c>
      <c r="T1184">
        <v>0</v>
      </c>
      <c r="U1184">
        <v>0</v>
      </c>
      <c r="V1184">
        <v>0</v>
      </c>
      <c r="W1184">
        <v>0</v>
      </c>
      <c r="X1184">
        <v>0</v>
      </c>
      <c r="Y1184">
        <v>0</v>
      </c>
      <c r="Z1184">
        <v>0</v>
      </c>
      <c r="AA1184">
        <v>0</v>
      </c>
      <c r="AB1184">
        <v>0</v>
      </c>
      <c r="AC1184">
        <v>0</v>
      </c>
      <c r="AD1184">
        <v>0</v>
      </c>
      <c r="AE1184">
        <v>0</v>
      </c>
      <c r="AF1184">
        <v>0</v>
      </c>
      <c r="AG1184">
        <v>0</v>
      </c>
      <c r="AH1184">
        <v>0</v>
      </c>
      <c r="AI1184">
        <v>0</v>
      </c>
      <c r="AJ1184">
        <v>0</v>
      </c>
      <c r="AK1184">
        <v>0</v>
      </c>
      <c r="AL1184">
        <v>30</v>
      </c>
      <c r="AM1184">
        <v>2.6666666666666665</v>
      </c>
      <c r="AN1184">
        <v>66.837001118984887</v>
      </c>
    </row>
    <row r="1185" spans="1:40" x14ac:dyDescent="0.3">
      <c r="A1185" t="s">
        <v>340</v>
      </c>
      <c r="B1185" t="s">
        <v>164</v>
      </c>
      <c r="C1185" t="s">
        <v>10</v>
      </c>
      <c r="D1185" t="s">
        <v>11</v>
      </c>
      <c r="E1185">
        <v>202602</v>
      </c>
      <c r="F1185" t="s">
        <v>138</v>
      </c>
      <c r="G1185">
        <v>0</v>
      </c>
      <c r="H1185">
        <v>0</v>
      </c>
      <c r="I1185">
        <v>4</v>
      </c>
      <c r="J1185">
        <v>3</v>
      </c>
      <c r="K1185">
        <v>2</v>
      </c>
      <c r="L1185">
        <v>5</v>
      </c>
      <c r="M1185">
        <v>1</v>
      </c>
      <c r="N1185">
        <v>0</v>
      </c>
      <c r="O1185">
        <v>2</v>
      </c>
      <c r="P1185">
        <v>1</v>
      </c>
      <c r="Q1185">
        <v>2</v>
      </c>
      <c r="R1185">
        <v>0</v>
      </c>
      <c r="S1185">
        <v>0</v>
      </c>
      <c r="T1185">
        <v>0</v>
      </c>
      <c r="U1185">
        <v>0</v>
      </c>
      <c r="V1185">
        <v>0</v>
      </c>
      <c r="W1185">
        <v>0</v>
      </c>
      <c r="X1185">
        <v>0</v>
      </c>
      <c r="Y1185">
        <v>0</v>
      </c>
      <c r="Z1185">
        <v>0</v>
      </c>
      <c r="AA1185">
        <v>0</v>
      </c>
      <c r="AB1185">
        <v>0</v>
      </c>
      <c r="AC1185">
        <v>0</v>
      </c>
      <c r="AD1185">
        <v>0</v>
      </c>
      <c r="AE1185">
        <v>0</v>
      </c>
      <c r="AF1185">
        <v>0</v>
      </c>
      <c r="AG1185">
        <v>0</v>
      </c>
      <c r="AH1185">
        <v>0</v>
      </c>
      <c r="AI1185">
        <v>0</v>
      </c>
      <c r="AJ1185">
        <v>0</v>
      </c>
      <c r="AK1185">
        <v>0</v>
      </c>
      <c r="AL1185">
        <v>20</v>
      </c>
      <c r="AM1185">
        <v>1.6666666666666667</v>
      </c>
      <c r="AN1185">
        <v>43.023125699365558</v>
      </c>
    </row>
    <row r="1186" spans="1:40" x14ac:dyDescent="0.3">
      <c r="A1186" t="s">
        <v>340</v>
      </c>
      <c r="B1186" t="s">
        <v>164</v>
      </c>
      <c r="C1186" t="s">
        <v>10</v>
      </c>
      <c r="D1186" t="s">
        <v>14</v>
      </c>
      <c r="E1186">
        <v>202602</v>
      </c>
      <c r="F1186" t="s">
        <v>18</v>
      </c>
      <c r="G1186">
        <v>3</v>
      </c>
      <c r="H1186">
        <v>2</v>
      </c>
      <c r="I1186">
        <v>8</v>
      </c>
      <c r="J1186">
        <v>5</v>
      </c>
      <c r="K1186">
        <v>3</v>
      </c>
      <c r="L1186">
        <v>4</v>
      </c>
      <c r="M1186">
        <v>1</v>
      </c>
      <c r="N1186">
        <v>1</v>
      </c>
      <c r="O1186">
        <v>4</v>
      </c>
      <c r="P1186">
        <v>4</v>
      </c>
      <c r="Q1186">
        <v>3</v>
      </c>
      <c r="R1186">
        <v>0</v>
      </c>
      <c r="S1186">
        <v>0</v>
      </c>
      <c r="T1186">
        <v>0</v>
      </c>
      <c r="U1186">
        <v>0</v>
      </c>
      <c r="V1186">
        <v>0</v>
      </c>
      <c r="W1186">
        <v>0</v>
      </c>
      <c r="X1186">
        <v>0</v>
      </c>
      <c r="Y1186">
        <v>0</v>
      </c>
      <c r="Z1186">
        <v>0</v>
      </c>
      <c r="AA1186">
        <v>0</v>
      </c>
      <c r="AB1186">
        <v>0</v>
      </c>
      <c r="AC1186">
        <v>0</v>
      </c>
      <c r="AD1186">
        <v>0</v>
      </c>
      <c r="AE1186">
        <v>0</v>
      </c>
      <c r="AF1186">
        <v>0</v>
      </c>
      <c r="AG1186">
        <v>0</v>
      </c>
      <c r="AH1186">
        <v>0</v>
      </c>
      <c r="AI1186">
        <v>0</v>
      </c>
      <c r="AJ1186">
        <v>0</v>
      </c>
      <c r="AK1186">
        <v>0</v>
      </c>
      <c r="AL1186">
        <v>38</v>
      </c>
      <c r="AM1186">
        <v>3.6666666666666665</v>
      </c>
      <c r="AN1186">
        <v>82.459151785714738</v>
      </c>
    </row>
    <row r="1187" spans="1:40" x14ac:dyDescent="0.3">
      <c r="A1187" t="s">
        <v>340</v>
      </c>
      <c r="B1187" t="s">
        <v>164</v>
      </c>
      <c r="C1187" t="s">
        <v>10</v>
      </c>
      <c r="D1187" t="s">
        <v>14</v>
      </c>
      <c r="E1187">
        <v>202602</v>
      </c>
      <c r="F1187" t="s">
        <v>138</v>
      </c>
      <c r="G1187">
        <v>0</v>
      </c>
      <c r="H1187">
        <v>5</v>
      </c>
      <c r="I1187">
        <v>6</v>
      </c>
      <c r="J1187">
        <v>3</v>
      </c>
      <c r="K1187">
        <v>9</v>
      </c>
      <c r="L1187">
        <v>3</v>
      </c>
      <c r="M1187">
        <v>0</v>
      </c>
      <c r="N1187">
        <v>0</v>
      </c>
      <c r="O1187">
        <v>3</v>
      </c>
      <c r="P1187">
        <v>4</v>
      </c>
      <c r="Q1187">
        <v>2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0</v>
      </c>
      <c r="X1187">
        <v>0</v>
      </c>
      <c r="Y1187">
        <v>0</v>
      </c>
      <c r="Z1187">
        <v>0</v>
      </c>
      <c r="AA1187">
        <v>0</v>
      </c>
      <c r="AB1187">
        <v>0</v>
      </c>
      <c r="AC1187">
        <v>0</v>
      </c>
      <c r="AD1187">
        <v>0</v>
      </c>
      <c r="AE1187">
        <v>0</v>
      </c>
      <c r="AF1187">
        <v>0</v>
      </c>
      <c r="AG1187">
        <v>0</v>
      </c>
      <c r="AH1187">
        <v>0</v>
      </c>
      <c r="AI1187">
        <v>0</v>
      </c>
      <c r="AJ1187">
        <v>0</v>
      </c>
      <c r="AK1187">
        <v>0</v>
      </c>
      <c r="AL1187">
        <v>35</v>
      </c>
      <c r="AM1187">
        <v>3</v>
      </c>
      <c r="AN1187">
        <v>71.375669642857517</v>
      </c>
    </row>
    <row r="1188" spans="1:40" x14ac:dyDescent="0.3">
      <c r="A1188" t="s">
        <v>340</v>
      </c>
      <c r="B1188" t="s">
        <v>164</v>
      </c>
      <c r="C1188" t="s">
        <v>16</v>
      </c>
      <c r="D1188" t="s">
        <v>11</v>
      </c>
      <c r="E1188">
        <v>202602</v>
      </c>
      <c r="F1188" t="s">
        <v>18</v>
      </c>
      <c r="G1188">
        <v>0</v>
      </c>
      <c r="H1188">
        <v>0</v>
      </c>
      <c r="I1188">
        <v>1</v>
      </c>
      <c r="J1188">
        <v>0</v>
      </c>
      <c r="K1188">
        <v>0</v>
      </c>
      <c r="L1188">
        <v>0</v>
      </c>
      <c r="M1188">
        <v>0</v>
      </c>
      <c r="N1188">
        <v>0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0</v>
      </c>
      <c r="U1188">
        <v>0</v>
      </c>
      <c r="V1188">
        <v>0</v>
      </c>
      <c r="W1188">
        <v>0</v>
      </c>
      <c r="X1188">
        <v>0</v>
      </c>
      <c r="Y1188">
        <v>0</v>
      </c>
      <c r="Z1188">
        <v>0</v>
      </c>
      <c r="AA1188">
        <v>0</v>
      </c>
      <c r="AB1188">
        <v>0</v>
      </c>
      <c r="AC1188">
        <v>0</v>
      </c>
      <c r="AD1188">
        <v>0</v>
      </c>
      <c r="AE1188">
        <v>0</v>
      </c>
      <c r="AF1188">
        <v>0</v>
      </c>
      <c r="AG1188">
        <v>0</v>
      </c>
      <c r="AH1188">
        <v>0</v>
      </c>
      <c r="AI1188">
        <v>0</v>
      </c>
      <c r="AJ1188">
        <v>0</v>
      </c>
      <c r="AK1188">
        <v>0</v>
      </c>
      <c r="AL1188">
        <v>1</v>
      </c>
      <c r="AM1188">
        <v>0</v>
      </c>
      <c r="AN1188">
        <v>1</v>
      </c>
    </row>
    <row r="1189" spans="1:40" x14ac:dyDescent="0.3">
      <c r="A1189" t="s">
        <v>340</v>
      </c>
      <c r="B1189" t="s">
        <v>164</v>
      </c>
      <c r="C1189" t="s">
        <v>16</v>
      </c>
      <c r="D1189" t="s">
        <v>11</v>
      </c>
      <c r="E1189">
        <v>202602</v>
      </c>
      <c r="F1189" t="s">
        <v>138</v>
      </c>
      <c r="G1189">
        <v>0</v>
      </c>
      <c r="H1189">
        <v>0</v>
      </c>
      <c r="I1189">
        <v>0</v>
      </c>
      <c r="J1189">
        <v>0</v>
      </c>
      <c r="K1189">
        <v>0</v>
      </c>
      <c r="L1189">
        <v>0</v>
      </c>
      <c r="M1189">
        <v>0</v>
      </c>
      <c r="N1189">
        <v>0</v>
      </c>
      <c r="O1189">
        <v>0</v>
      </c>
      <c r="P1189">
        <v>0</v>
      </c>
      <c r="Q1189">
        <v>1</v>
      </c>
      <c r="R1189">
        <v>0</v>
      </c>
      <c r="S1189">
        <v>0</v>
      </c>
      <c r="T1189">
        <v>0</v>
      </c>
      <c r="U1189">
        <v>0</v>
      </c>
      <c r="V1189">
        <v>0</v>
      </c>
      <c r="W1189">
        <v>0</v>
      </c>
      <c r="X1189">
        <v>0</v>
      </c>
      <c r="Y1189">
        <v>0</v>
      </c>
      <c r="Z1189">
        <v>0</v>
      </c>
      <c r="AA1189">
        <v>0</v>
      </c>
      <c r="AB1189">
        <v>0</v>
      </c>
      <c r="AC1189">
        <v>0</v>
      </c>
      <c r="AD1189">
        <v>0</v>
      </c>
      <c r="AE1189">
        <v>0</v>
      </c>
      <c r="AF1189">
        <v>0</v>
      </c>
      <c r="AG1189">
        <v>0</v>
      </c>
      <c r="AH1189">
        <v>0</v>
      </c>
      <c r="AI1189">
        <v>0</v>
      </c>
      <c r="AJ1189">
        <v>0</v>
      </c>
      <c r="AK1189">
        <v>0</v>
      </c>
      <c r="AL1189">
        <v>1</v>
      </c>
      <c r="AM1189">
        <v>0.33333333333333331</v>
      </c>
      <c r="AN1189">
        <v>5.6046251398731117</v>
      </c>
    </row>
    <row r="1190" spans="1:40" x14ac:dyDescent="0.3">
      <c r="A1190" t="s">
        <v>340</v>
      </c>
      <c r="B1190" t="s">
        <v>164</v>
      </c>
      <c r="C1190" t="s">
        <v>16</v>
      </c>
      <c r="D1190" t="s">
        <v>14</v>
      </c>
      <c r="E1190">
        <v>202602</v>
      </c>
      <c r="F1190" t="s">
        <v>18</v>
      </c>
      <c r="G1190">
        <v>0</v>
      </c>
      <c r="H1190">
        <v>2</v>
      </c>
      <c r="I1190">
        <v>0</v>
      </c>
      <c r="J1190">
        <v>0</v>
      </c>
      <c r="K1190">
        <v>0</v>
      </c>
      <c r="L1190">
        <v>0</v>
      </c>
      <c r="M1190">
        <v>0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0</v>
      </c>
      <c r="X1190">
        <v>0</v>
      </c>
      <c r="Y1190">
        <v>0</v>
      </c>
      <c r="Z1190">
        <v>0</v>
      </c>
      <c r="AA1190">
        <v>0</v>
      </c>
      <c r="AB1190">
        <v>0</v>
      </c>
      <c r="AC1190">
        <v>0</v>
      </c>
      <c r="AD1190">
        <v>0</v>
      </c>
      <c r="AE1190">
        <v>0</v>
      </c>
      <c r="AF1190">
        <v>0</v>
      </c>
      <c r="AG1190">
        <v>0</v>
      </c>
      <c r="AH1190">
        <v>0</v>
      </c>
      <c r="AI1190">
        <v>0</v>
      </c>
      <c r="AJ1190">
        <v>0</v>
      </c>
      <c r="AK1190">
        <v>0</v>
      </c>
      <c r="AL1190">
        <v>2</v>
      </c>
      <c r="AM1190">
        <v>0</v>
      </c>
      <c r="AN1190">
        <v>2</v>
      </c>
    </row>
    <row r="1191" spans="1:40" x14ac:dyDescent="0.3">
      <c r="A1191" t="s">
        <v>340</v>
      </c>
      <c r="B1191" t="s">
        <v>164</v>
      </c>
      <c r="C1191" t="s">
        <v>16</v>
      </c>
      <c r="D1191" t="s">
        <v>14</v>
      </c>
      <c r="E1191">
        <v>202602</v>
      </c>
      <c r="F1191" t="s">
        <v>138</v>
      </c>
      <c r="G1191">
        <v>0</v>
      </c>
      <c r="H1191">
        <v>0</v>
      </c>
      <c r="I1191">
        <v>1</v>
      </c>
      <c r="J1191">
        <v>0</v>
      </c>
      <c r="K1191">
        <v>0</v>
      </c>
      <c r="L1191">
        <v>0</v>
      </c>
      <c r="M1191">
        <v>0</v>
      </c>
      <c r="N1191">
        <v>0</v>
      </c>
      <c r="O1191">
        <v>2</v>
      </c>
      <c r="P1191">
        <v>1</v>
      </c>
      <c r="Q1191">
        <v>0</v>
      </c>
      <c r="R1191">
        <v>0</v>
      </c>
      <c r="S1191">
        <v>0</v>
      </c>
      <c r="T1191">
        <v>0</v>
      </c>
      <c r="U1191">
        <v>0</v>
      </c>
      <c r="V1191">
        <v>0</v>
      </c>
      <c r="W1191">
        <v>0</v>
      </c>
      <c r="X1191">
        <v>0</v>
      </c>
      <c r="Y1191">
        <v>0</v>
      </c>
      <c r="Z1191">
        <v>0</v>
      </c>
      <c r="AA1191">
        <v>0</v>
      </c>
      <c r="AB1191">
        <v>0</v>
      </c>
      <c r="AC1191">
        <v>0</v>
      </c>
      <c r="AD1191">
        <v>0</v>
      </c>
      <c r="AE1191">
        <v>0</v>
      </c>
      <c r="AF1191">
        <v>0</v>
      </c>
      <c r="AG1191">
        <v>0</v>
      </c>
      <c r="AH1191">
        <v>0</v>
      </c>
      <c r="AI1191">
        <v>0</v>
      </c>
      <c r="AJ1191">
        <v>0</v>
      </c>
      <c r="AK1191">
        <v>0</v>
      </c>
      <c r="AL1191">
        <v>4</v>
      </c>
      <c r="AM1191">
        <v>1</v>
      </c>
      <c r="AN1191">
        <v>16.125223214285839</v>
      </c>
    </row>
    <row r="1192" spans="1:40" x14ac:dyDescent="0.3">
      <c r="A1192" t="s">
        <v>340</v>
      </c>
      <c r="B1192" t="s">
        <v>168</v>
      </c>
      <c r="C1192" t="s">
        <v>10</v>
      </c>
      <c r="D1192" t="s">
        <v>14</v>
      </c>
      <c r="E1192">
        <v>202602</v>
      </c>
      <c r="F1192" t="s">
        <v>324</v>
      </c>
      <c r="G1192">
        <v>0</v>
      </c>
      <c r="H1192">
        <v>0</v>
      </c>
      <c r="I1192">
        <v>0</v>
      </c>
      <c r="J1192">
        <v>0</v>
      </c>
      <c r="K1192">
        <v>0</v>
      </c>
      <c r="L1192">
        <v>0</v>
      </c>
      <c r="M1192">
        <v>0</v>
      </c>
      <c r="N1192">
        <v>0</v>
      </c>
      <c r="O1192">
        <v>0</v>
      </c>
      <c r="P1192">
        <v>0</v>
      </c>
      <c r="Q1192">
        <v>1</v>
      </c>
      <c r="R1192">
        <v>0</v>
      </c>
      <c r="S1192">
        <v>0</v>
      </c>
      <c r="T1192">
        <v>0</v>
      </c>
      <c r="U1192">
        <v>0</v>
      </c>
      <c r="V1192">
        <v>0</v>
      </c>
      <c r="W1192">
        <v>0</v>
      </c>
      <c r="X1192">
        <v>0</v>
      </c>
      <c r="Y1192">
        <v>0</v>
      </c>
      <c r="Z1192">
        <v>0</v>
      </c>
      <c r="AA1192">
        <v>0</v>
      </c>
      <c r="AB1192">
        <v>0</v>
      </c>
      <c r="AC1192">
        <v>0</v>
      </c>
      <c r="AD1192">
        <v>0</v>
      </c>
      <c r="AE1192">
        <v>0</v>
      </c>
      <c r="AF1192">
        <v>0</v>
      </c>
      <c r="AG1192">
        <v>0</v>
      </c>
      <c r="AH1192">
        <v>0</v>
      </c>
      <c r="AI1192">
        <v>0</v>
      </c>
      <c r="AJ1192">
        <v>0</v>
      </c>
      <c r="AK1192">
        <v>0</v>
      </c>
      <c r="AL1192">
        <v>1</v>
      </c>
      <c r="AM1192">
        <v>0.33333333333333331</v>
      </c>
      <c r="AN1192">
        <v>5.0417410714286133</v>
      </c>
    </row>
    <row r="1193" spans="1:40" x14ac:dyDescent="0.3">
      <c r="A1193" t="s">
        <v>340</v>
      </c>
      <c r="B1193" t="s">
        <v>170</v>
      </c>
      <c r="C1193" t="s">
        <v>10</v>
      </c>
      <c r="D1193" t="s">
        <v>11</v>
      </c>
      <c r="E1193">
        <v>202602</v>
      </c>
      <c r="F1193" t="s">
        <v>50</v>
      </c>
      <c r="G1193">
        <v>0</v>
      </c>
      <c r="H1193">
        <v>1</v>
      </c>
      <c r="I1193">
        <v>0</v>
      </c>
      <c r="J1193">
        <v>0</v>
      </c>
      <c r="K1193">
        <v>0</v>
      </c>
      <c r="L1193">
        <v>0</v>
      </c>
      <c r="M1193">
        <v>0</v>
      </c>
      <c r="N1193">
        <v>0</v>
      </c>
      <c r="O1193">
        <v>1</v>
      </c>
      <c r="P1193">
        <v>0</v>
      </c>
      <c r="Q1193">
        <v>0</v>
      </c>
      <c r="R1193">
        <v>0</v>
      </c>
      <c r="S1193">
        <v>0</v>
      </c>
      <c r="T1193">
        <v>0</v>
      </c>
      <c r="U1193">
        <v>0</v>
      </c>
      <c r="V1193">
        <v>0</v>
      </c>
      <c r="W1193">
        <v>0</v>
      </c>
      <c r="X1193">
        <v>0</v>
      </c>
      <c r="Y1193">
        <v>0</v>
      </c>
      <c r="Z1193">
        <v>0</v>
      </c>
      <c r="AA1193">
        <v>0</v>
      </c>
      <c r="AB1193">
        <v>0</v>
      </c>
      <c r="AC1193">
        <v>0</v>
      </c>
      <c r="AD1193">
        <v>0</v>
      </c>
      <c r="AE1193">
        <v>0</v>
      </c>
      <c r="AF1193">
        <v>0</v>
      </c>
      <c r="AG1193">
        <v>0</v>
      </c>
      <c r="AH1193">
        <v>0</v>
      </c>
      <c r="AI1193">
        <v>0</v>
      </c>
      <c r="AJ1193">
        <v>0</v>
      </c>
      <c r="AK1193">
        <v>0</v>
      </c>
      <c r="AL1193">
        <v>2</v>
      </c>
      <c r="AM1193">
        <v>0.33333333333333331</v>
      </c>
      <c r="AN1193">
        <v>6.6046251398731117</v>
      </c>
    </row>
    <row r="1194" spans="1:40" x14ac:dyDescent="0.3">
      <c r="A1194" t="s">
        <v>340</v>
      </c>
      <c r="B1194" t="s">
        <v>170</v>
      </c>
      <c r="C1194" t="s">
        <v>10</v>
      </c>
      <c r="D1194" t="s">
        <v>14</v>
      </c>
      <c r="E1194">
        <v>202602</v>
      </c>
      <c r="F1194" t="s">
        <v>50</v>
      </c>
      <c r="G1194">
        <v>0</v>
      </c>
      <c r="H1194">
        <v>0</v>
      </c>
      <c r="I1194">
        <v>1</v>
      </c>
      <c r="J1194">
        <v>0</v>
      </c>
      <c r="K1194">
        <v>1</v>
      </c>
      <c r="L1194">
        <v>0</v>
      </c>
      <c r="M1194">
        <v>0</v>
      </c>
      <c r="N1194">
        <v>0</v>
      </c>
      <c r="O1194">
        <v>0</v>
      </c>
      <c r="P1194">
        <v>1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0</v>
      </c>
      <c r="W1194">
        <v>0</v>
      </c>
      <c r="X1194">
        <v>0</v>
      </c>
      <c r="Y1194">
        <v>0</v>
      </c>
      <c r="Z1194">
        <v>0</v>
      </c>
      <c r="AA1194">
        <v>0</v>
      </c>
      <c r="AB1194">
        <v>0</v>
      </c>
      <c r="AC1194">
        <v>0</v>
      </c>
      <c r="AD1194">
        <v>0</v>
      </c>
      <c r="AE1194">
        <v>0</v>
      </c>
      <c r="AF1194">
        <v>0</v>
      </c>
      <c r="AG1194">
        <v>0</v>
      </c>
      <c r="AH1194">
        <v>0</v>
      </c>
      <c r="AI1194">
        <v>0</v>
      </c>
      <c r="AJ1194">
        <v>0</v>
      </c>
      <c r="AK1194">
        <v>0</v>
      </c>
      <c r="AL1194">
        <v>3</v>
      </c>
      <c r="AM1194">
        <v>0.33333333333333331</v>
      </c>
      <c r="AN1194">
        <v>7.0417410714286133</v>
      </c>
    </row>
    <row r="1195" spans="1:40" x14ac:dyDescent="0.3">
      <c r="A1195" t="s">
        <v>340</v>
      </c>
      <c r="B1195" t="s">
        <v>380</v>
      </c>
      <c r="C1195" t="s">
        <v>10</v>
      </c>
      <c r="D1195" t="s">
        <v>11</v>
      </c>
      <c r="E1195">
        <v>202602</v>
      </c>
      <c r="F1195" t="s">
        <v>367</v>
      </c>
      <c r="G1195">
        <v>0</v>
      </c>
      <c r="H1195">
        <v>0</v>
      </c>
      <c r="I1195">
        <v>0</v>
      </c>
      <c r="J1195">
        <v>0</v>
      </c>
      <c r="K1195">
        <v>0</v>
      </c>
      <c r="L1195">
        <v>0</v>
      </c>
      <c r="M1195">
        <v>0</v>
      </c>
      <c r="N1195">
        <v>0</v>
      </c>
      <c r="O1195">
        <v>1</v>
      </c>
      <c r="P1195">
        <v>0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0</v>
      </c>
      <c r="AA1195">
        <v>0</v>
      </c>
      <c r="AB1195">
        <v>0</v>
      </c>
      <c r="AC1195">
        <v>0</v>
      </c>
      <c r="AD1195">
        <v>0</v>
      </c>
      <c r="AE1195">
        <v>0</v>
      </c>
      <c r="AF1195">
        <v>0</v>
      </c>
      <c r="AG1195">
        <v>0</v>
      </c>
      <c r="AH1195">
        <v>0</v>
      </c>
      <c r="AI1195">
        <v>0</v>
      </c>
      <c r="AJ1195">
        <v>0</v>
      </c>
      <c r="AK1195">
        <v>0</v>
      </c>
      <c r="AL1195">
        <v>1</v>
      </c>
      <c r="AM1195">
        <v>0.33333333333333331</v>
      </c>
      <c r="AN1195">
        <v>5.6046251398731117</v>
      </c>
    </row>
    <row r="1196" spans="1:40" x14ac:dyDescent="0.3">
      <c r="A1196" t="s">
        <v>340</v>
      </c>
      <c r="B1196" t="s">
        <v>380</v>
      </c>
      <c r="C1196" t="s">
        <v>10</v>
      </c>
      <c r="D1196" t="s">
        <v>14</v>
      </c>
      <c r="E1196">
        <v>202602</v>
      </c>
      <c r="F1196" t="s">
        <v>367</v>
      </c>
      <c r="G1196">
        <v>0</v>
      </c>
      <c r="H1196">
        <v>0</v>
      </c>
      <c r="I1196">
        <v>0</v>
      </c>
      <c r="J1196">
        <v>1</v>
      </c>
      <c r="K1196">
        <v>0</v>
      </c>
      <c r="L1196">
        <v>0</v>
      </c>
      <c r="M1196">
        <v>0</v>
      </c>
      <c r="N1196">
        <v>0</v>
      </c>
      <c r="O1196">
        <v>0</v>
      </c>
      <c r="P1196">
        <v>0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0</v>
      </c>
      <c r="W1196">
        <v>0</v>
      </c>
      <c r="X1196">
        <v>0</v>
      </c>
      <c r="Y1196">
        <v>0</v>
      </c>
      <c r="Z1196">
        <v>0</v>
      </c>
      <c r="AA1196">
        <v>0</v>
      </c>
      <c r="AB1196">
        <v>0</v>
      </c>
      <c r="AC1196">
        <v>0</v>
      </c>
      <c r="AD1196">
        <v>0</v>
      </c>
      <c r="AE1196">
        <v>0</v>
      </c>
      <c r="AF1196">
        <v>0</v>
      </c>
      <c r="AG1196">
        <v>0</v>
      </c>
      <c r="AH1196">
        <v>0</v>
      </c>
      <c r="AI1196">
        <v>0</v>
      </c>
      <c r="AJ1196">
        <v>0</v>
      </c>
      <c r="AK1196">
        <v>0</v>
      </c>
      <c r="AL1196">
        <v>1</v>
      </c>
      <c r="AM1196">
        <v>0</v>
      </c>
      <c r="AN1196">
        <v>1</v>
      </c>
    </row>
    <row r="1197" spans="1:40" x14ac:dyDescent="0.3">
      <c r="A1197" t="s">
        <v>340</v>
      </c>
      <c r="B1197" t="s">
        <v>171</v>
      </c>
      <c r="C1197" t="s">
        <v>10</v>
      </c>
      <c r="D1197" t="s">
        <v>11</v>
      </c>
      <c r="E1197">
        <v>202602</v>
      </c>
      <c r="F1197" t="s">
        <v>172</v>
      </c>
      <c r="G1197">
        <v>0</v>
      </c>
      <c r="H1197">
        <v>0</v>
      </c>
      <c r="I1197">
        <v>0</v>
      </c>
      <c r="J1197">
        <v>3</v>
      </c>
      <c r="K1197">
        <v>2</v>
      </c>
      <c r="L1197">
        <v>2</v>
      </c>
      <c r="M1197">
        <v>0</v>
      </c>
      <c r="N1197">
        <v>0</v>
      </c>
      <c r="O1197">
        <v>3</v>
      </c>
      <c r="P1197">
        <v>3</v>
      </c>
      <c r="Q1197">
        <v>1</v>
      </c>
      <c r="R1197">
        <v>0</v>
      </c>
      <c r="S1197">
        <v>0</v>
      </c>
      <c r="T1197">
        <v>0</v>
      </c>
      <c r="U1197">
        <v>0</v>
      </c>
      <c r="V1197">
        <v>0</v>
      </c>
      <c r="W1197">
        <v>0</v>
      </c>
      <c r="X1197">
        <v>0</v>
      </c>
      <c r="Y1197">
        <v>0</v>
      </c>
      <c r="Z1197">
        <v>0</v>
      </c>
      <c r="AA1197">
        <v>0</v>
      </c>
      <c r="AB1197">
        <v>0</v>
      </c>
      <c r="AC1197">
        <v>0</v>
      </c>
      <c r="AD1197">
        <v>0</v>
      </c>
      <c r="AE1197">
        <v>0</v>
      </c>
      <c r="AF1197">
        <v>0</v>
      </c>
      <c r="AG1197">
        <v>0</v>
      </c>
      <c r="AH1197">
        <v>0</v>
      </c>
      <c r="AI1197">
        <v>0</v>
      </c>
      <c r="AJ1197">
        <v>0</v>
      </c>
      <c r="AK1197">
        <v>0</v>
      </c>
      <c r="AL1197">
        <v>14</v>
      </c>
      <c r="AM1197">
        <v>2.3333333333333335</v>
      </c>
      <c r="AN1197">
        <v>46.232375979111779</v>
      </c>
    </row>
    <row r="1198" spans="1:40" x14ac:dyDescent="0.3">
      <c r="A1198" t="s">
        <v>340</v>
      </c>
      <c r="B1198" t="s">
        <v>171</v>
      </c>
      <c r="C1198" t="s">
        <v>10</v>
      </c>
      <c r="D1198" t="s">
        <v>14</v>
      </c>
      <c r="E1198">
        <v>202602</v>
      </c>
      <c r="F1198" t="s">
        <v>172</v>
      </c>
      <c r="G1198">
        <v>0</v>
      </c>
      <c r="H1198">
        <v>2</v>
      </c>
      <c r="I1198">
        <v>2</v>
      </c>
      <c r="J1198">
        <v>2</v>
      </c>
      <c r="K1198">
        <v>3</v>
      </c>
      <c r="L1198">
        <v>7</v>
      </c>
      <c r="M1198">
        <v>0</v>
      </c>
      <c r="N1198">
        <v>0</v>
      </c>
      <c r="O1198">
        <v>2</v>
      </c>
      <c r="P1198">
        <v>0</v>
      </c>
      <c r="Q1198">
        <v>2</v>
      </c>
      <c r="R1198">
        <v>0</v>
      </c>
      <c r="S1198">
        <v>0</v>
      </c>
      <c r="T1198">
        <v>0</v>
      </c>
      <c r="U1198">
        <v>0</v>
      </c>
      <c r="V1198">
        <v>0</v>
      </c>
      <c r="W1198">
        <v>0</v>
      </c>
      <c r="X1198">
        <v>0</v>
      </c>
      <c r="Y1198">
        <v>0</v>
      </c>
      <c r="Z1198">
        <v>0</v>
      </c>
      <c r="AA1198">
        <v>0</v>
      </c>
      <c r="AB1198">
        <v>0</v>
      </c>
      <c r="AC1198">
        <v>0</v>
      </c>
      <c r="AD1198">
        <v>0</v>
      </c>
      <c r="AE1198">
        <v>0</v>
      </c>
      <c r="AF1198">
        <v>0</v>
      </c>
      <c r="AG1198">
        <v>0</v>
      </c>
      <c r="AH1198">
        <v>0</v>
      </c>
      <c r="AI1198">
        <v>0</v>
      </c>
      <c r="AJ1198">
        <v>0</v>
      </c>
      <c r="AK1198">
        <v>0</v>
      </c>
      <c r="AL1198">
        <v>20</v>
      </c>
      <c r="AM1198">
        <v>1.3333333333333333</v>
      </c>
      <c r="AN1198">
        <v>36.166964285714457</v>
      </c>
    </row>
    <row r="1199" spans="1:40" x14ac:dyDescent="0.3">
      <c r="A1199" t="s">
        <v>340</v>
      </c>
      <c r="B1199" t="s">
        <v>171</v>
      </c>
      <c r="C1199" t="s">
        <v>16</v>
      </c>
      <c r="D1199" t="s">
        <v>11</v>
      </c>
      <c r="E1199">
        <v>202602</v>
      </c>
      <c r="F1199" t="s">
        <v>172</v>
      </c>
      <c r="G1199">
        <v>0</v>
      </c>
      <c r="H1199">
        <v>0</v>
      </c>
      <c r="I1199">
        <v>0</v>
      </c>
      <c r="J1199">
        <v>0</v>
      </c>
      <c r="K1199">
        <v>0</v>
      </c>
      <c r="L1199">
        <v>0</v>
      </c>
      <c r="M1199">
        <v>0</v>
      </c>
      <c r="N1199">
        <v>0</v>
      </c>
      <c r="O1199">
        <v>0</v>
      </c>
      <c r="P1199">
        <v>0</v>
      </c>
      <c r="Q1199">
        <v>1</v>
      </c>
      <c r="R1199">
        <v>0</v>
      </c>
      <c r="S1199">
        <v>0</v>
      </c>
      <c r="T1199">
        <v>0</v>
      </c>
      <c r="U1199">
        <v>0</v>
      </c>
      <c r="V1199">
        <v>0</v>
      </c>
      <c r="W1199">
        <v>0</v>
      </c>
      <c r="X1199">
        <v>0</v>
      </c>
      <c r="Y1199">
        <v>0</v>
      </c>
      <c r="Z1199">
        <v>0</v>
      </c>
      <c r="AA1199">
        <v>0</v>
      </c>
      <c r="AB1199">
        <v>0</v>
      </c>
      <c r="AC1199">
        <v>0</v>
      </c>
      <c r="AD1199">
        <v>0</v>
      </c>
      <c r="AE1199">
        <v>0</v>
      </c>
      <c r="AF1199">
        <v>0</v>
      </c>
      <c r="AG1199">
        <v>0</v>
      </c>
      <c r="AH1199">
        <v>0</v>
      </c>
      <c r="AI1199">
        <v>0</v>
      </c>
      <c r="AJ1199">
        <v>0</v>
      </c>
      <c r="AK1199">
        <v>0</v>
      </c>
      <c r="AL1199">
        <v>1</v>
      </c>
      <c r="AM1199">
        <v>0.33333333333333331</v>
      </c>
      <c r="AN1199">
        <v>5.6046251398731117</v>
      </c>
    </row>
    <row r="1200" spans="1:40" x14ac:dyDescent="0.3">
      <c r="A1200" t="s">
        <v>340</v>
      </c>
      <c r="B1200" t="s">
        <v>171</v>
      </c>
      <c r="C1200" t="s">
        <v>16</v>
      </c>
      <c r="D1200" t="s">
        <v>14</v>
      </c>
      <c r="E1200">
        <v>202602</v>
      </c>
      <c r="F1200" t="s">
        <v>172</v>
      </c>
      <c r="G1200">
        <v>0</v>
      </c>
      <c r="H1200">
        <v>0</v>
      </c>
      <c r="I1200">
        <v>0</v>
      </c>
      <c r="J1200">
        <v>0</v>
      </c>
      <c r="K1200">
        <v>0</v>
      </c>
      <c r="L1200">
        <v>0</v>
      </c>
      <c r="M1200">
        <v>1</v>
      </c>
      <c r="N1200">
        <v>0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  <c r="U1200">
        <v>0</v>
      </c>
      <c r="V1200">
        <v>0</v>
      </c>
      <c r="W1200">
        <v>0</v>
      </c>
      <c r="X1200">
        <v>0</v>
      </c>
      <c r="Y1200">
        <v>0</v>
      </c>
      <c r="Z1200">
        <v>0</v>
      </c>
      <c r="AA1200">
        <v>0</v>
      </c>
      <c r="AB1200">
        <v>0</v>
      </c>
      <c r="AC1200">
        <v>0</v>
      </c>
      <c r="AD1200">
        <v>0</v>
      </c>
      <c r="AE1200">
        <v>0</v>
      </c>
      <c r="AF1200">
        <v>0</v>
      </c>
      <c r="AG1200">
        <v>0</v>
      </c>
      <c r="AH1200">
        <v>0</v>
      </c>
      <c r="AI1200">
        <v>0</v>
      </c>
      <c r="AJ1200">
        <v>0</v>
      </c>
      <c r="AK1200">
        <v>0</v>
      </c>
      <c r="AL1200">
        <v>1</v>
      </c>
      <c r="AM1200">
        <v>0</v>
      </c>
      <c r="AN1200">
        <v>1</v>
      </c>
    </row>
    <row r="1201" spans="1:40" x14ac:dyDescent="0.3">
      <c r="A1201" t="s">
        <v>340</v>
      </c>
      <c r="B1201" t="s">
        <v>173</v>
      </c>
      <c r="C1201" t="s">
        <v>10</v>
      </c>
      <c r="D1201" t="s">
        <v>11</v>
      </c>
      <c r="E1201">
        <v>202602</v>
      </c>
      <c r="F1201" t="s">
        <v>172</v>
      </c>
      <c r="G1201">
        <v>0</v>
      </c>
      <c r="H1201">
        <v>0</v>
      </c>
      <c r="I1201">
        <v>1</v>
      </c>
      <c r="J1201">
        <v>0</v>
      </c>
      <c r="K1201">
        <v>1</v>
      </c>
      <c r="L1201">
        <v>1</v>
      </c>
      <c r="M1201">
        <v>1</v>
      </c>
      <c r="N1201">
        <v>0</v>
      </c>
      <c r="O1201">
        <v>1</v>
      </c>
      <c r="P1201">
        <v>3</v>
      </c>
      <c r="Q1201">
        <v>1</v>
      </c>
      <c r="R1201">
        <v>0</v>
      </c>
      <c r="S1201">
        <v>0</v>
      </c>
      <c r="T1201">
        <v>0</v>
      </c>
      <c r="U1201">
        <v>0</v>
      </c>
      <c r="V1201">
        <v>0</v>
      </c>
      <c r="W1201">
        <v>0</v>
      </c>
      <c r="X1201">
        <v>0</v>
      </c>
      <c r="Y1201">
        <v>0</v>
      </c>
      <c r="Z1201">
        <v>0</v>
      </c>
      <c r="AA1201">
        <v>0</v>
      </c>
      <c r="AB1201">
        <v>0</v>
      </c>
      <c r="AC1201">
        <v>0</v>
      </c>
      <c r="AD1201">
        <v>0</v>
      </c>
      <c r="AE1201">
        <v>0</v>
      </c>
      <c r="AF1201">
        <v>0</v>
      </c>
      <c r="AG1201">
        <v>0</v>
      </c>
      <c r="AH1201">
        <v>0</v>
      </c>
      <c r="AI1201">
        <v>0</v>
      </c>
      <c r="AJ1201">
        <v>0</v>
      </c>
      <c r="AK1201">
        <v>0</v>
      </c>
      <c r="AL1201">
        <v>9</v>
      </c>
      <c r="AM1201">
        <v>1.6666666666666667</v>
      </c>
      <c r="AN1201">
        <v>32.023125699365558</v>
      </c>
    </row>
    <row r="1202" spans="1:40" x14ac:dyDescent="0.3">
      <c r="A1202" t="s">
        <v>340</v>
      </c>
      <c r="B1202" t="s">
        <v>173</v>
      </c>
      <c r="C1202" t="s">
        <v>10</v>
      </c>
      <c r="D1202" t="s">
        <v>14</v>
      </c>
      <c r="E1202">
        <v>202602</v>
      </c>
      <c r="F1202" t="s">
        <v>172</v>
      </c>
      <c r="G1202">
        <v>0</v>
      </c>
      <c r="H1202">
        <v>1</v>
      </c>
      <c r="I1202">
        <v>4</v>
      </c>
      <c r="J1202">
        <v>3</v>
      </c>
      <c r="K1202">
        <v>1</v>
      </c>
      <c r="L1202">
        <v>4</v>
      </c>
      <c r="M1202">
        <v>0</v>
      </c>
      <c r="N1202">
        <v>0</v>
      </c>
      <c r="O1202">
        <v>2</v>
      </c>
      <c r="P1202">
        <v>2</v>
      </c>
      <c r="Q1202">
        <v>3</v>
      </c>
      <c r="R1202">
        <v>0</v>
      </c>
      <c r="S1202">
        <v>0</v>
      </c>
      <c r="T1202">
        <v>0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>
        <v>0</v>
      </c>
      <c r="AB1202">
        <v>0</v>
      </c>
      <c r="AC1202">
        <v>0</v>
      </c>
      <c r="AD1202">
        <v>0</v>
      </c>
      <c r="AE1202">
        <v>0</v>
      </c>
      <c r="AF1202">
        <v>0</v>
      </c>
      <c r="AG1202">
        <v>0</v>
      </c>
      <c r="AH1202">
        <v>0</v>
      </c>
      <c r="AI1202">
        <v>0</v>
      </c>
      <c r="AJ1202">
        <v>0</v>
      </c>
      <c r="AK1202">
        <v>0</v>
      </c>
      <c r="AL1202">
        <v>20</v>
      </c>
      <c r="AM1202">
        <v>2.3333333333333335</v>
      </c>
      <c r="AN1202">
        <v>48.292187500000296</v>
      </c>
    </row>
    <row r="1203" spans="1:40" x14ac:dyDescent="0.3">
      <c r="A1203" t="s">
        <v>381</v>
      </c>
      <c r="B1203" t="s">
        <v>9</v>
      </c>
      <c r="C1203" t="s">
        <v>10</v>
      </c>
      <c r="D1203" t="s">
        <v>11</v>
      </c>
      <c r="E1203">
        <v>202602</v>
      </c>
      <c r="F1203" t="s">
        <v>382</v>
      </c>
      <c r="G1203">
        <v>0</v>
      </c>
      <c r="H1203">
        <v>3</v>
      </c>
      <c r="I1203">
        <v>2</v>
      </c>
      <c r="J1203">
        <v>4</v>
      </c>
      <c r="K1203">
        <v>6</v>
      </c>
      <c r="L1203">
        <v>5</v>
      </c>
      <c r="M1203">
        <v>2</v>
      </c>
      <c r="N1203">
        <v>0</v>
      </c>
      <c r="O1203">
        <v>4</v>
      </c>
      <c r="P1203">
        <v>4</v>
      </c>
      <c r="Q1203">
        <v>3</v>
      </c>
      <c r="R1203">
        <v>0</v>
      </c>
      <c r="S1203">
        <v>0</v>
      </c>
      <c r="T1203">
        <v>0</v>
      </c>
      <c r="U1203">
        <v>0</v>
      </c>
      <c r="V1203">
        <v>0</v>
      </c>
      <c r="W1203">
        <v>0</v>
      </c>
      <c r="X1203">
        <v>0</v>
      </c>
      <c r="Y1203">
        <v>0</v>
      </c>
      <c r="Z1203">
        <v>0</v>
      </c>
      <c r="AA1203">
        <v>0</v>
      </c>
      <c r="AB1203">
        <v>0</v>
      </c>
      <c r="AC1203">
        <v>0</v>
      </c>
      <c r="AD1203">
        <v>0</v>
      </c>
      <c r="AE1203">
        <v>0</v>
      </c>
      <c r="AF1203">
        <v>0</v>
      </c>
      <c r="AG1203">
        <v>0</v>
      </c>
      <c r="AH1203">
        <v>0</v>
      </c>
      <c r="AI1203">
        <v>0</v>
      </c>
      <c r="AJ1203">
        <v>0</v>
      </c>
      <c r="AK1203">
        <v>0</v>
      </c>
      <c r="AL1203">
        <v>33</v>
      </c>
      <c r="AM1203">
        <v>3.6666666666666665</v>
      </c>
      <c r="AN1203">
        <v>83.650876538604223</v>
      </c>
    </row>
    <row r="1204" spans="1:40" x14ac:dyDescent="0.3">
      <c r="A1204" t="s">
        <v>381</v>
      </c>
      <c r="B1204" t="s">
        <v>9</v>
      </c>
      <c r="C1204" t="s">
        <v>10</v>
      </c>
      <c r="D1204" t="s">
        <v>14</v>
      </c>
      <c r="E1204">
        <v>202602</v>
      </c>
      <c r="F1204" t="s">
        <v>382</v>
      </c>
      <c r="G1204">
        <v>0</v>
      </c>
      <c r="H1204">
        <v>10</v>
      </c>
      <c r="I1204">
        <v>8</v>
      </c>
      <c r="J1204">
        <v>5</v>
      </c>
      <c r="K1204">
        <v>12</v>
      </c>
      <c r="L1204">
        <v>6</v>
      </c>
      <c r="M1204">
        <v>1</v>
      </c>
      <c r="N1204">
        <v>1</v>
      </c>
      <c r="O1204">
        <v>8</v>
      </c>
      <c r="P1204">
        <v>4</v>
      </c>
      <c r="Q1204">
        <v>3</v>
      </c>
      <c r="R1204">
        <v>0</v>
      </c>
      <c r="S1204">
        <v>0</v>
      </c>
      <c r="T1204">
        <v>0</v>
      </c>
      <c r="U1204">
        <v>0</v>
      </c>
      <c r="V1204">
        <v>0</v>
      </c>
      <c r="W1204">
        <v>0</v>
      </c>
      <c r="X1204">
        <v>0</v>
      </c>
      <c r="Y1204">
        <v>0</v>
      </c>
      <c r="Z1204">
        <v>0</v>
      </c>
      <c r="AA1204">
        <v>0</v>
      </c>
      <c r="AB1204">
        <v>0</v>
      </c>
      <c r="AC1204">
        <v>0</v>
      </c>
      <c r="AD1204">
        <v>0</v>
      </c>
      <c r="AE1204">
        <v>0</v>
      </c>
      <c r="AF1204">
        <v>0</v>
      </c>
      <c r="AG1204">
        <v>0</v>
      </c>
      <c r="AH1204">
        <v>0</v>
      </c>
      <c r="AI1204">
        <v>0</v>
      </c>
      <c r="AJ1204">
        <v>0</v>
      </c>
      <c r="AK1204">
        <v>0</v>
      </c>
      <c r="AL1204">
        <v>58</v>
      </c>
      <c r="AM1204">
        <v>5</v>
      </c>
      <c r="AN1204">
        <v>118.62611607142918</v>
      </c>
    </row>
    <row r="1205" spans="1:40" x14ac:dyDescent="0.3">
      <c r="A1205" t="s">
        <v>381</v>
      </c>
      <c r="B1205" t="s">
        <v>9</v>
      </c>
      <c r="C1205" t="s">
        <v>16</v>
      </c>
      <c r="D1205" t="s">
        <v>11</v>
      </c>
      <c r="E1205">
        <v>202602</v>
      </c>
      <c r="F1205" t="s">
        <v>382</v>
      </c>
      <c r="G1205">
        <v>0</v>
      </c>
      <c r="H1205">
        <v>0</v>
      </c>
      <c r="I1205">
        <v>0</v>
      </c>
      <c r="J1205">
        <v>0</v>
      </c>
      <c r="K1205">
        <v>1</v>
      </c>
      <c r="L1205">
        <v>0</v>
      </c>
      <c r="M1205">
        <v>0</v>
      </c>
      <c r="N1205">
        <v>0</v>
      </c>
      <c r="O1205">
        <v>1</v>
      </c>
      <c r="P1205">
        <v>0</v>
      </c>
      <c r="Q1205">
        <v>0</v>
      </c>
      <c r="R1205">
        <v>0</v>
      </c>
      <c r="S1205">
        <v>0</v>
      </c>
      <c r="T1205">
        <v>0</v>
      </c>
      <c r="U1205">
        <v>0</v>
      </c>
      <c r="V1205">
        <v>0</v>
      </c>
      <c r="W1205">
        <v>0</v>
      </c>
      <c r="X1205">
        <v>0</v>
      </c>
      <c r="Y1205">
        <v>0</v>
      </c>
      <c r="Z1205">
        <v>0</v>
      </c>
      <c r="AA1205">
        <v>0</v>
      </c>
      <c r="AB1205">
        <v>0</v>
      </c>
      <c r="AC1205">
        <v>0</v>
      </c>
      <c r="AD1205">
        <v>0</v>
      </c>
      <c r="AE1205">
        <v>0</v>
      </c>
      <c r="AF1205">
        <v>0</v>
      </c>
      <c r="AG1205">
        <v>0</v>
      </c>
      <c r="AH1205">
        <v>0</v>
      </c>
      <c r="AI1205">
        <v>0</v>
      </c>
      <c r="AJ1205">
        <v>0</v>
      </c>
      <c r="AK1205">
        <v>0</v>
      </c>
      <c r="AL1205">
        <v>2</v>
      </c>
      <c r="AM1205">
        <v>0.33333333333333331</v>
      </c>
      <c r="AN1205">
        <v>6.6046251398731117</v>
      </c>
    </row>
    <row r="1206" spans="1:40" x14ac:dyDescent="0.3">
      <c r="A1206" t="s">
        <v>381</v>
      </c>
      <c r="B1206" t="s">
        <v>9</v>
      </c>
      <c r="C1206" t="s">
        <v>16</v>
      </c>
      <c r="D1206" t="s">
        <v>14</v>
      </c>
      <c r="E1206">
        <v>202602</v>
      </c>
      <c r="F1206" t="s">
        <v>382</v>
      </c>
      <c r="G1206">
        <v>0</v>
      </c>
      <c r="H1206">
        <v>0</v>
      </c>
      <c r="I1206">
        <v>0</v>
      </c>
      <c r="J1206">
        <v>1</v>
      </c>
      <c r="K1206">
        <v>1</v>
      </c>
      <c r="L1206">
        <v>1</v>
      </c>
      <c r="M1206">
        <v>0</v>
      </c>
      <c r="N1206">
        <v>0</v>
      </c>
      <c r="O1206">
        <v>0</v>
      </c>
      <c r="P1206">
        <v>3</v>
      </c>
      <c r="Q1206">
        <v>1</v>
      </c>
      <c r="R1206">
        <v>0</v>
      </c>
      <c r="S1206">
        <v>0</v>
      </c>
      <c r="T1206">
        <v>0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0</v>
      </c>
      <c r="AA1206">
        <v>0</v>
      </c>
      <c r="AB1206">
        <v>0</v>
      </c>
      <c r="AC1206">
        <v>0</v>
      </c>
      <c r="AD1206">
        <v>0</v>
      </c>
      <c r="AE1206">
        <v>0</v>
      </c>
      <c r="AF1206">
        <v>0</v>
      </c>
      <c r="AG1206">
        <v>0</v>
      </c>
      <c r="AH1206">
        <v>0</v>
      </c>
      <c r="AI1206">
        <v>0</v>
      </c>
      <c r="AJ1206">
        <v>0</v>
      </c>
      <c r="AK1206">
        <v>0</v>
      </c>
      <c r="AL1206">
        <v>7</v>
      </c>
      <c r="AM1206">
        <v>1.3333333333333333</v>
      </c>
      <c r="AN1206">
        <v>23.166964285714453</v>
      </c>
    </row>
    <row r="1207" spans="1:40" x14ac:dyDescent="0.3">
      <c r="A1207" t="s">
        <v>381</v>
      </c>
      <c r="B1207" t="s">
        <v>17</v>
      </c>
      <c r="C1207" t="s">
        <v>10</v>
      </c>
      <c r="D1207" t="s">
        <v>11</v>
      </c>
      <c r="E1207">
        <v>202602</v>
      </c>
      <c r="F1207" t="s">
        <v>42</v>
      </c>
      <c r="G1207">
        <v>0</v>
      </c>
      <c r="H1207">
        <v>0</v>
      </c>
      <c r="I1207">
        <v>0</v>
      </c>
      <c r="J1207">
        <v>0</v>
      </c>
      <c r="K1207">
        <v>0</v>
      </c>
      <c r="L1207">
        <v>0</v>
      </c>
      <c r="M1207">
        <v>0</v>
      </c>
      <c r="N1207">
        <v>0</v>
      </c>
      <c r="O1207">
        <v>0</v>
      </c>
      <c r="P1207">
        <v>0</v>
      </c>
      <c r="Q1207">
        <v>1</v>
      </c>
      <c r="R1207">
        <v>0</v>
      </c>
      <c r="S1207">
        <v>0</v>
      </c>
      <c r="T1207">
        <v>0</v>
      </c>
      <c r="U1207">
        <v>0</v>
      </c>
      <c r="V1207">
        <v>0</v>
      </c>
      <c r="W1207">
        <v>0</v>
      </c>
      <c r="X1207">
        <v>0</v>
      </c>
      <c r="Y1207">
        <v>0</v>
      </c>
      <c r="Z1207">
        <v>0</v>
      </c>
      <c r="AA1207">
        <v>0</v>
      </c>
      <c r="AB1207">
        <v>0</v>
      </c>
      <c r="AC1207">
        <v>0</v>
      </c>
      <c r="AD1207">
        <v>0</v>
      </c>
      <c r="AE1207">
        <v>0</v>
      </c>
      <c r="AF1207">
        <v>0</v>
      </c>
      <c r="AG1207">
        <v>0</v>
      </c>
      <c r="AH1207">
        <v>0</v>
      </c>
      <c r="AI1207">
        <v>0</v>
      </c>
      <c r="AJ1207">
        <v>0</v>
      </c>
      <c r="AK1207">
        <v>0</v>
      </c>
      <c r="AL1207">
        <v>1</v>
      </c>
      <c r="AM1207">
        <v>0.33333333333333331</v>
      </c>
      <c r="AN1207">
        <v>5.6046251398731117</v>
      </c>
    </row>
    <row r="1208" spans="1:40" x14ac:dyDescent="0.3">
      <c r="A1208" t="s">
        <v>381</v>
      </c>
      <c r="B1208" t="s">
        <v>17</v>
      </c>
      <c r="C1208" t="s">
        <v>10</v>
      </c>
      <c r="D1208" t="s">
        <v>11</v>
      </c>
      <c r="E1208">
        <v>202602</v>
      </c>
      <c r="F1208" t="s">
        <v>383</v>
      </c>
      <c r="G1208">
        <v>0</v>
      </c>
      <c r="H1208">
        <v>0</v>
      </c>
      <c r="I1208">
        <v>0</v>
      </c>
      <c r="J1208">
        <v>0</v>
      </c>
      <c r="K1208">
        <v>1</v>
      </c>
      <c r="L1208">
        <v>2</v>
      </c>
      <c r="M1208">
        <v>0</v>
      </c>
      <c r="N1208">
        <v>0</v>
      </c>
      <c r="O1208">
        <v>0</v>
      </c>
      <c r="P1208">
        <v>1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0</v>
      </c>
      <c r="AA1208">
        <v>0</v>
      </c>
      <c r="AB1208">
        <v>0</v>
      </c>
      <c r="AC1208">
        <v>0</v>
      </c>
      <c r="AD1208">
        <v>0</v>
      </c>
      <c r="AE1208">
        <v>0</v>
      </c>
      <c r="AF1208">
        <v>0</v>
      </c>
      <c r="AG1208">
        <v>0</v>
      </c>
      <c r="AH1208">
        <v>0</v>
      </c>
      <c r="AI1208">
        <v>0</v>
      </c>
      <c r="AJ1208">
        <v>0</v>
      </c>
      <c r="AK1208">
        <v>0</v>
      </c>
      <c r="AL1208">
        <v>4</v>
      </c>
      <c r="AM1208">
        <v>0.33333333333333331</v>
      </c>
      <c r="AN1208">
        <v>8.6046251398731108</v>
      </c>
    </row>
    <row r="1209" spans="1:40" x14ac:dyDescent="0.3">
      <c r="A1209" t="s">
        <v>381</v>
      </c>
      <c r="B1209" t="s">
        <v>17</v>
      </c>
      <c r="C1209" t="s">
        <v>10</v>
      </c>
      <c r="D1209" t="s">
        <v>11</v>
      </c>
      <c r="E1209">
        <v>202602</v>
      </c>
      <c r="F1209" t="s">
        <v>384</v>
      </c>
      <c r="G1209">
        <v>0</v>
      </c>
      <c r="H1209">
        <v>0</v>
      </c>
      <c r="I1209">
        <v>0</v>
      </c>
      <c r="J1209">
        <v>0</v>
      </c>
      <c r="K1209">
        <v>1</v>
      </c>
      <c r="L1209">
        <v>1</v>
      </c>
      <c r="M1209">
        <v>0</v>
      </c>
      <c r="N1209">
        <v>0</v>
      </c>
      <c r="O1209">
        <v>0</v>
      </c>
      <c r="P1209">
        <v>1</v>
      </c>
      <c r="Q1209">
        <v>0</v>
      </c>
      <c r="R1209">
        <v>0</v>
      </c>
      <c r="S1209">
        <v>0</v>
      </c>
      <c r="T1209">
        <v>0</v>
      </c>
      <c r="U1209">
        <v>0</v>
      </c>
      <c r="V1209">
        <v>0</v>
      </c>
      <c r="W1209">
        <v>0</v>
      </c>
      <c r="X1209">
        <v>0</v>
      </c>
      <c r="Y1209">
        <v>0</v>
      </c>
      <c r="Z1209">
        <v>0</v>
      </c>
      <c r="AA1209">
        <v>0</v>
      </c>
      <c r="AB1209">
        <v>0</v>
      </c>
      <c r="AC1209">
        <v>0</v>
      </c>
      <c r="AD1209">
        <v>0</v>
      </c>
      <c r="AE1209">
        <v>0</v>
      </c>
      <c r="AF1209">
        <v>0</v>
      </c>
      <c r="AG1209">
        <v>0</v>
      </c>
      <c r="AH1209">
        <v>0</v>
      </c>
      <c r="AI1209">
        <v>0</v>
      </c>
      <c r="AJ1209">
        <v>0</v>
      </c>
      <c r="AK1209">
        <v>0</v>
      </c>
      <c r="AL1209">
        <v>3</v>
      </c>
      <c r="AM1209">
        <v>0.33333333333333331</v>
      </c>
      <c r="AN1209">
        <v>7.6046251398731117</v>
      </c>
    </row>
    <row r="1210" spans="1:40" x14ac:dyDescent="0.3">
      <c r="A1210" t="s">
        <v>381</v>
      </c>
      <c r="B1210" t="s">
        <v>17</v>
      </c>
      <c r="C1210" t="s">
        <v>10</v>
      </c>
      <c r="D1210" t="s">
        <v>11</v>
      </c>
      <c r="E1210">
        <v>202602</v>
      </c>
      <c r="F1210" t="s">
        <v>385</v>
      </c>
      <c r="G1210">
        <v>0</v>
      </c>
      <c r="H1210">
        <v>0</v>
      </c>
      <c r="I1210">
        <v>1</v>
      </c>
      <c r="J1210">
        <v>0</v>
      </c>
      <c r="K1210">
        <v>0</v>
      </c>
      <c r="L1210">
        <v>0</v>
      </c>
      <c r="M1210">
        <v>0</v>
      </c>
      <c r="N1210">
        <v>0</v>
      </c>
      <c r="O1210">
        <v>1</v>
      </c>
      <c r="P1210">
        <v>1</v>
      </c>
      <c r="Q1210">
        <v>1</v>
      </c>
      <c r="R1210">
        <v>0</v>
      </c>
      <c r="S1210">
        <v>0</v>
      </c>
      <c r="T1210">
        <v>0</v>
      </c>
      <c r="U1210">
        <v>0</v>
      </c>
      <c r="V1210">
        <v>0</v>
      </c>
      <c r="W1210">
        <v>0</v>
      </c>
      <c r="X1210">
        <v>0</v>
      </c>
      <c r="Y1210">
        <v>0</v>
      </c>
      <c r="Z1210">
        <v>0</v>
      </c>
      <c r="AA1210">
        <v>0</v>
      </c>
      <c r="AB1210">
        <v>0</v>
      </c>
      <c r="AC1210">
        <v>0</v>
      </c>
      <c r="AD1210">
        <v>0</v>
      </c>
      <c r="AE1210">
        <v>0</v>
      </c>
      <c r="AF1210">
        <v>0</v>
      </c>
      <c r="AG1210">
        <v>0</v>
      </c>
      <c r="AH1210">
        <v>0</v>
      </c>
      <c r="AI1210">
        <v>0</v>
      </c>
      <c r="AJ1210">
        <v>0</v>
      </c>
      <c r="AK1210">
        <v>0</v>
      </c>
      <c r="AL1210">
        <v>4</v>
      </c>
      <c r="AM1210">
        <v>1</v>
      </c>
      <c r="AN1210">
        <v>17.813875419619336</v>
      </c>
    </row>
    <row r="1211" spans="1:40" x14ac:dyDescent="0.3">
      <c r="A1211" t="s">
        <v>381</v>
      </c>
      <c r="B1211" t="s">
        <v>17</v>
      </c>
      <c r="C1211" t="s">
        <v>10</v>
      </c>
      <c r="D1211" t="s">
        <v>11</v>
      </c>
      <c r="E1211">
        <v>202602</v>
      </c>
      <c r="F1211" t="s">
        <v>386</v>
      </c>
      <c r="G1211">
        <v>0</v>
      </c>
      <c r="H1211">
        <v>1</v>
      </c>
      <c r="I1211">
        <v>0</v>
      </c>
      <c r="J1211">
        <v>0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0</v>
      </c>
      <c r="Q1211">
        <v>0</v>
      </c>
      <c r="R1211">
        <v>0</v>
      </c>
      <c r="S1211">
        <v>0</v>
      </c>
      <c r="T1211">
        <v>0</v>
      </c>
      <c r="U1211">
        <v>0</v>
      </c>
      <c r="V1211">
        <v>0</v>
      </c>
      <c r="W1211">
        <v>0</v>
      </c>
      <c r="X1211">
        <v>0</v>
      </c>
      <c r="Y1211">
        <v>0</v>
      </c>
      <c r="Z1211">
        <v>0</v>
      </c>
      <c r="AA1211">
        <v>0</v>
      </c>
      <c r="AB1211">
        <v>0</v>
      </c>
      <c r="AC1211">
        <v>0</v>
      </c>
      <c r="AD1211">
        <v>0</v>
      </c>
      <c r="AE1211">
        <v>0</v>
      </c>
      <c r="AF1211">
        <v>0</v>
      </c>
      <c r="AG1211">
        <v>0</v>
      </c>
      <c r="AH1211">
        <v>0</v>
      </c>
      <c r="AI1211">
        <v>0</v>
      </c>
      <c r="AJ1211">
        <v>0</v>
      </c>
      <c r="AK1211">
        <v>0</v>
      </c>
      <c r="AL1211">
        <v>1</v>
      </c>
      <c r="AM1211">
        <v>0</v>
      </c>
      <c r="AN1211">
        <v>1</v>
      </c>
    </row>
    <row r="1212" spans="1:40" x14ac:dyDescent="0.3">
      <c r="A1212" t="s">
        <v>381</v>
      </c>
      <c r="B1212" t="s">
        <v>17</v>
      </c>
      <c r="C1212" t="s">
        <v>10</v>
      </c>
      <c r="D1212" t="s">
        <v>11</v>
      </c>
      <c r="E1212">
        <v>202602</v>
      </c>
      <c r="F1212" t="s">
        <v>387</v>
      </c>
      <c r="G1212">
        <v>0</v>
      </c>
      <c r="H1212">
        <v>0</v>
      </c>
      <c r="I1212">
        <v>1</v>
      </c>
      <c r="J1212">
        <v>0</v>
      </c>
      <c r="K1212">
        <v>0</v>
      </c>
      <c r="L1212">
        <v>1</v>
      </c>
      <c r="M1212">
        <v>0</v>
      </c>
      <c r="N1212">
        <v>0</v>
      </c>
      <c r="O1212">
        <v>0</v>
      </c>
      <c r="P1212">
        <v>0</v>
      </c>
      <c r="Q1212">
        <v>0</v>
      </c>
      <c r="R1212">
        <v>0</v>
      </c>
      <c r="S1212">
        <v>0</v>
      </c>
      <c r="T1212">
        <v>0</v>
      </c>
      <c r="U1212">
        <v>0</v>
      </c>
      <c r="V1212">
        <v>0</v>
      </c>
      <c r="W1212">
        <v>0</v>
      </c>
      <c r="X1212">
        <v>0</v>
      </c>
      <c r="Y1212">
        <v>0</v>
      </c>
      <c r="Z1212">
        <v>0</v>
      </c>
      <c r="AA1212">
        <v>0</v>
      </c>
      <c r="AB1212">
        <v>0</v>
      </c>
      <c r="AC1212">
        <v>0</v>
      </c>
      <c r="AD1212">
        <v>0</v>
      </c>
      <c r="AE1212">
        <v>0</v>
      </c>
      <c r="AF1212">
        <v>0</v>
      </c>
      <c r="AG1212">
        <v>0</v>
      </c>
      <c r="AH1212">
        <v>0</v>
      </c>
      <c r="AI1212">
        <v>0</v>
      </c>
      <c r="AJ1212">
        <v>0</v>
      </c>
      <c r="AK1212">
        <v>0</v>
      </c>
      <c r="AL1212">
        <v>2</v>
      </c>
      <c r="AM1212">
        <v>0</v>
      </c>
      <c r="AN1212">
        <v>2</v>
      </c>
    </row>
    <row r="1213" spans="1:40" x14ac:dyDescent="0.3">
      <c r="A1213" t="s">
        <v>381</v>
      </c>
      <c r="B1213" t="s">
        <v>17</v>
      </c>
      <c r="C1213" t="s">
        <v>10</v>
      </c>
      <c r="D1213" t="s">
        <v>11</v>
      </c>
      <c r="E1213">
        <v>202602</v>
      </c>
      <c r="F1213" t="s">
        <v>388</v>
      </c>
      <c r="G1213">
        <v>0</v>
      </c>
      <c r="H1213">
        <v>1</v>
      </c>
      <c r="I1213">
        <v>0</v>
      </c>
      <c r="J1213">
        <v>0</v>
      </c>
      <c r="K1213">
        <v>0</v>
      </c>
      <c r="L1213">
        <v>0</v>
      </c>
      <c r="M1213">
        <v>0</v>
      </c>
      <c r="N1213">
        <v>0</v>
      </c>
      <c r="O1213">
        <v>0</v>
      </c>
      <c r="P1213">
        <v>3</v>
      </c>
      <c r="Q1213">
        <v>2</v>
      </c>
      <c r="R1213">
        <v>0</v>
      </c>
      <c r="S1213">
        <v>0</v>
      </c>
      <c r="T1213">
        <v>0</v>
      </c>
      <c r="U1213">
        <v>0</v>
      </c>
      <c r="V1213">
        <v>0</v>
      </c>
      <c r="W1213">
        <v>0</v>
      </c>
      <c r="X1213">
        <v>0</v>
      </c>
      <c r="Y1213">
        <v>0</v>
      </c>
      <c r="Z1213">
        <v>0</v>
      </c>
      <c r="AA1213">
        <v>0</v>
      </c>
      <c r="AB1213">
        <v>0</v>
      </c>
      <c r="AC1213">
        <v>0</v>
      </c>
      <c r="AD1213">
        <v>0</v>
      </c>
      <c r="AE1213">
        <v>0</v>
      </c>
      <c r="AF1213">
        <v>0</v>
      </c>
      <c r="AG1213">
        <v>0</v>
      </c>
      <c r="AH1213">
        <v>0</v>
      </c>
      <c r="AI1213">
        <v>0</v>
      </c>
      <c r="AJ1213">
        <v>0</v>
      </c>
      <c r="AK1213">
        <v>0</v>
      </c>
      <c r="AL1213">
        <v>6</v>
      </c>
      <c r="AM1213">
        <v>1.6666666666666667</v>
      </c>
      <c r="AN1213">
        <v>29.023125699365558</v>
      </c>
    </row>
    <row r="1214" spans="1:40" x14ac:dyDescent="0.3">
      <c r="A1214" t="s">
        <v>381</v>
      </c>
      <c r="B1214" t="s">
        <v>17</v>
      </c>
      <c r="C1214" t="s">
        <v>10</v>
      </c>
      <c r="D1214" t="s">
        <v>11</v>
      </c>
      <c r="E1214">
        <v>202602</v>
      </c>
      <c r="F1214" t="s">
        <v>389</v>
      </c>
      <c r="G1214">
        <v>0</v>
      </c>
      <c r="H1214">
        <v>0</v>
      </c>
      <c r="I1214">
        <v>0</v>
      </c>
      <c r="J1214">
        <v>1</v>
      </c>
      <c r="K1214">
        <v>0</v>
      </c>
      <c r="L1214">
        <v>0</v>
      </c>
      <c r="M1214">
        <v>0</v>
      </c>
      <c r="N1214">
        <v>0</v>
      </c>
      <c r="O1214">
        <v>0</v>
      </c>
      <c r="P1214">
        <v>0</v>
      </c>
      <c r="Q1214">
        <v>1</v>
      </c>
      <c r="R1214">
        <v>0</v>
      </c>
      <c r="S1214">
        <v>0</v>
      </c>
      <c r="T1214">
        <v>0</v>
      </c>
      <c r="U1214">
        <v>0</v>
      </c>
      <c r="V1214">
        <v>0</v>
      </c>
      <c r="W1214">
        <v>0</v>
      </c>
      <c r="X1214">
        <v>0</v>
      </c>
      <c r="Y1214">
        <v>0</v>
      </c>
      <c r="Z1214">
        <v>0</v>
      </c>
      <c r="AA1214">
        <v>0</v>
      </c>
      <c r="AB1214">
        <v>0</v>
      </c>
      <c r="AC1214">
        <v>0</v>
      </c>
      <c r="AD1214">
        <v>0</v>
      </c>
      <c r="AE1214">
        <v>0</v>
      </c>
      <c r="AF1214">
        <v>0</v>
      </c>
      <c r="AG1214">
        <v>0</v>
      </c>
      <c r="AH1214">
        <v>0</v>
      </c>
      <c r="AI1214">
        <v>0</v>
      </c>
      <c r="AJ1214">
        <v>0</v>
      </c>
      <c r="AK1214">
        <v>0</v>
      </c>
      <c r="AL1214">
        <v>2</v>
      </c>
      <c r="AM1214">
        <v>0.33333333333333331</v>
      </c>
      <c r="AN1214">
        <v>6.6046251398731117</v>
      </c>
    </row>
    <row r="1215" spans="1:40" x14ac:dyDescent="0.3">
      <c r="A1215" t="s">
        <v>381</v>
      </c>
      <c r="B1215" t="s">
        <v>17</v>
      </c>
      <c r="C1215" t="s">
        <v>10</v>
      </c>
      <c r="D1215" t="s">
        <v>11</v>
      </c>
      <c r="E1215">
        <v>202602</v>
      </c>
      <c r="F1215" t="s">
        <v>390</v>
      </c>
      <c r="G1215">
        <v>0</v>
      </c>
      <c r="H1215">
        <v>0</v>
      </c>
      <c r="I1215">
        <v>1</v>
      </c>
      <c r="J1215">
        <v>0</v>
      </c>
      <c r="K1215">
        <v>0</v>
      </c>
      <c r="L1215">
        <v>0</v>
      </c>
      <c r="M1215">
        <v>0</v>
      </c>
      <c r="N1215">
        <v>0</v>
      </c>
      <c r="O1215">
        <v>0</v>
      </c>
      <c r="P1215">
        <v>1</v>
      </c>
      <c r="Q1215">
        <v>0</v>
      </c>
      <c r="R1215">
        <v>0</v>
      </c>
      <c r="S1215">
        <v>0</v>
      </c>
      <c r="T1215">
        <v>0</v>
      </c>
      <c r="U1215">
        <v>0</v>
      </c>
      <c r="V1215">
        <v>0</v>
      </c>
      <c r="W1215">
        <v>0</v>
      </c>
      <c r="X1215">
        <v>0</v>
      </c>
      <c r="Y1215">
        <v>0</v>
      </c>
      <c r="Z1215">
        <v>0</v>
      </c>
      <c r="AA1215">
        <v>0</v>
      </c>
      <c r="AB1215">
        <v>0</v>
      </c>
      <c r="AC1215">
        <v>0</v>
      </c>
      <c r="AD1215">
        <v>0</v>
      </c>
      <c r="AE1215">
        <v>0</v>
      </c>
      <c r="AF1215">
        <v>0</v>
      </c>
      <c r="AG1215">
        <v>0</v>
      </c>
      <c r="AH1215">
        <v>0</v>
      </c>
      <c r="AI1215">
        <v>0</v>
      </c>
      <c r="AJ1215">
        <v>0</v>
      </c>
      <c r="AK1215">
        <v>0</v>
      </c>
      <c r="AL1215">
        <v>2</v>
      </c>
      <c r="AM1215">
        <v>0.33333333333333331</v>
      </c>
      <c r="AN1215">
        <v>6.6046251398731117</v>
      </c>
    </row>
    <row r="1216" spans="1:40" x14ac:dyDescent="0.3">
      <c r="A1216" t="s">
        <v>381</v>
      </c>
      <c r="B1216" t="s">
        <v>17</v>
      </c>
      <c r="C1216" t="s">
        <v>10</v>
      </c>
      <c r="D1216" t="s">
        <v>11</v>
      </c>
      <c r="E1216">
        <v>202602</v>
      </c>
      <c r="F1216" t="s">
        <v>391</v>
      </c>
      <c r="G1216">
        <v>0</v>
      </c>
      <c r="H1216">
        <v>0</v>
      </c>
      <c r="I1216">
        <v>1</v>
      </c>
      <c r="J1216">
        <v>1</v>
      </c>
      <c r="K1216">
        <v>0</v>
      </c>
      <c r="L1216">
        <v>0</v>
      </c>
      <c r="M1216">
        <v>0</v>
      </c>
      <c r="N1216">
        <v>0</v>
      </c>
      <c r="O1216">
        <v>0</v>
      </c>
      <c r="P1216">
        <v>0</v>
      </c>
      <c r="Q1216">
        <v>0</v>
      </c>
      <c r="R1216">
        <v>0</v>
      </c>
      <c r="S1216">
        <v>0</v>
      </c>
      <c r="T1216">
        <v>0</v>
      </c>
      <c r="U1216">
        <v>0</v>
      </c>
      <c r="V1216">
        <v>0</v>
      </c>
      <c r="W1216">
        <v>0</v>
      </c>
      <c r="X1216">
        <v>0</v>
      </c>
      <c r="Y1216">
        <v>0</v>
      </c>
      <c r="Z1216">
        <v>0</v>
      </c>
      <c r="AA1216">
        <v>0</v>
      </c>
      <c r="AB1216">
        <v>0</v>
      </c>
      <c r="AC1216">
        <v>0</v>
      </c>
      <c r="AD1216">
        <v>0</v>
      </c>
      <c r="AE1216">
        <v>0</v>
      </c>
      <c r="AF1216">
        <v>0</v>
      </c>
      <c r="AG1216">
        <v>0</v>
      </c>
      <c r="AH1216">
        <v>0</v>
      </c>
      <c r="AI1216">
        <v>0</v>
      </c>
      <c r="AJ1216">
        <v>0</v>
      </c>
      <c r="AK1216">
        <v>0</v>
      </c>
      <c r="AL1216">
        <v>2</v>
      </c>
      <c r="AM1216">
        <v>0</v>
      </c>
      <c r="AN1216">
        <v>2</v>
      </c>
    </row>
    <row r="1217" spans="1:40" x14ac:dyDescent="0.3">
      <c r="A1217" t="s">
        <v>381</v>
      </c>
      <c r="B1217" t="s">
        <v>17</v>
      </c>
      <c r="C1217" t="s">
        <v>10</v>
      </c>
      <c r="D1217" t="s">
        <v>11</v>
      </c>
      <c r="E1217">
        <v>202602</v>
      </c>
      <c r="F1217" t="s">
        <v>392</v>
      </c>
      <c r="G1217">
        <v>0</v>
      </c>
      <c r="H1217">
        <v>0</v>
      </c>
      <c r="I1217">
        <v>1</v>
      </c>
      <c r="J1217">
        <v>0</v>
      </c>
      <c r="K1217">
        <v>1</v>
      </c>
      <c r="L1217">
        <v>0</v>
      </c>
      <c r="M1217">
        <v>0</v>
      </c>
      <c r="N1217">
        <v>0</v>
      </c>
      <c r="O1217">
        <v>2</v>
      </c>
      <c r="P1217">
        <v>0</v>
      </c>
      <c r="Q1217">
        <v>2</v>
      </c>
      <c r="R1217">
        <v>0</v>
      </c>
      <c r="S1217">
        <v>0</v>
      </c>
      <c r="T1217">
        <v>0</v>
      </c>
      <c r="U1217">
        <v>0</v>
      </c>
      <c r="V1217">
        <v>0</v>
      </c>
      <c r="W1217">
        <v>0</v>
      </c>
      <c r="X1217">
        <v>0</v>
      </c>
      <c r="Y1217">
        <v>0</v>
      </c>
      <c r="Z1217">
        <v>0</v>
      </c>
      <c r="AA1217">
        <v>0</v>
      </c>
      <c r="AB1217">
        <v>0</v>
      </c>
      <c r="AC1217">
        <v>0</v>
      </c>
      <c r="AD1217">
        <v>0</v>
      </c>
      <c r="AE1217">
        <v>0</v>
      </c>
      <c r="AF1217">
        <v>0</v>
      </c>
      <c r="AG1217">
        <v>0</v>
      </c>
      <c r="AH1217">
        <v>0</v>
      </c>
      <c r="AI1217">
        <v>0</v>
      </c>
      <c r="AJ1217">
        <v>0</v>
      </c>
      <c r="AK1217">
        <v>0</v>
      </c>
      <c r="AL1217">
        <v>6</v>
      </c>
      <c r="AM1217">
        <v>1.3333333333333333</v>
      </c>
      <c r="AN1217">
        <v>24.418500559492447</v>
      </c>
    </row>
    <row r="1218" spans="1:40" x14ac:dyDescent="0.3">
      <c r="A1218" t="s">
        <v>381</v>
      </c>
      <c r="B1218" t="s">
        <v>17</v>
      </c>
      <c r="C1218" t="s">
        <v>10</v>
      </c>
      <c r="D1218" t="s">
        <v>11</v>
      </c>
      <c r="E1218">
        <v>202602</v>
      </c>
      <c r="F1218" t="s">
        <v>393</v>
      </c>
      <c r="G1218">
        <v>0</v>
      </c>
      <c r="H1218">
        <v>2</v>
      </c>
      <c r="I1218">
        <v>1</v>
      </c>
      <c r="J1218">
        <v>0</v>
      </c>
      <c r="K1218">
        <v>1</v>
      </c>
      <c r="L1218">
        <v>1</v>
      </c>
      <c r="M1218">
        <v>0</v>
      </c>
      <c r="N1218">
        <v>0</v>
      </c>
      <c r="O1218">
        <v>0</v>
      </c>
      <c r="P1218">
        <v>1</v>
      </c>
      <c r="Q1218">
        <v>0</v>
      </c>
      <c r="R1218">
        <v>0</v>
      </c>
      <c r="S1218">
        <v>0</v>
      </c>
      <c r="T1218">
        <v>0</v>
      </c>
      <c r="U1218">
        <v>0</v>
      </c>
      <c r="V1218">
        <v>0</v>
      </c>
      <c r="W1218">
        <v>0</v>
      </c>
      <c r="X1218">
        <v>0</v>
      </c>
      <c r="Y1218">
        <v>0</v>
      </c>
      <c r="Z1218">
        <v>0</v>
      </c>
      <c r="AA1218">
        <v>0</v>
      </c>
      <c r="AB1218">
        <v>0</v>
      </c>
      <c r="AC1218">
        <v>0</v>
      </c>
      <c r="AD1218">
        <v>0</v>
      </c>
      <c r="AE1218">
        <v>0</v>
      </c>
      <c r="AF1218">
        <v>0</v>
      </c>
      <c r="AG1218">
        <v>0</v>
      </c>
      <c r="AH1218">
        <v>0</v>
      </c>
      <c r="AI1218">
        <v>0</v>
      </c>
      <c r="AJ1218">
        <v>0</v>
      </c>
      <c r="AK1218">
        <v>0</v>
      </c>
      <c r="AL1218">
        <v>6</v>
      </c>
      <c r="AM1218">
        <v>0.33333333333333331</v>
      </c>
      <c r="AN1218">
        <v>10.604625139873111</v>
      </c>
    </row>
    <row r="1219" spans="1:40" x14ac:dyDescent="0.3">
      <c r="A1219" t="s">
        <v>381</v>
      </c>
      <c r="B1219" t="s">
        <v>17</v>
      </c>
      <c r="C1219" t="s">
        <v>10</v>
      </c>
      <c r="D1219" t="s">
        <v>11</v>
      </c>
      <c r="E1219">
        <v>202602</v>
      </c>
      <c r="F1219" t="s">
        <v>394</v>
      </c>
      <c r="G1219">
        <v>0</v>
      </c>
      <c r="H1219">
        <v>0</v>
      </c>
      <c r="I1219">
        <v>0</v>
      </c>
      <c r="J1219">
        <v>0</v>
      </c>
      <c r="K1219">
        <v>1</v>
      </c>
      <c r="L1219">
        <v>0</v>
      </c>
      <c r="M1219">
        <v>0</v>
      </c>
      <c r="N1219">
        <v>0</v>
      </c>
      <c r="O1219">
        <v>0</v>
      </c>
      <c r="P1219">
        <v>1</v>
      </c>
      <c r="Q1219">
        <v>1</v>
      </c>
      <c r="R1219">
        <v>0</v>
      </c>
      <c r="S1219">
        <v>0</v>
      </c>
      <c r="T1219">
        <v>0</v>
      </c>
      <c r="U1219">
        <v>0</v>
      </c>
      <c r="V1219">
        <v>0</v>
      </c>
      <c r="W1219">
        <v>0</v>
      </c>
      <c r="X1219">
        <v>0</v>
      </c>
      <c r="Y1219">
        <v>0</v>
      </c>
      <c r="Z1219">
        <v>0</v>
      </c>
      <c r="AA1219">
        <v>0</v>
      </c>
      <c r="AB1219">
        <v>0</v>
      </c>
      <c r="AC1219">
        <v>0</v>
      </c>
      <c r="AD1219">
        <v>0</v>
      </c>
      <c r="AE1219">
        <v>0</v>
      </c>
      <c r="AF1219">
        <v>0</v>
      </c>
      <c r="AG1219">
        <v>0</v>
      </c>
      <c r="AH1219">
        <v>0</v>
      </c>
      <c r="AI1219">
        <v>0</v>
      </c>
      <c r="AJ1219">
        <v>0</v>
      </c>
      <c r="AK1219">
        <v>0</v>
      </c>
      <c r="AL1219">
        <v>3</v>
      </c>
      <c r="AM1219">
        <v>0.66666666666666663</v>
      </c>
      <c r="AN1219">
        <v>12.209250279746223</v>
      </c>
    </row>
    <row r="1220" spans="1:40" x14ac:dyDescent="0.3">
      <c r="A1220" t="s">
        <v>381</v>
      </c>
      <c r="B1220" t="s">
        <v>17</v>
      </c>
      <c r="C1220" t="s">
        <v>10</v>
      </c>
      <c r="D1220" t="s">
        <v>11</v>
      </c>
      <c r="E1220">
        <v>202602</v>
      </c>
      <c r="F1220" t="s">
        <v>395</v>
      </c>
      <c r="G1220">
        <v>0</v>
      </c>
      <c r="H1220">
        <v>0</v>
      </c>
      <c r="I1220">
        <v>1</v>
      </c>
      <c r="J1220">
        <v>1</v>
      </c>
      <c r="K1220">
        <v>0</v>
      </c>
      <c r="L1220">
        <v>1</v>
      </c>
      <c r="M1220">
        <v>0</v>
      </c>
      <c r="N1220">
        <v>0</v>
      </c>
      <c r="O1220">
        <v>1</v>
      </c>
      <c r="P1220">
        <v>1</v>
      </c>
      <c r="Q1220">
        <v>1</v>
      </c>
      <c r="R1220">
        <v>0</v>
      </c>
      <c r="S1220">
        <v>0</v>
      </c>
      <c r="T1220">
        <v>0</v>
      </c>
      <c r="U1220">
        <v>0</v>
      </c>
      <c r="V1220">
        <v>0</v>
      </c>
      <c r="W1220">
        <v>0</v>
      </c>
      <c r="X1220">
        <v>0</v>
      </c>
      <c r="Y1220">
        <v>0</v>
      </c>
      <c r="Z1220">
        <v>0</v>
      </c>
      <c r="AA1220">
        <v>0</v>
      </c>
      <c r="AB1220">
        <v>0</v>
      </c>
      <c r="AC1220">
        <v>0</v>
      </c>
      <c r="AD1220">
        <v>0</v>
      </c>
      <c r="AE1220">
        <v>0</v>
      </c>
      <c r="AF1220">
        <v>0</v>
      </c>
      <c r="AG1220">
        <v>0</v>
      </c>
      <c r="AH1220">
        <v>0</v>
      </c>
      <c r="AI1220">
        <v>0</v>
      </c>
      <c r="AJ1220">
        <v>0</v>
      </c>
      <c r="AK1220">
        <v>0</v>
      </c>
      <c r="AL1220">
        <v>6</v>
      </c>
      <c r="AM1220">
        <v>1</v>
      </c>
      <c r="AN1220">
        <v>19.813875419619336</v>
      </c>
    </row>
    <row r="1221" spans="1:40" x14ac:dyDescent="0.3">
      <c r="A1221" t="s">
        <v>381</v>
      </c>
      <c r="B1221" t="s">
        <v>17</v>
      </c>
      <c r="C1221" t="s">
        <v>10</v>
      </c>
      <c r="D1221" t="s">
        <v>11</v>
      </c>
      <c r="E1221">
        <v>202602</v>
      </c>
      <c r="F1221" t="s">
        <v>396</v>
      </c>
      <c r="G1221">
        <v>0</v>
      </c>
      <c r="H1221">
        <v>0</v>
      </c>
      <c r="I1221">
        <v>0</v>
      </c>
      <c r="J1221">
        <v>0</v>
      </c>
      <c r="K1221">
        <v>0</v>
      </c>
      <c r="L1221">
        <v>0</v>
      </c>
      <c r="M1221">
        <v>0</v>
      </c>
      <c r="N1221">
        <v>0</v>
      </c>
      <c r="O1221">
        <v>1</v>
      </c>
      <c r="P1221">
        <v>0</v>
      </c>
      <c r="Q1221">
        <v>0</v>
      </c>
      <c r="R1221">
        <v>0</v>
      </c>
      <c r="S1221">
        <v>0</v>
      </c>
      <c r="T1221">
        <v>0</v>
      </c>
      <c r="U1221">
        <v>0</v>
      </c>
      <c r="V1221">
        <v>0</v>
      </c>
      <c r="W1221">
        <v>0</v>
      </c>
      <c r="X1221">
        <v>0</v>
      </c>
      <c r="Y1221">
        <v>0</v>
      </c>
      <c r="Z1221">
        <v>0</v>
      </c>
      <c r="AA1221">
        <v>0</v>
      </c>
      <c r="AB1221">
        <v>0</v>
      </c>
      <c r="AC1221">
        <v>0</v>
      </c>
      <c r="AD1221">
        <v>0</v>
      </c>
      <c r="AE1221">
        <v>0</v>
      </c>
      <c r="AF1221">
        <v>0</v>
      </c>
      <c r="AG1221">
        <v>0</v>
      </c>
      <c r="AH1221">
        <v>0</v>
      </c>
      <c r="AI1221">
        <v>0</v>
      </c>
      <c r="AJ1221">
        <v>0</v>
      </c>
      <c r="AK1221">
        <v>0</v>
      </c>
      <c r="AL1221">
        <v>1</v>
      </c>
      <c r="AM1221">
        <v>0.33333333333333331</v>
      </c>
      <c r="AN1221">
        <v>5.6046251398731117</v>
      </c>
    </row>
    <row r="1222" spans="1:40" x14ac:dyDescent="0.3">
      <c r="A1222" t="s">
        <v>381</v>
      </c>
      <c r="B1222" t="s">
        <v>17</v>
      </c>
      <c r="C1222" t="s">
        <v>10</v>
      </c>
      <c r="D1222" t="s">
        <v>11</v>
      </c>
      <c r="E1222">
        <v>202602</v>
      </c>
      <c r="F1222" t="s">
        <v>397</v>
      </c>
      <c r="G1222">
        <v>0</v>
      </c>
      <c r="H1222">
        <v>0</v>
      </c>
      <c r="I1222">
        <v>1</v>
      </c>
      <c r="J1222">
        <v>0</v>
      </c>
      <c r="K1222">
        <v>1</v>
      </c>
      <c r="L1222">
        <v>0</v>
      </c>
      <c r="M1222">
        <v>1</v>
      </c>
      <c r="N1222">
        <v>0</v>
      </c>
      <c r="O1222">
        <v>0</v>
      </c>
      <c r="P1222">
        <v>0</v>
      </c>
      <c r="Q1222">
        <v>0</v>
      </c>
      <c r="R1222">
        <v>0</v>
      </c>
      <c r="S1222">
        <v>0</v>
      </c>
      <c r="T1222">
        <v>0</v>
      </c>
      <c r="U1222">
        <v>0</v>
      </c>
      <c r="V1222">
        <v>0</v>
      </c>
      <c r="W1222">
        <v>0</v>
      </c>
      <c r="X1222">
        <v>0</v>
      </c>
      <c r="Y1222">
        <v>0</v>
      </c>
      <c r="Z1222">
        <v>0</v>
      </c>
      <c r="AA1222">
        <v>0</v>
      </c>
      <c r="AB1222">
        <v>0</v>
      </c>
      <c r="AC1222">
        <v>0</v>
      </c>
      <c r="AD1222">
        <v>0</v>
      </c>
      <c r="AE1222">
        <v>0</v>
      </c>
      <c r="AF1222">
        <v>0</v>
      </c>
      <c r="AG1222">
        <v>0</v>
      </c>
      <c r="AH1222">
        <v>0</v>
      </c>
      <c r="AI1222">
        <v>0</v>
      </c>
      <c r="AJ1222">
        <v>0</v>
      </c>
      <c r="AK1222">
        <v>0</v>
      </c>
      <c r="AL1222">
        <v>3</v>
      </c>
      <c r="AM1222">
        <v>0</v>
      </c>
      <c r="AN1222">
        <v>3</v>
      </c>
    </row>
    <row r="1223" spans="1:40" x14ac:dyDescent="0.3">
      <c r="A1223" t="s">
        <v>381</v>
      </c>
      <c r="B1223" t="s">
        <v>17</v>
      </c>
      <c r="C1223" t="s">
        <v>10</v>
      </c>
      <c r="D1223" t="s">
        <v>11</v>
      </c>
      <c r="E1223">
        <v>202602</v>
      </c>
      <c r="F1223" t="s">
        <v>398</v>
      </c>
      <c r="G1223">
        <v>0</v>
      </c>
      <c r="H1223">
        <v>0</v>
      </c>
      <c r="I1223">
        <v>0</v>
      </c>
      <c r="J1223">
        <v>0</v>
      </c>
      <c r="K1223">
        <v>1</v>
      </c>
      <c r="L1223">
        <v>0</v>
      </c>
      <c r="M1223">
        <v>1</v>
      </c>
      <c r="N1223">
        <v>0</v>
      </c>
      <c r="O1223">
        <v>0</v>
      </c>
      <c r="P1223">
        <v>1</v>
      </c>
      <c r="Q1223">
        <v>0</v>
      </c>
      <c r="R1223">
        <v>0</v>
      </c>
      <c r="S1223">
        <v>0</v>
      </c>
      <c r="T1223">
        <v>0</v>
      </c>
      <c r="U1223">
        <v>0</v>
      </c>
      <c r="V1223">
        <v>0</v>
      </c>
      <c r="W1223">
        <v>0</v>
      </c>
      <c r="X1223">
        <v>0</v>
      </c>
      <c r="Y1223">
        <v>0</v>
      </c>
      <c r="Z1223">
        <v>0</v>
      </c>
      <c r="AA1223">
        <v>0</v>
      </c>
      <c r="AB1223">
        <v>0</v>
      </c>
      <c r="AC1223">
        <v>0</v>
      </c>
      <c r="AD1223">
        <v>0</v>
      </c>
      <c r="AE1223">
        <v>0</v>
      </c>
      <c r="AF1223">
        <v>0</v>
      </c>
      <c r="AG1223">
        <v>0</v>
      </c>
      <c r="AH1223">
        <v>0</v>
      </c>
      <c r="AI1223">
        <v>0</v>
      </c>
      <c r="AJ1223">
        <v>0</v>
      </c>
      <c r="AK1223">
        <v>0</v>
      </c>
      <c r="AL1223">
        <v>3</v>
      </c>
      <c r="AM1223">
        <v>0.33333333333333331</v>
      </c>
      <c r="AN1223">
        <v>7.6046251398731117</v>
      </c>
    </row>
    <row r="1224" spans="1:40" x14ac:dyDescent="0.3">
      <c r="A1224" t="s">
        <v>381</v>
      </c>
      <c r="B1224" t="s">
        <v>17</v>
      </c>
      <c r="C1224" t="s">
        <v>10</v>
      </c>
      <c r="D1224" t="s">
        <v>11</v>
      </c>
      <c r="E1224">
        <v>202602</v>
      </c>
      <c r="F1224" t="s">
        <v>399</v>
      </c>
      <c r="G1224">
        <v>0</v>
      </c>
      <c r="H1224">
        <v>0</v>
      </c>
      <c r="I1224">
        <v>0</v>
      </c>
      <c r="J1224">
        <v>0</v>
      </c>
      <c r="K1224">
        <v>1</v>
      </c>
      <c r="L1224">
        <v>1</v>
      </c>
      <c r="M1224">
        <v>0</v>
      </c>
      <c r="N1224">
        <v>0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0</v>
      </c>
      <c r="Y1224">
        <v>0</v>
      </c>
      <c r="Z1224">
        <v>0</v>
      </c>
      <c r="AA1224">
        <v>0</v>
      </c>
      <c r="AB1224">
        <v>0</v>
      </c>
      <c r="AC1224">
        <v>0</v>
      </c>
      <c r="AD1224">
        <v>0</v>
      </c>
      <c r="AE1224">
        <v>0</v>
      </c>
      <c r="AF1224">
        <v>0</v>
      </c>
      <c r="AG1224">
        <v>0</v>
      </c>
      <c r="AH1224">
        <v>0</v>
      </c>
      <c r="AI1224">
        <v>0</v>
      </c>
      <c r="AJ1224">
        <v>0</v>
      </c>
      <c r="AK1224">
        <v>0</v>
      </c>
      <c r="AL1224">
        <v>2</v>
      </c>
      <c r="AM1224">
        <v>0</v>
      </c>
      <c r="AN1224">
        <v>2</v>
      </c>
    </row>
    <row r="1225" spans="1:40" x14ac:dyDescent="0.3">
      <c r="A1225" t="s">
        <v>381</v>
      </c>
      <c r="B1225" t="s">
        <v>17</v>
      </c>
      <c r="C1225" t="s">
        <v>10</v>
      </c>
      <c r="D1225" t="s">
        <v>11</v>
      </c>
      <c r="E1225">
        <v>202602</v>
      </c>
      <c r="F1225" t="s">
        <v>400</v>
      </c>
      <c r="G1225">
        <v>0</v>
      </c>
      <c r="H1225">
        <v>2</v>
      </c>
      <c r="I1225">
        <v>0</v>
      </c>
      <c r="J1225">
        <v>0</v>
      </c>
      <c r="K1225">
        <v>0</v>
      </c>
      <c r="L1225">
        <v>2</v>
      </c>
      <c r="M1225">
        <v>0</v>
      </c>
      <c r="N1225">
        <v>0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  <c r="V1225">
        <v>0</v>
      </c>
      <c r="W1225">
        <v>0</v>
      </c>
      <c r="X1225">
        <v>0</v>
      </c>
      <c r="Y1225">
        <v>0</v>
      </c>
      <c r="Z1225">
        <v>0</v>
      </c>
      <c r="AA1225">
        <v>0</v>
      </c>
      <c r="AB1225">
        <v>0</v>
      </c>
      <c r="AC1225">
        <v>0</v>
      </c>
      <c r="AD1225">
        <v>0</v>
      </c>
      <c r="AE1225">
        <v>0</v>
      </c>
      <c r="AF1225">
        <v>0</v>
      </c>
      <c r="AG1225">
        <v>0</v>
      </c>
      <c r="AH1225">
        <v>0</v>
      </c>
      <c r="AI1225">
        <v>0</v>
      </c>
      <c r="AJ1225">
        <v>0</v>
      </c>
      <c r="AK1225">
        <v>0</v>
      </c>
      <c r="AL1225">
        <v>4</v>
      </c>
      <c r="AM1225">
        <v>0</v>
      </c>
      <c r="AN1225">
        <v>4</v>
      </c>
    </row>
    <row r="1226" spans="1:40" x14ac:dyDescent="0.3">
      <c r="A1226" t="s">
        <v>381</v>
      </c>
      <c r="B1226" t="s">
        <v>17</v>
      </c>
      <c r="C1226" t="s">
        <v>10</v>
      </c>
      <c r="D1226" t="s">
        <v>11</v>
      </c>
      <c r="E1226">
        <v>202602</v>
      </c>
      <c r="F1226" t="s">
        <v>401</v>
      </c>
      <c r="G1226">
        <v>0</v>
      </c>
      <c r="H1226">
        <v>0</v>
      </c>
      <c r="I1226">
        <v>0</v>
      </c>
      <c r="J1226">
        <v>0</v>
      </c>
      <c r="K1226">
        <v>0</v>
      </c>
      <c r="L1226">
        <v>0</v>
      </c>
      <c r="M1226">
        <v>0</v>
      </c>
      <c r="N1226">
        <v>0</v>
      </c>
      <c r="O1226">
        <v>1</v>
      </c>
      <c r="P1226">
        <v>0</v>
      </c>
      <c r="Q1226">
        <v>1</v>
      </c>
      <c r="R1226">
        <v>0</v>
      </c>
      <c r="S1226">
        <v>0</v>
      </c>
      <c r="T1226">
        <v>0</v>
      </c>
      <c r="U1226">
        <v>0</v>
      </c>
      <c r="V1226">
        <v>0</v>
      </c>
      <c r="W1226">
        <v>0</v>
      </c>
      <c r="X1226">
        <v>0</v>
      </c>
      <c r="Y1226">
        <v>0</v>
      </c>
      <c r="Z1226">
        <v>0</v>
      </c>
      <c r="AA1226">
        <v>0</v>
      </c>
      <c r="AB1226">
        <v>0</v>
      </c>
      <c r="AC1226">
        <v>0</v>
      </c>
      <c r="AD1226">
        <v>0</v>
      </c>
      <c r="AE1226">
        <v>0</v>
      </c>
      <c r="AF1226">
        <v>0</v>
      </c>
      <c r="AG1226">
        <v>0</v>
      </c>
      <c r="AH1226">
        <v>0</v>
      </c>
      <c r="AI1226">
        <v>0</v>
      </c>
      <c r="AJ1226">
        <v>0</v>
      </c>
      <c r="AK1226">
        <v>0</v>
      </c>
      <c r="AL1226">
        <v>2</v>
      </c>
      <c r="AM1226">
        <v>0.66666666666666663</v>
      </c>
      <c r="AN1226">
        <v>11.209250279746223</v>
      </c>
    </row>
    <row r="1227" spans="1:40" x14ac:dyDescent="0.3">
      <c r="A1227" t="s">
        <v>381</v>
      </c>
      <c r="B1227" t="s">
        <v>17</v>
      </c>
      <c r="C1227" t="s">
        <v>10</v>
      </c>
      <c r="D1227" t="s">
        <v>11</v>
      </c>
      <c r="E1227">
        <v>202602</v>
      </c>
      <c r="F1227" t="s">
        <v>402</v>
      </c>
      <c r="G1227">
        <v>0</v>
      </c>
      <c r="H1227">
        <v>0</v>
      </c>
      <c r="I1227">
        <v>0</v>
      </c>
      <c r="J1227">
        <v>2</v>
      </c>
      <c r="K1227">
        <v>0</v>
      </c>
      <c r="L1227">
        <v>0</v>
      </c>
      <c r="M1227">
        <v>0</v>
      </c>
      <c r="N1227">
        <v>0</v>
      </c>
      <c r="O1227">
        <v>0</v>
      </c>
      <c r="P1227">
        <v>0</v>
      </c>
      <c r="Q1227">
        <v>1</v>
      </c>
      <c r="R1227">
        <v>0</v>
      </c>
      <c r="S1227">
        <v>0</v>
      </c>
      <c r="T1227">
        <v>0</v>
      </c>
      <c r="U1227">
        <v>0</v>
      </c>
      <c r="V1227">
        <v>0</v>
      </c>
      <c r="W1227">
        <v>0</v>
      </c>
      <c r="X1227">
        <v>0</v>
      </c>
      <c r="Y1227">
        <v>0</v>
      </c>
      <c r="Z1227">
        <v>0</v>
      </c>
      <c r="AA1227">
        <v>0</v>
      </c>
      <c r="AB1227">
        <v>0</v>
      </c>
      <c r="AC1227">
        <v>0</v>
      </c>
      <c r="AD1227">
        <v>0</v>
      </c>
      <c r="AE1227">
        <v>0</v>
      </c>
      <c r="AF1227">
        <v>0</v>
      </c>
      <c r="AG1227">
        <v>0</v>
      </c>
      <c r="AH1227">
        <v>0</v>
      </c>
      <c r="AI1227">
        <v>0</v>
      </c>
      <c r="AJ1227">
        <v>0</v>
      </c>
      <c r="AK1227">
        <v>0</v>
      </c>
      <c r="AL1227">
        <v>3</v>
      </c>
      <c r="AM1227">
        <v>0.33333333333333331</v>
      </c>
      <c r="AN1227">
        <v>7.6046251398731117</v>
      </c>
    </row>
    <row r="1228" spans="1:40" x14ac:dyDescent="0.3">
      <c r="A1228" t="s">
        <v>381</v>
      </c>
      <c r="B1228" t="s">
        <v>17</v>
      </c>
      <c r="C1228" t="s">
        <v>10</v>
      </c>
      <c r="D1228" t="s">
        <v>11</v>
      </c>
      <c r="E1228">
        <v>202602</v>
      </c>
      <c r="F1228" t="s">
        <v>403</v>
      </c>
      <c r="G1228">
        <v>0</v>
      </c>
      <c r="H1228">
        <v>2</v>
      </c>
      <c r="I1228">
        <v>0</v>
      </c>
      <c r="J1228">
        <v>1</v>
      </c>
      <c r="K1228">
        <v>1</v>
      </c>
      <c r="L1228">
        <v>1</v>
      </c>
      <c r="M1228">
        <v>0</v>
      </c>
      <c r="N1228">
        <v>0</v>
      </c>
      <c r="O1228">
        <v>0</v>
      </c>
      <c r="P1228">
        <v>1</v>
      </c>
      <c r="Q1228">
        <v>1</v>
      </c>
      <c r="R1228">
        <v>0</v>
      </c>
      <c r="S1228">
        <v>0</v>
      </c>
      <c r="T1228">
        <v>0</v>
      </c>
      <c r="U1228">
        <v>0</v>
      </c>
      <c r="V1228">
        <v>0</v>
      </c>
      <c r="W1228">
        <v>0</v>
      </c>
      <c r="X1228">
        <v>0</v>
      </c>
      <c r="Y1228">
        <v>0</v>
      </c>
      <c r="Z1228">
        <v>0</v>
      </c>
      <c r="AA1228">
        <v>0</v>
      </c>
      <c r="AB1228">
        <v>0</v>
      </c>
      <c r="AC1228">
        <v>0</v>
      </c>
      <c r="AD1228">
        <v>0</v>
      </c>
      <c r="AE1228">
        <v>0</v>
      </c>
      <c r="AF1228">
        <v>0</v>
      </c>
      <c r="AG1228">
        <v>0</v>
      </c>
      <c r="AH1228">
        <v>0</v>
      </c>
      <c r="AI1228">
        <v>0</v>
      </c>
      <c r="AJ1228">
        <v>0</v>
      </c>
      <c r="AK1228">
        <v>0</v>
      </c>
      <c r="AL1228">
        <v>7</v>
      </c>
      <c r="AM1228">
        <v>0.66666666666666663</v>
      </c>
      <c r="AN1228">
        <v>16.209250279746222</v>
      </c>
    </row>
    <row r="1229" spans="1:40" x14ac:dyDescent="0.3">
      <c r="A1229" t="s">
        <v>381</v>
      </c>
      <c r="B1229" t="s">
        <v>17</v>
      </c>
      <c r="C1229" t="s">
        <v>10</v>
      </c>
      <c r="D1229" t="s">
        <v>11</v>
      </c>
      <c r="E1229">
        <v>202602</v>
      </c>
      <c r="F1229" t="s">
        <v>404</v>
      </c>
      <c r="G1229">
        <v>0</v>
      </c>
      <c r="H1229">
        <v>0</v>
      </c>
      <c r="I1229">
        <v>0</v>
      </c>
      <c r="J1229">
        <v>2</v>
      </c>
      <c r="K1229">
        <v>1</v>
      </c>
      <c r="L1229">
        <v>0</v>
      </c>
      <c r="M1229">
        <v>0</v>
      </c>
      <c r="N1229">
        <v>0</v>
      </c>
      <c r="O1229">
        <v>0</v>
      </c>
      <c r="P1229">
        <v>0</v>
      </c>
      <c r="Q1229">
        <v>0</v>
      </c>
      <c r="R1229">
        <v>0</v>
      </c>
      <c r="S1229">
        <v>0</v>
      </c>
      <c r="T1229">
        <v>0</v>
      </c>
      <c r="U1229">
        <v>0</v>
      </c>
      <c r="V1229">
        <v>0</v>
      </c>
      <c r="W1229">
        <v>0</v>
      </c>
      <c r="X1229">
        <v>0</v>
      </c>
      <c r="Y1229">
        <v>0</v>
      </c>
      <c r="Z1229">
        <v>0</v>
      </c>
      <c r="AA1229">
        <v>0</v>
      </c>
      <c r="AB1229">
        <v>0</v>
      </c>
      <c r="AC1229">
        <v>0</v>
      </c>
      <c r="AD1229">
        <v>0</v>
      </c>
      <c r="AE1229">
        <v>0</v>
      </c>
      <c r="AF1229">
        <v>0</v>
      </c>
      <c r="AG1229">
        <v>0</v>
      </c>
      <c r="AH1229">
        <v>0</v>
      </c>
      <c r="AI1229">
        <v>0</v>
      </c>
      <c r="AJ1229">
        <v>0</v>
      </c>
      <c r="AK1229">
        <v>0</v>
      </c>
      <c r="AL1229">
        <v>3</v>
      </c>
      <c r="AM1229">
        <v>0</v>
      </c>
      <c r="AN1229">
        <v>3</v>
      </c>
    </row>
    <row r="1230" spans="1:40" x14ac:dyDescent="0.3">
      <c r="A1230" t="s">
        <v>381</v>
      </c>
      <c r="B1230" t="s">
        <v>17</v>
      </c>
      <c r="C1230" t="s">
        <v>10</v>
      </c>
      <c r="D1230" t="s">
        <v>11</v>
      </c>
      <c r="E1230">
        <v>202602</v>
      </c>
      <c r="F1230" t="s">
        <v>411</v>
      </c>
      <c r="G1230">
        <v>0</v>
      </c>
      <c r="H1230">
        <v>0</v>
      </c>
      <c r="I1230">
        <v>0</v>
      </c>
      <c r="J1230">
        <v>0</v>
      </c>
      <c r="K1230">
        <v>0</v>
      </c>
      <c r="L1230">
        <v>0</v>
      </c>
      <c r="M1230">
        <v>0</v>
      </c>
      <c r="N1230">
        <v>0</v>
      </c>
      <c r="O1230">
        <v>0</v>
      </c>
      <c r="P1230">
        <v>0</v>
      </c>
      <c r="Q1230">
        <v>1</v>
      </c>
      <c r="R1230">
        <v>0</v>
      </c>
      <c r="S1230">
        <v>0</v>
      </c>
      <c r="T1230">
        <v>0</v>
      </c>
      <c r="U1230">
        <v>0</v>
      </c>
      <c r="V1230">
        <v>0</v>
      </c>
      <c r="W1230">
        <v>0</v>
      </c>
      <c r="X1230">
        <v>0</v>
      </c>
      <c r="Y1230">
        <v>0</v>
      </c>
      <c r="Z1230">
        <v>0</v>
      </c>
      <c r="AA1230">
        <v>0</v>
      </c>
      <c r="AB1230">
        <v>0</v>
      </c>
      <c r="AC1230">
        <v>0</v>
      </c>
      <c r="AD1230">
        <v>0</v>
      </c>
      <c r="AE1230">
        <v>0</v>
      </c>
      <c r="AF1230">
        <v>0</v>
      </c>
      <c r="AG1230">
        <v>0</v>
      </c>
      <c r="AH1230">
        <v>0</v>
      </c>
      <c r="AI1230">
        <v>0</v>
      </c>
      <c r="AJ1230">
        <v>0</v>
      </c>
      <c r="AK1230">
        <v>0</v>
      </c>
      <c r="AL1230">
        <v>1</v>
      </c>
      <c r="AM1230">
        <v>0.33333333333333331</v>
      </c>
      <c r="AN1230">
        <v>5.6046251398731117</v>
      </c>
    </row>
    <row r="1231" spans="1:40" x14ac:dyDescent="0.3">
      <c r="A1231" t="s">
        <v>381</v>
      </c>
      <c r="B1231" t="s">
        <v>17</v>
      </c>
      <c r="C1231" t="s">
        <v>10</v>
      </c>
      <c r="D1231" t="s">
        <v>11</v>
      </c>
      <c r="E1231">
        <v>202602</v>
      </c>
      <c r="F1231" t="s">
        <v>405</v>
      </c>
      <c r="G1231">
        <v>0</v>
      </c>
      <c r="H1231">
        <v>0</v>
      </c>
      <c r="I1231">
        <v>0</v>
      </c>
      <c r="J1231">
        <v>1</v>
      </c>
      <c r="K1231">
        <v>1</v>
      </c>
      <c r="L1231">
        <v>1</v>
      </c>
      <c r="M1231">
        <v>0</v>
      </c>
      <c r="N1231">
        <v>0</v>
      </c>
      <c r="O1231">
        <v>2</v>
      </c>
      <c r="P1231">
        <v>0</v>
      </c>
      <c r="Q1231">
        <v>0</v>
      </c>
      <c r="R1231">
        <v>0</v>
      </c>
      <c r="S1231">
        <v>0</v>
      </c>
      <c r="T1231">
        <v>0</v>
      </c>
      <c r="U1231">
        <v>0</v>
      </c>
      <c r="V1231">
        <v>0</v>
      </c>
      <c r="W1231">
        <v>0</v>
      </c>
      <c r="X1231">
        <v>0</v>
      </c>
      <c r="Y1231">
        <v>0</v>
      </c>
      <c r="Z1231">
        <v>0</v>
      </c>
      <c r="AA1231">
        <v>0</v>
      </c>
      <c r="AB1231">
        <v>0</v>
      </c>
      <c r="AC1231">
        <v>0</v>
      </c>
      <c r="AD1231">
        <v>0</v>
      </c>
      <c r="AE1231">
        <v>0</v>
      </c>
      <c r="AF1231">
        <v>0</v>
      </c>
      <c r="AG1231">
        <v>0</v>
      </c>
      <c r="AH1231">
        <v>0</v>
      </c>
      <c r="AI1231">
        <v>0</v>
      </c>
      <c r="AJ1231">
        <v>0</v>
      </c>
      <c r="AK1231">
        <v>0</v>
      </c>
      <c r="AL1231">
        <v>5</v>
      </c>
      <c r="AM1231">
        <v>0.66666666666666663</v>
      </c>
      <c r="AN1231">
        <v>14.209250279746223</v>
      </c>
    </row>
    <row r="1232" spans="1:40" x14ac:dyDescent="0.3">
      <c r="A1232" t="s">
        <v>381</v>
      </c>
      <c r="B1232" t="s">
        <v>17</v>
      </c>
      <c r="C1232" t="s">
        <v>10</v>
      </c>
      <c r="D1232" t="s">
        <v>11</v>
      </c>
      <c r="E1232">
        <v>202602</v>
      </c>
      <c r="F1232" t="s">
        <v>406</v>
      </c>
      <c r="G1232">
        <v>0</v>
      </c>
      <c r="H1232">
        <v>1</v>
      </c>
      <c r="I1232">
        <v>0</v>
      </c>
      <c r="J1232">
        <v>1</v>
      </c>
      <c r="K1232">
        <v>0</v>
      </c>
      <c r="L1232">
        <v>1</v>
      </c>
      <c r="M1232">
        <v>0</v>
      </c>
      <c r="N1232">
        <v>0</v>
      </c>
      <c r="O1232">
        <v>0</v>
      </c>
      <c r="P1232">
        <v>0</v>
      </c>
      <c r="Q1232">
        <v>0</v>
      </c>
      <c r="R1232">
        <v>0</v>
      </c>
      <c r="S1232">
        <v>0</v>
      </c>
      <c r="T1232">
        <v>0</v>
      </c>
      <c r="U1232">
        <v>0</v>
      </c>
      <c r="V1232">
        <v>0</v>
      </c>
      <c r="W1232">
        <v>0</v>
      </c>
      <c r="X1232">
        <v>0</v>
      </c>
      <c r="Y1232">
        <v>0</v>
      </c>
      <c r="Z1232">
        <v>0</v>
      </c>
      <c r="AA1232">
        <v>0</v>
      </c>
      <c r="AB1232">
        <v>0</v>
      </c>
      <c r="AC1232">
        <v>0</v>
      </c>
      <c r="AD1232">
        <v>0</v>
      </c>
      <c r="AE1232">
        <v>0</v>
      </c>
      <c r="AF1232">
        <v>0</v>
      </c>
      <c r="AG1232">
        <v>0</v>
      </c>
      <c r="AH1232">
        <v>0</v>
      </c>
      <c r="AI1232">
        <v>0</v>
      </c>
      <c r="AJ1232">
        <v>0</v>
      </c>
      <c r="AK1232">
        <v>0</v>
      </c>
      <c r="AL1232">
        <v>3</v>
      </c>
      <c r="AM1232">
        <v>0</v>
      </c>
      <c r="AN1232">
        <v>3</v>
      </c>
    </row>
    <row r="1233" spans="1:40" x14ac:dyDescent="0.3">
      <c r="A1233" t="s">
        <v>381</v>
      </c>
      <c r="B1233" t="s">
        <v>17</v>
      </c>
      <c r="C1233" t="s">
        <v>10</v>
      </c>
      <c r="D1233" t="s">
        <v>11</v>
      </c>
      <c r="E1233">
        <v>202602</v>
      </c>
      <c r="F1233" t="s">
        <v>407</v>
      </c>
      <c r="G1233">
        <v>0</v>
      </c>
      <c r="H1233">
        <v>0</v>
      </c>
      <c r="I1233">
        <v>0</v>
      </c>
      <c r="J1233">
        <v>0</v>
      </c>
      <c r="K1233">
        <v>1</v>
      </c>
      <c r="L1233">
        <v>0</v>
      </c>
      <c r="M1233">
        <v>0</v>
      </c>
      <c r="N1233">
        <v>0</v>
      </c>
      <c r="O1233">
        <v>0</v>
      </c>
      <c r="P1233">
        <v>1</v>
      </c>
      <c r="Q1233">
        <v>0</v>
      </c>
      <c r="R1233">
        <v>0</v>
      </c>
      <c r="S1233">
        <v>0</v>
      </c>
      <c r="T1233">
        <v>0</v>
      </c>
      <c r="U1233">
        <v>0</v>
      </c>
      <c r="V1233">
        <v>0</v>
      </c>
      <c r="W1233">
        <v>0</v>
      </c>
      <c r="X1233">
        <v>0</v>
      </c>
      <c r="Y1233">
        <v>0</v>
      </c>
      <c r="Z1233">
        <v>0</v>
      </c>
      <c r="AA1233">
        <v>0</v>
      </c>
      <c r="AB1233">
        <v>0</v>
      </c>
      <c r="AC1233">
        <v>0</v>
      </c>
      <c r="AD1233">
        <v>0</v>
      </c>
      <c r="AE1233">
        <v>0</v>
      </c>
      <c r="AF1233">
        <v>0</v>
      </c>
      <c r="AG1233">
        <v>0</v>
      </c>
      <c r="AH1233">
        <v>0</v>
      </c>
      <c r="AI1233">
        <v>0</v>
      </c>
      <c r="AJ1233">
        <v>0</v>
      </c>
      <c r="AK1233">
        <v>0</v>
      </c>
      <c r="AL1233">
        <v>2</v>
      </c>
      <c r="AM1233">
        <v>0.33333333333333331</v>
      </c>
      <c r="AN1233">
        <v>6.6046251398731117</v>
      </c>
    </row>
    <row r="1234" spans="1:40" x14ac:dyDescent="0.3">
      <c r="A1234" t="s">
        <v>381</v>
      </c>
      <c r="B1234" t="s">
        <v>17</v>
      </c>
      <c r="C1234" t="s">
        <v>10</v>
      </c>
      <c r="D1234" t="s">
        <v>11</v>
      </c>
      <c r="E1234">
        <v>202602</v>
      </c>
      <c r="F1234" t="s">
        <v>408</v>
      </c>
      <c r="G1234">
        <v>0</v>
      </c>
      <c r="H1234">
        <v>0</v>
      </c>
      <c r="I1234">
        <v>1</v>
      </c>
      <c r="J1234">
        <v>1</v>
      </c>
      <c r="K1234">
        <v>0</v>
      </c>
      <c r="L1234">
        <v>0</v>
      </c>
      <c r="M1234">
        <v>0</v>
      </c>
      <c r="N1234">
        <v>0</v>
      </c>
      <c r="O1234">
        <v>0</v>
      </c>
      <c r="P1234">
        <v>0</v>
      </c>
      <c r="Q1234">
        <v>0</v>
      </c>
      <c r="R1234">
        <v>0</v>
      </c>
      <c r="S1234">
        <v>0</v>
      </c>
      <c r="T1234">
        <v>0</v>
      </c>
      <c r="U1234">
        <v>0</v>
      </c>
      <c r="V1234">
        <v>0</v>
      </c>
      <c r="W1234">
        <v>0</v>
      </c>
      <c r="X1234">
        <v>0</v>
      </c>
      <c r="Y1234">
        <v>0</v>
      </c>
      <c r="Z1234">
        <v>0</v>
      </c>
      <c r="AA1234">
        <v>0</v>
      </c>
      <c r="AB1234">
        <v>0</v>
      </c>
      <c r="AC1234">
        <v>0</v>
      </c>
      <c r="AD1234">
        <v>0</v>
      </c>
      <c r="AE1234">
        <v>0</v>
      </c>
      <c r="AF1234">
        <v>0</v>
      </c>
      <c r="AG1234">
        <v>0</v>
      </c>
      <c r="AH1234">
        <v>0</v>
      </c>
      <c r="AI1234">
        <v>0</v>
      </c>
      <c r="AJ1234">
        <v>0</v>
      </c>
      <c r="AK1234">
        <v>0</v>
      </c>
      <c r="AL1234">
        <v>2</v>
      </c>
      <c r="AM1234">
        <v>0</v>
      </c>
      <c r="AN1234">
        <v>2</v>
      </c>
    </row>
    <row r="1235" spans="1:40" x14ac:dyDescent="0.3">
      <c r="A1235" t="s">
        <v>381</v>
      </c>
      <c r="B1235" t="s">
        <v>17</v>
      </c>
      <c r="C1235" t="s">
        <v>10</v>
      </c>
      <c r="D1235" t="s">
        <v>11</v>
      </c>
      <c r="E1235">
        <v>202602</v>
      </c>
      <c r="F1235" t="s">
        <v>409</v>
      </c>
      <c r="G1235">
        <v>0</v>
      </c>
      <c r="H1235">
        <v>1</v>
      </c>
      <c r="I1235">
        <v>0</v>
      </c>
      <c r="J1235">
        <v>0</v>
      </c>
      <c r="K1235">
        <v>1</v>
      </c>
      <c r="L1235">
        <v>0</v>
      </c>
      <c r="M1235">
        <v>1</v>
      </c>
      <c r="N1235">
        <v>0</v>
      </c>
      <c r="O1235">
        <v>1</v>
      </c>
      <c r="P1235">
        <v>0</v>
      </c>
      <c r="Q1235">
        <v>0</v>
      </c>
      <c r="R1235">
        <v>0</v>
      </c>
      <c r="S1235">
        <v>0</v>
      </c>
      <c r="T1235">
        <v>0</v>
      </c>
      <c r="U1235">
        <v>0</v>
      </c>
      <c r="V1235">
        <v>0</v>
      </c>
      <c r="W1235">
        <v>0</v>
      </c>
      <c r="X1235">
        <v>0</v>
      </c>
      <c r="Y1235">
        <v>0</v>
      </c>
      <c r="Z1235">
        <v>0</v>
      </c>
      <c r="AA1235">
        <v>0</v>
      </c>
      <c r="AB1235">
        <v>0</v>
      </c>
      <c r="AC1235">
        <v>0</v>
      </c>
      <c r="AD1235">
        <v>0</v>
      </c>
      <c r="AE1235">
        <v>0</v>
      </c>
      <c r="AF1235">
        <v>0</v>
      </c>
      <c r="AG1235">
        <v>0</v>
      </c>
      <c r="AH1235">
        <v>0</v>
      </c>
      <c r="AI1235">
        <v>0</v>
      </c>
      <c r="AJ1235">
        <v>0</v>
      </c>
      <c r="AK1235">
        <v>0</v>
      </c>
      <c r="AL1235">
        <v>4</v>
      </c>
      <c r="AM1235">
        <v>0.33333333333333331</v>
      </c>
      <c r="AN1235">
        <v>8.6046251398731108</v>
      </c>
    </row>
    <row r="1236" spans="1:40" x14ac:dyDescent="0.3">
      <c r="A1236" t="s">
        <v>381</v>
      </c>
      <c r="B1236" t="s">
        <v>17</v>
      </c>
      <c r="C1236" t="s">
        <v>10</v>
      </c>
      <c r="D1236" t="s">
        <v>14</v>
      </c>
      <c r="E1236">
        <v>202602</v>
      </c>
      <c r="F1236" t="s">
        <v>42</v>
      </c>
      <c r="G1236">
        <v>0</v>
      </c>
      <c r="H1236">
        <v>0</v>
      </c>
      <c r="I1236">
        <v>1</v>
      </c>
      <c r="J1236">
        <v>0</v>
      </c>
      <c r="K1236">
        <v>0</v>
      </c>
      <c r="L1236">
        <v>0</v>
      </c>
      <c r="M1236">
        <v>0</v>
      </c>
      <c r="N1236">
        <v>0</v>
      </c>
      <c r="O1236">
        <v>0</v>
      </c>
      <c r="P1236">
        <v>1</v>
      </c>
      <c r="Q1236">
        <v>0</v>
      </c>
      <c r="R1236">
        <v>0</v>
      </c>
      <c r="S1236">
        <v>0</v>
      </c>
      <c r="T1236">
        <v>0</v>
      </c>
      <c r="U1236">
        <v>0</v>
      </c>
      <c r="V1236">
        <v>0</v>
      </c>
      <c r="W1236">
        <v>0</v>
      </c>
      <c r="X1236">
        <v>0</v>
      </c>
      <c r="Y1236">
        <v>0</v>
      </c>
      <c r="Z1236">
        <v>0</v>
      </c>
      <c r="AA1236">
        <v>0</v>
      </c>
      <c r="AB1236">
        <v>0</v>
      </c>
      <c r="AC1236">
        <v>0</v>
      </c>
      <c r="AD1236">
        <v>0</v>
      </c>
      <c r="AE1236">
        <v>0</v>
      </c>
      <c r="AF1236">
        <v>0</v>
      </c>
      <c r="AG1236">
        <v>0</v>
      </c>
      <c r="AH1236">
        <v>0</v>
      </c>
      <c r="AI1236">
        <v>0</v>
      </c>
      <c r="AJ1236">
        <v>0</v>
      </c>
      <c r="AK1236">
        <v>0</v>
      </c>
      <c r="AL1236">
        <v>2</v>
      </c>
      <c r="AM1236">
        <v>0.33333333333333331</v>
      </c>
      <c r="AN1236">
        <v>6.0417410714286133</v>
      </c>
    </row>
    <row r="1237" spans="1:40" x14ac:dyDescent="0.3">
      <c r="A1237" t="s">
        <v>381</v>
      </c>
      <c r="B1237" t="s">
        <v>17</v>
      </c>
      <c r="C1237" t="s">
        <v>10</v>
      </c>
      <c r="D1237" t="s">
        <v>14</v>
      </c>
      <c r="E1237">
        <v>202602</v>
      </c>
      <c r="F1237" t="s">
        <v>383</v>
      </c>
      <c r="G1237">
        <v>0</v>
      </c>
      <c r="H1237">
        <v>0</v>
      </c>
      <c r="I1237">
        <v>0</v>
      </c>
      <c r="J1237">
        <v>1</v>
      </c>
      <c r="K1237">
        <v>1</v>
      </c>
      <c r="L1237">
        <v>1</v>
      </c>
      <c r="M1237">
        <v>0</v>
      </c>
      <c r="N1237">
        <v>0</v>
      </c>
      <c r="O1237">
        <v>1</v>
      </c>
      <c r="P1237">
        <v>0</v>
      </c>
      <c r="Q1237">
        <v>0</v>
      </c>
      <c r="R1237">
        <v>0</v>
      </c>
      <c r="S1237">
        <v>0</v>
      </c>
      <c r="T1237">
        <v>0</v>
      </c>
      <c r="U1237">
        <v>0</v>
      </c>
      <c r="V1237">
        <v>0</v>
      </c>
      <c r="W1237">
        <v>0</v>
      </c>
      <c r="X1237">
        <v>0</v>
      </c>
      <c r="Y1237">
        <v>0</v>
      </c>
      <c r="Z1237">
        <v>0</v>
      </c>
      <c r="AA1237">
        <v>0</v>
      </c>
      <c r="AB1237">
        <v>0</v>
      </c>
      <c r="AC1237">
        <v>0</v>
      </c>
      <c r="AD1237">
        <v>0</v>
      </c>
      <c r="AE1237">
        <v>0</v>
      </c>
      <c r="AF1237">
        <v>0</v>
      </c>
      <c r="AG1237">
        <v>0</v>
      </c>
      <c r="AH1237">
        <v>0</v>
      </c>
      <c r="AI1237">
        <v>0</v>
      </c>
      <c r="AJ1237">
        <v>0</v>
      </c>
      <c r="AK1237">
        <v>0</v>
      </c>
      <c r="AL1237">
        <v>4</v>
      </c>
      <c r="AM1237">
        <v>0.33333333333333331</v>
      </c>
      <c r="AN1237">
        <v>8.0417410714286142</v>
      </c>
    </row>
    <row r="1238" spans="1:40" x14ac:dyDescent="0.3">
      <c r="A1238" t="s">
        <v>381</v>
      </c>
      <c r="B1238" t="s">
        <v>17</v>
      </c>
      <c r="C1238" t="s">
        <v>10</v>
      </c>
      <c r="D1238" t="s">
        <v>14</v>
      </c>
      <c r="E1238">
        <v>202602</v>
      </c>
      <c r="F1238" t="s">
        <v>384</v>
      </c>
      <c r="G1238">
        <v>0</v>
      </c>
      <c r="H1238">
        <v>0</v>
      </c>
      <c r="I1238">
        <v>0</v>
      </c>
      <c r="J1238">
        <v>1</v>
      </c>
      <c r="K1238">
        <v>1</v>
      </c>
      <c r="L1238">
        <v>0</v>
      </c>
      <c r="M1238">
        <v>0</v>
      </c>
      <c r="N1238">
        <v>0</v>
      </c>
      <c r="O1238">
        <v>1</v>
      </c>
      <c r="P1238">
        <v>0</v>
      </c>
      <c r="Q1238">
        <v>0</v>
      </c>
      <c r="R1238">
        <v>0</v>
      </c>
      <c r="S1238">
        <v>0</v>
      </c>
      <c r="T1238">
        <v>0</v>
      </c>
      <c r="U1238">
        <v>0</v>
      </c>
      <c r="V1238">
        <v>0</v>
      </c>
      <c r="W1238">
        <v>0</v>
      </c>
      <c r="X1238">
        <v>0</v>
      </c>
      <c r="Y1238">
        <v>0</v>
      </c>
      <c r="Z1238">
        <v>0</v>
      </c>
      <c r="AA1238">
        <v>0</v>
      </c>
      <c r="AB1238">
        <v>0</v>
      </c>
      <c r="AC1238">
        <v>0</v>
      </c>
      <c r="AD1238">
        <v>0</v>
      </c>
      <c r="AE1238">
        <v>0</v>
      </c>
      <c r="AF1238">
        <v>0</v>
      </c>
      <c r="AG1238">
        <v>0</v>
      </c>
      <c r="AH1238">
        <v>0</v>
      </c>
      <c r="AI1238">
        <v>0</v>
      </c>
      <c r="AJ1238">
        <v>0</v>
      </c>
      <c r="AK1238">
        <v>0</v>
      </c>
      <c r="AL1238">
        <v>3</v>
      </c>
      <c r="AM1238">
        <v>0.33333333333333331</v>
      </c>
      <c r="AN1238">
        <v>7.0417410714286133</v>
      </c>
    </row>
    <row r="1239" spans="1:40" x14ac:dyDescent="0.3">
      <c r="A1239" t="s">
        <v>381</v>
      </c>
      <c r="B1239" t="s">
        <v>17</v>
      </c>
      <c r="C1239" t="s">
        <v>10</v>
      </c>
      <c r="D1239" t="s">
        <v>14</v>
      </c>
      <c r="E1239">
        <v>202602</v>
      </c>
      <c r="F1239" t="s">
        <v>385</v>
      </c>
      <c r="G1239">
        <v>0</v>
      </c>
      <c r="H1239">
        <v>1</v>
      </c>
      <c r="I1239">
        <v>2</v>
      </c>
      <c r="J1239">
        <v>0</v>
      </c>
      <c r="K1239">
        <v>0</v>
      </c>
      <c r="L1239">
        <v>1</v>
      </c>
      <c r="M1239">
        <v>0</v>
      </c>
      <c r="N1239">
        <v>0</v>
      </c>
      <c r="O1239">
        <v>1</v>
      </c>
      <c r="P1239">
        <v>0</v>
      </c>
      <c r="Q1239">
        <v>1</v>
      </c>
      <c r="R1239">
        <v>0</v>
      </c>
      <c r="S1239">
        <v>0</v>
      </c>
      <c r="T1239">
        <v>0</v>
      </c>
      <c r="U1239">
        <v>0</v>
      </c>
      <c r="V1239">
        <v>0</v>
      </c>
      <c r="W1239">
        <v>0</v>
      </c>
      <c r="X1239">
        <v>0</v>
      </c>
      <c r="Y1239">
        <v>0</v>
      </c>
      <c r="Z1239">
        <v>0</v>
      </c>
      <c r="AA1239">
        <v>0</v>
      </c>
      <c r="AB1239">
        <v>0</v>
      </c>
      <c r="AC1239">
        <v>0</v>
      </c>
      <c r="AD1239">
        <v>0</v>
      </c>
      <c r="AE1239">
        <v>0</v>
      </c>
      <c r="AF1239">
        <v>0</v>
      </c>
      <c r="AG1239">
        <v>0</v>
      </c>
      <c r="AH1239">
        <v>0</v>
      </c>
      <c r="AI1239">
        <v>0</v>
      </c>
      <c r="AJ1239">
        <v>0</v>
      </c>
      <c r="AK1239">
        <v>0</v>
      </c>
      <c r="AL1239">
        <v>6</v>
      </c>
      <c r="AM1239">
        <v>0.66666666666666663</v>
      </c>
      <c r="AN1239">
        <v>14.083482142857227</v>
      </c>
    </row>
    <row r="1240" spans="1:40" x14ac:dyDescent="0.3">
      <c r="A1240" t="s">
        <v>381</v>
      </c>
      <c r="B1240" t="s">
        <v>17</v>
      </c>
      <c r="C1240" t="s">
        <v>10</v>
      </c>
      <c r="D1240" t="s">
        <v>14</v>
      </c>
      <c r="E1240">
        <v>202602</v>
      </c>
      <c r="F1240" t="s">
        <v>386</v>
      </c>
      <c r="G1240">
        <v>0</v>
      </c>
      <c r="H1240">
        <v>0</v>
      </c>
      <c r="I1240">
        <v>0</v>
      </c>
      <c r="J1240">
        <v>0</v>
      </c>
      <c r="K1240">
        <v>0</v>
      </c>
      <c r="L1240">
        <v>0</v>
      </c>
      <c r="M1240">
        <v>0</v>
      </c>
      <c r="N1240">
        <v>0</v>
      </c>
      <c r="O1240">
        <v>1</v>
      </c>
      <c r="P1240">
        <v>0</v>
      </c>
      <c r="Q1240">
        <v>1</v>
      </c>
      <c r="R1240">
        <v>0</v>
      </c>
      <c r="S1240">
        <v>0</v>
      </c>
      <c r="T1240">
        <v>0</v>
      </c>
      <c r="U1240">
        <v>0</v>
      </c>
      <c r="V1240">
        <v>0</v>
      </c>
      <c r="W1240">
        <v>0</v>
      </c>
      <c r="X1240">
        <v>0</v>
      </c>
      <c r="Y1240">
        <v>0</v>
      </c>
      <c r="Z1240">
        <v>0</v>
      </c>
      <c r="AA1240">
        <v>0</v>
      </c>
      <c r="AB1240">
        <v>0</v>
      </c>
      <c r="AC1240">
        <v>0</v>
      </c>
      <c r="AD1240">
        <v>0</v>
      </c>
      <c r="AE1240">
        <v>0</v>
      </c>
      <c r="AF1240">
        <v>0</v>
      </c>
      <c r="AG1240">
        <v>0</v>
      </c>
      <c r="AH1240">
        <v>0</v>
      </c>
      <c r="AI1240">
        <v>0</v>
      </c>
      <c r="AJ1240">
        <v>0</v>
      </c>
      <c r="AK1240">
        <v>0</v>
      </c>
      <c r="AL1240">
        <v>2</v>
      </c>
      <c r="AM1240">
        <v>0.66666666666666663</v>
      </c>
      <c r="AN1240">
        <v>10.083482142857227</v>
      </c>
    </row>
    <row r="1241" spans="1:40" x14ac:dyDescent="0.3">
      <c r="A1241" t="s">
        <v>381</v>
      </c>
      <c r="B1241" t="s">
        <v>17</v>
      </c>
      <c r="C1241" t="s">
        <v>10</v>
      </c>
      <c r="D1241" t="s">
        <v>14</v>
      </c>
      <c r="E1241">
        <v>202602</v>
      </c>
      <c r="F1241" t="s">
        <v>387</v>
      </c>
      <c r="G1241">
        <v>0</v>
      </c>
      <c r="H1241">
        <v>0</v>
      </c>
      <c r="I1241">
        <v>2</v>
      </c>
      <c r="J1241">
        <v>0</v>
      </c>
      <c r="K1241">
        <v>0</v>
      </c>
      <c r="L1241">
        <v>0</v>
      </c>
      <c r="M1241">
        <v>0</v>
      </c>
      <c r="N1241">
        <v>0</v>
      </c>
      <c r="O1241">
        <v>0</v>
      </c>
      <c r="P1241">
        <v>0</v>
      </c>
      <c r="Q1241">
        <v>3</v>
      </c>
      <c r="R1241">
        <v>0</v>
      </c>
      <c r="S1241">
        <v>0</v>
      </c>
      <c r="T1241">
        <v>0</v>
      </c>
      <c r="U1241">
        <v>0</v>
      </c>
      <c r="V1241">
        <v>0</v>
      </c>
      <c r="W1241">
        <v>0</v>
      </c>
      <c r="X1241">
        <v>0</v>
      </c>
      <c r="Y1241">
        <v>0</v>
      </c>
      <c r="Z1241">
        <v>0</v>
      </c>
      <c r="AA1241">
        <v>0</v>
      </c>
      <c r="AB1241">
        <v>0</v>
      </c>
      <c r="AC1241">
        <v>0</v>
      </c>
      <c r="AD1241">
        <v>0</v>
      </c>
      <c r="AE1241">
        <v>0</v>
      </c>
      <c r="AF1241">
        <v>0</v>
      </c>
      <c r="AG1241">
        <v>0</v>
      </c>
      <c r="AH1241">
        <v>0</v>
      </c>
      <c r="AI1241">
        <v>0</v>
      </c>
      <c r="AJ1241">
        <v>0</v>
      </c>
      <c r="AK1241">
        <v>0</v>
      </c>
      <c r="AL1241">
        <v>5</v>
      </c>
      <c r="AM1241">
        <v>1</v>
      </c>
      <c r="AN1241">
        <v>17.125223214285839</v>
      </c>
    </row>
    <row r="1242" spans="1:40" x14ac:dyDescent="0.3">
      <c r="A1242" t="s">
        <v>381</v>
      </c>
      <c r="B1242" t="s">
        <v>17</v>
      </c>
      <c r="C1242" t="s">
        <v>10</v>
      </c>
      <c r="D1242" t="s">
        <v>14</v>
      </c>
      <c r="E1242">
        <v>202602</v>
      </c>
      <c r="F1242" t="s">
        <v>388</v>
      </c>
      <c r="G1242">
        <v>0</v>
      </c>
      <c r="H1242">
        <v>1</v>
      </c>
      <c r="I1242">
        <v>0</v>
      </c>
      <c r="J1242">
        <v>0</v>
      </c>
      <c r="K1242">
        <v>0</v>
      </c>
      <c r="L1242">
        <v>2</v>
      </c>
      <c r="M1242">
        <v>2</v>
      </c>
      <c r="N1242">
        <v>0</v>
      </c>
      <c r="O1242">
        <v>2</v>
      </c>
      <c r="P1242">
        <v>1</v>
      </c>
      <c r="Q1242">
        <v>0</v>
      </c>
      <c r="R1242">
        <v>0</v>
      </c>
      <c r="S1242">
        <v>0</v>
      </c>
      <c r="T1242">
        <v>0</v>
      </c>
      <c r="U1242">
        <v>0</v>
      </c>
      <c r="V1242">
        <v>0</v>
      </c>
      <c r="W1242">
        <v>0</v>
      </c>
      <c r="X1242">
        <v>0</v>
      </c>
      <c r="Y1242">
        <v>0</v>
      </c>
      <c r="Z1242">
        <v>0</v>
      </c>
      <c r="AA1242">
        <v>0</v>
      </c>
      <c r="AB1242">
        <v>0</v>
      </c>
      <c r="AC1242">
        <v>0</v>
      </c>
      <c r="AD1242">
        <v>0</v>
      </c>
      <c r="AE1242">
        <v>0</v>
      </c>
      <c r="AF1242">
        <v>0</v>
      </c>
      <c r="AG1242">
        <v>0</v>
      </c>
      <c r="AH1242">
        <v>0</v>
      </c>
      <c r="AI1242">
        <v>0</v>
      </c>
      <c r="AJ1242">
        <v>0</v>
      </c>
      <c r="AK1242">
        <v>0</v>
      </c>
      <c r="AL1242">
        <v>8</v>
      </c>
      <c r="AM1242">
        <v>1</v>
      </c>
      <c r="AN1242">
        <v>20.125223214285839</v>
      </c>
    </row>
    <row r="1243" spans="1:40" x14ac:dyDescent="0.3">
      <c r="A1243" t="s">
        <v>381</v>
      </c>
      <c r="B1243" t="s">
        <v>17</v>
      </c>
      <c r="C1243" t="s">
        <v>10</v>
      </c>
      <c r="D1243" t="s">
        <v>14</v>
      </c>
      <c r="E1243">
        <v>202602</v>
      </c>
      <c r="F1243" t="s">
        <v>410</v>
      </c>
      <c r="G1243">
        <v>0</v>
      </c>
      <c r="H1243">
        <v>0</v>
      </c>
      <c r="I1243">
        <v>0</v>
      </c>
      <c r="J1243">
        <v>1</v>
      </c>
      <c r="K1243">
        <v>0</v>
      </c>
      <c r="L1243">
        <v>0</v>
      </c>
      <c r="M1243">
        <v>0</v>
      </c>
      <c r="N1243">
        <v>0</v>
      </c>
      <c r="O1243">
        <v>1</v>
      </c>
      <c r="P1243">
        <v>0</v>
      </c>
      <c r="Q1243">
        <v>1</v>
      </c>
      <c r="R1243">
        <v>0</v>
      </c>
      <c r="S1243">
        <v>0</v>
      </c>
      <c r="T1243">
        <v>0</v>
      </c>
      <c r="U1243">
        <v>0</v>
      </c>
      <c r="V1243">
        <v>0</v>
      </c>
      <c r="W1243">
        <v>0</v>
      </c>
      <c r="X1243">
        <v>0</v>
      </c>
      <c r="Y1243">
        <v>0</v>
      </c>
      <c r="Z1243">
        <v>0</v>
      </c>
      <c r="AA1243">
        <v>0</v>
      </c>
      <c r="AB1243">
        <v>0</v>
      </c>
      <c r="AC1243">
        <v>0</v>
      </c>
      <c r="AD1243">
        <v>0</v>
      </c>
      <c r="AE1243">
        <v>0</v>
      </c>
      <c r="AF1243">
        <v>0</v>
      </c>
      <c r="AG1243">
        <v>0</v>
      </c>
      <c r="AH1243">
        <v>0</v>
      </c>
      <c r="AI1243">
        <v>0</v>
      </c>
      <c r="AJ1243">
        <v>0</v>
      </c>
      <c r="AK1243">
        <v>0</v>
      </c>
      <c r="AL1243">
        <v>3</v>
      </c>
      <c r="AM1243">
        <v>0.66666666666666663</v>
      </c>
      <c r="AN1243">
        <v>11.083482142857227</v>
      </c>
    </row>
    <row r="1244" spans="1:40" x14ac:dyDescent="0.3">
      <c r="A1244" t="s">
        <v>381</v>
      </c>
      <c r="B1244" t="s">
        <v>17</v>
      </c>
      <c r="C1244" t="s">
        <v>10</v>
      </c>
      <c r="D1244" t="s">
        <v>14</v>
      </c>
      <c r="E1244">
        <v>202602</v>
      </c>
      <c r="F1244" t="s">
        <v>389</v>
      </c>
      <c r="G1244">
        <v>0</v>
      </c>
      <c r="H1244">
        <v>0</v>
      </c>
      <c r="I1244">
        <v>1</v>
      </c>
      <c r="J1244">
        <v>0</v>
      </c>
      <c r="K1244">
        <v>0</v>
      </c>
      <c r="L1244">
        <v>0</v>
      </c>
      <c r="M1244">
        <v>0</v>
      </c>
      <c r="N1244">
        <v>0</v>
      </c>
      <c r="O1244">
        <v>0</v>
      </c>
      <c r="P1244">
        <v>1</v>
      </c>
      <c r="Q1244">
        <v>0</v>
      </c>
      <c r="R1244">
        <v>0</v>
      </c>
      <c r="S1244">
        <v>0</v>
      </c>
      <c r="T1244">
        <v>0</v>
      </c>
      <c r="U1244">
        <v>0</v>
      </c>
      <c r="V1244">
        <v>0</v>
      </c>
      <c r="W1244">
        <v>0</v>
      </c>
      <c r="X1244">
        <v>0</v>
      </c>
      <c r="Y1244">
        <v>0</v>
      </c>
      <c r="Z1244">
        <v>0</v>
      </c>
      <c r="AA1244">
        <v>0</v>
      </c>
      <c r="AB1244">
        <v>0</v>
      </c>
      <c r="AC1244">
        <v>0</v>
      </c>
      <c r="AD1244">
        <v>0</v>
      </c>
      <c r="AE1244">
        <v>0</v>
      </c>
      <c r="AF1244">
        <v>0</v>
      </c>
      <c r="AG1244">
        <v>0</v>
      </c>
      <c r="AH1244">
        <v>0</v>
      </c>
      <c r="AI1244">
        <v>0</v>
      </c>
      <c r="AJ1244">
        <v>0</v>
      </c>
      <c r="AK1244">
        <v>0</v>
      </c>
      <c r="AL1244">
        <v>2</v>
      </c>
      <c r="AM1244">
        <v>0.33333333333333331</v>
      </c>
      <c r="AN1244">
        <v>6.0417410714286133</v>
      </c>
    </row>
    <row r="1245" spans="1:40" x14ac:dyDescent="0.3">
      <c r="A1245" t="s">
        <v>381</v>
      </c>
      <c r="B1245" t="s">
        <v>17</v>
      </c>
      <c r="C1245" t="s">
        <v>10</v>
      </c>
      <c r="D1245" t="s">
        <v>14</v>
      </c>
      <c r="E1245">
        <v>202602</v>
      </c>
      <c r="F1245" t="s">
        <v>390</v>
      </c>
      <c r="G1245">
        <v>0</v>
      </c>
      <c r="H1245">
        <v>1</v>
      </c>
      <c r="I1245">
        <v>1</v>
      </c>
      <c r="J1245">
        <v>0</v>
      </c>
      <c r="K1245">
        <v>0</v>
      </c>
      <c r="L1245">
        <v>0</v>
      </c>
      <c r="M1245">
        <v>1</v>
      </c>
      <c r="N1245">
        <v>0</v>
      </c>
      <c r="O1245">
        <v>1</v>
      </c>
      <c r="P1245">
        <v>0</v>
      </c>
      <c r="Q1245">
        <v>1</v>
      </c>
      <c r="R1245">
        <v>0</v>
      </c>
      <c r="S1245">
        <v>0</v>
      </c>
      <c r="T1245">
        <v>0</v>
      </c>
      <c r="U1245">
        <v>0</v>
      </c>
      <c r="V1245">
        <v>0</v>
      </c>
      <c r="W1245">
        <v>0</v>
      </c>
      <c r="X1245">
        <v>0</v>
      </c>
      <c r="Y1245">
        <v>0</v>
      </c>
      <c r="Z1245">
        <v>0</v>
      </c>
      <c r="AA1245">
        <v>0</v>
      </c>
      <c r="AB1245">
        <v>0</v>
      </c>
      <c r="AC1245">
        <v>0</v>
      </c>
      <c r="AD1245">
        <v>0</v>
      </c>
      <c r="AE1245">
        <v>0</v>
      </c>
      <c r="AF1245">
        <v>0</v>
      </c>
      <c r="AG1245">
        <v>0</v>
      </c>
      <c r="AH1245">
        <v>0</v>
      </c>
      <c r="AI1245">
        <v>0</v>
      </c>
      <c r="AJ1245">
        <v>0</v>
      </c>
      <c r="AK1245">
        <v>0</v>
      </c>
      <c r="AL1245">
        <v>5</v>
      </c>
      <c r="AM1245">
        <v>0.66666666666666663</v>
      </c>
      <c r="AN1245">
        <v>13.083482142857227</v>
      </c>
    </row>
    <row r="1246" spans="1:40" x14ac:dyDescent="0.3">
      <c r="A1246" t="s">
        <v>381</v>
      </c>
      <c r="B1246" t="s">
        <v>17</v>
      </c>
      <c r="C1246" t="s">
        <v>10</v>
      </c>
      <c r="D1246" t="s">
        <v>14</v>
      </c>
      <c r="E1246">
        <v>202602</v>
      </c>
      <c r="F1246" t="s">
        <v>391</v>
      </c>
      <c r="G1246">
        <v>0</v>
      </c>
      <c r="H1246">
        <v>0</v>
      </c>
      <c r="I1246">
        <v>0</v>
      </c>
      <c r="J1246">
        <v>0</v>
      </c>
      <c r="K1246">
        <v>1</v>
      </c>
      <c r="L1246">
        <v>0</v>
      </c>
      <c r="M1246">
        <v>0</v>
      </c>
      <c r="N1246">
        <v>1</v>
      </c>
      <c r="O1246">
        <v>0</v>
      </c>
      <c r="P1246">
        <v>0</v>
      </c>
      <c r="Q1246">
        <v>0</v>
      </c>
      <c r="R1246">
        <v>0</v>
      </c>
      <c r="S1246">
        <v>0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0</v>
      </c>
      <c r="Z1246">
        <v>0</v>
      </c>
      <c r="AA1246">
        <v>0</v>
      </c>
      <c r="AB1246">
        <v>0</v>
      </c>
      <c r="AC1246">
        <v>0</v>
      </c>
      <c r="AD1246">
        <v>0</v>
      </c>
      <c r="AE1246">
        <v>0</v>
      </c>
      <c r="AF1246">
        <v>0</v>
      </c>
      <c r="AG1246">
        <v>0</v>
      </c>
      <c r="AH1246">
        <v>0</v>
      </c>
      <c r="AI1246">
        <v>0</v>
      </c>
      <c r="AJ1246">
        <v>0</v>
      </c>
      <c r="AK1246">
        <v>0</v>
      </c>
      <c r="AL1246">
        <v>2</v>
      </c>
      <c r="AM1246">
        <v>0</v>
      </c>
      <c r="AN1246">
        <v>2</v>
      </c>
    </row>
    <row r="1247" spans="1:40" x14ac:dyDescent="0.3">
      <c r="A1247" t="s">
        <v>381</v>
      </c>
      <c r="B1247" t="s">
        <v>17</v>
      </c>
      <c r="C1247" t="s">
        <v>10</v>
      </c>
      <c r="D1247" t="s">
        <v>14</v>
      </c>
      <c r="E1247">
        <v>202602</v>
      </c>
      <c r="F1247" t="s">
        <v>392</v>
      </c>
      <c r="G1247">
        <v>0</v>
      </c>
      <c r="H1247">
        <v>0</v>
      </c>
      <c r="I1247">
        <v>1</v>
      </c>
      <c r="J1247">
        <v>0</v>
      </c>
      <c r="K1247">
        <v>1</v>
      </c>
      <c r="L1247">
        <v>3</v>
      </c>
      <c r="M1247">
        <v>0</v>
      </c>
      <c r="N1247">
        <v>0</v>
      </c>
      <c r="O1247">
        <v>2</v>
      </c>
      <c r="P1247">
        <v>1</v>
      </c>
      <c r="Q1247">
        <v>1</v>
      </c>
      <c r="R1247">
        <v>0</v>
      </c>
      <c r="S1247">
        <v>0</v>
      </c>
      <c r="T1247">
        <v>0</v>
      </c>
      <c r="U1247">
        <v>0</v>
      </c>
      <c r="V1247">
        <v>0</v>
      </c>
      <c r="W1247">
        <v>0</v>
      </c>
      <c r="X1247">
        <v>0</v>
      </c>
      <c r="Y1247">
        <v>0</v>
      </c>
      <c r="Z1247">
        <v>0</v>
      </c>
      <c r="AA1247">
        <v>0</v>
      </c>
      <c r="AB1247">
        <v>0</v>
      </c>
      <c r="AC1247">
        <v>0</v>
      </c>
      <c r="AD1247">
        <v>0</v>
      </c>
      <c r="AE1247">
        <v>0</v>
      </c>
      <c r="AF1247">
        <v>0</v>
      </c>
      <c r="AG1247">
        <v>0</v>
      </c>
      <c r="AH1247">
        <v>0</v>
      </c>
      <c r="AI1247">
        <v>0</v>
      </c>
      <c r="AJ1247">
        <v>0</v>
      </c>
      <c r="AK1247">
        <v>0</v>
      </c>
      <c r="AL1247">
        <v>9</v>
      </c>
      <c r="AM1247">
        <v>1.3333333333333333</v>
      </c>
      <c r="AN1247">
        <v>25.166964285714453</v>
      </c>
    </row>
    <row r="1248" spans="1:40" x14ac:dyDescent="0.3">
      <c r="A1248" t="s">
        <v>381</v>
      </c>
      <c r="B1248" t="s">
        <v>17</v>
      </c>
      <c r="C1248" t="s">
        <v>10</v>
      </c>
      <c r="D1248" t="s">
        <v>14</v>
      </c>
      <c r="E1248">
        <v>202602</v>
      </c>
      <c r="F1248" t="s">
        <v>393</v>
      </c>
      <c r="G1248">
        <v>0</v>
      </c>
      <c r="H1248">
        <v>2</v>
      </c>
      <c r="I1248">
        <v>1</v>
      </c>
      <c r="J1248">
        <v>1</v>
      </c>
      <c r="K1248">
        <v>1</v>
      </c>
      <c r="L1248">
        <v>1</v>
      </c>
      <c r="M1248">
        <v>0</v>
      </c>
      <c r="N1248">
        <v>0</v>
      </c>
      <c r="O1248">
        <v>0</v>
      </c>
      <c r="P1248">
        <v>1</v>
      </c>
      <c r="Q1248">
        <v>1</v>
      </c>
      <c r="R1248">
        <v>0</v>
      </c>
      <c r="S1248">
        <v>0</v>
      </c>
      <c r="T1248">
        <v>0</v>
      </c>
      <c r="U1248">
        <v>0</v>
      </c>
      <c r="V1248">
        <v>0</v>
      </c>
      <c r="W1248">
        <v>0</v>
      </c>
      <c r="X1248">
        <v>0</v>
      </c>
      <c r="Y1248">
        <v>0</v>
      </c>
      <c r="Z1248">
        <v>0</v>
      </c>
      <c r="AA1248">
        <v>0</v>
      </c>
      <c r="AB1248">
        <v>0</v>
      </c>
      <c r="AC1248">
        <v>0</v>
      </c>
      <c r="AD1248">
        <v>0</v>
      </c>
      <c r="AE1248">
        <v>0</v>
      </c>
      <c r="AF1248">
        <v>0</v>
      </c>
      <c r="AG1248">
        <v>0</v>
      </c>
      <c r="AH1248">
        <v>0</v>
      </c>
      <c r="AI1248">
        <v>0</v>
      </c>
      <c r="AJ1248">
        <v>0</v>
      </c>
      <c r="AK1248">
        <v>0</v>
      </c>
      <c r="AL1248">
        <v>8</v>
      </c>
      <c r="AM1248">
        <v>0.66666666666666663</v>
      </c>
      <c r="AN1248">
        <v>16.083482142857228</v>
      </c>
    </row>
    <row r="1249" spans="1:40" x14ac:dyDescent="0.3">
      <c r="A1249" t="s">
        <v>381</v>
      </c>
      <c r="B1249" t="s">
        <v>17</v>
      </c>
      <c r="C1249" t="s">
        <v>10</v>
      </c>
      <c r="D1249" t="s">
        <v>14</v>
      </c>
      <c r="E1249">
        <v>202602</v>
      </c>
      <c r="F1249" t="s">
        <v>394</v>
      </c>
      <c r="G1249">
        <v>0</v>
      </c>
      <c r="H1249">
        <v>1</v>
      </c>
      <c r="I1249">
        <v>1</v>
      </c>
      <c r="J1249">
        <v>0</v>
      </c>
      <c r="K1249">
        <v>0</v>
      </c>
      <c r="L1249">
        <v>1</v>
      </c>
      <c r="M1249">
        <v>0</v>
      </c>
      <c r="N1249">
        <v>0</v>
      </c>
      <c r="O1249">
        <v>0</v>
      </c>
      <c r="P1249">
        <v>0</v>
      </c>
      <c r="Q1249">
        <v>0</v>
      </c>
      <c r="R1249">
        <v>0</v>
      </c>
      <c r="S1249">
        <v>0</v>
      </c>
      <c r="T1249">
        <v>0</v>
      </c>
      <c r="U1249">
        <v>0</v>
      </c>
      <c r="V1249">
        <v>0</v>
      </c>
      <c r="W1249">
        <v>0</v>
      </c>
      <c r="X1249">
        <v>0</v>
      </c>
      <c r="Y1249">
        <v>0</v>
      </c>
      <c r="Z1249">
        <v>0</v>
      </c>
      <c r="AA1249">
        <v>0</v>
      </c>
      <c r="AB1249">
        <v>0</v>
      </c>
      <c r="AC1249">
        <v>0</v>
      </c>
      <c r="AD1249">
        <v>0</v>
      </c>
      <c r="AE1249">
        <v>0</v>
      </c>
      <c r="AF1249">
        <v>0</v>
      </c>
      <c r="AG1249">
        <v>0</v>
      </c>
      <c r="AH1249">
        <v>0</v>
      </c>
      <c r="AI1249">
        <v>0</v>
      </c>
      <c r="AJ1249">
        <v>0</v>
      </c>
      <c r="AK1249">
        <v>0</v>
      </c>
      <c r="AL1249">
        <v>3</v>
      </c>
      <c r="AM1249">
        <v>0</v>
      </c>
      <c r="AN1249">
        <v>3</v>
      </c>
    </row>
    <row r="1250" spans="1:40" x14ac:dyDescent="0.3">
      <c r="A1250" t="s">
        <v>381</v>
      </c>
      <c r="B1250" t="s">
        <v>17</v>
      </c>
      <c r="C1250" t="s">
        <v>10</v>
      </c>
      <c r="D1250" t="s">
        <v>14</v>
      </c>
      <c r="E1250">
        <v>202602</v>
      </c>
      <c r="F1250" t="s">
        <v>395</v>
      </c>
      <c r="G1250">
        <v>0</v>
      </c>
      <c r="H1250">
        <v>1</v>
      </c>
      <c r="I1250">
        <v>2</v>
      </c>
      <c r="J1250">
        <v>0</v>
      </c>
      <c r="K1250">
        <v>1</v>
      </c>
      <c r="L1250">
        <v>1</v>
      </c>
      <c r="M1250">
        <v>0</v>
      </c>
      <c r="N1250">
        <v>0</v>
      </c>
      <c r="O1250">
        <v>0</v>
      </c>
      <c r="P1250">
        <v>1</v>
      </c>
      <c r="Q1250">
        <v>0</v>
      </c>
      <c r="R1250">
        <v>0</v>
      </c>
      <c r="S1250">
        <v>0</v>
      </c>
      <c r="T1250">
        <v>0</v>
      </c>
      <c r="U1250">
        <v>0</v>
      </c>
      <c r="V1250">
        <v>0</v>
      </c>
      <c r="W1250">
        <v>0</v>
      </c>
      <c r="X1250">
        <v>0</v>
      </c>
      <c r="Y1250">
        <v>0</v>
      </c>
      <c r="Z1250">
        <v>0</v>
      </c>
      <c r="AA1250">
        <v>0</v>
      </c>
      <c r="AB1250">
        <v>0</v>
      </c>
      <c r="AC1250">
        <v>0</v>
      </c>
      <c r="AD1250">
        <v>0</v>
      </c>
      <c r="AE1250">
        <v>0</v>
      </c>
      <c r="AF1250">
        <v>0</v>
      </c>
      <c r="AG1250">
        <v>0</v>
      </c>
      <c r="AH1250">
        <v>0</v>
      </c>
      <c r="AI1250">
        <v>0</v>
      </c>
      <c r="AJ1250">
        <v>0</v>
      </c>
      <c r="AK1250">
        <v>0</v>
      </c>
      <c r="AL1250">
        <v>6</v>
      </c>
      <c r="AM1250">
        <v>0.33333333333333331</v>
      </c>
      <c r="AN1250">
        <v>10.041741071428614</v>
      </c>
    </row>
    <row r="1251" spans="1:40" x14ac:dyDescent="0.3">
      <c r="A1251" t="s">
        <v>381</v>
      </c>
      <c r="B1251" t="s">
        <v>17</v>
      </c>
      <c r="C1251" t="s">
        <v>10</v>
      </c>
      <c r="D1251" t="s">
        <v>14</v>
      </c>
      <c r="E1251">
        <v>202602</v>
      </c>
      <c r="F1251" t="s">
        <v>396</v>
      </c>
      <c r="G1251">
        <v>0</v>
      </c>
      <c r="H1251">
        <v>0</v>
      </c>
      <c r="I1251">
        <v>0</v>
      </c>
      <c r="J1251">
        <v>1</v>
      </c>
      <c r="K1251">
        <v>0</v>
      </c>
      <c r="L1251">
        <v>0</v>
      </c>
      <c r="M1251">
        <v>0</v>
      </c>
      <c r="N1251">
        <v>0</v>
      </c>
      <c r="O1251">
        <v>0</v>
      </c>
      <c r="P1251">
        <v>0</v>
      </c>
      <c r="Q1251">
        <v>0</v>
      </c>
      <c r="R1251">
        <v>0</v>
      </c>
      <c r="S1251">
        <v>0</v>
      </c>
      <c r="T1251">
        <v>0</v>
      </c>
      <c r="U1251">
        <v>0</v>
      </c>
      <c r="V1251">
        <v>0</v>
      </c>
      <c r="W1251">
        <v>0</v>
      </c>
      <c r="X1251">
        <v>0</v>
      </c>
      <c r="Y1251">
        <v>0</v>
      </c>
      <c r="Z1251">
        <v>0</v>
      </c>
      <c r="AA1251">
        <v>0</v>
      </c>
      <c r="AB1251">
        <v>0</v>
      </c>
      <c r="AC1251">
        <v>0</v>
      </c>
      <c r="AD1251">
        <v>0</v>
      </c>
      <c r="AE1251">
        <v>0</v>
      </c>
      <c r="AF1251">
        <v>0</v>
      </c>
      <c r="AG1251">
        <v>0</v>
      </c>
      <c r="AH1251">
        <v>0</v>
      </c>
      <c r="AI1251">
        <v>0</v>
      </c>
      <c r="AJ1251">
        <v>0</v>
      </c>
      <c r="AK1251">
        <v>0</v>
      </c>
      <c r="AL1251">
        <v>1</v>
      </c>
      <c r="AM1251">
        <v>0</v>
      </c>
      <c r="AN1251">
        <v>1</v>
      </c>
    </row>
    <row r="1252" spans="1:40" x14ac:dyDescent="0.3">
      <c r="A1252" t="s">
        <v>381</v>
      </c>
      <c r="B1252" t="s">
        <v>17</v>
      </c>
      <c r="C1252" t="s">
        <v>10</v>
      </c>
      <c r="D1252" t="s">
        <v>14</v>
      </c>
      <c r="E1252">
        <v>202602</v>
      </c>
      <c r="F1252" t="s">
        <v>397</v>
      </c>
      <c r="G1252">
        <v>0</v>
      </c>
      <c r="H1252">
        <v>1</v>
      </c>
      <c r="I1252">
        <v>0</v>
      </c>
      <c r="J1252">
        <v>0</v>
      </c>
      <c r="K1252">
        <v>0</v>
      </c>
      <c r="L1252">
        <v>0</v>
      </c>
      <c r="M1252">
        <v>0</v>
      </c>
      <c r="N1252">
        <v>0</v>
      </c>
      <c r="O1252">
        <v>0</v>
      </c>
      <c r="P1252">
        <v>0</v>
      </c>
      <c r="Q1252">
        <v>0</v>
      </c>
      <c r="R1252">
        <v>0</v>
      </c>
      <c r="S1252">
        <v>0</v>
      </c>
      <c r="T1252">
        <v>0</v>
      </c>
      <c r="U1252">
        <v>0</v>
      </c>
      <c r="V1252">
        <v>0</v>
      </c>
      <c r="W1252">
        <v>0</v>
      </c>
      <c r="X1252">
        <v>0</v>
      </c>
      <c r="Y1252">
        <v>0</v>
      </c>
      <c r="Z1252">
        <v>0</v>
      </c>
      <c r="AA1252">
        <v>0</v>
      </c>
      <c r="AB1252">
        <v>0</v>
      </c>
      <c r="AC1252">
        <v>0</v>
      </c>
      <c r="AD1252">
        <v>0</v>
      </c>
      <c r="AE1252">
        <v>0</v>
      </c>
      <c r="AF1252">
        <v>0</v>
      </c>
      <c r="AG1252">
        <v>0</v>
      </c>
      <c r="AH1252">
        <v>0</v>
      </c>
      <c r="AI1252">
        <v>0</v>
      </c>
      <c r="AJ1252">
        <v>0</v>
      </c>
      <c r="AK1252">
        <v>0</v>
      </c>
      <c r="AL1252">
        <v>1</v>
      </c>
      <c r="AM1252">
        <v>0</v>
      </c>
      <c r="AN1252">
        <v>1</v>
      </c>
    </row>
    <row r="1253" spans="1:40" x14ac:dyDescent="0.3">
      <c r="A1253" t="s">
        <v>381</v>
      </c>
      <c r="B1253" t="s">
        <v>17</v>
      </c>
      <c r="C1253" t="s">
        <v>10</v>
      </c>
      <c r="D1253" t="s">
        <v>14</v>
      </c>
      <c r="E1253">
        <v>202602</v>
      </c>
      <c r="F1253" t="s">
        <v>398</v>
      </c>
      <c r="G1253">
        <v>0</v>
      </c>
      <c r="H1253">
        <v>1</v>
      </c>
      <c r="I1253">
        <v>1</v>
      </c>
      <c r="J1253">
        <v>1</v>
      </c>
      <c r="K1253">
        <v>0</v>
      </c>
      <c r="L1253">
        <v>0</v>
      </c>
      <c r="M1253">
        <v>0</v>
      </c>
      <c r="N1253">
        <v>0</v>
      </c>
      <c r="O1253">
        <v>2</v>
      </c>
      <c r="P1253">
        <v>0</v>
      </c>
      <c r="Q1253">
        <v>2</v>
      </c>
      <c r="R1253">
        <v>0</v>
      </c>
      <c r="S1253">
        <v>0</v>
      </c>
      <c r="T1253">
        <v>0</v>
      </c>
      <c r="U1253">
        <v>0</v>
      </c>
      <c r="V1253">
        <v>0</v>
      </c>
      <c r="W1253">
        <v>0</v>
      </c>
      <c r="X1253">
        <v>0</v>
      </c>
      <c r="Y1253">
        <v>0</v>
      </c>
      <c r="Z1253">
        <v>0</v>
      </c>
      <c r="AA1253">
        <v>0</v>
      </c>
      <c r="AB1253">
        <v>0</v>
      </c>
      <c r="AC1253">
        <v>0</v>
      </c>
      <c r="AD1253">
        <v>0</v>
      </c>
      <c r="AE1253">
        <v>0</v>
      </c>
      <c r="AF1253">
        <v>0</v>
      </c>
      <c r="AG1253">
        <v>0</v>
      </c>
      <c r="AH1253">
        <v>0</v>
      </c>
      <c r="AI1253">
        <v>0</v>
      </c>
      <c r="AJ1253">
        <v>0</v>
      </c>
      <c r="AK1253">
        <v>0</v>
      </c>
      <c r="AL1253">
        <v>7</v>
      </c>
      <c r="AM1253">
        <v>1.3333333333333333</v>
      </c>
      <c r="AN1253">
        <v>23.166964285714453</v>
      </c>
    </row>
    <row r="1254" spans="1:40" x14ac:dyDescent="0.3">
      <c r="A1254" t="s">
        <v>381</v>
      </c>
      <c r="B1254" t="s">
        <v>17</v>
      </c>
      <c r="C1254" t="s">
        <v>10</v>
      </c>
      <c r="D1254" t="s">
        <v>14</v>
      </c>
      <c r="E1254">
        <v>202602</v>
      </c>
      <c r="F1254" t="s">
        <v>399</v>
      </c>
      <c r="G1254">
        <v>0</v>
      </c>
      <c r="H1254">
        <v>0</v>
      </c>
      <c r="I1254">
        <v>1</v>
      </c>
      <c r="J1254">
        <v>0</v>
      </c>
      <c r="K1254">
        <v>1</v>
      </c>
      <c r="L1254">
        <v>0</v>
      </c>
      <c r="M1254">
        <v>0</v>
      </c>
      <c r="N1254">
        <v>0</v>
      </c>
      <c r="O1254">
        <v>0</v>
      </c>
      <c r="P1254">
        <v>0</v>
      </c>
      <c r="Q1254">
        <v>0</v>
      </c>
      <c r="R1254">
        <v>0</v>
      </c>
      <c r="S1254">
        <v>0</v>
      </c>
      <c r="T1254">
        <v>0</v>
      </c>
      <c r="U1254">
        <v>0</v>
      </c>
      <c r="V1254">
        <v>0</v>
      </c>
      <c r="W1254">
        <v>0</v>
      </c>
      <c r="X1254">
        <v>0</v>
      </c>
      <c r="Y1254">
        <v>0</v>
      </c>
      <c r="Z1254">
        <v>0</v>
      </c>
      <c r="AA1254">
        <v>0</v>
      </c>
      <c r="AB1254">
        <v>0</v>
      </c>
      <c r="AC1254">
        <v>0</v>
      </c>
      <c r="AD1254">
        <v>0</v>
      </c>
      <c r="AE1254">
        <v>0</v>
      </c>
      <c r="AF1254">
        <v>0</v>
      </c>
      <c r="AG1254">
        <v>0</v>
      </c>
      <c r="AH1254">
        <v>0</v>
      </c>
      <c r="AI1254">
        <v>0</v>
      </c>
      <c r="AJ1254">
        <v>0</v>
      </c>
      <c r="AK1254">
        <v>0</v>
      </c>
      <c r="AL1254">
        <v>2</v>
      </c>
      <c r="AM1254">
        <v>0</v>
      </c>
      <c r="AN1254">
        <v>2</v>
      </c>
    </row>
    <row r="1255" spans="1:40" x14ac:dyDescent="0.3">
      <c r="A1255" t="s">
        <v>381</v>
      </c>
      <c r="B1255" t="s">
        <v>17</v>
      </c>
      <c r="C1255" t="s">
        <v>10</v>
      </c>
      <c r="D1255" t="s">
        <v>14</v>
      </c>
      <c r="E1255">
        <v>202602</v>
      </c>
      <c r="F1255" t="s">
        <v>400</v>
      </c>
      <c r="G1255">
        <v>0</v>
      </c>
      <c r="H1255">
        <v>0</v>
      </c>
      <c r="I1255">
        <v>2</v>
      </c>
      <c r="J1255">
        <v>0</v>
      </c>
      <c r="K1255">
        <v>0</v>
      </c>
      <c r="L1255">
        <v>0</v>
      </c>
      <c r="M1255">
        <v>0</v>
      </c>
      <c r="N1255">
        <v>0</v>
      </c>
      <c r="O1255">
        <v>0</v>
      </c>
      <c r="P1255">
        <v>0</v>
      </c>
      <c r="Q1255">
        <v>0</v>
      </c>
      <c r="R1255">
        <v>0</v>
      </c>
      <c r="S1255">
        <v>0</v>
      </c>
      <c r="T1255">
        <v>0</v>
      </c>
      <c r="U1255">
        <v>0</v>
      </c>
      <c r="V1255">
        <v>0</v>
      </c>
      <c r="W1255">
        <v>0</v>
      </c>
      <c r="X1255">
        <v>0</v>
      </c>
      <c r="Y1255">
        <v>0</v>
      </c>
      <c r="Z1255">
        <v>0</v>
      </c>
      <c r="AA1255">
        <v>0</v>
      </c>
      <c r="AB1255">
        <v>0</v>
      </c>
      <c r="AC1255">
        <v>0</v>
      </c>
      <c r="AD1255">
        <v>0</v>
      </c>
      <c r="AE1255">
        <v>0</v>
      </c>
      <c r="AF1255">
        <v>0</v>
      </c>
      <c r="AG1255">
        <v>0</v>
      </c>
      <c r="AH1255">
        <v>0</v>
      </c>
      <c r="AI1255">
        <v>0</v>
      </c>
      <c r="AJ1255">
        <v>0</v>
      </c>
      <c r="AK1255">
        <v>0</v>
      </c>
      <c r="AL1255">
        <v>2</v>
      </c>
      <c r="AM1255">
        <v>0</v>
      </c>
      <c r="AN1255">
        <v>2</v>
      </c>
    </row>
    <row r="1256" spans="1:40" x14ac:dyDescent="0.3">
      <c r="A1256" t="s">
        <v>381</v>
      </c>
      <c r="B1256" t="s">
        <v>17</v>
      </c>
      <c r="C1256" t="s">
        <v>10</v>
      </c>
      <c r="D1256" t="s">
        <v>14</v>
      </c>
      <c r="E1256">
        <v>202602</v>
      </c>
      <c r="F1256" t="s">
        <v>401</v>
      </c>
      <c r="G1256">
        <v>0</v>
      </c>
      <c r="H1256">
        <v>0</v>
      </c>
      <c r="I1256">
        <v>0</v>
      </c>
      <c r="J1256">
        <v>0</v>
      </c>
      <c r="K1256">
        <v>2</v>
      </c>
      <c r="L1256">
        <v>0</v>
      </c>
      <c r="M1256">
        <v>0</v>
      </c>
      <c r="N1256">
        <v>0</v>
      </c>
      <c r="O1256">
        <v>0</v>
      </c>
      <c r="P1256">
        <v>2</v>
      </c>
      <c r="Q1256">
        <v>1</v>
      </c>
      <c r="R1256">
        <v>0</v>
      </c>
      <c r="S1256">
        <v>0</v>
      </c>
      <c r="T1256">
        <v>0</v>
      </c>
      <c r="U1256">
        <v>0</v>
      </c>
      <c r="V1256">
        <v>0</v>
      </c>
      <c r="W1256">
        <v>0</v>
      </c>
      <c r="X1256">
        <v>0</v>
      </c>
      <c r="Y1256">
        <v>0</v>
      </c>
      <c r="Z1256">
        <v>0</v>
      </c>
      <c r="AA1256">
        <v>0</v>
      </c>
      <c r="AB1256">
        <v>0</v>
      </c>
      <c r="AC1256">
        <v>0</v>
      </c>
      <c r="AD1256">
        <v>0</v>
      </c>
      <c r="AE1256">
        <v>0</v>
      </c>
      <c r="AF1256">
        <v>0</v>
      </c>
      <c r="AG1256">
        <v>0</v>
      </c>
      <c r="AH1256">
        <v>0</v>
      </c>
      <c r="AI1256">
        <v>0</v>
      </c>
      <c r="AJ1256">
        <v>0</v>
      </c>
      <c r="AK1256">
        <v>0</v>
      </c>
      <c r="AL1256">
        <v>5</v>
      </c>
      <c r="AM1256">
        <v>1</v>
      </c>
      <c r="AN1256">
        <v>17.125223214285839</v>
      </c>
    </row>
    <row r="1257" spans="1:40" x14ac:dyDescent="0.3">
      <c r="A1257" t="s">
        <v>381</v>
      </c>
      <c r="B1257" t="s">
        <v>17</v>
      </c>
      <c r="C1257" t="s">
        <v>10</v>
      </c>
      <c r="D1257" t="s">
        <v>14</v>
      </c>
      <c r="E1257">
        <v>202602</v>
      </c>
      <c r="F1257" t="s">
        <v>402</v>
      </c>
      <c r="G1257">
        <v>0</v>
      </c>
      <c r="H1257">
        <v>1</v>
      </c>
      <c r="I1257">
        <v>2</v>
      </c>
      <c r="J1257">
        <v>0</v>
      </c>
      <c r="K1257">
        <v>0</v>
      </c>
      <c r="L1257">
        <v>0</v>
      </c>
      <c r="M1257">
        <v>0</v>
      </c>
      <c r="N1257">
        <v>0</v>
      </c>
      <c r="O1257">
        <v>0</v>
      </c>
      <c r="P1257">
        <v>1</v>
      </c>
      <c r="Q1257">
        <v>1</v>
      </c>
      <c r="R1257">
        <v>0</v>
      </c>
      <c r="S1257">
        <v>0</v>
      </c>
      <c r="T1257">
        <v>0</v>
      </c>
      <c r="U1257">
        <v>0</v>
      </c>
      <c r="V1257">
        <v>0</v>
      </c>
      <c r="W1257">
        <v>0</v>
      </c>
      <c r="X1257">
        <v>0</v>
      </c>
      <c r="Y1257">
        <v>0</v>
      </c>
      <c r="Z1257">
        <v>0</v>
      </c>
      <c r="AA1257">
        <v>0</v>
      </c>
      <c r="AB1257">
        <v>0</v>
      </c>
      <c r="AC1257">
        <v>0</v>
      </c>
      <c r="AD1257">
        <v>0</v>
      </c>
      <c r="AE1257">
        <v>0</v>
      </c>
      <c r="AF1257">
        <v>0</v>
      </c>
      <c r="AG1257">
        <v>0</v>
      </c>
      <c r="AH1257">
        <v>0</v>
      </c>
      <c r="AI1257">
        <v>0</v>
      </c>
      <c r="AJ1257">
        <v>0</v>
      </c>
      <c r="AK1257">
        <v>0</v>
      </c>
      <c r="AL1257">
        <v>5</v>
      </c>
      <c r="AM1257">
        <v>0.66666666666666663</v>
      </c>
      <c r="AN1257">
        <v>13.083482142857227</v>
      </c>
    </row>
    <row r="1258" spans="1:40" x14ac:dyDescent="0.3">
      <c r="A1258" t="s">
        <v>381</v>
      </c>
      <c r="B1258" t="s">
        <v>17</v>
      </c>
      <c r="C1258" t="s">
        <v>10</v>
      </c>
      <c r="D1258" t="s">
        <v>14</v>
      </c>
      <c r="E1258">
        <v>202602</v>
      </c>
      <c r="F1258" t="s">
        <v>403</v>
      </c>
      <c r="G1258">
        <v>0</v>
      </c>
      <c r="H1258">
        <v>0</v>
      </c>
      <c r="I1258">
        <v>1</v>
      </c>
      <c r="J1258">
        <v>1</v>
      </c>
      <c r="K1258">
        <v>0</v>
      </c>
      <c r="L1258">
        <v>0</v>
      </c>
      <c r="M1258">
        <v>0</v>
      </c>
      <c r="N1258">
        <v>0</v>
      </c>
      <c r="O1258">
        <v>1</v>
      </c>
      <c r="P1258">
        <v>1</v>
      </c>
      <c r="Q1258">
        <v>0</v>
      </c>
      <c r="R1258">
        <v>0</v>
      </c>
      <c r="S1258">
        <v>0</v>
      </c>
      <c r="T1258">
        <v>0</v>
      </c>
      <c r="U1258">
        <v>0</v>
      </c>
      <c r="V1258">
        <v>0</v>
      </c>
      <c r="W1258">
        <v>0</v>
      </c>
      <c r="X1258">
        <v>0</v>
      </c>
      <c r="Y1258">
        <v>0</v>
      </c>
      <c r="Z1258">
        <v>0</v>
      </c>
      <c r="AA1258">
        <v>0</v>
      </c>
      <c r="AB1258">
        <v>0</v>
      </c>
      <c r="AC1258">
        <v>0</v>
      </c>
      <c r="AD1258">
        <v>0</v>
      </c>
      <c r="AE1258">
        <v>0</v>
      </c>
      <c r="AF1258">
        <v>0</v>
      </c>
      <c r="AG1258">
        <v>0</v>
      </c>
      <c r="AH1258">
        <v>0</v>
      </c>
      <c r="AI1258">
        <v>0</v>
      </c>
      <c r="AJ1258">
        <v>0</v>
      </c>
      <c r="AK1258">
        <v>0</v>
      </c>
      <c r="AL1258">
        <v>4</v>
      </c>
      <c r="AM1258">
        <v>0.66666666666666663</v>
      </c>
      <c r="AN1258">
        <v>12.083482142857227</v>
      </c>
    </row>
    <row r="1259" spans="1:40" x14ac:dyDescent="0.3">
      <c r="A1259" t="s">
        <v>381</v>
      </c>
      <c r="B1259" t="s">
        <v>17</v>
      </c>
      <c r="C1259" t="s">
        <v>10</v>
      </c>
      <c r="D1259" t="s">
        <v>14</v>
      </c>
      <c r="E1259">
        <v>202602</v>
      </c>
      <c r="F1259" t="s">
        <v>404</v>
      </c>
      <c r="G1259">
        <v>1</v>
      </c>
      <c r="H1259">
        <v>0</v>
      </c>
      <c r="I1259">
        <v>2</v>
      </c>
      <c r="J1259">
        <v>1</v>
      </c>
      <c r="K1259">
        <v>0</v>
      </c>
      <c r="L1259">
        <v>0</v>
      </c>
      <c r="M1259">
        <v>0</v>
      </c>
      <c r="N1259">
        <v>0</v>
      </c>
      <c r="O1259">
        <v>0</v>
      </c>
      <c r="P1259">
        <v>0</v>
      </c>
      <c r="Q1259">
        <v>0</v>
      </c>
      <c r="R1259">
        <v>0</v>
      </c>
      <c r="S1259">
        <v>0</v>
      </c>
      <c r="T1259">
        <v>0</v>
      </c>
      <c r="U1259">
        <v>0</v>
      </c>
      <c r="V1259">
        <v>0</v>
      </c>
      <c r="W1259">
        <v>0</v>
      </c>
      <c r="X1259">
        <v>0</v>
      </c>
      <c r="Y1259">
        <v>0</v>
      </c>
      <c r="Z1259">
        <v>0</v>
      </c>
      <c r="AA1259">
        <v>0</v>
      </c>
      <c r="AB1259">
        <v>0</v>
      </c>
      <c r="AC1259">
        <v>0</v>
      </c>
      <c r="AD1259">
        <v>0</v>
      </c>
      <c r="AE1259">
        <v>0</v>
      </c>
      <c r="AF1259">
        <v>0</v>
      </c>
      <c r="AG1259">
        <v>0</v>
      </c>
      <c r="AH1259">
        <v>0</v>
      </c>
      <c r="AI1259">
        <v>0</v>
      </c>
      <c r="AJ1259">
        <v>0</v>
      </c>
      <c r="AK1259">
        <v>0</v>
      </c>
      <c r="AL1259">
        <v>4</v>
      </c>
      <c r="AM1259">
        <v>0</v>
      </c>
      <c r="AN1259">
        <v>4</v>
      </c>
    </row>
    <row r="1260" spans="1:40" x14ac:dyDescent="0.3">
      <c r="A1260" t="s">
        <v>381</v>
      </c>
      <c r="B1260" t="s">
        <v>17</v>
      </c>
      <c r="C1260" t="s">
        <v>10</v>
      </c>
      <c r="D1260" t="s">
        <v>14</v>
      </c>
      <c r="E1260">
        <v>202602</v>
      </c>
      <c r="F1260" t="s">
        <v>411</v>
      </c>
      <c r="G1260">
        <v>0</v>
      </c>
      <c r="H1260">
        <v>0</v>
      </c>
      <c r="I1260">
        <v>0</v>
      </c>
      <c r="J1260">
        <v>0</v>
      </c>
      <c r="K1260">
        <v>0</v>
      </c>
      <c r="L1260">
        <v>0</v>
      </c>
      <c r="M1260">
        <v>0</v>
      </c>
      <c r="N1260">
        <v>0</v>
      </c>
      <c r="O1260">
        <v>1</v>
      </c>
      <c r="P1260">
        <v>0</v>
      </c>
      <c r="Q1260">
        <v>0</v>
      </c>
      <c r="R1260">
        <v>0</v>
      </c>
      <c r="S1260">
        <v>0</v>
      </c>
      <c r="T1260">
        <v>0</v>
      </c>
      <c r="U1260">
        <v>0</v>
      </c>
      <c r="V1260">
        <v>0</v>
      </c>
      <c r="W1260">
        <v>0</v>
      </c>
      <c r="X1260">
        <v>0</v>
      </c>
      <c r="Y1260">
        <v>0</v>
      </c>
      <c r="Z1260">
        <v>0</v>
      </c>
      <c r="AA1260">
        <v>0</v>
      </c>
      <c r="AB1260">
        <v>0</v>
      </c>
      <c r="AC1260">
        <v>0</v>
      </c>
      <c r="AD1260">
        <v>0</v>
      </c>
      <c r="AE1260">
        <v>0</v>
      </c>
      <c r="AF1260">
        <v>0</v>
      </c>
      <c r="AG1260">
        <v>0</v>
      </c>
      <c r="AH1260">
        <v>0</v>
      </c>
      <c r="AI1260">
        <v>0</v>
      </c>
      <c r="AJ1260">
        <v>0</v>
      </c>
      <c r="AK1260">
        <v>0</v>
      </c>
      <c r="AL1260">
        <v>1</v>
      </c>
      <c r="AM1260">
        <v>0.33333333333333331</v>
      </c>
      <c r="AN1260">
        <v>5.0417410714286133</v>
      </c>
    </row>
    <row r="1261" spans="1:40" x14ac:dyDescent="0.3">
      <c r="A1261" t="s">
        <v>381</v>
      </c>
      <c r="B1261" t="s">
        <v>17</v>
      </c>
      <c r="C1261" t="s">
        <v>10</v>
      </c>
      <c r="D1261" t="s">
        <v>14</v>
      </c>
      <c r="E1261">
        <v>202602</v>
      </c>
      <c r="F1261" t="s">
        <v>405</v>
      </c>
      <c r="G1261">
        <v>0</v>
      </c>
      <c r="H1261">
        <v>1</v>
      </c>
      <c r="I1261">
        <v>1</v>
      </c>
      <c r="J1261">
        <v>0</v>
      </c>
      <c r="K1261">
        <v>0</v>
      </c>
      <c r="L1261">
        <v>2</v>
      </c>
      <c r="M1261">
        <v>1</v>
      </c>
      <c r="N1261">
        <v>0</v>
      </c>
      <c r="O1261">
        <v>0</v>
      </c>
      <c r="P1261">
        <v>0</v>
      </c>
      <c r="Q1261">
        <v>0</v>
      </c>
      <c r="R1261">
        <v>0</v>
      </c>
      <c r="S1261">
        <v>0</v>
      </c>
      <c r="T1261">
        <v>0</v>
      </c>
      <c r="U1261">
        <v>0</v>
      </c>
      <c r="V1261">
        <v>0</v>
      </c>
      <c r="W1261">
        <v>0</v>
      </c>
      <c r="X1261">
        <v>0</v>
      </c>
      <c r="Y1261">
        <v>0</v>
      </c>
      <c r="Z1261">
        <v>0</v>
      </c>
      <c r="AA1261">
        <v>0</v>
      </c>
      <c r="AB1261">
        <v>0</v>
      </c>
      <c r="AC1261">
        <v>0</v>
      </c>
      <c r="AD1261">
        <v>0</v>
      </c>
      <c r="AE1261">
        <v>0</v>
      </c>
      <c r="AF1261">
        <v>0</v>
      </c>
      <c r="AG1261">
        <v>0</v>
      </c>
      <c r="AH1261">
        <v>0</v>
      </c>
      <c r="AI1261">
        <v>0</v>
      </c>
      <c r="AJ1261">
        <v>0</v>
      </c>
      <c r="AK1261">
        <v>0</v>
      </c>
      <c r="AL1261">
        <v>5</v>
      </c>
      <c r="AM1261">
        <v>0</v>
      </c>
      <c r="AN1261">
        <v>5</v>
      </c>
    </row>
    <row r="1262" spans="1:40" x14ac:dyDescent="0.3">
      <c r="A1262" t="s">
        <v>381</v>
      </c>
      <c r="B1262" t="s">
        <v>17</v>
      </c>
      <c r="C1262" t="s">
        <v>10</v>
      </c>
      <c r="D1262" t="s">
        <v>14</v>
      </c>
      <c r="E1262">
        <v>202602</v>
      </c>
      <c r="F1262" t="s">
        <v>406</v>
      </c>
      <c r="G1262">
        <v>0</v>
      </c>
      <c r="H1262">
        <v>2</v>
      </c>
      <c r="I1262">
        <v>0</v>
      </c>
      <c r="J1262">
        <v>0</v>
      </c>
      <c r="K1262">
        <v>0</v>
      </c>
      <c r="L1262">
        <v>0</v>
      </c>
      <c r="M1262">
        <v>0</v>
      </c>
      <c r="N1262">
        <v>0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0</v>
      </c>
      <c r="U1262">
        <v>0</v>
      </c>
      <c r="V1262">
        <v>0</v>
      </c>
      <c r="W1262">
        <v>0</v>
      </c>
      <c r="X1262">
        <v>0</v>
      </c>
      <c r="Y1262">
        <v>0</v>
      </c>
      <c r="Z1262">
        <v>0</v>
      </c>
      <c r="AA1262">
        <v>0</v>
      </c>
      <c r="AB1262">
        <v>0</v>
      </c>
      <c r="AC1262">
        <v>0</v>
      </c>
      <c r="AD1262">
        <v>0</v>
      </c>
      <c r="AE1262">
        <v>0</v>
      </c>
      <c r="AF1262">
        <v>0</v>
      </c>
      <c r="AG1262">
        <v>0</v>
      </c>
      <c r="AH1262">
        <v>0</v>
      </c>
      <c r="AI1262">
        <v>0</v>
      </c>
      <c r="AJ1262">
        <v>0</v>
      </c>
      <c r="AK1262">
        <v>0</v>
      </c>
      <c r="AL1262">
        <v>2</v>
      </c>
      <c r="AM1262">
        <v>0</v>
      </c>
      <c r="AN1262">
        <v>2</v>
      </c>
    </row>
    <row r="1263" spans="1:40" x14ac:dyDescent="0.3">
      <c r="A1263" t="s">
        <v>381</v>
      </c>
      <c r="B1263" t="s">
        <v>17</v>
      </c>
      <c r="C1263" t="s">
        <v>10</v>
      </c>
      <c r="D1263" t="s">
        <v>14</v>
      </c>
      <c r="E1263">
        <v>202602</v>
      </c>
      <c r="F1263" t="s">
        <v>407</v>
      </c>
      <c r="G1263">
        <v>0</v>
      </c>
      <c r="H1263">
        <v>1</v>
      </c>
      <c r="I1263">
        <v>0</v>
      </c>
      <c r="J1263">
        <v>0</v>
      </c>
      <c r="K1263">
        <v>0</v>
      </c>
      <c r="L1263">
        <v>1</v>
      </c>
      <c r="M1263">
        <v>1</v>
      </c>
      <c r="N1263">
        <v>0</v>
      </c>
      <c r="O1263">
        <v>0</v>
      </c>
      <c r="P1263">
        <v>0</v>
      </c>
      <c r="Q1263">
        <v>0</v>
      </c>
      <c r="R1263">
        <v>0</v>
      </c>
      <c r="S1263">
        <v>0</v>
      </c>
      <c r="T1263">
        <v>0</v>
      </c>
      <c r="U1263">
        <v>0</v>
      </c>
      <c r="V1263">
        <v>0</v>
      </c>
      <c r="W1263">
        <v>0</v>
      </c>
      <c r="X1263">
        <v>0</v>
      </c>
      <c r="Y1263">
        <v>0</v>
      </c>
      <c r="Z1263">
        <v>0</v>
      </c>
      <c r="AA1263">
        <v>0</v>
      </c>
      <c r="AB1263">
        <v>0</v>
      </c>
      <c r="AC1263">
        <v>0</v>
      </c>
      <c r="AD1263">
        <v>0</v>
      </c>
      <c r="AE1263">
        <v>0</v>
      </c>
      <c r="AF1263">
        <v>0</v>
      </c>
      <c r="AG1263">
        <v>0</v>
      </c>
      <c r="AH1263">
        <v>0</v>
      </c>
      <c r="AI1263">
        <v>0</v>
      </c>
      <c r="AJ1263">
        <v>0</v>
      </c>
      <c r="AK1263">
        <v>0</v>
      </c>
      <c r="AL1263">
        <v>3</v>
      </c>
      <c r="AM1263">
        <v>0</v>
      </c>
      <c r="AN1263">
        <v>3</v>
      </c>
    </row>
    <row r="1264" spans="1:40" x14ac:dyDescent="0.3">
      <c r="A1264" t="s">
        <v>381</v>
      </c>
      <c r="B1264" t="s">
        <v>17</v>
      </c>
      <c r="C1264" t="s">
        <v>10</v>
      </c>
      <c r="D1264" t="s">
        <v>14</v>
      </c>
      <c r="E1264">
        <v>202602</v>
      </c>
      <c r="F1264" t="s">
        <v>408</v>
      </c>
      <c r="G1264">
        <v>0</v>
      </c>
      <c r="H1264">
        <v>1</v>
      </c>
      <c r="I1264">
        <v>2</v>
      </c>
      <c r="J1264">
        <v>0</v>
      </c>
      <c r="K1264">
        <v>0</v>
      </c>
      <c r="L1264">
        <v>0</v>
      </c>
      <c r="M1264">
        <v>0</v>
      </c>
      <c r="N1264">
        <v>0</v>
      </c>
      <c r="O1264">
        <v>0</v>
      </c>
      <c r="P1264">
        <v>0</v>
      </c>
      <c r="Q1264">
        <v>0</v>
      </c>
      <c r="R1264">
        <v>0</v>
      </c>
      <c r="S1264">
        <v>0</v>
      </c>
      <c r="T1264">
        <v>0</v>
      </c>
      <c r="U1264">
        <v>0</v>
      </c>
      <c r="V1264">
        <v>0</v>
      </c>
      <c r="W1264">
        <v>0</v>
      </c>
      <c r="X1264">
        <v>0</v>
      </c>
      <c r="Y1264">
        <v>0</v>
      </c>
      <c r="Z1264">
        <v>0</v>
      </c>
      <c r="AA1264">
        <v>0</v>
      </c>
      <c r="AB1264">
        <v>0</v>
      </c>
      <c r="AC1264">
        <v>0</v>
      </c>
      <c r="AD1264">
        <v>0</v>
      </c>
      <c r="AE1264">
        <v>0</v>
      </c>
      <c r="AF1264">
        <v>0</v>
      </c>
      <c r="AG1264">
        <v>0</v>
      </c>
      <c r="AH1264">
        <v>0</v>
      </c>
      <c r="AI1264">
        <v>0</v>
      </c>
      <c r="AJ1264">
        <v>0</v>
      </c>
      <c r="AK1264">
        <v>0</v>
      </c>
      <c r="AL1264">
        <v>3</v>
      </c>
      <c r="AM1264">
        <v>0</v>
      </c>
      <c r="AN1264">
        <v>3</v>
      </c>
    </row>
    <row r="1265" spans="1:40" x14ac:dyDescent="0.3">
      <c r="A1265" t="s">
        <v>381</v>
      </c>
      <c r="B1265" t="s">
        <v>17</v>
      </c>
      <c r="C1265" t="s">
        <v>10</v>
      </c>
      <c r="D1265" t="s">
        <v>14</v>
      </c>
      <c r="E1265">
        <v>202602</v>
      </c>
      <c r="F1265" t="s">
        <v>409</v>
      </c>
      <c r="G1265">
        <v>1</v>
      </c>
      <c r="H1265">
        <v>0</v>
      </c>
      <c r="I1265">
        <v>0</v>
      </c>
      <c r="J1265">
        <v>1</v>
      </c>
      <c r="K1265">
        <v>1</v>
      </c>
      <c r="L1265">
        <v>0</v>
      </c>
      <c r="M1265">
        <v>0</v>
      </c>
      <c r="N1265">
        <v>0</v>
      </c>
      <c r="O1265">
        <v>1</v>
      </c>
      <c r="P1265">
        <v>0</v>
      </c>
      <c r="Q1265">
        <v>0</v>
      </c>
      <c r="R1265">
        <v>0</v>
      </c>
      <c r="S1265">
        <v>0</v>
      </c>
      <c r="T1265">
        <v>0</v>
      </c>
      <c r="U1265">
        <v>0</v>
      </c>
      <c r="V1265">
        <v>0</v>
      </c>
      <c r="W1265">
        <v>0</v>
      </c>
      <c r="X1265">
        <v>0</v>
      </c>
      <c r="Y1265">
        <v>0</v>
      </c>
      <c r="Z1265">
        <v>0</v>
      </c>
      <c r="AA1265">
        <v>0</v>
      </c>
      <c r="AB1265">
        <v>0</v>
      </c>
      <c r="AC1265">
        <v>0</v>
      </c>
      <c r="AD1265">
        <v>0</v>
      </c>
      <c r="AE1265">
        <v>0</v>
      </c>
      <c r="AF1265">
        <v>0</v>
      </c>
      <c r="AG1265">
        <v>0</v>
      </c>
      <c r="AH1265">
        <v>0</v>
      </c>
      <c r="AI1265">
        <v>0</v>
      </c>
      <c r="AJ1265">
        <v>0</v>
      </c>
      <c r="AK1265">
        <v>0</v>
      </c>
      <c r="AL1265">
        <v>4</v>
      </c>
      <c r="AM1265">
        <v>0.33333333333333331</v>
      </c>
      <c r="AN1265">
        <v>8.0417410714286142</v>
      </c>
    </row>
    <row r="1266" spans="1:40" x14ac:dyDescent="0.3">
      <c r="A1266" t="s">
        <v>381</v>
      </c>
      <c r="B1266" t="s">
        <v>17</v>
      </c>
      <c r="C1266" t="s">
        <v>16</v>
      </c>
      <c r="D1266" t="s">
        <v>11</v>
      </c>
      <c r="E1266">
        <v>202602</v>
      </c>
      <c r="F1266" t="s">
        <v>383</v>
      </c>
      <c r="G1266">
        <v>0</v>
      </c>
      <c r="H1266">
        <v>0</v>
      </c>
      <c r="I1266">
        <v>0</v>
      </c>
      <c r="J1266">
        <v>1</v>
      </c>
      <c r="K1266">
        <v>0</v>
      </c>
      <c r="L1266">
        <v>0</v>
      </c>
      <c r="M1266">
        <v>0</v>
      </c>
      <c r="N1266">
        <v>0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0</v>
      </c>
      <c r="W1266">
        <v>0</v>
      </c>
      <c r="X1266">
        <v>0</v>
      </c>
      <c r="Y1266">
        <v>0</v>
      </c>
      <c r="Z1266">
        <v>0</v>
      </c>
      <c r="AA1266">
        <v>0</v>
      </c>
      <c r="AB1266">
        <v>0</v>
      </c>
      <c r="AC1266">
        <v>0</v>
      </c>
      <c r="AD1266">
        <v>0</v>
      </c>
      <c r="AE1266">
        <v>0</v>
      </c>
      <c r="AF1266">
        <v>0</v>
      </c>
      <c r="AG1266">
        <v>0</v>
      </c>
      <c r="AH1266">
        <v>0</v>
      </c>
      <c r="AI1266">
        <v>0</v>
      </c>
      <c r="AJ1266">
        <v>0</v>
      </c>
      <c r="AK1266">
        <v>0</v>
      </c>
      <c r="AL1266">
        <v>1</v>
      </c>
      <c r="AM1266">
        <v>0</v>
      </c>
      <c r="AN1266">
        <v>1</v>
      </c>
    </row>
    <row r="1267" spans="1:40" x14ac:dyDescent="0.3">
      <c r="A1267" t="s">
        <v>381</v>
      </c>
      <c r="B1267" t="s">
        <v>17</v>
      </c>
      <c r="C1267" t="s">
        <v>16</v>
      </c>
      <c r="D1267" t="s">
        <v>11</v>
      </c>
      <c r="E1267">
        <v>202602</v>
      </c>
      <c r="F1267" t="s">
        <v>388</v>
      </c>
      <c r="G1267">
        <v>0</v>
      </c>
      <c r="H1267">
        <v>0</v>
      </c>
      <c r="I1267">
        <v>1</v>
      </c>
      <c r="J1267">
        <v>0</v>
      </c>
      <c r="K1267">
        <v>0</v>
      </c>
      <c r="L1267">
        <v>0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0</v>
      </c>
      <c r="U1267">
        <v>0</v>
      </c>
      <c r="V1267">
        <v>0</v>
      </c>
      <c r="W1267">
        <v>0</v>
      </c>
      <c r="X1267">
        <v>0</v>
      </c>
      <c r="Y1267">
        <v>0</v>
      </c>
      <c r="Z1267">
        <v>0</v>
      </c>
      <c r="AA1267">
        <v>0</v>
      </c>
      <c r="AB1267">
        <v>0</v>
      </c>
      <c r="AC1267">
        <v>0</v>
      </c>
      <c r="AD1267">
        <v>0</v>
      </c>
      <c r="AE1267">
        <v>0</v>
      </c>
      <c r="AF1267">
        <v>0</v>
      </c>
      <c r="AG1267">
        <v>0</v>
      </c>
      <c r="AH1267">
        <v>0</v>
      </c>
      <c r="AI1267">
        <v>0</v>
      </c>
      <c r="AJ1267">
        <v>0</v>
      </c>
      <c r="AK1267">
        <v>0</v>
      </c>
      <c r="AL1267">
        <v>1</v>
      </c>
      <c r="AM1267">
        <v>0</v>
      </c>
      <c r="AN1267">
        <v>1</v>
      </c>
    </row>
    <row r="1268" spans="1:40" x14ac:dyDescent="0.3">
      <c r="A1268" t="s">
        <v>381</v>
      </c>
      <c r="B1268" t="s">
        <v>17</v>
      </c>
      <c r="C1268" t="s">
        <v>16</v>
      </c>
      <c r="D1268" t="s">
        <v>14</v>
      </c>
      <c r="E1268">
        <v>202602</v>
      </c>
      <c r="F1268" t="s">
        <v>383</v>
      </c>
      <c r="G1268">
        <v>0</v>
      </c>
      <c r="H1268">
        <v>0</v>
      </c>
      <c r="I1268">
        <v>1</v>
      </c>
      <c r="J1268">
        <v>0</v>
      </c>
      <c r="K1268">
        <v>0</v>
      </c>
      <c r="L1268">
        <v>0</v>
      </c>
      <c r="M1268">
        <v>0</v>
      </c>
      <c r="N1268">
        <v>0</v>
      </c>
      <c r="O1268">
        <v>0</v>
      </c>
      <c r="P1268">
        <v>0</v>
      </c>
      <c r="Q1268">
        <v>0</v>
      </c>
      <c r="R1268">
        <v>0</v>
      </c>
      <c r="S1268">
        <v>0</v>
      </c>
      <c r="T1268">
        <v>0</v>
      </c>
      <c r="U1268">
        <v>0</v>
      </c>
      <c r="V1268">
        <v>0</v>
      </c>
      <c r="W1268">
        <v>0</v>
      </c>
      <c r="X1268">
        <v>0</v>
      </c>
      <c r="Y1268">
        <v>0</v>
      </c>
      <c r="Z1268">
        <v>0</v>
      </c>
      <c r="AA1268">
        <v>0</v>
      </c>
      <c r="AB1268">
        <v>0</v>
      </c>
      <c r="AC1268">
        <v>0</v>
      </c>
      <c r="AD1268">
        <v>0</v>
      </c>
      <c r="AE1268">
        <v>0</v>
      </c>
      <c r="AF1268">
        <v>0</v>
      </c>
      <c r="AG1268">
        <v>0</v>
      </c>
      <c r="AH1268">
        <v>0</v>
      </c>
      <c r="AI1268">
        <v>0</v>
      </c>
      <c r="AJ1268">
        <v>0</v>
      </c>
      <c r="AK1268">
        <v>0</v>
      </c>
      <c r="AL1268">
        <v>1</v>
      </c>
      <c r="AM1268">
        <v>0</v>
      </c>
      <c r="AN1268">
        <v>1</v>
      </c>
    </row>
    <row r="1269" spans="1:40" x14ac:dyDescent="0.3">
      <c r="A1269" t="s">
        <v>381</v>
      </c>
      <c r="B1269" t="s">
        <v>17</v>
      </c>
      <c r="C1269" t="s">
        <v>16</v>
      </c>
      <c r="D1269" t="s">
        <v>14</v>
      </c>
      <c r="E1269">
        <v>202602</v>
      </c>
      <c r="F1269" t="s">
        <v>388</v>
      </c>
      <c r="G1269">
        <v>0</v>
      </c>
      <c r="H1269">
        <v>0</v>
      </c>
      <c r="I1269">
        <v>0</v>
      </c>
      <c r="J1269">
        <v>0</v>
      </c>
      <c r="K1269">
        <v>0</v>
      </c>
      <c r="L1269">
        <v>0</v>
      </c>
      <c r="M1269">
        <v>0</v>
      </c>
      <c r="N1269">
        <v>0</v>
      </c>
      <c r="O1269">
        <v>0</v>
      </c>
      <c r="P1269">
        <v>0</v>
      </c>
      <c r="Q1269">
        <v>1</v>
      </c>
      <c r="R1269">
        <v>0</v>
      </c>
      <c r="S1269">
        <v>0</v>
      </c>
      <c r="T1269">
        <v>0</v>
      </c>
      <c r="U1269">
        <v>0</v>
      </c>
      <c r="V1269">
        <v>0</v>
      </c>
      <c r="W1269">
        <v>0</v>
      </c>
      <c r="X1269">
        <v>0</v>
      </c>
      <c r="Y1269">
        <v>0</v>
      </c>
      <c r="Z1269">
        <v>0</v>
      </c>
      <c r="AA1269">
        <v>0</v>
      </c>
      <c r="AB1269">
        <v>0</v>
      </c>
      <c r="AC1269">
        <v>0</v>
      </c>
      <c r="AD1269">
        <v>0</v>
      </c>
      <c r="AE1269">
        <v>0</v>
      </c>
      <c r="AF1269">
        <v>0</v>
      </c>
      <c r="AG1269">
        <v>0</v>
      </c>
      <c r="AH1269">
        <v>0</v>
      </c>
      <c r="AI1269">
        <v>0</v>
      </c>
      <c r="AJ1269">
        <v>0</v>
      </c>
      <c r="AK1269">
        <v>0</v>
      </c>
      <c r="AL1269">
        <v>1</v>
      </c>
      <c r="AM1269">
        <v>0.33333333333333331</v>
      </c>
      <c r="AN1269">
        <v>5.0417410714286133</v>
      </c>
    </row>
    <row r="1270" spans="1:40" x14ac:dyDescent="0.3">
      <c r="A1270" t="s">
        <v>381</v>
      </c>
      <c r="B1270" t="s">
        <v>17</v>
      </c>
      <c r="C1270" t="s">
        <v>16</v>
      </c>
      <c r="D1270" t="s">
        <v>14</v>
      </c>
      <c r="E1270">
        <v>202602</v>
      </c>
      <c r="F1270" t="s">
        <v>410</v>
      </c>
      <c r="G1270">
        <v>0</v>
      </c>
      <c r="H1270">
        <v>0</v>
      </c>
      <c r="I1270">
        <v>0</v>
      </c>
      <c r="J1270">
        <v>0</v>
      </c>
      <c r="K1270">
        <v>0</v>
      </c>
      <c r="L1270">
        <v>0</v>
      </c>
      <c r="M1270">
        <v>0</v>
      </c>
      <c r="N1270">
        <v>0</v>
      </c>
      <c r="O1270">
        <v>1</v>
      </c>
      <c r="P1270">
        <v>0</v>
      </c>
      <c r="Q1270">
        <v>0</v>
      </c>
      <c r="R1270">
        <v>0</v>
      </c>
      <c r="S1270">
        <v>0</v>
      </c>
      <c r="T1270">
        <v>0</v>
      </c>
      <c r="U1270">
        <v>0</v>
      </c>
      <c r="V1270">
        <v>0</v>
      </c>
      <c r="W1270">
        <v>0</v>
      </c>
      <c r="X1270">
        <v>0</v>
      </c>
      <c r="Y1270">
        <v>0</v>
      </c>
      <c r="Z1270">
        <v>0</v>
      </c>
      <c r="AA1270">
        <v>0</v>
      </c>
      <c r="AB1270">
        <v>0</v>
      </c>
      <c r="AC1270">
        <v>0</v>
      </c>
      <c r="AD1270">
        <v>0</v>
      </c>
      <c r="AE1270">
        <v>0</v>
      </c>
      <c r="AF1270">
        <v>0</v>
      </c>
      <c r="AG1270">
        <v>0</v>
      </c>
      <c r="AH1270">
        <v>0</v>
      </c>
      <c r="AI1270">
        <v>0</v>
      </c>
      <c r="AJ1270">
        <v>0</v>
      </c>
      <c r="AK1270">
        <v>0</v>
      </c>
      <c r="AL1270">
        <v>1</v>
      </c>
      <c r="AM1270">
        <v>0.33333333333333331</v>
      </c>
      <c r="AN1270">
        <v>5.0417410714286133</v>
      </c>
    </row>
    <row r="1271" spans="1:40" x14ac:dyDescent="0.3">
      <c r="A1271" t="s">
        <v>381</v>
      </c>
      <c r="B1271" t="s">
        <v>17</v>
      </c>
      <c r="C1271" t="s">
        <v>16</v>
      </c>
      <c r="D1271" t="s">
        <v>14</v>
      </c>
      <c r="E1271">
        <v>202602</v>
      </c>
      <c r="F1271" t="s">
        <v>400</v>
      </c>
      <c r="G1271">
        <v>0</v>
      </c>
      <c r="H1271">
        <v>0</v>
      </c>
      <c r="I1271">
        <v>0</v>
      </c>
      <c r="J1271">
        <v>0</v>
      </c>
      <c r="K1271">
        <v>0</v>
      </c>
      <c r="L1271">
        <v>0</v>
      </c>
      <c r="M1271">
        <v>0</v>
      </c>
      <c r="N1271">
        <v>0</v>
      </c>
      <c r="O1271">
        <v>1</v>
      </c>
      <c r="P1271">
        <v>0</v>
      </c>
      <c r="Q1271">
        <v>0</v>
      </c>
      <c r="R1271">
        <v>0</v>
      </c>
      <c r="S1271">
        <v>0</v>
      </c>
      <c r="T1271">
        <v>0</v>
      </c>
      <c r="U1271">
        <v>0</v>
      </c>
      <c r="V1271">
        <v>0</v>
      </c>
      <c r="W1271">
        <v>0</v>
      </c>
      <c r="X1271">
        <v>0</v>
      </c>
      <c r="Y1271">
        <v>0</v>
      </c>
      <c r="Z1271">
        <v>0</v>
      </c>
      <c r="AA1271">
        <v>0</v>
      </c>
      <c r="AB1271">
        <v>0</v>
      </c>
      <c r="AC1271">
        <v>0</v>
      </c>
      <c r="AD1271">
        <v>0</v>
      </c>
      <c r="AE1271">
        <v>0</v>
      </c>
      <c r="AF1271">
        <v>0</v>
      </c>
      <c r="AG1271">
        <v>0</v>
      </c>
      <c r="AH1271">
        <v>0</v>
      </c>
      <c r="AI1271">
        <v>0</v>
      </c>
      <c r="AJ1271">
        <v>0</v>
      </c>
      <c r="AK1271">
        <v>0</v>
      </c>
      <c r="AL1271">
        <v>1</v>
      </c>
      <c r="AM1271">
        <v>0.33333333333333331</v>
      </c>
      <c r="AN1271">
        <v>5.0417410714286133</v>
      </c>
    </row>
    <row r="1272" spans="1:40" x14ac:dyDescent="0.3">
      <c r="A1272" t="s">
        <v>381</v>
      </c>
      <c r="B1272" t="s">
        <v>49</v>
      </c>
      <c r="C1272" t="s">
        <v>10</v>
      </c>
      <c r="D1272" t="s">
        <v>11</v>
      </c>
      <c r="E1272">
        <v>202602</v>
      </c>
      <c r="F1272" t="s">
        <v>50</v>
      </c>
      <c r="G1272">
        <v>0</v>
      </c>
      <c r="H1272">
        <v>0</v>
      </c>
      <c r="I1272">
        <v>0</v>
      </c>
      <c r="J1272">
        <v>1</v>
      </c>
      <c r="K1272">
        <v>1</v>
      </c>
      <c r="L1272">
        <v>0</v>
      </c>
      <c r="M1272">
        <v>0</v>
      </c>
      <c r="N1272">
        <v>0</v>
      </c>
      <c r="O1272">
        <v>0</v>
      </c>
      <c r="P1272">
        <v>0</v>
      </c>
      <c r="Q1272">
        <v>0</v>
      </c>
      <c r="R1272">
        <v>0</v>
      </c>
      <c r="S1272">
        <v>0</v>
      </c>
      <c r="T1272">
        <v>0</v>
      </c>
      <c r="U1272">
        <v>0</v>
      </c>
      <c r="V1272">
        <v>0</v>
      </c>
      <c r="W1272">
        <v>0</v>
      </c>
      <c r="X1272">
        <v>0</v>
      </c>
      <c r="Y1272">
        <v>0</v>
      </c>
      <c r="Z1272">
        <v>0</v>
      </c>
      <c r="AA1272">
        <v>0</v>
      </c>
      <c r="AB1272">
        <v>0</v>
      </c>
      <c r="AC1272">
        <v>0</v>
      </c>
      <c r="AD1272">
        <v>0</v>
      </c>
      <c r="AE1272">
        <v>0</v>
      </c>
      <c r="AF1272">
        <v>0</v>
      </c>
      <c r="AG1272">
        <v>0</v>
      </c>
      <c r="AH1272">
        <v>0</v>
      </c>
      <c r="AI1272">
        <v>0</v>
      </c>
      <c r="AJ1272">
        <v>0</v>
      </c>
      <c r="AK1272">
        <v>0</v>
      </c>
      <c r="AL1272">
        <v>2</v>
      </c>
      <c r="AM1272">
        <v>0</v>
      </c>
      <c r="AN1272">
        <v>2</v>
      </c>
    </row>
    <row r="1273" spans="1:40" x14ac:dyDescent="0.3">
      <c r="A1273" t="s">
        <v>381</v>
      </c>
      <c r="B1273" t="s">
        <v>49</v>
      </c>
      <c r="C1273" t="s">
        <v>10</v>
      </c>
      <c r="D1273" t="s">
        <v>11</v>
      </c>
      <c r="E1273">
        <v>202602</v>
      </c>
      <c r="F1273" t="s">
        <v>572</v>
      </c>
      <c r="G1273">
        <v>0</v>
      </c>
      <c r="H1273">
        <v>0</v>
      </c>
      <c r="I1273">
        <v>0</v>
      </c>
      <c r="J1273">
        <v>0</v>
      </c>
      <c r="K1273">
        <v>0</v>
      </c>
      <c r="L1273">
        <v>0</v>
      </c>
      <c r="M1273">
        <v>0</v>
      </c>
      <c r="N1273">
        <v>0</v>
      </c>
      <c r="O1273">
        <v>0</v>
      </c>
      <c r="P1273">
        <v>0</v>
      </c>
      <c r="Q1273">
        <v>1</v>
      </c>
      <c r="R1273">
        <v>0</v>
      </c>
      <c r="S1273">
        <v>0</v>
      </c>
      <c r="T1273">
        <v>0</v>
      </c>
      <c r="U1273">
        <v>0</v>
      </c>
      <c r="V1273">
        <v>0</v>
      </c>
      <c r="W1273">
        <v>0</v>
      </c>
      <c r="X1273">
        <v>0</v>
      </c>
      <c r="Y1273">
        <v>0</v>
      </c>
      <c r="Z1273">
        <v>0</v>
      </c>
      <c r="AA1273">
        <v>0</v>
      </c>
      <c r="AB1273">
        <v>0</v>
      </c>
      <c r="AC1273">
        <v>0</v>
      </c>
      <c r="AD1273">
        <v>0</v>
      </c>
      <c r="AE1273">
        <v>0</v>
      </c>
      <c r="AF1273">
        <v>0</v>
      </c>
      <c r="AG1273">
        <v>0</v>
      </c>
      <c r="AH1273">
        <v>0</v>
      </c>
      <c r="AI1273">
        <v>0</v>
      </c>
      <c r="AJ1273">
        <v>0</v>
      </c>
      <c r="AK1273">
        <v>0</v>
      </c>
      <c r="AL1273">
        <v>1</v>
      </c>
      <c r="AM1273">
        <v>0.33333333333333331</v>
      </c>
      <c r="AN1273">
        <v>5.6046251398731117</v>
      </c>
    </row>
    <row r="1274" spans="1:40" x14ac:dyDescent="0.3">
      <c r="A1274" t="s">
        <v>381</v>
      </c>
      <c r="B1274" t="s">
        <v>49</v>
      </c>
      <c r="C1274" t="s">
        <v>10</v>
      </c>
      <c r="D1274" t="s">
        <v>14</v>
      </c>
      <c r="E1274">
        <v>202602</v>
      </c>
      <c r="F1274" t="s">
        <v>50</v>
      </c>
      <c r="G1274">
        <v>0</v>
      </c>
      <c r="H1274">
        <v>0</v>
      </c>
      <c r="I1274">
        <v>1</v>
      </c>
      <c r="J1274">
        <v>2</v>
      </c>
      <c r="K1274">
        <v>0</v>
      </c>
      <c r="L1274">
        <v>0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0</v>
      </c>
      <c r="U1274">
        <v>0</v>
      </c>
      <c r="V1274">
        <v>0</v>
      </c>
      <c r="W1274">
        <v>0</v>
      </c>
      <c r="X1274">
        <v>0</v>
      </c>
      <c r="Y1274">
        <v>0</v>
      </c>
      <c r="Z1274">
        <v>0</v>
      </c>
      <c r="AA1274">
        <v>0</v>
      </c>
      <c r="AB1274">
        <v>0</v>
      </c>
      <c r="AC1274">
        <v>0</v>
      </c>
      <c r="AD1274">
        <v>0</v>
      </c>
      <c r="AE1274">
        <v>0</v>
      </c>
      <c r="AF1274">
        <v>0</v>
      </c>
      <c r="AG1274">
        <v>0</v>
      </c>
      <c r="AH1274">
        <v>0</v>
      </c>
      <c r="AI1274">
        <v>0</v>
      </c>
      <c r="AJ1274">
        <v>0</v>
      </c>
      <c r="AK1274">
        <v>0</v>
      </c>
      <c r="AL1274">
        <v>3</v>
      </c>
      <c r="AM1274">
        <v>0</v>
      </c>
      <c r="AN1274">
        <v>3</v>
      </c>
    </row>
    <row r="1275" spans="1:40" x14ac:dyDescent="0.3">
      <c r="A1275" t="s">
        <v>381</v>
      </c>
      <c r="B1275" t="s">
        <v>49</v>
      </c>
      <c r="C1275" t="s">
        <v>10</v>
      </c>
      <c r="D1275" t="s">
        <v>14</v>
      </c>
      <c r="E1275">
        <v>202602</v>
      </c>
      <c r="F1275" t="s">
        <v>204</v>
      </c>
      <c r="G1275">
        <v>0</v>
      </c>
      <c r="H1275">
        <v>0</v>
      </c>
      <c r="I1275">
        <v>1</v>
      </c>
      <c r="J1275">
        <v>0</v>
      </c>
      <c r="K1275">
        <v>0</v>
      </c>
      <c r="L1275">
        <v>0</v>
      </c>
      <c r="M1275">
        <v>0</v>
      </c>
      <c r="N1275">
        <v>0</v>
      </c>
      <c r="O1275">
        <v>0</v>
      </c>
      <c r="P1275">
        <v>0</v>
      </c>
      <c r="Q1275">
        <v>0</v>
      </c>
      <c r="R1275">
        <v>0</v>
      </c>
      <c r="S1275">
        <v>0</v>
      </c>
      <c r="T1275">
        <v>0</v>
      </c>
      <c r="U1275">
        <v>0</v>
      </c>
      <c r="V1275">
        <v>0</v>
      </c>
      <c r="W1275">
        <v>0</v>
      </c>
      <c r="X1275">
        <v>0</v>
      </c>
      <c r="Y1275">
        <v>0</v>
      </c>
      <c r="Z1275">
        <v>0</v>
      </c>
      <c r="AA1275">
        <v>0</v>
      </c>
      <c r="AB1275">
        <v>0</v>
      </c>
      <c r="AC1275">
        <v>0</v>
      </c>
      <c r="AD1275">
        <v>0</v>
      </c>
      <c r="AE1275">
        <v>0</v>
      </c>
      <c r="AF1275">
        <v>0</v>
      </c>
      <c r="AG1275">
        <v>0</v>
      </c>
      <c r="AH1275">
        <v>0</v>
      </c>
      <c r="AI1275">
        <v>0</v>
      </c>
      <c r="AJ1275">
        <v>0</v>
      </c>
      <c r="AK1275">
        <v>0</v>
      </c>
      <c r="AL1275">
        <v>1</v>
      </c>
      <c r="AM1275">
        <v>0</v>
      </c>
      <c r="AN1275">
        <v>1</v>
      </c>
    </row>
    <row r="1276" spans="1:40" x14ac:dyDescent="0.3">
      <c r="A1276" t="s">
        <v>381</v>
      </c>
      <c r="B1276" t="s">
        <v>49</v>
      </c>
      <c r="C1276" t="s">
        <v>10</v>
      </c>
      <c r="D1276" t="s">
        <v>14</v>
      </c>
      <c r="E1276">
        <v>202602</v>
      </c>
      <c r="F1276" t="s">
        <v>51</v>
      </c>
      <c r="G1276">
        <v>0</v>
      </c>
      <c r="H1276">
        <v>0</v>
      </c>
      <c r="I1276">
        <v>0</v>
      </c>
      <c r="J1276">
        <v>1</v>
      </c>
      <c r="K1276">
        <v>0</v>
      </c>
      <c r="L1276">
        <v>0</v>
      </c>
      <c r="M1276">
        <v>0</v>
      </c>
      <c r="N1276">
        <v>0</v>
      </c>
      <c r="O1276">
        <v>0</v>
      </c>
      <c r="P1276">
        <v>0</v>
      </c>
      <c r="Q1276">
        <v>0</v>
      </c>
      <c r="R1276">
        <v>0</v>
      </c>
      <c r="S1276">
        <v>0</v>
      </c>
      <c r="T1276">
        <v>0</v>
      </c>
      <c r="U1276">
        <v>0</v>
      </c>
      <c r="V1276">
        <v>0</v>
      </c>
      <c r="W1276">
        <v>0</v>
      </c>
      <c r="X1276">
        <v>0</v>
      </c>
      <c r="Y1276">
        <v>0</v>
      </c>
      <c r="Z1276">
        <v>0</v>
      </c>
      <c r="AA1276">
        <v>0</v>
      </c>
      <c r="AB1276">
        <v>0</v>
      </c>
      <c r="AC1276">
        <v>0</v>
      </c>
      <c r="AD1276">
        <v>0</v>
      </c>
      <c r="AE1276">
        <v>0</v>
      </c>
      <c r="AF1276">
        <v>0</v>
      </c>
      <c r="AG1276">
        <v>0</v>
      </c>
      <c r="AH1276">
        <v>0</v>
      </c>
      <c r="AI1276">
        <v>0</v>
      </c>
      <c r="AJ1276">
        <v>0</v>
      </c>
      <c r="AK1276">
        <v>0</v>
      </c>
      <c r="AL1276">
        <v>1</v>
      </c>
      <c r="AM1276">
        <v>0</v>
      </c>
      <c r="AN1276">
        <v>1</v>
      </c>
    </row>
    <row r="1277" spans="1:40" x14ac:dyDescent="0.3">
      <c r="A1277" t="s">
        <v>381</v>
      </c>
      <c r="B1277" t="s">
        <v>49</v>
      </c>
      <c r="C1277" t="s">
        <v>10</v>
      </c>
      <c r="D1277" t="s">
        <v>14</v>
      </c>
      <c r="E1277">
        <v>202602</v>
      </c>
      <c r="F1277" t="s">
        <v>572</v>
      </c>
      <c r="G1277">
        <v>0</v>
      </c>
      <c r="H1277">
        <v>0</v>
      </c>
      <c r="I1277">
        <v>0</v>
      </c>
      <c r="J1277">
        <v>0</v>
      </c>
      <c r="K1277">
        <v>0</v>
      </c>
      <c r="L1277">
        <v>0</v>
      </c>
      <c r="M1277">
        <v>0</v>
      </c>
      <c r="N1277">
        <v>0</v>
      </c>
      <c r="O1277">
        <v>0</v>
      </c>
      <c r="P1277">
        <v>0</v>
      </c>
      <c r="Q1277">
        <v>1</v>
      </c>
      <c r="R1277">
        <v>0</v>
      </c>
      <c r="S1277">
        <v>0</v>
      </c>
      <c r="T1277">
        <v>0</v>
      </c>
      <c r="U1277">
        <v>0</v>
      </c>
      <c r="V1277">
        <v>0</v>
      </c>
      <c r="W1277">
        <v>0</v>
      </c>
      <c r="X1277">
        <v>0</v>
      </c>
      <c r="Y1277">
        <v>0</v>
      </c>
      <c r="Z1277">
        <v>0</v>
      </c>
      <c r="AA1277">
        <v>0</v>
      </c>
      <c r="AB1277">
        <v>0</v>
      </c>
      <c r="AC1277">
        <v>0</v>
      </c>
      <c r="AD1277">
        <v>0</v>
      </c>
      <c r="AE1277">
        <v>0</v>
      </c>
      <c r="AF1277">
        <v>0</v>
      </c>
      <c r="AG1277">
        <v>0</v>
      </c>
      <c r="AH1277">
        <v>0</v>
      </c>
      <c r="AI1277">
        <v>0</v>
      </c>
      <c r="AJ1277">
        <v>0</v>
      </c>
      <c r="AK1277">
        <v>0</v>
      </c>
      <c r="AL1277">
        <v>1</v>
      </c>
      <c r="AM1277">
        <v>0.33333333333333331</v>
      </c>
      <c r="AN1277">
        <v>5.0417410714286133</v>
      </c>
    </row>
    <row r="1278" spans="1:40" x14ac:dyDescent="0.3">
      <c r="A1278" t="s">
        <v>381</v>
      </c>
      <c r="B1278" t="s">
        <v>49</v>
      </c>
      <c r="C1278" t="s">
        <v>16</v>
      </c>
      <c r="D1278" t="s">
        <v>11</v>
      </c>
      <c r="E1278">
        <v>202602</v>
      </c>
      <c r="F1278" t="s">
        <v>204</v>
      </c>
      <c r="G1278">
        <v>0</v>
      </c>
      <c r="H1278">
        <v>0</v>
      </c>
      <c r="I1278">
        <v>0</v>
      </c>
      <c r="J1278">
        <v>1</v>
      </c>
      <c r="K1278">
        <v>0</v>
      </c>
      <c r="L1278">
        <v>0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0</v>
      </c>
      <c r="S1278">
        <v>0</v>
      </c>
      <c r="T1278">
        <v>0</v>
      </c>
      <c r="U1278">
        <v>0</v>
      </c>
      <c r="V1278">
        <v>0</v>
      </c>
      <c r="W1278">
        <v>0</v>
      </c>
      <c r="X1278">
        <v>0</v>
      </c>
      <c r="Y1278">
        <v>0</v>
      </c>
      <c r="Z1278">
        <v>0</v>
      </c>
      <c r="AA1278">
        <v>0</v>
      </c>
      <c r="AB1278">
        <v>0</v>
      </c>
      <c r="AC1278">
        <v>0</v>
      </c>
      <c r="AD1278">
        <v>0</v>
      </c>
      <c r="AE1278">
        <v>0</v>
      </c>
      <c r="AF1278">
        <v>0</v>
      </c>
      <c r="AG1278">
        <v>0</v>
      </c>
      <c r="AH1278">
        <v>0</v>
      </c>
      <c r="AI1278">
        <v>0</v>
      </c>
      <c r="AJ1278">
        <v>0</v>
      </c>
      <c r="AK1278">
        <v>0</v>
      </c>
      <c r="AL1278">
        <v>1</v>
      </c>
      <c r="AM1278">
        <v>0</v>
      </c>
      <c r="AN1278">
        <v>1</v>
      </c>
    </row>
    <row r="1279" spans="1:40" x14ac:dyDescent="0.3">
      <c r="A1279" t="s">
        <v>381</v>
      </c>
      <c r="B1279" t="s">
        <v>49</v>
      </c>
      <c r="C1279" t="s">
        <v>16</v>
      </c>
      <c r="D1279" t="s">
        <v>11</v>
      </c>
      <c r="E1279">
        <v>202602</v>
      </c>
      <c r="F1279" t="s">
        <v>52</v>
      </c>
      <c r="G1279">
        <v>0</v>
      </c>
      <c r="H1279">
        <v>1</v>
      </c>
      <c r="I1279">
        <v>0</v>
      </c>
      <c r="J1279">
        <v>0</v>
      </c>
      <c r="K1279">
        <v>0</v>
      </c>
      <c r="L1279">
        <v>0</v>
      </c>
      <c r="M1279">
        <v>0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0</v>
      </c>
      <c r="T1279">
        <v>0</v>
      </c>
      <c r="U1279">
        <v>0</v>
      </c>
      <c r="V1279">
        <v>0</v>
      </c>
      <c r="W1279">
        <v>0</v>
      </c>
      <c r="X1279">
        <v>0</v>
      </c>
      <c r="Y1279">
        <v>0</v>
      </c>
      <c r="Z1279">
        <v>0</v>
      </c>
      <c r="AA1279">
        <v>0</v>
      </c>
      <c r="AB1279">
        <v>0</v>
      </c>
      <c r="AC1279">
        <v>0</v>
      </c>
      <c r="AD1279">
        <v>0</v>
      </c>
      <c r="AE1279">
        <v>0</v>
      </c>
      <c r="AF1279">
        <v>0</v>
      </c>
      <c r="AG1279">
        <v>0</v>
      </c>
      <c r="AH1279">
        <v>0</v>
      </c>
      <c r="AI1279">
        <v>0</v>
      </c>
      <c r="AJ1279">
        <v>0</v>
      </c>
      <c r="AK1279">
        <v>0</v>
      </c>
      <c r="AL1279">
        <v>1</v>
      </c>
      <c r="AM1279">
        <v>0</v>
      </c>
      <c r="AN1279">
        <v>1</v>
      </c>
    </row>
    <row r="1280" spans="1:40" x14ac:dyDescent="0.3">
      <c r="A1280" t="s">
        <v>381</v>
      </c>
      <c r="B1280" t="s">
        <v>49</v>
      </c>
      <c r="C1280" t="s">
        <v>16</v>
      </c>
      <c r="D1280" t="s">
        <v>14</v>
      </c>
      <c r="E1280">
        <v>202602</v>
      </c>
      <c r="F1280" t="s">
        <v>50</v>
      </c>
      <c r="G1280">
        <v>0</v>
      </c>
      <c r="H1280">
        <v>0</v>
      </c>
      <c r="I1280">
        <v>1</v>
      </c>
      <c r="J1280">
        <v>0</v>
      </c>
      <c r="K1280">
        <v>0</v>
      </c>
      <c r="L1280">
        <v>0</v>
      </c>
      <c r="M1280">
        <v>0</v>
      </c>
      <c r="N1280">
        <v>0</v>
      </c>
      <c r="O1280">
        <v>0</v>
      </c>
      <c r="P1280">
        <v>0</v>
      </c>
      <c r="Q1280">
        <v>0</v>
      </c>
      <c r="R1280">
        <v>0</v>
      </c>
      <c r="S1280">
        <v>0</v>
      </c>
      <c r="T1280">
        <v>0</v>
      </c>
      <c r="U1280">
        <v>0</v>
      </c>
      <c r="V1280">
        <v>0</v>
      </c>
      <c r="W1280">
        <v>0</v>
      </c>
      <c r="X1280">
        <v>0</v>
      </c>
      <c r="Y1280">
        <v>0</v>
      </c>
      <c r="Z1280">
        <v>0</v>
      </c>
      <c r="AA1280">
        <v>0</v>
      </c>
      <c r="AB1280">
        <v>0</v>
      </c>
      <c r="AC1280">
        <v>0</v>
      </c>
      <c r="AD1280">
        <v>0</v>
      </c>
      <c r="AE1280">
        <v>0</v>
      </c>
      <c r="AF1280">
        <v>0</v>
      </c>
      <c r="AG1280">
        <v>0</v>
      </c>
      <c r="AH1280">
        <v>0</v>
      </c>
      <c r="AI1280">
        <v>0</v>
      </c>
      <c r="AJ1280">
        <v>0</v>
      </c>
      <c r="AK1280">
        <v>0</v>
      </c>
      <c r="AL1280">
        <v>1</v>
      </c>
      <c r="AM1280">
        <v>0</v>
      </c>
      <c r="AN1280">
        <v>1</v>
      </c>
    </row>
    <row r="1281" spans="1:40" x14ac:dyDescent="0.3">
      <c r="A1281" t="s">
        <v>381</v>
      </c>
      <c r="B1281" t="s">
        <v>49</v>
      </c>
      <c r="C1281" t="s">
        <v>16</v>
      </c>
      <c r="D1281" t="s">
        <v>14</v>
      </c>
      <c r="E1281">
        <v>202602</v>
      </c>
      <c r="F1281" t="s">
        <v>204</v>
      </c>
      <c r="G1281">
        <v>0</v>
      </c>
      <c r="H1281">
        <v>0</v>
      </c>
      <c r="I1281">
        <v>1</v>
      </c>
      <c r="J1281">
        <v>0</v>
      </c>
      <c r="K1281">
        <v>1</v>
      </c>
      <c r="L1281">
        <v>0</v>
      </c>
      <c r="M1281">
        <v>0</v>
      </c>
      <c r="N1281">
        <v>0</v>
      </c>
      <c r="O1281">
        <v>0</v>
      </c>
      <c r="P1281">
        <v>0</v>
      </c>
      <c r="Q1281">
        <v>0</v>
      </c>
      <c r="R1281">
        <v>0</v>
      </c>
      <c r="S1281">
        <v>0</v>
      </c>
      <c r="T1281">
        <v>0</v>
      </c>
      <c r="U1281">
        <v>0</v>
      </c>
      <c r="V1281">
        <v>0</v>
      </c>
      <c r="W1281">
        <v>0</v>
      </c>
      <c r="X1281">
        <v>0</v>
      </c>
      <c r="Y1281">
        <v>0</v>
      </c>
      <c r="Z1281">
        <v>0</v>
      </c>
      <c r="AA1281">
        <v>0</v>
      </c>
      <c r="AB1281">
        <v>0</v>
      </c>
      <c r="AC1281">
        <v>0</v>
      </c>
      <c r="AD1281">
        <v>0</v>
      </c>
      <c r="AE1281">
        <v>0</v>
      </c>
      <c r="AF1281">
        <v>0</v>
      </c>
      <c r="AG1281">
        <v>0</v>
      </c>
      <c r="AH1281">
        <v>0</v>
      </c>
      <c r="AI1281">
        <v>0</v>
      </c>
      <c r="AJ1281">
        <v>0</v>
      </c>
      <c r="AK1281">
        <v>0</v>
      </c>
      <c r="AL1281">
        <v>2</v>
      </c>
      <c r="AM1281">
        <v>0</v>
      </c>
      <c r="AN1281">
        <v>2</v>
      </c>
    </row>
    <row r="1282" spans="1:40" x14ac:dyDescent="0.3">
      <c r="A1282" t="s">
        <v>381</v>
      </c>
      <c r="B1282" t="s">
        <v>49</v>
      </c>
      <c r="C1282" t="s">
        <v>16</v>
      </c>
      <c r="D1282" t="s">
        <v>14</v>
      </c>
      <c r="E1282">
        <v>202602</v>
      </c>
      <c r="F1282" t="s">
        <v>52</v>
      </c>
      <c r="G1282">
        <v>0</v>
      </c>
      <c r="H1282">
        <v>1</v>
      </c>
      <c r="I1282">
        <v>0</v>
      </c>
      <c r="J1282">
        <v>0</v>
      </c>
      <c r="K1282">
        <v>0</v>
      </c>
      <c r="L1282">
        <v>0</v>
      </c>
      <c r="M1282">
        <v>0</v>
      </c>
      <c r="N1282">
        <v>0</v>
      </c>
      <c r="O1282">
        <v>0</v>
      </c>
      <c r="P1282">
        <v>0</v>
      </c>
      <c r="Q1282">
        <v>0</v>
      </c>
      <c r="R1282">
        <v>0</v>
      </c>
      <c r="S1282">
        <v>0</v>
      </c>
      <c r="T1282">
        <v>0</v>
      </c>
      <c r="U1282">
        <v>0</v>
      </c>
      <c r="V1282">
        <v>0</v>
      </c>
      <c r="W1282">
        <v>0</v>
      </c>
      <c r="X1282">
        <v>0</v>
      </c>
      <c r="Y1282">
        <v>0</v>
      </c>
      <c r="Z1282">
        <v>0</v>
      </c>
      <c r="AA1282">
        <v>0</v>
      </c>
      <c r="AB1282">
        <v>0</v>
      </c>
      <c r="AC1282">
        <v>0</v>
      </c>
      <c r="AD1282">
        <v>0</v>
      </c>
      <c r="AE1282">
        <v>0</v>
      </c>
      <c r="AF1282">
        <v>0</v>
      </c>
      <c r="AG1282">
        <v>0</v>
      </c>
      <c r="AH1282">
        <v>0</v>
      </c>
      <c r="AI1282">
        <v>0</v>
      </c>
      <c r="AJ1282">
        <v>0</v>
      </c>
      <c r="AK1282">
        <v>0</v>
      </c>
      <c r="AL1282">
        <v>1</v>
      </c>
      <c r="AM1282">
        <v>0</v>
      </c>
      <c r="AN1282">
        <v>1</v>
      </c>
    </row>
    <row r="1283" spans="1:40" x14ac:dyDescent="0.3">
      <c r="A1283" t="s">
        <v>381</v>
      </c>
      <c r="B1283" t="s">
        <v>54</v>
      </c>
      <c r="C1283" t="s">
        <v>10</v>
      </c>
      <c r="D1283" t="s">
        <v>11</v>
      </c>
      <c r="E1283">
        <v>202602</v>
      </c>
      <c r="F1283" t="s">
        <v>55</v>
      </c>
      <c r="G1283">
        <v>0</v>
      </c>
      <c r="H1283">
        <v>1</v>
      </c>
      <c r="I1283">
        <v>1</v>
      </c>
      <c r="J1283">
        <v>0</v>
      </c>
      <c r="K1283">
        <v>1</v>
      </c>
      <c r="L1283">
        <v>1</v>
      </c>
      <c r="M1283">
        <v>0</v>
      </c>
      <c r="N1283">
        <v>0</v>
      </c>
      <c r="O1283">
        <v>1</v>
      </c>
      <c r="P1283">
        <v>0</v>
      </c>
      <c r="Q1283">
        <v>0</v>
      </c>
      <c r="R1283">
        <v>0</v>
      </c>
      <c r="S1283">
        <v>0</v>
      </c>
      <c r="T1283">
        <v>0</v>
      </c>
      <c r="U1283">
        <v>0</v>
      </c>
      <c r="V1283">
        <v>0</v>
      </c>
      <c r="W1283">
        <v>0</v>
      </c>
      <c r="X1283">
        <v>0</v>
      </c>
      <c r="Y1283">
        <v>0</v>
      </c>
      <c r="Z1283">
        <v>0</v>
      </c>
      <c r="AA1283">
        <v>0</v>
      </c>
      <c r="AB1283">
        <v>0</v>
      </c>
      <c r="AC1283">
        <v>0</v>
      </c>
      <c r="AD1283">
        <v>0</v>
      </c>
      <c r="AE1283">
        <v>0</v>
      </c>
      <c r="AF1283">
        <v>0</v>
      </c>
      <c r="AG1283">
        <v>0</v>
      </c>
      <c r="AH1283">
        <v>0</v>
      </c>
      <c r="AI1283">
        <v>0</v>
      </c>
      <c r="AJ1283">
        <v>0</v>
      </c>
      <c r="AK1283">
        <v>0</v>
      </c>
      <c r="AL1283">
        <v>5</v>
      </c>
      <c r="AM1283">
        <v>0.33333333333333331</v>
      </c>
      <c r="AN1283">
        <v>9.6046251398731108</v>
      </c>
    </row>
    <row r="1284" spans="1:40" x14ac:dyDescent="0.3">
      <c r="A1284" t="s">
        <v>381</v>
      </c>
      <c r="B1284" t="s">
        <v>54</v>
      </c>
      <c r="C1284" t="s">
        <v>10</v>
      </c>
      <c r="D1284" t="s">
        <v>11</v>
      </c>
      <c r="E1284">
        <v>202602</v>
      </c>
      <c r="F1284" t="s">
        <v>56</v>
      </c>
      <c r="G1284">
        <v>0</v>
      </c>
      <c r="H1284">
        <v>7</v>
      </c>
      <c r="I1284">
        <v>6</v>
      </c>
      <c r="J1284">
        <v>4</v>
      </c>
      <c r="K1284">
        <v>4</v>
      </c>
      <c r="L1284">
        <v>8</v>
      </c>
      <c r="M1284">
        <v>2</v>
      </c>
      <c r="N1284">
        <v>0</v>
      </c>
      <c r="O1284">
        <v>6</v>
      </c>
      <c r="P1284">
        <v>2</v>
      </c>
      <c r="Q1284">
        <v>2</v>
      </c>
      <c r="R1284">
        <v>0</v>
      </c>
      <c r="S1284">
        <v>0</v>
      </c>
      <c r="T1284">
        <v>0</v>
      </c>
      <c r="U1284">
        <v>0</v>
      </c>
      <c r="V1284">
        <v>0</v>
      </c>
      <c r="W1284">
        <v>0</v>
      </c>
      <c r="X1284">
        <v>0</v>
      </c>
      <c r="Y1284">
        <v>0</v>
      </c>
      <c r="Z1284">
        <v>0</v>
      </c>
      <c r="AA1284">
        <v>0</v>
      </c>
      <c r="AB1284">
        <v>0</v>
      </c>
      <c r="AC1284">
        <v>0</v>
      </c>
      <c r="AD1284">
        <v>0</v>
      </c>
      <c r="AE1284">
        <v>0</v>
      </c>
      <c r="AF1284">
        <v>0</v>
      </c>
      <c r="AG1284">
        <v>0</v>
      </c>
      <c r="AH1284">
        <v>0</v>
      </c>
      <c r="AI1284">
        <v>0</v>
      </c>
      <c r="AJ1284">
        <v>0</v>
      </c>
      <c r="AK1284">
        <v>0</v>
      </c>
      <c r="AL1284">
        <v>41</v>
      </c>
      <c r="AM1284">
        <v>3.3333333333333335</v>
      </c>
      <c r="AN1284">
        <v>87.046251398731116</v>
      </c>
    </row>
    <row r="1285" spans="1:40" x14ac:dyDescent="0.3">
      <c r="A1285" t="s">
        <v>381</v>
      </c>
      <c r="B1285" t="s">
        <v>54</v>
      </c>
      <c r="C1285" t="s">
        <v>10</v>
      </c>
      <c r="D1285" t="s">
        <v>11</v>
      </c>
      <c r="E1285">
        <v>202602</v>
      </c>
      <c r="F1285" t="s">
        <v>57</v>
      </c>
      <c r="G1285">
        <v>0</v>
      </c>
      <c r="H1285">
        <v>1</v>
      </c>
      <c r="I1285">
        <v>2</v>
      </c>
      <c r="J1285">
        <v>1</v>
      </c>
      <c r="K1285">
        <v>0</v>
      </c>
      <c r="L1285">
        <v>0</v>
      </c>
      <c r="M1285">
        <v>0</v>
      </c>
      <c r="N1285">
        <v>0</v>
      </c>
      <c r="O1285">
        <v>1</v>
      </c>
      <c r="P1285">
        <v>0</v>
      </c>
      <c r="Q1285">
        <v>0</v>
      </c>
      <c r="R1285">
        <v>0</v>
      </c>
      <c r="S1285">
        <v>0</v>
      </c>
      <c r="T1285">
        <v>0</v>
      </c>
      <c r="U1285">
        <v>0</v>
      </c>
      <c r="V1285">
        <v>0</v>
      </c>
      <c r="W1285">
        <v>0</v>
      </c>
      <c r="X1285">
        <v>0</v>
      </c>
      <c r="Y1285">
        <v>0</v>
      </c>
      <c r="Z1285">
        <v>0</v>
      </c>
      <c r="AA1285">
        <v>0</v>
      </c>
      <c r="AB1285">
        <v>0</v>
      </c>
      <c r="AC1285">
        <v>0</v>
      </c>
      <c r="AD1285">
        <v>0</v>
      </c>
      <c r="AE1285">
        <v>0</v>
      </c>
      <c r="AF1285">
        <v>0</v>
      </c>
      <c r="AG1285">
        <v>0</v>
      </c>
      <c r="AH1285">
        <v>0</v>
      </c>
      <c r="AI1285">
        <v>0</v>
      </c>
      <c r="AJ1285">
        <v>0</v>
      </c>
      <c r="AK1285">
        <v>0</v>
      </c>
      <c r="AL1285">
        <v>5</v>
      </c>
      <c r="AM1285">
        <v>0.33333333333333331</v>
      </c>
      <c r="AN1285">
        <v>9.6046251398731108</v>
      </c>
    </row>
    <row r="1286" spans="1:40" x14ac:dyDescent="0.3">
      <c r="A1286" t="s">
        <v>381</v>
      </c>
      <c r="B1286" t="s">
        <v>54</v>
      </c>
      <c r="C1286" t="s">
        <v>10</v>
      </c>
      <c r="D1286" t="s">
        <v>11</v>
      </c>
      <c r="E1286">
        <v>202602</v>
      </c>
      <c r="F1286" t="s">
        <v>58</v>
      </c>
      <c r="G1286">
        <v>0</v>
      </c>
      <c r="H1286">
        <v>1</v>
      </c>
      <c r="I1286">
        <v>0</v>
      </c>
      <c r="J1286">
        <v>0</v>
      </c>
      <c r="K1286">
        <v>0</v>
      </c>
      <c r="L1286">
        <v>0</v>
      </c>
      <c r="M1286">
        <v>0</v>
      </c>
      <c r="N1286">
        <v>0</v>
      </c>
      <c r="O1286">
        <v>0</v>
      </c>
      <c r="P1286">
        <v>0</v>
      </c>
      <c r="Q1286">
        <v>0</v>
      </c>
      <c r="R1286">
        <v>0</v>
      </c>
      <c r="S1286">
        <v>0</v>
      </c>
      <c r="T1286">
        <v>0</v>
      </c>
      <c r="U1286">
        <v>0</v>
      </c>
      <c r="V1286">
        <v>0</v>
      </c>
      <c r="W1286">
        <v>0</v>
      </c>
      <c r="X1286">
        <v>0</v>
      </c>
      <c r="Y1286">
        <v>0</v>
      </c>
      <c r="Z1286">
        <v>0</v>
      </c>
      <c r="AA1286">
        <v>0</v>
      </c>
      <c r="AB1286">
        <v>0</v>
      </c>
      <c r="AC1286">
        <v>0</v>
      </c>
      <c r="AD1286">
        <v>0</v>
      </c>
      <c r="AE1286">
        <v>0</v>
      </c>
      <c r="AF1286">
        <v>0</v>
      </c>
      <c r="AG1286">
        <v>0</v>
      </c>
      <c r="AH1286">
        <v>0</v>
      </c>
      <c r="AI1286">
        <v>0</v>
      </c>
      <c r="AJ1286">
        <v>0</v>
      </c>
      <c r="AK1286">
        <v>0</v>
      </c>
      <c r="AL1286">
        <v>1</v>
      </c>
      <c r="AM1286">
        <v>0</v>
      </c>
      <c r="AN1286">
        <v>1</v>
      </c>
    </row>
    <row r="1287" spans="1:40" x14ac:dyDescent="0.3">
      <c r="A1287" t="s">
        <v>381</v>
      </c>
      <c r="B1287" t="s">
        <v>54</v>
      </c>
      <c r="C1287" t="s">
        <v>10</v>
      </c>
      <c r="D1287" t="s">
        <v>14</v>
      </c>
      <c r="E1287">
        <v>202602</v>
      </c>
      <c r="F1287" t="s">
        <v>55</v>
      </c>
      <c r="G1287">
        <v>0</v>
      </c>
      <c r="H1287">
        <v>1</v>
      </c>
      <c r="I1287">
        <v>1</v>
      </c>
      <c r="J1287">
        <v>3</v>
      </c>
      <c r="K1287">
        <v>0</v>
      </c>
      <c r="L1287">
        <v>3</v>
      </c>
      <c r="M1287">
        <v>0</v>
      </c>
      <c r="N1287">
        <v>0</v>
      </c>
      <c r="O1287">
        <v>1</v>
      </c>
      <c r="P1287">
        <v>1</v>
      </c>
      <c r="Q1287">
        <v>1</v>
      </c>
      <c r="R1287">
        <v>0</v>
      </c>
      <c r="S1287">
        <v>0</v>
      </c>
      <c r="T1287">
        <v>0</v>
      </c>
      <c r="U1287">
        <v>0</v>
      </c>
      <c r="V1287">
        <v>0</v>
      </c>
      <c r="W1287">
        <v>0</v>
      </c>
      <c r="X1287">
        <v>0</v>
      </c>
      <c r="Y1287">
        <v>0</v>
      </c>
      <c r="Z1287">
        <v>0</v>
      </c>
      <c r="AA1287">
        <v>0</v>
      </c>
      <c r="AB1287">
        <v>0</v>
      </c>
      <c r="AC1287">
        <v>0</v>
      </c>
      <c r="AD1287">
        <v>0</v>
      </c>
      <c r="AE1287">
        <v>0</v>
      </c>
      <c r="AF1287">
        <v>0</v>
      </c>
      <c r="AG1287">
        <v>0</v>
      </c>
      <c r="AH1287">
        <v>0</v>
      </c>
      <c r="AI1287">
        <v>0</v>
      </c>
      <c r="AJ1287">
        <v>0</v>
      </c>
      <c r="AK1287">
        <v>0</v>
      </c>
      <c r="AL1287">
        <v>11</v>
      </c>
      <c r="AM1287">
        <v>1</v>
      </c>
      <c r="AN1287">
        <v>23.125223214285839</v>
      </c>
    </row>
    <row r="1288" spans="1:40" x14ac:dyDescent="0.3">
      <c r="A1288" t="s">
        <v>381</v>
      </c>
      <c r="B1288" t="s">
        <v>54</v>
      </c>
      <c r="C1288" t="s">
        <v>10</v>
      </c>
      <c r="D1288" t="s">
        <v>14</v>
      </c>
      <c r="E1288">
        <v>202602</v>
      </c>
      <c r="F1288" t="s">
        <v>56</v>
      </c>
      <c r="G1288">
        <v>1</v>
      </c>
      <c r="H1288">
        <v>13</v>
      </c>
      <c r="I1288">
        <v>11</v>
      </c>
      <c r="J1288">
        <v>6</v>
      </c>
      <c r="K1288">
        <v>8</v>
      </c>
      <c r="L1288">
        <v>12</v>
      </c>
      <c r="M1288">
        <v>1</v>
      </c>
      <c r="N1288">
        <v>1</v>
      </c>
      <c r="O1288">
        <v>10</v>
      </c>
      <c r="P1288">
        <v>8</v>
      </c>
      <c r="Q1288">
        <v>9</v>
      </c>
      <c r="R1288">
        <v>0</v>
      </c>
      <c r="S1288">
        <v>0</v>
      </c>
      <c r="T1288">
        <v>0</v>
      </c>
      <c r="U1288">
        <v>0</v>
      </c>
      <c r="V1288">
        <v>0</v>
      </c>
      <c r="W1288">
        <v>0</v>
      </c>
      <c r="X1288">
        <v>0</v>
      </c>
      <c r="Y1288">
        <v>0</v>
      </c>
      <c r="Z1288">
        <v>0</v>
      </c>
      <c r="AA1288">
        <v>0</v>
      </c>
      <c r="AB1288">
        <v>0</v>
      </c>
      <c r="AC1288">
        <v>0</v>
      </c>
      <c r="AD1288">
        <v>0</v>
      </c>
      <c r="AE1288">
        <v>0</v>
      </c>
      <c r="AF1288">
        <v>0</v>
      </c>
      <c r="AG1288">
        <v>0</v>
      </c>
      <c r="AH1288">
        <v>0</v>
      </c>
      <c r="AI1288">
        <v>0</v>
      </c>
      <c r="AJ1288">
        <v>0</v>
      </c>
      <c r="AK1288">
        <v>0</v>
      </c>
      <c r="AL1288">
        <v>80</v>
      </c>
      <c r="AM1288">
        <v>9</v>
      </c>
      <c r="AN1288">
        <v>189.12700892857254</v>
      </c>
    </row>
    <row r="1289" spans="1:40" x14ac:dyDescent="0.3">
      <c r="A1289" t="s">
        <v>381</v>
      </c>
      <c r="B1289" t="s">
        <v>54</v>
      </c>
      <c r="C1289" t="s">
        <v>10</v>
      </c>
      <c r="D1289" t="s">
        <v>14</v>
      </c>
      <c r="E1289">
        <v>202602</v>
      </c>
      <c r="F1289" t="s">
        <v>57</v>
      </c>
      <c r="G1289">
        <v>0</v>
      </c>
      <c r="H1289">
        <v>2</v>
      </c>
      <c r="I1289">
        <v>1</v>
      </c>
      <c r="J1289">
        <v>0</v>
      </c>
      <c r="K1289">
        <v>1</v>
      </c>
      <c r="L1289">
        <v>1</v>
      </c>
      <c r="M1289">
        <v>0</v>
      </c>
      <c r="N1289">
        <v>0</v>
      </c>
      <c r="O1289">
        <v>2</v>
      </c>
      <c r="P1289">
        <v>2</v>
      </c>
      <c r="Q1289">
        <v>2</v>
      </c>
      <c r="R1289">
        <v>0</v>
      </c>
      <c r="S1289">
        <v>0</v>
      </c>
      <c r="T1289">
        <v>0</v>
      </c>
      <c r="U1289">
        <v>0</v>
      </c>
      <c r="V1289">
        <v>0</v>
      </c>
      <c r="W1289">
        <v>0</v>
      </c>
      <c r="X1289">
        <v>0</v>
      </c>
      <c r="Y1289">
        <v>0</v>
      </c>
      <c r="Z1289">
        <v>0</v>
      </c>
      <c r="AA1289">
        <v>0</v>
      </c>
      <c r="AB1289">
        <v>0</v>
      </c>
      <c r="AC1289">
        <v>0</v>
      </c>
      <c r="AD1289">
        <v>0</v>
      </c>
      <c r="AE1289">
        <v>0</v>
      </c>
      <c r="AF1289">
        <v>0</v>
      </c>
      <c r="AG1289">
        <v>0</v>
      </c>
      <c r="AH1289">
        <v>0</v>
      </c>
      <c r="AI1289">
        <v>0</v>
      </c>
      <c r="AJ1289">
        <v>0</v>
      </c>
      <c r="AK1289">
        <v>0</v>
      </c>
      <c r="AL1289">
        <v>11</v>
      </c>
      <c r="AM1289">
        <v>2</v>
      </c>
      <c r="AN1289">
        <v>35.250446428571678</v>
      </c>
    </row>
    <row r="1290" spans="1:40" x14ac:dyDescent="0.3">
      <c r="A1290" t="s">
        <v>381</v>
      </c>
      <c r="B1290" t="s">
        <v>54</v>
      </c>
      <c r="C1290" t="s">
        <v>10</v>
      </c>
      <c r="D1290" t="s">
        <v>14</v>
      </c>
      <c r="E1290">
        <v>202602</v>
      </c>
      <c r="F1290" t="s">
        <v>58</v>
      </c>
      <c r="G1290">
        <v>0</v>
      </c>
      <c r="H1290">
        <v>0</v>
      </c>
      <c r="I1290">
        <v>0</v>
      </c>
      <c r="J1290">
        <v>0</v>
      </c>
      <c r="K1290">
        <v>0</v>
      </c>
      <c r="L1290">
        <v>1</v>
      </c>
      <c r="M1290">
        <v>0</v>
      </c>
      <c r="N1290">
        <v>0</v>
      </c>
      <c r="O1290">
        <v>0</v>
      </c>
      <c r="P1290">
        <v>0</v>
      </c>
      <c r="Q1290">
        <v>0</v>
      </c>
      <c r="R1290">
        <v>0</v>
      </c>
      <c r="S1290">
        <v>0</v>
      </c>
      <c r="T1290">
        <v>0</v>
      </c>
      <c r="U1290">
        <v>0</v>
      </c>
      <c r="V1290">
        <v>0</v>
      </c>
      <c r="W1290">
        <v>0</v>
      </c>
      <c r="X1290">
        <v>0</v>
      </c>
      <c r="Y1290">
        <v>0</v>
      </c>
      <c r="Z1290">
        <v>0</v>
      </c>
      <c r="AA1290">
        <v>0</v>
      </c>
      <c r="AB1290">
        <v>0</v>
      </c>
      <c r="AC1290">
        <v>0</v>
      </c>
      <c r="AD1290">
        <v>0</v>
      </c>
      <c r="AE1290">
        <v>0</v>
      </c>
      <c r="AF1290">
        <v>0</v>
      </c>
      <c r="AG1290">
        <v>0</v>
      </c>
      <c r="AH1290">
        <v>0</v>
      </c>
      <c r="AI1290">
        <v>0</v>
      </c>
      <c r="AJ1290">
        <v>0</v>
      </c>
      <c r="AK1290">
        <v>0</v>
      </c>
      <c r="AL1290">
        <v>1</v>
      </c>
      <c r="AM1290">
        <v>0</v>
      </c>
      <c r="AN1290">
        <v>1</v>
      </c>
    </row>
    <row r="1291" spans="1:40" x14ac:dyDescent="0.3">
      <c r="A1291" t="s">
        <v>381</v>
      </c>
      <c r="B1291" t="s">
        <v>54</v>
      </c>
      <c r="C1291" t="s">
        <v>16</v>
      </c>
      <c r="D1291" t="s">
        <v>11</v>
      </c>
      <c r="E1291">
        <v>202602</v>
      </c>
      <c r="F1291" t="s">
        <v>56</v>
      </c>
      <c r="G1291">
        <v>0</v>
      </c>
      <c r="H1291">
        <v>0</v>
      </c>
      <c r="I1291">
        <v>0</v>
      </c>
      <c r="J1291">
        <v>0</v>
      </c>
      <c r="K1291">
        <v>0</v>
      </c>
      <c r="L1291">
        <v>0</v>
      </c>
      <c r="M1291">
        <v>0</v>
      </c>
      <c r="N1291">
        <v>0</v>
      </c>
      <c r="O1291">
        <v>0</v>
      </c>
      <c r="P1291">
        <v>0</v>
      </c>
      <c r="Q1291">
        <v>1</v>
      </c>
      <c r="R1291">
        <v>0</v>
      </c>
      <c r="S1291">
        <v>0</v>
      </c>
      <c r="T1291">
        <v>0</v>
      </c>
      <c r="U1291">
        <v>0</v>
      </c>
      <c r="V1291">
        <v>0</v>
      </c>
      <c r="W1291">
        <v>0</v>
      </c>
      <c r="X1291">
        <v>0</v>
      </c>
      <c r="Y1291">
        <v>0</v>
      </c>
      <c r="Z1291">
        <v>0</v>
      </c>
      <c r="AA1291">
        <v>0</v>
      </c>
      <c r="AB1291">
        <v>0</v>
      </c>
      <c r="AC1291">
        <v>0</v>
      </c>
      <c r="AD1291">
        <v>0</v>
      </c>
      <c r="AE1291">
        <v>0</v>
      </c>
      <c r="AF1291">
        <v>0</v>
      </c>
      <c r="AG1291">
        <v>0</v>
      </c>
      <c r="AH1291">
        <v>0</v>
      </c>
      <c r="AI1291">
        <v>0</v>
      </c>
      <c r="AJ1291">
        <v>0</v>
      </c>
      <c r="AK1291">
        <v>0</v>
      </c>
      <c r="AL1291">
        <v>1</v>
      </c>
      <c r="AM1291">
        <v>0.33333333333333331</v>
      </c>
      <c r="AN1291">
        <v>5.6046251398731117</v>
      </c>
    </row>
    <row r="1292" spans="1:40" x14ac:dyDescent="0.3">
      <c r="A1292" t="s">
        <v>381</v>
      </c>
      <c r="B1292" t="s">
        <v>54</v>
      </c>
      <c r="C1292" t="s">
        <v>16</v>
      </c>
      <c r="D1292" t="s">
        <v>14</v>
      </c>
      <c r="E1292">
        <v>202602</v>
      </c>
      <c r="F1292" t="s">
        <v>55</v>
      </c>
      <c r="G1292">
        <v>0</v>
      </c>
      <c r="H1292">
        <v>0</v>
      </c>
      <c r="I1292">
        <v>0</v>
      </c>
      <c r="J1292">
        <v>1</v>
      </c>
      <c r="K1292">
        <v>0</v>
      </c>
      <c r="L1292">
        <v>0</v>
      </c>
      <c r="M1292">
        <v>1</v>
      </c>
      <c r="N1292">
        <v>0</v>
      </c>
      <c r="O1292">
        <v>0</v>
      </c>
      <c r="P1292">
        <v>0</v>
      </c>
      <c r="Q1292">
        <v>0</v>
      </c>
      <c r="R1292">
        <v>0</v>
      </c>
      <c r="S1292">
        <v>0</v>
      </c>
      <c r="T1292">
        <v>0</v>
      </c>
      <c r="U1292">
        <v>0</v>
      </c>
      <c r="V1292">
        <v>0</v>
      </c>
      <c r="W1292">
        <v>0</v>
      </c>
      <c r="X1292">
        <v>0</v>
      </c>
      <c r="Y1292">
        <v>0</v>
      </c>
      <c r="Z1292">
        <v>0</v>
      </c>
      <c r="AA1292">
        <v>0</v>
      </c>
      <c r="AB1292">
        <v>0</v>
      </c>
      <c r="AC1292">
        <v>0</v>
      </c>
      <c r="AD1292">
        <v>0</v>
      </c>
      <c r="AE1292">
        <v>0</v>
      </c>
      <c r="AF1292">
        <v>0</v>
      </c>
      <c r="AG1292">
        <v>0</v>
      </c>
      <c r="AH1292">
        <v>0</v>
      </c>
      <c r="AI1292">
        <v>0</v>
      </c>
      <c r="AJ1292">
        <v>0</v>
      </c>
      <c r="AK1292">
        <v>0</v>
      </c>
      <c r="AL1292">
        <v>2</v>
      </c>
      <c r="AM1292">
        <v>0</v>
      </c>
      <c r="AN1292">
        <v>2</v>
      </c>
    </row>
    <row r="1293" spans="1:40" x14ac:dyDescent="0.3">
      <c r="A1293" t="s">
        <v>381</v>
      </c>
      <c r="B1293" t="s">
        <v>54</v>
      </c>
      <c r="C1293" t="s">
        <v>16</v>
      </c>
      <c r="D1293" t="s">
        <v>14</v>
      </c>
      <c r="E1293">
        <v>202602</v>
      </c>
      <c r="F1293" t="s">
        <v>56</v>
      </c>
      <c r="G1293">
        <v>0</v>
      </c>
      <c r="H1293">
        <v>0</v>
      </c>
      <c r="I1293">
        <v>0</v>
      </c>
      <c r="J1293">
        <v>0</v>
      </c>
      <c r="K1293">
        <v>0</v>
      </c>
      <c r="L1293">
        <v>0</v>
      </c>
      <c r="M1293">
        <v>0</v>
      </c>
      <c r="N1293">
        <v>0</v>
      </c>
      <c r="O1293">
        <v>1</v>
      </c>
      <c r="P1293">
        <v>1</v>
      </c>
      <c r="Q1293">
        <v>0</v>
      </c>
      <c r="R1293">
        <v>0</v>
      </c>
      <c r="S1293">
        <v>0</v>
      </c>
      <c r="T1293">
        <v>0</v>
      </c>
      <c r="U1293">
        <v>0</v>
      </c>
      <c r="V1293">
        <v>0</v>
      </c>
      <c r="W1293">
        <v>0</v>
      </c>
      <c r="X1293">
        <v>0</v>
      </c>
      <c r="Y1293">
        <v>0</v>
      </c>
      <c r="Z1293">
        <v>0</v>
      </c>
      <c r="AA1293">
        <v>0</v>
      </c>
      <c r="AB1293">
        <v>0</v>
      </c>
      <c r="AC1293">
        <v>0</v>
      </c>
      <c r="AD1293">
        <v>0</v>
      </c>
      <c r="AE1293">
        <v>0</v>
      </c>
      <c r="AF1293">
        <v>0</v>
      </c>
      <c r="AG1293">
        <v>0</v>
      </c>
      <c r="AH1293">
        <v>0</v>
      </c>
      <c r="AI1293">
        <v>0</v>
      </c>
      <c r="AJ1293">
        <v>0</v>
      </c>
      <c r="AK1293">
        <v>0</v>
      </c>
      <c r="AL1293">
        <v>2</v>
      </c>
      <c r="AM1293">
        <v>0.66666666666666663</v>
      </c>
      <c r="AN1293">
        <v>10.083482142857227</v>
      </c>
    </row>
    <row r="1294" spans="1:40" x14ac:dyDescent="0.3">
      <c r="A1294" t="s">
        <v>381</v>
      </c>
      <c r="B1294" t="s">
        <v>59</v>
      </c>
      <c r="C1294" t="s">
        <v>10</v>
      </c>
      <c r="D1294" t="s">
        <v>11</v>
      </c>
      <c r="E1294">
        <v>202602</v>
      </c>
      <c r="F1294" t="s">
        <v>205</v>
      </c>
      <c r="G1294">
        <v>0</v>
      </c>
      <c r="H1294">
        <v>2</v>
      </c>
      <c r="I1294">
        <v>3</v>
      </c>
      <c r="J1294">
        <v>4</v>
      </c>
      <c r="K1294">
        <v>2</v>
      </c>
      <c r="L1294">
        <v>1</v>
      </c>
      <c r="M1294">
        <v>0</v>
      </c>
      <c r="N1294">
        <v>0</v>
      </c>
      <c r="O1294">
        <v>5</v>
      </c>
      <c r="P1294">
        <v>5</v>
      </c>
      <c r="Q1294">
        <v>2</v>
      </c>
      <c r="R1294">
        <v>0</v>
      </c>
      <c r="S1294">
        <v>0</v>
      </c>
      <c r="T1294">
        <v>0</v>
      </c>
      <c r="U1294">
        <v>0</v>
      </c>
      <c r="V1294">
        <v>0</v>
      </c>
      <c r="W1294">
        <v>0</v>
      </c>
      <c r="X1294">
        <v>0</v>
      </c>
      <c r="Y1294">
        <v>0</v>
      </c>
      <c r="Z1294">
        <v>0</v>
      </c>
      <c r="AA1294">
        <v>0</v>
      </c>
      <c r="AB1294">
        <v>0</v>
      </c>
      <c r="AC1294">
        <v>0</v>
      </c>
      <c r="AD1294">
        <v>0</v>
      </c>
      <c r="AE1294">
        <v>0</v>
      </c>
      <c r="AF1294">
        <v>0</v>
      </c>
      <c r="AG1294">
        <v>0</v>
      </c>
      <c r="AH1294">
        <v>0</v>
      </c>
      <c r="AI1294">
        <v>0</v>
      </c>
      <c r="AJ1294">
        <v>0</v>
      </c>
      <c r="AK1294">
        <v>0</v>
      </c>
      <c r="AL1294">
        <v>24</v>
      </c>
      <c r="AM1294">
        <v>4</v>
      </c>
      <c r="AN1294">
        <v>79.255501678477344</v>
      </c>
    </row>
    <row r="1295" spans="1:40" x14ac:dyDescent="0.3">
      <c r="A1295" t="s">
        <v>381</v>
      </c>
      <c r="B1295" t="s">
        <v>59</v>
      </c>
      <c r="C1295" t="s">
        <v>10</v>
      </c>
      <c r="D1295" t="s">
        <v>11</v>
      </c>
      <c r="E1295">
        <v>202602</v>
      </c>
      <c r="F1295" t="s">
        <v>61</v>
      </c>
      <c r="G1295">
        <v>0</v>
      </c>
      <c r="H1295">
        <v>1</v>
      </c>
      <c r="I1295">
        <v>1</v>
      </c>
      <c r="J1295">
        <v>3</v>
      </c>
      <c r="K1295">
        <v>2</v>
      </c>
      <c r="L1295">
        <v>3</v>
      </c>
      <c r="M1295">
        <v>2</v>
      </c>
      <c r="N1295">
        <v>0</v>
      </c>
      <c r="O1295">
        <v>1</v>
      </c>
      <c r="P1295">
        <v>0</v>
      </c>
      <c r="Q1295">
        <v>1</v>
      </c>
      <c r="R1295">
        <v>0</v>
      </c>
      <c r="S1295">
        <v>0</v>
      </c>
      <c r="T1295">
        <v>0</v>
      </c>
      <c r="U1295">
        <v>0</v>
      </c>
      <c r="V1295">
        <v>0</v>
      </c>
      <c r="W1295">
        <v>0</v>
      </c>
      <c r="X1295">
        <v>0</v>
      </c>
      <c r="Y1295">
        <v>0</v>
      </c>
      <c r="Z1295">
        <v>0</v>
      </c>
      <c r="AA1295">
        <v>0</v>
      </c>
      <c r="AB1295">
        <v>0</v>
      </c>
      <c r="AC1295">
        <v>0</v>
      </c>
      <c r="AD1295">
        <v>0</v>
      </c>
      <c r="AE1295">
        <v>0</v>
      </c>
      <c r="AF1295">
        <v>0</v>
      </c>
      <c r="AG1295">
        <v>0</v>
      </c>
      <c r="AH1295">
        <v>0</v>
      </c>
      <c r="AI1295">
        <v>0</v>
      </c>
      <c r="AJ1295">
        <v>0</v>
      </c>
      <c r="AK1295">
        <v>0</v>
      </c>
      <c r="AL1295">
        <v>14</v>
      </c>
      <c r="AM1295">
        <v>0.66666666666666663</v>
      </c>
      <c r="AN1295">
        <v>23.209250279746222</v>
      </c>
    </row>
    <row r="1296" spans="1:40" x14ac:dyDescent="0.3">
      <c r="A1296" t="s">
        <v>381</v>
      </c>
      <c r="B1296" t="s">
        <v>59</v>
      </c>
      <c r="C1296" t="s">
        <v>10</v>
      </c>
      <c r="D1296" t="s">
        <v>11</v>
      </c>
      <c r="E1296">
        <v>202602</v>
      </c>
      <c r="F1296" t="s">
        <v>63</v>
      </c>
      <c r="G1296">
        <v>0</v>
      </c>
      <c r="H1296">
        <v>0</v>
      </c>
      <c r="I1296">
        <v>0</v>
      </c>
      <c r="J1296">
        <v>0</v>
      </c>
      <c r="K1296">
        <v>0</v>
      </c>
      <c r="L1296">
        <v>0</v>
      </c>
      <c r="M1296">
        <v>1</v>
      </c>
      <c r="N1296">
        <v>0</v>
      </c>
      <c r="O1296">
        <v>0</v>
      </c>
      <c r="P1296">
        <v>0</v>
      </c>
      <c r="Q1296">
        <v>0</v>
      </c>
      <c r="R1296">
        <v>0</v>
      </c>
      <c r="S1296">
        <v>0</v>
      </c>
      <c r="T1296">
        <v>0</v>
      </c>
      <c r="U1296">
        <v>0</v>
      </c>
      <c r="V1296">
        <v>0</v>
      </c>
      <c r="W1296">
        <v>0</v>
      </c>
      <c r="X1296">
        <v>0</v>
      </c>
      <c r="Y1296">
        <v>0</v>
      </c>
      <c r="Z1296">
        <v>0</v>
      </c>
      <c r="AA1296">
        <v>0</v>
      </c>
      <c r="AB1296">
        <v>0</v>
      </c>
      <c r="AC1296">
        <v>0</v>
      </c>
      <c r="AD1296">
        <v>0</v>
      </c>
      <c r="AE1296">
        <v>0</v>
      </c>
      <c r="AF1296">
        <v>0</v>
      </c>
      <c r="AG1296">
        <v>0</v>
      </c>
      <c r="AH1296">
        <v>0</v>
      </c>
      <c r="AI1296">
        <v>0</v>
      </c>
      <c r="AJ1296">
        <v>0</v>
      </c>
      <c r="AK1296">
        <v>0</v>
      </c>
      <c r="AL1296">
        <v>1</v>
      </c>
      <c r="AM1296">
        <v>0</v>
      </c>
      <c r="AN1296">
        <v>1</v>
      </c>
    </row>
    <row r="1297" spans="1:40" x14ac:dyDescent="0.3">
      <c r="A1297" t="s">
        <v>381</v>
      </c>
      <c r="B1297" t="s">
        <v>59</v>
      </c>
      <c r="C1297" t="s">
        <v>10</v>
      </c>
      <c r="D1297" t="s">
        <v>11</v>
      </c>
      <c r="E1297">
        <v>202602</v>
      </c>
      <c r="F1297" t="s">
        <v>75</v>
      </c>
      <c r="G1297">
        <v>0</v>
      </c>
      <c r="H1297">
        <v>0</v>
      </c>
      <c r="I1297">
        <v>0</v>
      </c>
      <c r="J1297">
        <v>0</v>
      </c>
      <c r="K1297">
        <v>0</v>
      </c>
      <c r="L1297">
        <v>0</v>
      </c>
      <c r="M1297">
        <v>0</v>
      </c>
      <c r="N1297">
        <v>0</v>
      </c>
      <c r="O1297">
        <v>1</v>
      </c>
      <c r="P1297">
        <v>0</v>
      </c>
      <c r="Q1297">
        <v>0</v>
      </c>
      <c r="R1297">
        <v>0</v>
      </c>
      <c r="S1297">
        <v>0</v>
      </c>
      <c r="T1297">
        <v>0</v>
      </c>
      <c r="U1297">
        <v>0</v>
      </c>
      <c r="V1297">
        <v>0</v>
      </c>
      <c r="W1297">
        <v>0</v>
      </c>
      <c r="X1297">
        <v>0</v>
      </c>
      <c r="Y1297">
        <v>0</v>
      </c>
      <c r="Z1297">
        <v>0</v>
      </c>
      <c r="AA1297">
        <v>0</v>
      </c>
      <c r="AB1297">
        <v>0</v>
      </c>
      <c r="AC1297">
        <v>0</v>
      </c>
      <c r="AD1297">
        <v>0</v>
      </c>
      <c r="AE1297">
        <v>0</v>
      </c>
      <c r="AF1297">
        <v>0</v>
      </c>
      <c r="AG1297">
        <v>0</v>
      </c>
      <c r="AH1297">
        <v>0</v>
      </c>
      <c r="AI1297">
        <v>0</v>
      </c>
      <c r="AJ1297">
        <v>0</v>
      </c>
      <c r="AK1297">
        <v>0</v>
      </c>
      <c r="AL1297">
        <v>1</v>
      </c>
      <c r="AM1297">
        <v>0.33333333333333331</v>
      </c>
      <c r="AN1297">
        <v>5.6046251398731117</v>
      </c>
    </row>
    <row r="1298" spans="1:40" x14ac:dyDescent="0.3">
      <c r="A1298" t="s">
        <v>381</v>
      </c>
      <c r="B1298" t="s">
        <v>59</v>
      </c>
      <c r="C1298" t="s">
        <v>10</v>
      </c>
      <c r="D1298" t="s">
        <v>11</v>
      </c>
      <c r="E1298">
        <v>202602</v>
      </c>
      <c r="F1298" t="s">
        <v>207</v>
      </c>
      <c r="G1298">
        <v>0</v>
      </c>
      <c r="H1298">
        <v>2</v>
      </c>
      <c r="I1298">
        <v>0</v>
      </c>
      <c r="J1298">
        <v>0</v>
      </c>
      <c r="K1298">
        <v>1</v>
      </c>
      <c r="L1298">
        <v>3</v>
      </c>
      <c r="M1298">
        <v>0</v>
      </c>
      <c r="N1298">
        <v>0</v>
      </c>
      <c r="O1298">
        <v>1</v>
      </c>
      <c r="P1298">
        <v>0</v>
      </c>
      <c r="Q1298">
        <v>1</v>
      </c>
      <c r="R1298">
        <v>0</v>
      </c>
      <c r="S1298">
        <v>0</v>
      </c>
      <c r="T1298">
        <v>0</v>
      </c>
      <c r="U1298">
        <v>0</v>
      </c>
      <c r="V1298">
        <v>0</v>
      </c>
      <c r="W1298">
        <v>0</v>
      </c>
      <c r="X1298">
        <v>0</v>
      </c>
      <c r="Y1298">
        <v>0</v>
      </c>
      <c r="Z1298">
        <v>0</v>
      </c>
      <c r="AA1298">
        <v>0</v>
      </c>
      <c r="AB1298">
        <v>0</v>
      </c>
      <c r="AC1298">
        <v>0</v>
      </c>
      <c r="AD1298">
        <v>0</v>
      </c>
      <c r="AE1298">
        <v>0</v>
      </c>
      <c r="AF1298">
        <v>0</v>
      </c>
      <c r="AG1298">
        <v>0</v>
      </c>
      <c r="AH1298">
        <v>0</v>
      </c>
      <c r="AI1298">
        <v>0</v>
      </c>
      <c r="AJ1298">
        <v>0</v>
      </c>
      <c r="AK1298">
        <v>0</v>
      </c>
      <c r="AL1298">
        <v>8</v>
      </c>
      <c r="AM1298">
        <v>0.66666666666666663</v>
      </c>
      <c r="AN1298">
        <v>17.209250279746222</v>
      </c>
    </row>
    <row r="1299" spans="1:40" x14ac:dyDescent="0.3">
      <c r="A1299" t="s">
        <v>381</v>
      </c>
      <c r="B1299" t="s">
        <v>59</v>
      </c>
      <c r="C1299" t="s">
        <v>10</v>
      </c>
      <c r="D1299" t="s">
        <v>11</v>
      </c>
      <c r="E1299">
        <v>202602</v>
      </c>
      <c r="F1299" t="s">
        <v>64</v>
      </c>
      <c r="G1299">
        <v>0</v>
      </c>
      <c r="H1299">
        <v>0</v>
      </c>
      <c r="I1299">
        <v>1</v>
      </c>
      <c r="J1299">
        <v>1</v>
      </c>
      <c r="K1299">
        <v>0</v>
      </c>
      <c r="L1299">
        <v>0</v>
      </c>
      <c r="M1299">
        <v>1</v>
      </c>
      <c r="N1299">
        <v>0</v>
      </c>
      <c r="O1299">
        <v>2</v>
      </c>
      <c r="P1299">
        <v>1</v>
      </c>
      <c r="Q1299">
        <v>0</v>
      </c>
      <c r="R1299">
        <v>0</v>
      </c>
      <c r="S1299">
        <v>0</v>
      </c>
      <c r="T1299">
        <v>0</v>
      </c>
      <c r="U1299">
        <v>0</v>
      </c>
      <c r="V1299">
        <v>0</v>
      </c>
      <c r="W1299">
        <v>0</v>
      </c>
      <c r="X1299">
        <v>0</v>
      </c>
      <c r="Y1299">
        <v>0</v>
      </c>
      <c r="Z1299">
        <v>0</v>
      </c>
      <c r="AA1299">
        <v>0</v>
      </c>
      <c r="AB1299">
        <v>0</v>
      </c>
      <c r="AC1299">
        <v>0</v>
      </c>
      <c r="AD1299">
        <v>0</v>
      </c>
      <c r="AE1299">
        <v>0</v>
      </c>
      <c r="AF1299">
        <v>0</v>
      </c>
      <c r="AG1299">
        <v>0</v>
      </c>
      <c r="AH1299">
        <v>0</v>
      </c>
      <c r="AI1299">
        <v>0</v>
      </c>
      <c r="AJ1299">
        <v>0</v>
      </c>
      <c r="AK1299">
        <v>0</v>
      </c>
      <c r="AL1299">
        <v>6</v>
      </c>
      <c r="AM1299">
        <v>1</v>
      </c>
      <c r="AN1299">
        <v>19.813875419619336</v>
      </c>
    </row>
    <row r="1300" spans="1:40" x14ac:dyDescent="0.3">
      <c r="A1300" t="s">
        <v>381</v>
      </c>
      <c r="B1300" t="s">
        <v>59</v>
      </c>
      <c r="C1300" t="s">
        <v>10</v>
      </c>
      <c r="D1300" t="s">
        <v>11</v>
      </c>
      <c r="E1300">
        <v>202602</v>
      </c>
      <c r="F1300" t="s">
        <v>412</v>
      </c>
      <c r="G1300">
        <v>0</v>
      </c>
      <c r="H1300">
        <v>1</v>
      </c>
      <c r="I1300">
        <v>0</v>
      </c>
      <c r="J1300">
        <v>1</v>
      </c>
      <c r="K1300">
        <v>1</v>
      </c>
      <c r="L1300">
        <v>0</v>
      </c>
      <c r="M1300">
        <v>1</v>
      </c>
      <c r="N1300">
        <v>0</v>
      </c>
      <c r="O1300">
        <v>0</v>
      </c>
      <c r="P1300">
        <v>1</v>
      </c>
      <c r="Q1300">
        <v>0</v>
      </c>
      <c r="R1300">
        <v>0</v>
      </c>
      <c r="S1300">
        <v>0</v>
      </c>
      <c r="T1300">
        <v>0</v>
      </c>
      <c r="U1300">
        <v>0</v>
      </c>
      <c r="V1300">
        <v>0</v>
      </c>
      <c r="W1300">
        <v>0</v>
      </c>
      <c r="X1300">
        <v>0</v>
      </c>
      <c r="Y1300">
        <v>0</v>
      </c>
      <c r="Z1300">
        <v>0</v>
      </c>
      <c r="AA1300">
        <v>0</v>
      </c>
      <c r="AB1300">
        <v>0</v>
      </c>
      <c r="AC1300">
        <v>0</v>
      </c>
      <c r="AD1300">
        <v>0</v>
      </c>
      <c r="AE1300">
        <v>0</v>
      </c>
      <c r="AF1300">
        <v>0</v>
      </c>
      <c r="AG1300">
        <v>0</v>
      </c>
      <c r="AH1300">
        <v>0</v>
      </c>
      <c r="AI1300">
        <v>0</v>
      </c>
      <c r="AJ1300">
        <v>0</v>
      </c>
      <c r="AK1300">
        <v>0</v>
      </c>
      <c r="AL1300">
        <v>5</v>
      </c>
      <c r="AM1300">
        <v>0.33333333333333331</v>
      </c>
      <c r="AN1300">
        <v>9.6046251398731108</v>
      </c>
    </row>
    <row r="1301" spans="1:40" x14ac:dyDescent="0.3">
      <c r="A1301" t="s">
        <v>381</v>
      </c>
      <c r="B1301" t="s">
        <v>59</v>
      </c>
      <c r="C1301" t="s">
        <v>10</v>
      </c>
      <c r="D1301" t="s">
        <v>11</v>
      </c>
      <c r="E1301">
        <v>202602</v>
      </c>
      <c r="F1301" t="s">
        <v>413</v>
      </c>
      <c r="G1301">
        <v>0</v>
      </c>
      <c r="H1301">
        <v>0</v>
      </c>
      <c r="I1301">
        <v>0</v>
      </c>
      <c r="J1301">
        <v>1</v>
      </c>
      <c r="K1301">
        <v>0</v>
      </c>
      <c r="L1301">
        <v>0</v>
      </c>
      <c r="M1301">
        <v>1</v>
      </c>
      <c r="N1301">
        <v>0</v>
      </c>
      <c r="O1301">
        <v>1</v>
      </c>
      <c r="P1301">
        <v>1</v>
      </c>
      <c r="Q1301">
        <v>0</v>
      </c>
      <c r="R1301">
        <v>0</v>
      </c>
      <c r="S1301">
        <v>0</v>
      </c>
      <c r="T1301">
        <v>0</v>
      </c>
      <c r="U1301">
        <v>0</v>
      </c>
      <c r="V1301">
        <v>0</v>
      </c>
      <c r="W1301">
        <v>0</v>
      </c>
      <c r="X1301">
        <v>0</v>
      </c>
      <c r="Y1301">
        <v>0</v>
      </c>
      <c r="Z1301">
        <v>0</v>
      </c>
      <c r="AA1301">
        <v>0</v>
      </c>
      <c r="AB1301">
        <v>0</v>
      </c>
      <c r="AC1301">
        <v>0</v>
      </c>
      <c r="AD1301">
        <v>0</v>
      </c>
      <c r="AE1301">
        <v>0</v>
      </c>
      <c r="AF1301">
        <v>0</v>
      </c>
      <c r="AG1301">
        <v>0</v>
      </c>
      <c r="AH1301">
        <v>0</v>
      </c>
      <c r="AI1301">
        <v>0</v>
      </c>
      <c r="AJ1301">
        <v>0</v>
      </c>
      <c r="AK1301">
        <v>0</v>
      </c>
      <c r="AL1301">
        <v>4</v>
      </c>
      <c r="AM1301">
        <v>0.66666666666666663</v>
      </c>
      <c r="AN1301">
        <v>13.209250279746223</v>
      </c>
    </row>
    <row r="1302" spans="1:40" x14ac:dyDescent="0.3">
      <c r="A1302" t="s">
        <v>381</v>
      </c>
      <c r="B1302" t="s">
        <v>59</v>
      </c>
      <c r="C1302" t="s">
        <v>10</v>
      </c>
      <c r="D1302" t="s">
        <v>11</v>
      </c>
      <c r="E1302">
        <v>202602</v>
      </c>
      <c r="F1302" t="s">
        <v>414</v>
      </c>
      <c r="G1302">
        <v>0</v>
      </c>
      <c r="H1302">
        <v>0</v>
      </c>
      <c r="I1302">
        <v>0</v>
      </c>
      <c r="J1302">
        <v>0</v>
      </c>
      <c r="K1302">
        <v>0</v>
      </c>
      <c r="L1302">
        <v>0</v>
      </c>
      <c r="M1302">
        <v>0</v>
      </c>
      <c r="N1302">
        <v>0</v>
      </c>
      <c r="O1302">
        <v>0</v>
      </c>
      <c r="P1302">
        <v>2</v>
      </c>
      <c r="Q1302">
        <v>2</v>
      </c>
      <c r="R1302">
        <v>0</v>
      </c>
      <c r="S1302">
        <v>0</v>
      </c>
      <c r="T1302">
        <v>0</v>
      </c>
      <c r="U1302">
        <v>0</v>
      </c>
      <c r="V1302">
        <v>0</v>
      </c>
      <c r="W1302">
        <v>0</v>
      </c>
      <c r="X1302">
        <v>0</v>
      </c>
      <c r="Y1302">
        <v>0</v>
      </c>
      <c r="Z1302">
        <v>0</v>
      </c>
      <c r="AA1302">
        <v>0</v>
      </c>
      <c r="AB1302">
        <v>0</v>
      </c>
      <c r="AC1302">
        <v>0</v>
      </c>
      <c r="AD1302">
        <v>0</v>
      </c>
      <c r="AE1302">
        <v>0</v>
      </c>
      <c r="AF1302">
        <v>0</v>
      </c>
      <c r="AG1302">
        <v>0</v>
      </c>
      <c r="AH1302">
        <v>0</v>
      </c>
      <c r="AI1302">
        <v>0</v>
      </c>
      <c r="AJ1302">
        <v>0</v>
      </c>
      <c r="AK1302">
        <v>0</v>
      </c>
      <c r="AL1302">
        <v>4</v>
      </c>
      <c r="AM1302">
        <v>1.3333333333333333</v>
      </c>
      <c r="AN1302">
        <v>22.418500559492447</v>
      </c>
    </row>
    <row r="1303" spans="1:40" x14ac:dyDescent="0.3">
      <c r="A1303" t="s">
        <v>381</v>
      </c>
      <c r="B1303" t="s">
        <v>59</v>
      </c>
      <c r="C1303" t="s">
        <v>10</v>
      </c>
      <c r="D1303" t="s">
        <v>11</v>
      </c>
      <c r="E1303">
        <v>202602</v>
      </c>
      <c r="F1303" t="s">
        <v>66</v>
      </c>
      <c r="G1303">
        <v>0</v>
      </c>
      <c r="H1303">
        <v>1</v>
      </c>
      <c r="I1303">
        <v>0</v>
      </c>
      <c r="J1303">
        <v>0</v>
      </c>
      <c r="K1303">
        <v>0</v>
      </c>
      <c r="L1303">
        <v>0</v>
      </c>
      <c r="M1303">
        <v>0</v>
      </c>
      <c r="N1303">
        <v>0</v>
      </c>
      <c r="O1303">
        <v>1</v>
      </c>
      <c r="P1303">
        <v>1</v>
      </c>
      <c r="Q1303">
        <v>0</v>
      </c>
      <c r="R1303">
        <v>0</v>
      </c>
      <c r="S1303">
        <v>0</v>
      </c>
      <c r="T1303">
        <v>0</v>
      </c>
      <c r="U1303">
        <v>0</v>
      </c>
      <c r="V1303">
        <v>0</v>
      </c>
      <c r="W1303">
        <v>0</v>
      </c>
      <c r="X1303">
        <v>0</v>
      </c>
      <c r="Y1303">
        <v>0</v>
      </c>
      <c r="Z1303">
        <v>0</v>
      </c>
      <c r="AA1303">
        <v>0</v>
      </c>
      <c r="AB1303">
        <v>0</v>
      </c>
      <c r="AC1303">
        <v>0</v>
      </c>
      <c r="AD1303">
        <v>0</v>
      </c>
      <c r="AE1303">
        <v>0</v>
      </c>
      <c r="AF1303">
        <v>0</v>
      </c>
      <c r="AG1303">
        <v>0</v>
      </c>
      <c r="AH1303">
        <v>0</v>
      </c>
      <c r="AI1303">
        <v>0</v>
      </c>
      <c r="AJ1303">
        <v>0</v>
      </c>
      <c r="AK1303">
        <v>0</v>
      </c>
      <c r="AL1303">
        <v>3</v>
      </c>
      <c r="AM1303">
        <v>0.66666666666666663</v>
      </c>
      <c r="AN1303">
        <v>12.209250279746223</v>
      </c>
    </row>
    <row r="1304" spans="1:40" x14ac:dyDescent="0.3">
      <c r="A1304" t="s">
        <v>381</v>
      </c>
      <c r="B1304" t="s">
        <v>59</v>
      </c>
      <c r="C1304" t="s">
        <v>10</v>
      </c>
      <c r="D1304" t="s">
        <v>11</v>
      </c>
      <c r="E1304">
        <v>202602</v>
      </c>
      <c r="F1304" t="s">
        <v>67</v>
      </c>
      <c r="G1304">
        <v>0</v>
      </c>
      <c r="H1304">
        <v>2</v>
      </c>
      <c r="I1304">
        <v>0</v>
      </c>
      <c r="J1304">
        <v>0</v>
      </c>
      <c r="K1304">
        <v>0</v>
      </c>
      <c r="L1304">
        <v>0</v>
      </c>
      <c r="M1304">
        <v>0</v>
      </c>
      <c r="N1304">
        <v>0</v>
      </c>
      <c r="O1304">
        <v>0</v>
      </c>
      <c r="P1304">
        <v>0</v>
      </c>
      <c r="Q1304">
        <v>1</v>
      </c>
      <c r="R1304">
        <v>0</v>
      </c>
      <c r="S1304">
        <v>0</v>
      </c>
      <c r="T1304">
        <v>0</v>
      </c>
      <c r="U1304">
        <v>0</v>
      </c>
      <c r="V1304">
        <v>0</v>
      </c>
      <c r="W1304">
        <v>0</v>
      </c>
      <c r="X1304">
        <v>0</v>
      </c>
      <c r="Y1304">
        <v>0</v>
      </c>
      <c r="Z1304">
        <v>0</v>
      </c>
      <c r="AA1304">
        <v>0</v>
      </c>
      <c r="AB1304">
        <v>0</v>
      </c>
      <c r="AC1304">
        <v>0</v>
      </c>
      <c r="AD1304">
        <v>0</v>
      </c>
      <c r="AE1304">
        <v>0</v>
      </c>
      <c r="AF1304">
        <v>0</v>
      </c>
      <c r="AG1304">
        <v>0</v>
      </c>
      <c r="AH1304">
        <v>0</v>
      </c>
      <c r="AI1304">
        <v>0</v>
      </c>
      <c r="AJ1304">
        <v>0</v>
      </c>
      <c r="AK1304">
        <v>0</v>
      </c>
      <c r="AL1304">
        <v>3</v>
      </c>
      <c r="AM1304">
        <v>0.33333333333333331</v>
      </c>
      <c r="AN1304">
        <v>7.6046251398731117</v>
      </c>
    </row>
    <row r="1305" spans="1:40" x14ac:dyDescent="0.3">
      <c r="A1305" t="s">
        <v>381</v>
      </c>
      <c r="B1305" t="s">
        <v>59</v>
      </c>
      <c r="C1305" t="s">
        <v>10</v>
      </c>
      <c r="D1305" t="s">
        <v>11</v>
      </c>
      <c r="E1305">
        <v>202602</v>
      </c>
      <c r="F1305" t="s">
        <v>415</v>
      </c>
      <c r="G1305">
        <v>0</v>
      </c>
      <c r="H1305">
        <v>1</v>
      </c>
      <c r="I1305">
        <v>7</v>
      </c>
      <c r="J1305">
        <v>0</v>
      </c>
      <c r="K1305">
        <v>4</v>
      </c>
      <c r="L1305">
        <v>5</v>
      </c>
      <c r="M1305">
        <v>3</v>
      </c>
      <c r="N1305">
        <v>0</v>
      </c>
      <c r="O1305">
        <v>6</v>
      </c>
      <c r="P1305">
        <v>3</v>
      </c>
      <c r="Q1305">
        <v>4</v>
      </c>
      <c r="R1305">
        <v>0</v>
      </c>
      <c r="S1305">
        <v>0</v>
      </c>
      <c r="T1305">
        <v>0</v>
      </c>
      <c r="U1305">
        <v>0</v>
      </c>
      <c r="V1305">
        <v>0</v>
      </c>
      <c r="W1305">
        <v>0</v>
      </c>
      <c r="X1305">
        <v>0</v>
      </c>
      <c r="Y1305">
        <v>0</v>
      </c>
      <c r="Z1305">
        <v>0</v>
      </c>
      <c r="AA1305">
        <v>0</v>
      </c>
      <c r="AB1305">
        <v>0</v>
      </c>
      <c r="AC1305">
        <v>0</v>
      </c>
      <c r="AD1305">
        <v>0</v>
      </c>
      <c r="AE1305">
        <v>0</v>
      </c>
      <c r="AF1305">
        <v>0</v>
      </c>
      <c r="AG1305">
        <v>0</v>
      </c>
      <c r="AH1305">
        <v>0</v>
      </c>
      <c r="AI1305">
        <v>0</v>
      </c>
      <c r="AJ1305">
        <v>0</v>
      </c>
      <c r="AK1305">
        <v>0</v>
      </c>
      <c r="AL1305">
        <v>33</v>
      </c>
      <c r="AM1305">
        <v>4.333333333333333</v>
      </c>
      <c r="AN1305">
        <v>92.860126818350437</v>
      </c>
    </row>
    <row r="1306" spans="1:40" x14ac:dyDescent="0.3">
      <c r="A1306" t="s">
        <v>381</v>
      </c>
      <c r="B1306" t="s">
        <v>59</v>
      </c>
      <c r="C1306" t="s">
        <v>10</v>
      </c>
      <c r="D1306" t="s">
        <v>11</v>
      </c>
      <c r="E1306">
        <v>202602</v>
      </c>
      <c r="F1306" t="s">
        <v>69</v>
      </c>
      <c r="G1306">
        <v>0</v>
      </c>
      <c r="H1306">
        <v>1</v>
      </c>
      <c r="I1306">
        <v>1</v>
      </c>
      <c r="J1306">
        <v>3</v>
      </c>
      <c r="K1306">
        <v>0</v>
      </c>
      <c r="L1306">
        <v>2</v>
      </c>
      <c r="M1306">
        <v>0</v>
      </c>
      <c r="N1306">
        <v>0</v>
      </c>
      <c r="O1306">
        <v>1</v>
      </c>
      <c r="P1306">
        <v>0</v>
      </c>
      <c r="Q1306">
        <v>1</v>
      </c>
      <c r="R1306">
        <v>0</v>
      </c>
      <c r="S1306">
        <v>0</v>
      </c>
      <c r="T1306">
        <v>0</v>
      </c>
      <c r="U1306">
        <v>0</v>
      </c>
      <c r="V1306">
        <v>0</v>
      </c>
      <c r="W1306">
        <v>0</v>
      </c>
      <c r="X1306">
        <v>0</v>
      </c>
      <c r="Y1306">
        <v>0</v>
      </c>
      <c r="Z1306">
        <v>0</v>
      </c>
      <c r="AA1306">
        <v>0</v>
      </c>
      <c r="AB1306">
        <v>0</v>
      </c>
      <c r="AC1306">
        <v>0</v>
      </c>
      <c r="AD1306">
        <v>0</v>
      </c>
      <c r="AE1306">
        <v>0</v>
      </c>
      <c r="AF1306">
        <v>0</v>
      </c>
      <c r="AG1306">
        <v>0</v>
      </c>
      <c r="AH1306">
        <v>0</v>
      </c>
      <c r="AI1306">
        <v>0</v>
      </c>
      <c r="AJ1306">
        <v>0</v>
      </c>
      <c r="AK1306">
        <v>0</v>
      </c>
      <c r="AL1306">
        <v>9</v>
      </c>
      <c r="AM1306">
        <v>0.66666666666666663</v>
      </c>
      <c r="AN1306">
        <v>18.209250279746222</v>
      </c>
    </row>
    <row r="1307" spans="1:40" x14ac:dyDescent="0.3">
      <c r="A1307" t="s">
        <v>381</v>
      </c>
      <c r="B1307" t="s">
        <v>59</v>
      </c>
      <c r="C1307" t="s">
        <v>10</v>
      </c>
      <c r="D1307" t="s">
        <v>11</v>
      </c>
      <c r="E1307">
        <v>202602</v>
      </c>
      <c r="F1307" t="s">
        <v>70</v>
      </c>
      <c r="G1307">
        <v>0</v>
      </c>
      <c r="H1307">
        <v>0</v>
      </c>
      <c r="I1307">
        <v>0</v>
      </c>
      <c r="J1307">
        <v>0</v>
      </c>
      <c r="K1307">
        <v>0</v>
      </c>
      <c r="L1307">
        <v>1</v>
      </c>
      <c r="M1307">
        <v>0</v>
      </c>
      <c r="N1307">
        <v>0</v>
      </c>
      <c r="O1307">
        <v>0</v>
      </c>
      <c r="P1307">
        <v>0</v>
      </c>
      <c r="Q1307">
        <v>0</v>
      </c>
      <c r="R1307">
        <v>0</v>
      </c>
      <c r="S1307">
        <v>0</v>
      </c>
      <c r="T1307">
        <v>0</v>
      </c>
      <c r="U1307">
        <v>0</v>
      </c>
      <c r="V1307">
        <v>0</v>
      </c>
      <c r="W1307">
        <v>0</v>
      </c>
      <c r="X1307">
        <v>0</v>
      </c>
      <c r="Y1307">
        <v>0</v>
      </c>
      <c r="Z1307">
        <v>0</v>
      </c>
      <c r="AA1307">
        <v>0</v>
      </c>
      <c r="AB1307">
        <v>0</v>
      </c>
      <c r="AC1307">
        <v>0</v>
      </c>
      <c r="AD1307">
        <v>0</v>
      </c>
      <c r="AE1307">
        <v>0</v>
      </c>
      <c r="AF1307">
        <v>0</v>
      </c>
      <c r="AG1307">
        <v>0</v>
      </c>
      <c r="AH1307">
        <v>0</v>
      </c>
      <c r="AI1307">
        <v>0</v>
      </c>
      <c r="AJ1307">
        <v>0</v>
      </c>
      <c r="AK1307">
        <v>0</v>
      </c>
      <c r="AL1307">
        <v>1</v>
      </c>
      <c r="AM1307">
        <v>0</v>
      </c>
      <c r="AN1307">
        <v>1</v>
      </c>
    </row>
    <row r="1308" spans="1:40" x14ac:dyDescent="0.3">
      <c r="A1308" t="s">
        <v>381</v>
      </c>
      <c r="B1308" t="s">
        <v>59</v>
      </c>
      <c r="C1308" t="s">
        <v>10</v>
      </c>
      <c r="D1308" t="s">
        <v>11</v>
      </c>
      <c r="E1308">
        <v>202602</v>
      </c>
      <c r="F1308" t="s">
        <v>71</v>
      </c>
      <c r="G1308">
        <v>0</v>
      </c>
      <c r="H1308">
        <v>0</v>
      </c>
      <c r="I1308">
        <v>0</v>
      </c>
      <c r="J1308">
        <v>0</v>
      </c>
      <c r="K1308">
        <v>1</v>
      </c>
      <c r="L1308">
        <v>0</v>
      </c>
      <c r="M1308">
        <v>0</v>
      </c>
      <c r="N1308">
        <v>1</v>
      </c>
      <c r="O1308">
        <v>0</v>
      </c>
      <c r="P1308">
        <v>0</v>
      </c>
      <c r="Q1308">
        <v>0</v>
      </c>
      <c r="R1308">
        <v>0</v>
      </c>
      <c r="S1308">
        <v>0</v>
      </c>
      <c r="T1308">
        <v>0</v>
      </c>
      <c r="U1308">
        <v>0</v>
      </c>
      <c r="V1308">
        <v>0</v>
      </c>
      <c r="W1308">
        <v>0</v>
      </c>
      <c r="X1308">
        <v>0</v>
      </c>
      <c r="Y1308">
        <v>0</v>
      </c>
      <c r="Z1308">
        <v>0</v>
      </c>
      <c r="AA1308">
        <v>0</v>
      </c>
      <c r="AB1308">
        <v>0</v>
      </c>
      <c r="AC1308">
        <v>0</v>
      </c>
      <c r="AD1308">
        <v>0</v>
      </c>
      <c r="AE1308">
        <v>0</v>
      </c>
      <c r="AF1308">
        <v>0</v>
      </c>
      <c r="AG1308">
        <v>0</v>
      </c>
      <c r="AH1308">
        <v>0</v>
      </c>
      <c r="AI1308">
        <v>0</v>
      </c>
      <c r="AJ1308">
        <v>0</v>
      </c>
      <c r="AK1308">
        <v>0</v>
      </c>
      <c r="AL1308">
        <v>2</v>
      </c>
      <c r="AM1308">
        <v>0</v>
      </c>
      <c r="AN1308">
        <v>2</v>
      </c>
    </row>
    <row r="1309" spans="1:40" x14ac:dyDescent="0.3">
      <c r="A1309" t="s">
        <v>381</v>
      </c>
      <c r="B1309" t="s">
        <v>59</v>
      </c>
      <c r="C1309" t="s">
        <v>10</v>
      </c>
      <c r="D1309" t="s">
        <v>11</v>
      </c>
      <c r="E1309">
        <v>202602</v>
      </c>
      <c r="F1309" t="s">
        <v>416</v>
      </c>
      <c r="G1309">
        <v>0</v>
      </c>
      <c r="H1309">
        <v>1</v>
      </c>
      <c r="I1309">
        <v>0</v>
      </c>
      <c r="J1309">
        <v>1</v>
      </c>
      <c r="K1309">
        <v>0</v>
      </c>
      <c r="L1309">
        <v>1</v>
      </c>
      <c r="M1309">
        <v>1</v>
      </c>
      <c r="N1309">
        <v>0</v>
      </c>
      <c r="O1309">
        <v>0</v>
      </c>
      <c r="P1309">
        <v>0</v>
      </c>
      <c r="Q1309">
        <v>0</v>
      </c>
      <c r="R1309">
        <v>0</v>
      </c>
      <c r="S1309">
        <v>0</v>
      </c>
      <c r="T1309">
        <v>0</v>
      </c>
      <c r="U1309">
        <v>0</v>
      </c>
      <c r="V1309">
        <v>0</v>
      </c>
      <c r="W1309">
        <v>0</v>
      </c>
      <c r="X1309">
        <v>0</v>
      </c>
      <c r="Y1309">
        <v>0</v>
      </c>
      <c r="Z1309">
        <v>0</v>
      </c>
      <c r="AA1309">
        <v>0</v>
      </c>
      <c r="AB1309">
        <v>0</v>
      </c>
      <c r="AC1309">
        <v>0</v>
      </c>
      <c r="AD1309">
        <v>0</v>
      </c>
      <c r="AE1309">
        <v>0</v>
      </c>
      <c r="AF1309">
        <v>0</v>
      </c>
      <c r="AG1309">
        <v>0</v>
      </c>
      <c r="AH1309">
        <v>0</v>
      </c>
      <c r="AI1309">
        <v>0</v>
      </c>
      <c r="AJ1309">
        <v>0</v>
      </c>
      <c r="AK1309">
        <v>0</v>
      </c>
      <c r="AL1309">
        <v>4</v>
      </c>
      <c r="AM1309">
        <v>0</v>
      </c>
      <c r="AN1309">
        <v>4</v>
      </c>
    </row>
    <row r="1310" spans="1:40" x14ac:dyDescent="0.3">
      <c r="A1310" t="s">
        <v>381</v>
      </c>
      <c r="B1310" t="s">
        <v>59</v>
      </c>
      <c r="C1310" t="s">
        <v>10</v>
      </c>
      <c r="D1310" t="s">
        <v>11</v>
      </c>
      <c r="E1310">
        <v>202602</v>
      </c>
      <c r="F1310" t="s">
        <v>417</v>
      </c>
      <c r="G1310">
        <v>0</v>
      </c>
      <c r="H1310">
        <v>0</v>
      </c>
      <c r="I1310">
        <v>0</v>
      </c>
      <c r="J1310">
        <v>0</v>
      </c>
      <c r="K1310">
        <v>0</v>
      </c>
      <c r="L1310">
        <v>0</v>
      </c>
      <c r="M1310">
        <v>0</v>
      </c>
      <c r="N1310">
        <v>0</v>
      </c>
      <c r="O1310">
        <v>1</v>
      </c>
      <c r="P1310">
        <v>0</v>
      </c>
      <c r="Q1310">
        <v>0</v>
      </c>
      <c r="R1310">
        <v>0</v>
      </c>
      <c r="S1310">
        <v>0</v>
      </c>
      <c r="T1310">
        <v>0</v>
      </c>
      <c r="U1310">
        <v>0</v>
      </c>
      <c r="V1310">
        <v>0</v>
      </c>
      <c r="W1310">
        <v>0</v>
      </c>
      <c r="X1310">
        <v>0</v>
      </c>
      <c r="Y1310">
        <v>0</v>
      </c>
      <c r="Z1310">
        <v>0</v>
      </c>
      <c r="AA1310">
        <v>0</v>
      </c>
      <c r="AB1310">
        <v>0</v>
      </c>
      <c r="AC1310">
        <v>0</v>
      </c>
      <c r="AD1310">
        <v>0</v>
      </c>
      <c r="AE1310">
        <v>0</v>
      </c>
      <c r="AF1310">
        <v>0</v>
      </c>
      <c r="AG1310">
        <v>0</v>
      </c>
      <c r="AH1310">
        <v>0</v>
      </c>
      <c r="AI1310">
        <v>0</v>
      </c>
      <c r="AJ1310">
        <v>0</v>
      </c>
      <c r="AK1310">
        <v>0</v>
      </c>
      <c r="AL1310">
        <v>1</v>
      </c>
      <c r="AM1310">
        <v>0.33333333333333331</v>
      </c>
      <c r="AN1310">
        <v>5.6046251398731117</v>
      </c>
    </row>
    <row r="1311" spans="1:40" x14ac:dyDescent="0.3">
      <c r="A1311" t="s">
        <v>381</v>
      </c>
      <c r="B1311" t="s">
        <v>59</v>
      </c>
      <c r="C1311" t="s">
        <v>10</v>
      </c>
      <c r="D1311" t="s">
        <v>11</v>
      </c>
      <c r="E1311">
        <v>202602</v>
      </c>
      <c r="F1311" t="s">
        <v>418</v>
      </c>
      <c r="G1311">
        <v>0</v>
      </c>
      <c r="H1311">
        <v>1</v>
      </c>
      <c r="I1311">
        <v>0</v>
      </c>
      <c r="J1311">
        <v>0</v>
      </c>
      <c r="K1311">
        <v>0</v>
      </c>
      <c r="L1311">
        <v>0</v>
      </c>
      <c r="M1311">
        <v>0</v>
      </c>
      <c r="N1311">
        <v>0</v>
      </c>
      <c r="O1311">
        <v>0</v>
      </c>
      <c r="P1311">
        <v>1</v>
      </c>
      <c r="Q1311">
        <v>0</v>
      </c>
      <c r="R1311">
        <v>0</v>
      </c>
      <c r="S1311">
        <v>0</v>
      </c>
      <c r="T1311">
        <v>0</v>
      </c>
      <c r="U1311">
        <v>0</v>
      </c>
      <c r="V1311">
        <v>0</v>
      </c>
      <c r="W1311">
        <v>0</v>
      </c>
      <c r="X1311">
        <v>0</v>
      </c>
      <c r="Y1311">
        <v>0</v>
      </c>
      <c r="Z1311">
        <v>0</v>
      </c>
      <c r="AA1311">
        <v>0</v>
      </c>
      <c r="AB1311">
        <v>0</v>
      </c>
      <c r="AC1311">
        <v>0</v>
      </c>
      <c r="AD1311">
        <v>0</v>
      </c>
      <c r="AE1311">
        <v>0</v>
      </c>
      <c r="AF1311">
        <v>0</v>
      </c>
      <c r="AG1311">
        <v>0</v>
      </c>
      <c r="AH1311">
        <v>0</v>
      </c>
      <c r="AI1311">
        <v>0</v>
      </c>
      <c r="AJ1311">
        <v>0</v>
      </c>
      <c r="AK1311">
        <v>0</v>
      </c>
      <c r="AL1311">
        <v>2</v>
      </c>
      <c r="AM1311">
        <v>0.33333333333333331</v>
      </c>
      <c r="AN1311">
        <v>6.6046251398731117</v>
      </c>
    </row>
    <row r="1312" spans="1:40" x14ac:dyDescent="0.3">
      <c r="A1312" t="s">
        <v>381</v>
      </c>
      <c r="B1312" t="s">
        <v>59</v>
      </c>
      <c r="C1312" t="s">
        <v>10</v>
      </c>
      <c r="D1312" t="s">
        <v>11</v>
      </c>
      <c r="E1312">
        <v>202602</v>
      </c>
      <c r="F1312" t="s">
        <v>419</v>
      </c>
      <c r="G1312">
        <v>0</v>
      </c>
      <c r="H1312">
        <v>0</v>
      </c>
      <c r="I1312">
        <v>3</v>
      </c>
      <c r="J1312">
        <v>0</v>
      </c>
      <c r="K1312">
        <v>0</v>
      </c>
      <c r="L1312">
        <v>0</v>
      </c>
      <c r="M1312">
        <v>0</v>
      </c>
      <c r="N1312">
        <v>0</v>
      </c>
      <c r="O1312">
        <v>0</v>
      </c>
      <c r="P1312">
        <v>0</v>
      </c>
      <c r="Q1312">
        <v>0</v>
      </c>
      <c r="R1312">
        <v>0</v>
      </c>
      <c r="S1312">
        <v>0</v>
      </c>
      <c r="T1312">
        <v>0</v>
      </c>
      <c r="U1312">
        <v>0</v>
      </c>
      <c r="V1312">
        <v>0</v>
      </c>
      <c r="W1312">
        <v>0</v>
      </c>
      <c r="X1312">
        <v>0</v>
      </c>
      <c r="Y1312">
        <v>0</v>
      </c>
      <c r="Z1312">
        <v>0</v>
      </c>
      <c r="AA1312">
        <v>0</v>
      </c>
      <c r="AB1312">
        <v>0</v>
      </c>
      <c r="AC1312">
        <v>0</v>
      </c>
      <c r="AD1312">
        <v>0</v>
      </c>
      <c r="AE1312">
        <v>0</v>
      </c>
      <c r="AF1312">
        <v>0</v>
      </c>
      <c r="AG1312">
        <v>0</v>
      </c>
      <c r="AH1312">
        <v>0</v>
      </c>
      <c r="AI1312">
        <v>0</v>
      </c>
      <c r="AJ1312">
        <v>0</v>
      </c>
      <c r="AK1312">
        <v>0</v>
      </c>
      <c r="AL1312">
        <v>3</v>
      </c>
      <c r="AM1312">
        <v>0</v>
      </c>
      <c r="AN1312">
        <v>3</v>
      </c>
    </row>
    <row r="1313" spans="1:40" x14ac:dyDescent="0.3">
      <c r="A1313" t="s">
        <v>381</v>
      </c>
      <c r="B1313" t="s">
        <v>59</v>
      </c>
      <c r="C1313" t="s">
        <v>10</v>
      </c>
      <c r="D1313" t="s">
        <v>11</v>
      </c>
      <c r="E1313">
        <v>202602</v>
      </c>
      <c r="F1313" t="s">
        <v>420</v>
      </c>
      <c r="G1313">
        <v>0</v>
      </c>
      <c r="H1313">
        <v>0</v>
      </c>
      <c r="I1313">
        <v>1</v>
      </c>
      <c r="J1313">
        <v>0</v>
      </c>
      <c r="K1313">
        <v>0</v>
      </c>
      <c r="L1313">
        <v>0</v>
      </c>
      <c r="M1313">
        <v>0</v>
      </c>
      <c r="N1313">
        <v>0</v>
      </c>
      <c r="O1313">
        <v>1</v>
      </c>
      <c r="P1313">
        <v>0</v>
      </c>
      <c r="Q1313">
        <v>0</v>
      </c>
      <c r="R1313">
        <v>0</v>
      </c>
      <c r="S1313">
        <v>0</v>
      </c>
      <c r="T1313">
        <v>0</v>
      </c>
      <c r="U1313">
        <v>0</v>
      </c>
      <c r="V1313">
        <v>0</v>
      </c>
      <c r="W1313">
        <v>0</v>
      </c>
      <c r="X1313">
        <v>0</v>
      </c>
      <c r="Y1313">
        <v>0</v>
      </c>
      <c r="Z1313">
        <v>0</v>
      </c>
      <c r="AA1313">
        <v>0</v>
      </c>
      <c r="AB1313">
        <v>0</v>
      </c>
      <c r="AC1313">
        <v>0</v>
      </c>
      <c r="AD1313">
        <v>0</v>
      </c>
      <c r="AE1313">
        <v>0</v>
      </c>
      <c r="AF1313">
        <v>0</v>
      </c>
      <c r="AG1313">
        <v>0</v>
      </c>
      <c r="AH1313">
        <v>0</v>
      </c>
      <c r="AI1313">
        <v>0</v>
      </c>
      <c r="AJ1313">
        <v>0</v>
      </c>
      <c r="AK1313">
        <v>0</v>
      </c>
      <c r="AL1313">
        <v>2</v>
      </c>
      <c r="AM1313">
        <v>0.33333333333333331</v>
      </c>
      <c r="AN1313">
        <v>6.6046251398731117</v>
      </c>
    </row>
    <row r="1314" spans="1:40" x14ac:dyDescent="0.3">
      <c r="A1314" t="s">
        <v>381</v>
      </c>
      <c r="B1314" t="s">
        <v>59</v>
      </c>
      <c r="C1314" t="s">
        <v>10</v>
      </c>
      <c r="D1314" t="s">
        <v>11</v>
      </c>
      <c r="E1314">
        <v>202602</v>
      </c>
      <c r="F1314" t="s">
        <v>421</v>
      </c>
      <c r="G1314">
        <v>0</v>
      </c>
      <c r="H1314">
        <v>0</v>
      </c>
      <c r="I1314">
        <v>0</v>
      </c>
      <c r="J1314">
        <v>0</v>
      </c>
      <c r="K1314">
        <v>0</v>
      </c>
      <c r="L1314">
        <v>0</v>
      </c>
      <c r="M1314">
        <v>0</v>
      </c>
      <c r="N1314">
        <v>0</v>
      </c>
      <c r="O1314">
        <v>0</v>
      </c>
      <c r="P1314">
        <v>1</v>
      </c>
      <c r="Q1314">
        <v>0</v>
      </c>
      <c r="R1314">
        <v>0</v>
      </c>
      <c r="S1314">
        <v>0</v>
      </c>
      <c r="T1314">
        <v>0</v>
      </c>
      <c r="U1314">
        <v>0</v>
      </c>
      <c r="V1314">
        <v>0</v>
      </c>
      <c r="W1314">
        <v>0</v>
      </c>
      <c r="X1314">
        <v>0</v>
      </c>
      <c r="Y1314">
        <v>0</v>
      </c>
      <c r="Z1314">
        <v>0</v>
      </c>
      <c r="AA1314">
        <v>0</v>
      </c>
      <c r="AB1314">
        <v>0</v>
      </c>
      <c r="AC1314">
        <v>0</v>
      </c>
      <c r="AD1314">
        <v>0</v>
      </c>
      <c r="AE1314">
        <v>0</v>
      </c>
      <c r="AF1314">
        <v>0</v>
      </c>
      <c r="AG1314">
        <v>0</v>
      </c>
      <c r="AH1314">
        <v>0</v>
      </c>
      <c r="AI1314">
        <v>0</v>
      </c>
      <c r="AJ1314">
        <v>0</v>
      </c>
      <c r="AK1314">
        <v>0</v>
      </c>
      <c r="AL1314">
        <v>1</v>
      </c>
      <c r="AM1314">
        <v>0.33333333333333331</v>
      </c>
      <c r="AN1314">
        <v>5.6046251398731117</v>
      </c>
    </row>
    <row r="1315" spans="1:40" x14ac:dyDescent="0.3">
      <c r="A1315" t="s">
        <v>381</v>
      </c>
      <c r="B1315" t="s">
        <v>59</v>
      </c>
      <c r="C1315" t="s">
        <v>10</v>
      </c>
      <c r="D1315" t="s">
        <v>11</v>
      </c>
      <c r="E1315">
        <v>202602</v>
      </c>
      <c r="F1315" t="s">
        <v>422</v>
      </c>
      <c r="G1315">
        <v>0</v>
      </c>
      <c r="H1315">
        <v>1</v>
      </c>
      <c r="I1315">
        <v>0</v>
      </c>
      <c r="J1315">
        <v>0</v>
      </c>
      <c r="K1315">
        <v>0</v>
      </c>
      <c r="L1315">
        <v>1</v>
      </c>
      <c r="M1315">
        <v>1</v>
      </c>
      <c r="N1315">
        <v>0</v>
      </c>
      <c r="O1315">
        <v>1</v>
      </c>
      <c r="P1315">
        <v>0</v>
      </c>
      <c r="Q1315">
        <v>0</v>
      </c>
      <c r="R1315">
        <v>0</v>
      </c>
      <c r="S1315">
        <v>0</v>
      </c>
      <c r="T1315">
        <v>0</v>
      </c>
      <c r="U1315">
        <v>0</v>
      </c>
      <c r="V1315">
        <v>0</v>
      </c>
      <c r="W1315">
        <v>0</v>
      </c>
      <c r="X1315">
        <v>0</v>
      </c>
      <c r="Y1315">
        <v>0</v>
      </c>
      <c r="Z1315">
        <v>0</v>
      </c>
      <c r="AA1315">
        <v>0</v>
      </c>
      <c r="AB1315">
        <v>0</v>
      </c>
      <c r="AC1315">
        <v>0</v>
      </c>
      <c r="AD1315">
        <v>0</v>
      </c>
      <c r="AE1315">
        <v>0</v>
      </c>
      <c r="AF1315">
        <v>0</v>
      </c>
      <c r="AG1315">
        <v>0</v>
      </c>
      <c r="AH1315">
        <v>0</v>
      </c>
      <c r="AI1315">
        <v>0</v>
      </c>
      <c r="AJ1315">
        <v>0</v>
      </c>
      <c r="AK1315">
        <v>0</v>
      </c>
      <c r="AL1315">
        <v>4</v>
      </c>
      <c r="AM1315">
        <v>0.33333333333333331</v>
      </c>
      <c r="AN1315">
        <v>8.6046251398731108</v>
      </c>
    </row>
    <row r="1316" spans="1:40" x14ac:dyDescent="0.3">
      <c r="A1316" t="s">
        <v>381</v>
      </c>
      <c r="B1316" t="s">
        <v>59</v>
      </c>
      <c r="C1316" t="s">
        <v>10</v>
      </c>
      <c r="D1316" t="s">
        <v>14</v>
      </c>
      <c r="E1316">
        <v>202602</v>
      </c>
      <c r="F1316" t="s">
        <v>205</v>
      </c>
      <c r="G1316">
        <v>0</v>
      </c>
      <c r="H1316">
        <v>1</v>
      </c>
      <c r="I1316">
        <v>3</v>
      </c>
      <c r="J1316">
        <v>7</v>
      </c>
      <c r="K1316">
        <v>6</v>
      </c>
      <c r="L1316">
        <v>3</v>
      </c>
      <c r="M1316">
        <v>0</v>
      </c>
      <c r="N1316">
        <v>0</v>
      </c>
      <c r="O1316">
        <v>3</v>
      </c>
      <c r="P1316">
        <v>6</v>
      </c>
      <c r="Q1316">
        <v>5</v>
      </c>
      <c r="R1316">
        <v>0</v>
      </c>
      <c r="S1316">
        <v>0</v>
      </c>
      <c r="T1316">
        <v>0</v>
      </c>
      <c r="U1316">
        <v>0</v>
      </c>
      <c r="V1316">
        <v>0</v>
      </c>
      <c r="W1316">
        <v>0</v>
      </c>
      <c r="X1316">
        <v>0</v>
      </c>
      <c r="Y1316">
        <v>0</v>
      </c>
      <c r="Z1316">
        <v>0</v>
      </c>
      <c r="AA1316">
        <v>0</v>
      </c>
      <c r="AB1316">
        <v>0</v>
      </c>
      <c r="AC1316">
        <v>0</v>
      </c>
      <c r="AD1316">
        <v>0</v>
      </c>
      <c r="AE1316">
        <v>0</v>
      </c>
      <c r="AF1316">
        <v>0</v>
      </c>
      <c r="AG1316">
        <v>0</v>
      </c>
      <c r="AH1316">
        <v>0</v>
      </c>
      <c r="AI1316">
        <v>0</v>
      </c>
      <c r="AJ1316">
        <v>0</v>
      </c>
      <c r="AK1316">
        <v>0</v>
      </c>
      <c r="AL1316">
        <v>34</v>
      </c>
      <c r="AM1316">
        <v>4.666666666666667</v>
      </c>
      <c r="AN1316">
        <v>90.584375000000591</v>
      </c>
    </row>
    <row r="1317" spans="1:40" x14ac:dyDescent="0.3">
      <c r="A1317" t="s">
        <v>381</v>
      </c>
      <c r="B1317" t="s">
        <v>59</v>
      </c>
      <c r="C1317" t="s">
        <v>10</v>
      </c>
      <c r="D1317" t="s">
        <v>14</v>
      </c>
      <c r="E1317">
        <v>202602</v>
      </c>
      <c r="F1317" t="s">
        <v>61</v>
      </c>
      <c r="G1317">
        <v>0</v>
      </c>
      <c r="H1317">
        <v>3</v>
      </c>
      <c r="I1317">
        <v>2</v>
      </c>
      <c r="J1317">
        <v>2</v>
      </c>
      <c r="K1317">
        <v>2</v>
      </c>
      <c r="L1317">
        <v>0</v>
      </c>
      <c r="M1317">
        <v>0</v>
      </c>
      <c r="N1317">
        <v>0</v>
      </c>
      <c r="O1317">
        <v>1</v>
      </c>
      <c r="P1317">
        <v>2</v>
      </c>
      <c r="Q1317">
        <v>5</v>
      </c>
      <c r="R1317">
        <v>0</v>
      </c>
      <c r="S1317">
        <v>0</v>
      </c>
      <c r="T1317">
        <v>0</v>
      </c>
      <c r="U1317">
        <v>0</v>
      </c>
      <c r="V1317">
        <v>0</v>
      </c>
      <c r="W1317">
        <v>0</v>
      </c>
      <c r="X1317">
        <v>0</v>
      </c>
      <c r="Y1317">
        <v>0</v>
      </c>
      <c r="Z1317">
        <v>0</v>
      </c>
      <c r="AA1317">
        <v>0</v>
      </c>
      <c r="AB1317">
        <v>0</v>
      </c>
      <c r="AC1317">
        <v>0</v>
      </c>
      <c r="AD1317">
        <v>0</v>
      </c>
      <c r="AE1317">
        <v>0</v>
      </c>
      <c r="AF1317">
        <v>0</v>
      </c>
      <c r="AG1317">
        <v>0</v>
      </c>
      <c r="AH1317">
        <v>0</v>
      </c>
      <c r="AI1317">
        <v>0</v>
      </c>
      <c r="AJ1317">
        <v>0</v>
      </c>
      <c r="AK1317">
        <v>0</v>
      </c>
      <c r="AL1317">
        <v>17</v>
      </c>
      <c r="AM1317">
        <v>2.6666666666666665</v>
      </c>
      <c r="AN1317">
        <v>49.333928571428906</v>
      </c>
    </row>
    <row r="1318" spans="1:40" x14ac:dyDescent="0.3">
      <c r="A1318" t="s">
        <v>381</v>
      </c>
      <c r="B1318" t="s">
        <v>59</v>
      </c>
      <c r="C1318" t="s">
        <v>10</v>
      </c>
      <c r="D1318" t="s">
        <v>14</v>
      </c>
      <c r="E1318">
        <v>202602</v>
      </c>
      <c r="F1318" t="s">
        <v>63</v>
      </c>
      <c r="G1318">
        <v>0</v>
      </c>
      <c r="H1318">
        <v>0</v>
      </c>
      <c r="I1318">
        <v>1</v>
      </c>
      <c r="J1318">
        <v>0</v>
      </c>
      <c r="K1318">
        <v>0</v>
      </c>
      <c r="L1318">
        <v>0</v>
      </c>
      <c r="M1318">
        <v>0</v>
      </c>
      <c r="N1318">
        <v>0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0</v>
      </c>
      <c r="U1318">
        <v>0</v>
      </c>
      <c r="V1318">
        <v>0</v>
      </c>
      <c r="W1318">
        <v>0</v>
      </c>
      <c r="X1318">
        <v>0</v>
      </c>
      <c r="Y1318">
        <v>0</v>
      </c>
      <c r="Z1318">
        <v>0</v>
      </c>
      <c r="AA1318">
        <v>0</v>
      </c>
      <c r="AB1318">
        <v>0</v>
      </c>
      <c r="AC1318">
        <v>0</v>
      </c>
      <c r="AD1318">
        <v>0</v>
      </c>
      <c r="AE1318">
        <v>0</v>
      </c>
      <c r="AF1318">
        <v>0</v>
      </c>
      <c r="AG1318">
        <v>0</v>
      </c>
      <c r="AH1318">
        <v>0</v>
      </c>
      <c r="AI1318">
        <v>0</v>
      </c>
      <c r="AJ1318">
        <v>0</v>
      </c>
      <c r="AK1318">
        <v>0</v>
      </c>
      <c r="AL1318">
        <v>1</v>
      </c>
      <c r="AM1318">
        <v>0</v>
      </c>
      <c r="AN1318">
        <v>1</v>
      </c>
    </row>
    <row r="1319" spans="1:40" x14ac:dyDescent="0.3">
      <c r="A1319" t="s">
        <v>381</v>
      </c>
      <c r="B1319" t="s">
        <v>59</v>
      </c>
      <c r="C1319" t="s">
        <v>10</v>
      </c>
      <c r="D1319" t="s">
        <v>14</v>
      </c>
      <c r="E1319">
        <v>202602</v>
      </c>
      <c r="F1319" t="s">
        <v>75</v>
      </c>
      <c r="G1319">
        <v>0</v>
      </c>
      <c r="H1319">
        <v>0</v>
      </c>
      <c r="I1319">
        <v>0</v>
      </c>
      <c r="J1319">
        <v>0</v>
      </c>
      <c r="K1319">
        <v>0</v>
      </c>
      <c r="L1319">
        <v>2</v>
      </c>
      <c r="M1319">
        <v>0</v>
      </c>
      <c r="N1319">
        <v>0</v>
      </c>
      <c r="O1319">
        <v>0</v>
      </c>
      <c r="P1319">
        <v>0</v>
      </c>
      <c r="Q1319">
        <v>0</v>
      </c>
      <c r="R1319">
        <v>0</v>
      </c>
      <c r="S1319">
        <v>0</v>
      </c>
      <c r="T1319">
        <v>0</v>
      </c>
      <c r="U1319">
        <v>0</v>
      </c>
      <c r="V1319">
        <v>0</v>
      </c>
      <c r="W1319">
        <v>0</v>
      </c>
      <c r="X1319">
        <v>0</v>
      </c>
      <c r="Y1319">
        <v>0</v>
      </c>
      <c r="Z1319">
        <v>0</v>
      </c>
      <c r="AA1319">
        <v>0</v>
      </c>
      <c r="AB1319">
        <v>0</v>
      </c>
      <c r="AC1319">
        <v>0</v>
      </c>
      <c r="AD1319">
        <v>0</v>
      </c>
      <c r="AE1319">
        <v>0</v>
      </c>
      <c r="AF1319">
        <v>0</v>
      </c>
      <c r="AG1319">
        <v>0</v>
      </c>
      <c r="AH1319">
        <v>0</v>
      </c>
      <c r="AI1319">
        <v>0</v>
      </c>
      <c r="AJ1319">
        <v>0</v>
      </c>
      <c r="AK1319">
        <v>0</v>
      </c>
      <c r="AL1319">
        <v>2</v>
      </c>
      <c r="AM1319">
        <v>0</v>
      </c>
      <c r="AN1319">
        <v>2</v>
      </c>
    </row>
    <row r="1320" spans="1:40" x14ac:dyDescent="0.3">
      <c r="A1320" t="s">
        <v>381</v>
      </c>
      <c r="B1320" t="s">
        <v>59</v>
      </c>
      <c r="C1320" t="s">
        <v>10</v>
      </c>
      <c r="D1320" t="s">
        <v>14</v>
      </c>
      <c r="E1320">
        <v>202602</v>
      </c>
      <c r="F1320" t="s">
        <v>207</v>
      </c>
      <c r="G1320">
        <v>0</v>
      </c>
      <c r="H1320">
        <v>0</v>
      </c>
      <c r="I1320">
        <v>1</v>
      </c>
      <c r="J1320">
        <v>2</v>
      </c>
      <c r="K1320">
        <v>1</v>
      </c>
      <c r="L1320">
        <v>1</v>
      </c>
      <c r="M1320">
        <v>0</v>
      </c>
      <c r="N1320">
        <v>0</v>
      </c>
      <c r="O1320">
        <v>3</v>
      </c>
      <c r="P1320">
        <v>2</v>
      </c>
      <c r="Q1320">
        <v>6</v>
      </c>
      <c r="R1320">
        <v>0</v>
      </c>
      <c r="S1320">
        <v>0</v>
      </c>
      <c r="T1320">
        <v>0</v>
      </c>
      <c r="U1320">
        <v>0</v>
      </c>
      <c r="V1320">
        <v>0</v>
      </c>
      <c r="W1320">
        <v>0</v>
      </c>
      <c r="X1320">
        <v>0</v>
      </c>
      <c r="Y1320">
        <v>0</v>
      </c>
      <c r="Z1320">
        <v>0</v>
      </c>
      <c r="AA1320">
        <v>0</v>
      </c>
      <c r="AB1320">
        <v>0</v>
      </c>
      <c r="AC1320">
        <v>0</v>
      </c>
      <c r="AD1320">
        <v>0</v>
      </c>
      <c r="AE1320">
        <v>0</v>
      </c>
      <c r="AF1320">
        <v>0</v>
      </c>
      <c r="AG1320">
        <v>0</v>
      </c>
      <c r="AH1320">
        <v>0</v>
      </c>
      <c r="AI1320">
        <v>0</v>
      </c>
      <c r="AJ1320">
        <v>0</v>
      </c>
      <c r="AK1320">
        <v>0</v>
      </c>
      <c r="AL1320">
        <v>16</v>
      </c>
      <c r="AM1320">
        <v>3.6666666666666665</v>
      </c>
      <c r="AN1320">
        <v>60.459151785714738</v>
      </c>
    </row>
    <row r="1321" spans="1:40" x14ac:dyDescent="0.3">
      <c r="A1321" t="s">
        <v>381</v>
      </c>
      <c r="B1321" t="s">
        <v>59</v>
      </c>
      <c r="C1321" t="s">
        <v>10</v>
      </c>
      <c r="D1321" t="s">
        <v>14</v>
      </c>
      <c r="E1321">
        <v>202602</v>
      </c>
      <c r="F1321" t="s">
        <v>64</v>
      </c>
      <c r="G1321">
        <v>0</v>
      </c>
      <c r="H1321">
        <v>2</v>
      </c>
      <c r="I1321">
        <v>1</v>
      </c>
      <c r="J1321">
        <v>1</v>
      </c>
      <c r="K1321">
        <v>1</v>
      </c>
      <c r="L1321">
        <v>3</v>
      </c>
      <c r="M1321">
        <v>0</v>
      </c>
      <c r="N1321">
        <v>0</v>
      </c>
      <c r="O1321">
        <v>1</v>
      </c>
      <c r="P1321">
        <v>2</v>
      </c>
      <c r="Q1321">
        <v>2</v>
      </c>
      <c r="R1321">
        <v>0</v>
      </c>
      <c r="S1321">
        <v>0</v>
      </c>
      <c r="T1321">
        <v>0</v>
      </c>
      <c r="U1321">
        <v>0</v>
      </c>
      <c r="V1321">
        <v>0</v>
      </c>
      <c r="W1321">
        <v>0</v>
      </c>
      <c r="X1321">
        <v>0</v>
      </c>
      <c r="Y1321">
        <v>0</v>
      </c>
      <c r="Z1321">
        <v>0</v>
      </c>
      <c r="AA1321">
        <v>0</v>
      </c>
      <c r="AB1321">
        <v>0</v>
      </c>
      <c r="AC1321">
        <v>0</v>
      </c>
      <c r="AD1321">
        <v>0</v>
      </c>
      <c r="AE1321">
        <v>0</v>
      </c>
      <c r="AF1321">
        <v>0</v>
      </c>
      <c r="AG1321">
        <v>0</v>
      </c>
      <c r="AH1321">
        <v>0</v>
      </c>
      <c r="AI1321">
        <v>0</v>
      </c>
      <c r="AJ1321">
        <v>0</v>
      </c>
      <c r="AK1321">
        <v>0</v>
      </c>
      <c r="AL1321">
        <v>13</v>
      </c>
      <c r="AM1321">
        <v>1.6666666666666667</v>
      </c>
      <c r="AN1321">
        <v>33.20870535714306</v>
      </c>
    </row>
    <row r="1322" spans="1:40" x14ac:dyDescent="0.3">
      <c r="A1322" t="s">
        <v>381</v>
      </c>
      <c r="B1322" t="s">
        <v>59</v>
      </c>
      <c r="C1322" t="s">
        <v>10</v>
      </c>
      <c r="D1322" t="s">
        <v>14</v>
      </c>
      <c r="E1322">
        <v>202602</v>
      </c>
      <c r="F1322" t="s">
        <v>412</v>
      </c>
      <c r="G1322">
        <v>0</v>
      </c>
      <c r="H1322">
        <v>0</v>
      </c>
      <c r="I1322">
        <v>2</v>
      </c>
      <c r="J1322">
        <v>0</v>
      </c>
      <c r="K1322">
        <v>0</v>
      </c>
      <c r="L1322">
        <v>1</v>
      </c>
      <c r="M1322">
        <v>0</v>
      </c>
      <c r="N1322">
        <v>0</v>
      </c>
      <c r="O1322">
        <v>1</v>
      </c>
      <c r="P1322">
        <v>1</v>
      </c>
      <c r="Q1322">
        <v>1</v>
      </c>
      <c r="R1322">
        <v>0</v>
      </c>
      <c r="S1322">
        <v>0</v>
      </c>
      <c r="T1322">
        <v>0</v>
      </c>
      <c r="U1322">
        <v>0</v>
      </c>
      <c r="V1322">
        <v>0</v>
      </c>
      <c r="W1322">
        <v>0</v>
      </c>
      <c r="X1322">
        <v>0</v>
      </c>
      <c r="Y1322">
        <v>0</v>
      </c>
      <c r="Z1322">
        <v>0</v>
      </c>
      <c r="AA1322">
        <v>0</v>
      </c>
      <c r="AB1322">
        <v>0</v>
      </c>
      <c r="AC1322">
        <v>0</v>
      </c>
      <c r="AD1322">
        <v>0</v>
      </c>
      <c r="AE1322">
        <v>0</v>
      </c>
      <c r="AF1322">
        <v>0</v>
      </c>
      <c r="AG1322">
        <v>0</v>
      </c>
      <c r="AH1322">
        <v>0</v>
      </c>
      <c r="AI1322">
        <v>0</v>
      </c>
      <c r="AJ1322">
        <v>0</v>
      </c>
      <c r="AK1322">
        <v>0</v>
      </c>
      <c r="AL1322">
        <v>6</v>
      </c>
      <c r="AM1322">
        <v>1</v>
      </c>
      <c r="AN1322">
        <v>18.125223214285839</v>
      </c>
    </row>
    <row r="1323" spans="1:40" x14ac:dyDescent="0.3">
      <c r="A1323" t="s">
        <v>381</v>
      </c>
      <c r="B1323" t="s">
        <v>59</v>
      </c>
      <c r="C1323" t="s">
        <v>10</v>
      </c>
      <c r="D1323" t="s">
        <v>14</v>
      </c>
      <c r="E1323">
        <v>202602</v>
      </c>
      <c r="F1323" t="s">
        <v>413</v>
      </c>
      <c r="G1323">
        <v>0</v>
      </c>
      <c r="H1323">
        <v>1</v>
      </c>
      <c r="I1323">
        <v>1</v>
      </c>
      <c r="J1323">
        <v>0</v>
      </c>
      <c r="K1323">
        <v>1</v>
      </c>
      <c r="L1323">
        <v>1</v>
      </c>
      <c r="M1323">
        <v>0</v>
      </c>
      <c r="N1323">
        <v>0</v>
      </c>
      <c r="O1323">
        <v>2</v>
      </c>
      <c r="P1323">
        <v>1</v>
      </c>
      <c r="Q1323">
        <v>2</v>
      </c>
      <c r="R1323">
        <v>0</v>
      </c>
      <c r="S1323">
        <v>0</v>
      </c>
      <c r="T1323">
        <v>0</v>
      </c>
      <c r="U1323">
        <v>0</v>
      </c>
      <c r="V1323">
        <v>0</v>
      </c>
      <c r="W1323">
        <v>0</v>
      </c>
      <c r="X1323">
        <v>0</v>
      </c>
      <c r="Y1323">
        <v>0</v>
      </c>
      <c r="Z1323">
        <v>0</v>
      </c>
      <c r="AA1323">
        <v>0</v>
      </c>
      <c r="AB1323">
        <v>0</v>
      </c>
      <c r="AC1323">
        <v>0</v>
      </c>
      <c r="AD1323">
        <v>0</v>
      </c>
      <c r="AE1323">
        <v>0</v>
      </c>
      <c r="AF1323">
        <v>0</v>
      </c>
      <c r="AG1323">
        <v>0</v>
      </c>
      <c r="AH1323">
        <v>0</v>
      </c>
      <c r="AI1323">
        <v>0</v>
      </c>
      <c r="AJ1323">
        <v>0</v>
      </c>
      <c r="AK1323">
        <v>0</v>
      </c>
      <c r="AL1323">
        <v>9</v>
      </c>
      <c r="AM1323">
        <v>1.6666666666666667</v>
      </c>
      <c r="AN1323">
        <v>29.208705357143064</v>
      </c>
    </row>
    <row r="1324" spans="1:40" x14ac:dyDescent="0.3">
      <c r="A1324" t="s">
        <v>381</v>
      </c>
      <c r="B1324" t="s">
        <v>59</v>
      </c>
      <c r="C1324" t="s">
        <v>10</v>
      </c>
      <c r="D1324" t="s">
        <v>14</v>
      </c>
      <c r="E1324">
        <v>202602</v>
      </c>
      <c r="F1324" t="s">
        <v>414</v>
      </c>
      <c r="G1324">
        <v>0</v>
      </c>
      <c r="H1324">
        <v>0</v>
      </c>
      <c r="I1324">
        <v>0</v>
      </c>
      <c r="J1324">
        <v>0</v>
      </c>
      <c r="K1324">
        <v>0</v>
      </c>
      <c r="L1324">
        <v>1</v>
      </c>
      <c r="M1324">
        <v>0</v>
      </c>
      <c r="N1324">
        <v>0</v>
      </c>
      <c r="O1324">
        <v>1</v>
      </c>
      <c r="P1324">
        <v>2</v>
      </c>
      <c r="Q1324">
        <v>1</v>
      </c>
      <c r="R1324">
        <v>0</v>
      </c>
      <c r="S1324">
        <v>0</v>
      </c>
      <c r="T1324">
        <v>0</v>
      </c>
      <c r="U1324">
        <v>0</v>
      </c>
      <c r="V1324">
        <v>0</v>
      </c>
      <c r="W1324">
        <v>0</v>
      </c>
      <c r="X1324">
        <v>0</v>
      </c>
      <c r="Y1324">
        <v>0</v>
      </c>
      <c r="Z1324">
        <v>0</v>
      </c>
      <c r="AA1324">
        <v>0</v>
      </c>
      <c r="AB1324">
        <v>0</v>
      </c>
      <c r="AC1324">
        <v>0</v>
      </c>
      <c r="AD1324">
        <v>0</v>
      </c>
      <c r="AE1324">
        <v>0</v>
      </c>
      <c r="AF1324">
        <v>0</v>
      </c>
      <c r="AG1324">
        <v>0</v>
      </c>
      <c r="AH1324">
        <v>0</v>
      </c>
      <c r="AI1324">
        <v>0</v>
      </c>
      <c r="AJ1324">
        <v>0</v>
      </c>
      <c r="AK1324">
        <v>0</v>
      </c>
      <c r="AL1324">
        <v>5</v>
      </c>
      <c r="AM1324">
        <v>1.3333333333333333</v>
      </c>
      <c r="AN1324">
        <v>21.166964285714453</v>
      </c>
    </row>
    <row r="1325" spans="1:40" x14ac:dyDescent="0.3">
      <c r="A1325" t="s">
        <v>381</v>
      </c>
      <c r="B1325" t="s">
        <v>59</v>
      </c>
      <c r="C1325" t="s">
        <v>10</v>
      </c>
      <c r="D1325" t="s">
        <v>14</v>
      </c>
      <c r="E1325">
        <v>202602</v>
      </c>
      <c r="F1325" t="s">
        <v>66</v>
      </c>
      <c r="G1325">
        <v>0</v>
      </c>
      <c r="H1325">
        <v>1</v>
      </c>
      <c r="I1325">
        <v>0</v>
      </c>
      <c r="J1325">
        <v>1</v>
      </c>
      <c r="K1325">
        <v>1</v>
      </c>
      <c r="L1325">
        <v>1</v>
      </c>
      <c r="M1325">
        <v>0</v>
      </c>
      <c r="N1325">
        <v>0</v>
      </c>
      <c r="O1325">
        <v>1</v>
      </c>
      <c r="P1325">
        <v>1</v>
      </c>
      <c r="Q1325">
        <v>0</v>
      </c>
      <c r="R1325">
        <v>0</v>
      </c>
      <c r="S1325">
        <v>0</v>
      </c>
      <c r="T1325">
        <v>0</v>
      </c>
      <c r="U1325">
        <v>0</v>
      </c>
      <c r="V1325">
        <v>0</v>
      </c>
      <c r="W1325">
        <v>0</v>
      </c>
      <c r="X1325">
        <v>0</v>
      </c>
      <c r="Y1325">
        <v>0</v>
      </c>
      <c r="Z1325">
        <v>0</v>
      </c>
      <c r="AA1325">
        <v>0</v>
      </c>
      <c r="AB1325">
        <v>0</v>
      </c>
      <c r="AC1325">
        <v>0</v>
      </c>
      <c r="AD1325">
        <v>0</v>
      </c>
      <c r="AE1325">
        <v>0</v>
      </c>
      <c r="AF1325">
        <v>0</v>
      </c>
      <c r="AG1325">
        <v>0</v>
      </c>
      <c r="AH1325">
        <v>0</v>
      </c>
      <c r="AI1325">
        <v>0</v>
      </c>
      <c r="AJ1325">
        <v>0</v>
      </c>
      <c r="AK1325">
        <v>0</v>
      </c>
      <c r="AL1325">
        <v>6</v>
      </c>
      <c r="AM1325">
        <v>0.66666666666666663</v>
      </c>
      <c r="AN1325">
        <v>14.083482142857227</v>
      </c>
    </row>
    <row r="1326" spans="1:40" x14ac:dyDescent="0.3">
      <c r="A1326" t="s">
        <v>381</v>
      </c>
      <c r="B1326" t="s">
        <v>59</v>
      </c>
      <c r="C1326" t="s">
        <v>10</v>
      </c>
      <c r="D1326" t="s">
        <v>14</v>
      </c>
      <c r="E1326">
        <v>202602</v>
      </c>
      <c r="F1326" t="s">
        <v>67</v>
      </c>
      <c r="G1326">
        <v>0</v>
      </c>
      <c r="H1326">
        <v>0</v>
      </c>
      <c r="I1326">
        <v>0</v>
      </c>
      <c r="J1326">
        <v>0</v>
      </c>
      <c r="K1326">
        <v>0</v>
      </c>
      <c r="L1326">
        <v>1</v>
      </c>
      <c r="M1326">
        <v>1</v>
      </c>
      <c r="N1326">
        <v>0</v>
      </c>
      <c r="O1326">
        <v>0</v>
      </c>
      <c r="P1326">
        <v>0</v>
      </c>
      <c r="Q1326">
        <v>0</v>
      </c>
      <c r="R1326">
        <v>0</v>
      </c>
      <c r="S1326">
        <v>0</v>
      </c>
      <c r="T1326">
        <v>0</v>
      </c>
      <c r="U1326">
        <v>0</v>
      </c>
      <c r="V1326">
        <v>0</v>
      </c>
      <c r="W1326">
        <v>0</v>
      </c>
      <c r="X1326">
        <v>0</v>
      </c>
      <c r="Y1326">
        <v>0</v>
      </c>
      <c r="Z1326">
        <v>0</v>
      </c>
      <c r="AA1326">
        <v>0</v>
      </c>
      <c r="AB1326">
        <v>0</v>
      </c>
      <c r="AC1326">
        <v>0</v>
      </c>
      <c r="AD1326">
        <v>0</v>
      </c>
      <c r="AE1326">
        <v>0</v>
      </c>
      <c r="AF1326">
        <v>0</v>
      </c>
      <c r="AG1326">
        <v>0</v>
      </c>
      <c r="AH1326">
        <v>0</v>
      </c>
      <c r="AI1326">
        <v>0</v>
      </c>
      <c r="AJ1326">
        <v>0</v>
      </c>
      <c r="AK1326">
        <v>0</v>
      </c>
      <c r="AL1326">
        <v>2</v>
      </c>
      <c r="AM1326">
        <v>0</v>
      </c>
      <c r="AN1326">
        <v>2</v>
      </c>
    </row>
    <row r="1327" spans="1:40" x14ac:dyDescent="0.3">
      <c r="A1327" t="s">
        <v>381</v>
      </c>
      <c r="B1327" t="s">
        <v>59</v>
      </c>
      <c r="C1327" t="s">
        <v>10</v>
      </c>
      <c r="D1327" t="s">
        <v>14</v>
      </c>
      <c r="E1327">
        <v>202602</v>
      </c>
      <c r="F1327" t="s">
        <v>423</v>
      </c>
      <c r="G1327">
        <v>0</v>
      </c>
      <c r="H1327">
        <v>1</v>
      </c>
      <c r="I1327">
        <v>0</v>
      </c>
      <c r="J1327">
        <v>0</v>
      </c>
      <c r="K1327">
        <v>0</v>
      </c>
      <c r="L1327">
        <v>0</v>
      </c>
      <c r="M1327">
        <v>0</v>
      </c>
      <c r="N1327">
        <v>0</v>
      </c>
      <c r="O1327">
        <v>0</v>
      </c>
      <c r="P1327">
        <v>0</v>
      </c>
      <c r="Q1327">
        <v>0</v>
      </c>
      <c r="R1327">
        <v>0</v>
      </c>
      <c r="S1327">
        <v>0</v>
      </c>
      <c r="T1327">
        <v>0</v>
      </c>
      <c r="U1327">
        <v>0</v>
      </c>
      <c r="V1327">
        <v>0</v>
      </c>
      <c r="W1327">
        <v>0</v>
      </c>
      <c r="X1327">
        <v>0</v>
      </c>
      <c r="Y1327">
        <v>0</v>
      </c>
      <c r="Z1327">
        <v>0</v>
      </c>
      <c r="AA1327">
        <v>0</v>
      </c>
      <c r="AB1327">
        <v>0</v>
      </c>
      <c r="AC1327">
        <v>0</v>
      </c>
      <c r="AD1327">
        <v>0</v>
      </c>
      <c r="AE1327">
        <v>0</v>
      </c>
      <c r="AF1327">
        <v>0</v>
      </c>
      <c r="AG1327">
        <v>0</v>
      </c>
      <c r="AH1327">
        <v>0</v>
      </c>
      <c r="AI1327">
        <v>0</v>
      </c>
      <c r="AJ1327">
        <v>0</v>
      </c>
      <c r="AK1327">
        <v>0</v>
      </c>
      <c r="AL1327">
        <v>1</v>
      </c>
      <c r="AM1327">
        <v>0</v>
      </c>
      <c r="AN1327">
        <v>1</v>
      </c>
    </row>
    <row r="1328" spans="1:40" x14ac:dyDescent="0.3">
      <c r="A1328" t="s">
        <v>381</v>
      </c>
      <c r="B1328" t="s">
        <v>59</v>
      </c>
      <c r="C1328" t="s">
        <v>10</v>
      </c>
      <c r="D1328" t="s">
        <v>14</v>
      </c>
      <c r="E1328">
        <v>202602</v>
      </c>
      <c r="F1328" t="s">
        <v>415</v>
      </c>
      <c r="G1328">
        <v>0</v>
      </c>
      <c r="H1328">
        <v>6</v>
      </c>
      <c r="I1328">
        <v>4</v>
      </c>
      <c r="J1328">
        <v>2</v>
      </c>
      <c r="K1328">
        <v>9</v>
      </c>
      <c r="L1328">
        <v>5</v>
      </c>
      <c r="M1328">
        <v>0</v>
      </c>
      <c r="N1328">
        <v>0</v>
      </c>
      <c r="O1328">
        <v>3</v>
      </c>
      <c r="P1328">
        <v>2</v>
      </c>
      <c r="Q1328">
        <v>1</v>
      </c>
      <c r="R1328">
        <v>0</v>
      </c>
      <c r="S1328">
        <v>0</v>
      </c>
      <c r="T1328">
        <v>0</v>
      </c>
      <c r="U1328">
        <v>0</v>
      </c>
      <c r="V1328">
        <v>0</v>
      </c>
      <c r="W1328">
        <v>0</v>
      </c>
      <c r="X1328">
        <v>0</v>
      </c>
      <c r="Y1328">
        <v>0</v>
      </c>
      <c r="Z1328">
        <v>0</v>
      </c>
      <c r="AA1328">
        <v>0</v>
      </c>
      <c r="AB1328">
        <v>0</v>
      </c>
      <c r="AC1328">
        <v>0</v>
      </c>
      <c r="AD1328">
        <v>0</v>
      </c>
      <c r="AE1328">
        <v>0</v>
      </c>
      <c r="AF1328">
        <v>0</v>
      </c>
      <c r="AG1328">
        <v>0</v>
      </c>
      <c r="AH1328">
        <v>0</v>
      </c>
      <c r="AI1328">
        <v>0</v>
      </c>
      <c r="AJ1328">
        <v>0</v>
      </c>
      <c r="AK1328">
        <v>0</v>
      </c>
      <c r="AL1328">
        <v>32</v>
      </c>
      <c r="AM1328">
        <v>2</v>
      </c>
      <c r="AN1328">
        <v>56.250446428571678</v>
      </c>
    </row>
    <row r="1329" spans="1:40" x14ac:dyDescent="0.3">
      <c r="A1329" t="s">
        <v>381</v>
      </c>
      <c r="B1329" t="s">
        <v>59</v>
      </c>
      <c r="C1329" t="s">
        <v>10</v>
      </c>
      <c r="D1329" t="s">
        <v>14</v>
      </c>
      <c r="E1329">
        <v>202602</v>
      </c>
      <c r="F1329" t="s">
        <v>69</v>
      </c>
      <c r="G1329">
        <v>0</v>
      </c>
      <c r="H1329">
        <v>4</v>
      </c>
      <c r="I1329">
        <v>1</v>
      </c>
      <c r="J1329">
        <v>3</v>
      </c>
      <c r="K1329">
        <v>1</v>
      </c>
      <c r="L1329">
        <v>1</v>
      </c>
      <c r="M1329">
        <v>0</v>
      </c>
      <c r="N1329">
        <v>0</v>
      </c>
      <c r="O1329">
        <v>1</v>
      </c>
      <c r="P1329">
        <v>1</v>
      </c>
      <c r="Q1329">
        <v>7</v>
      </c>
      <c r="R1329">
        <v>0</v>
      </c>
      <c r="S1329">
        <v>0</v>
      </c>
      <c r="T1329">
        <v>0</v>
      </c>
      <c r="U1329">
        <v>0</v>
      </c>
      <c r="V1329">
        <v>0</v>
      </c>
      <c r="W1329">
        <v>0</v>
      </c>
      <c r="X1329">
        <v>0</v>
      </c>
      <c r="Y1329">
        <v>0</v>
      </c>
      <c r="Z1329">
        <v>0</v>
      </c>
      <c r="AA1329">
        <v>0</v>
      </c>
      <c r="AB1329">
        <v>0</v>
      </c>
      <c r="AC1329">
        <v>0</v>
      </c>
      <c r="AD1329">
        <v>0</v>
      </c>
      <c r="AE1329">
        <v>0</v>
      </c>
      <c r="AF1329">
        <v>0</v>
      </c>
      <c r="AG1329">
        <v>0</v>
      </c>
      <c r="AH1329">
        <v>0</v>
      </c>
      <c r="AI1329">
        <v>0</v>
      </c>
      <c r="AJ1329">
        <v>0</v>
      </c>
      <c r="AK1329">
        <v>0</v>
      </c>
      <c r="AL1329">
        <v>19</v>
      </c>
      <c r="AM1329">
        <v>3</v>
      </c>
      <c r="AN1329">
        <v>55.375669642857517</v>
      </c>
    </row>
    <row r="1330" spans="1:40" x14ac:dyDescent="0.3">
      <c r="A1330" t="s">
        <v>381</v>
      </c>
      <c r="B1330" t="s">
        <v>59</v>
      </c>
      <c r="C1330" t="s">
        <v>10</v>
      </c>
      <c r="D1330" t="s">
        <v>14</v>
      </c>
      <c r="E1330">
        <v>202602</v>
      </c>
      <c r="F1330" t="s">
        <v>70</v>
      </c>
      <c r="G1330">
        <v>0</v>
      </c>
      <c r="H1330">
        <v>0</v>
      </c>
      <c r="I1330">
        <v>0</v>
      </c>
      <c r="J1330">
        <v>1</v>
      </c>
      <c r="K1330">
        <v>0</v>
      </c>
      <c r="L1330">
        <v>0</v>
      </c>
      <c r="M1330">
        <v>0</v>
      </c>
      <c r="N1330">
        <v>0</v>
      </c>
      <c r="O1330">
        <v>0</v>
      </c>
      <c r="P1330">
        <v>0</v>
      </c>
      <c r="Q1330">
        <v>0</v>
      </c>
      <c r="R1330">
        <v>0</v>
      </c>
      <c r="S1330">
        <v>0</v>
      </c>
      <c r="T1330">
        <v>0</v>
      </c>
      <c r="U1330">
        <v>0</v>
      </c>
      <c r="V1330">
        <v>0</v>
      </c>
      <c r="W1330">
        <v>0</v>
      </c>
      <c r="X1330">
        <v>0</v>
      </c>
      <c r="Y1330">
        <v>0</v>
      </c>
      <c r="Z1330">
        <v>0</v>
      </c>
      <c r="AA1330">
        <v>0</v>
      </c>
      <c r="AB1330">
        <v>0</v>
      </c>
      <c r="AC1330">
        <v>0</v>
      </c>
      <c r="AD1330">
        <v>0</v>
      </c>
      <c r="AE1330">
        <v>0</v>
      </c>
      <c r="AF1330">
        <v>0</v>
      </c>
      <c r="AG1330">
        <v>0</v>
      </c>
      <c r="AH1330">
        <v>0</v>
      </c>
      <c r="AI1330">
        <v>0</v>
      </c>
      <c r="AJ1330">
        <v>0</v>
      </c>
      <c r="AK1330">
        <v>0</v>
      </c>
      <c r="AL1330">
        <v>1</v>
      </c>
      <c r="AM1330">
        <v>0</v>
      </c>
      <c r="AN1330">
        <v>1</v>
      </c>
    </row>
    <row r="1331" spans="1:40" x14ac:dyDescent="0.3">
      <c r="A1331" t="s">
        <v>381</v>
      </c>
      <c r="B1331" t="s">
        <v>59</v>
      </c>
      <c r="C1331" t="s">
        <v>10</v>
      </c>
      <c r="D1331" t="s">
        <v>14</v>
      </c>
      <c r="E1331">
        <v>202602</v>
      </c>
      <c r="F1331" t="s">
        <v>71</v>
      </c>
      <c r="G1331">
        <v>0</v>
      </c>
      <c r="H1331">
        <v>0</v>
      </c>
      <c r="I1331">
        <v>1</v>
      </c>
      <c r="J1331">
        <v>0</v>
      </c>
      <c r="K1331">
        <v>1</v>
      </c>
      <c r="L1331">
        <v>0</v>
      </c>
      <c r="M1331">
        <v>0</v>
      </c>
      <c r="N1331">
        <v>0</v>
      </c>
      <c r="O1331">
        <v>0</v>
      </c>
      <c r="P1331">
        <v>1</v>
      </c>
      <c r="Q1331">
        <v>0</v>
      </c>
      <c r="R1331">
        <v>0</v>
      </c>
      <c r="S1331">
        <v>0</v>
      </c>
      <c r="T1331">
        <v>0</v>
      </c>
      <c r="U1331">
        <v>0</v>
      </c>
      <c r="V1331">
        <v>0</v>
      </c>
      <c r="W1331">
        <v>0</v>
      </c>
      <c r="X1331">
        <v>0</v>
      </c>
      <c r="Y1331">
        <v>0</v>
      </c>
      <c r="Z1331">
        <v>0</v>
      </c>
      <c r="AA1331">
        <v>0</v>
      </c>
      <c r="AB1331">
        <v>0</v>
      </c>
      <c r="AC1331">
        <v>0</v>
      </c>
      <c r="AD1331">
        <v>0</v>
      </c>
      <c r="AE1331">
        <v>0</v>
      </c>
      <c r="AF1331">
        <v>0</v>
      </c>
      <c r="AG1331">
        <v>0</v>
      </c>
      <c r="AH1331">
        <v>0</v>
      </c>
      <c r="AI1331">
        <v>0</v>
      </c>
      <c r="AJ1331">
        <v>0</v>
      </c>
      <c r="AK1331">
        <v>0</v>
      </c>
      <c r="AL1331">
        <v>3</v>
      </c>
      <c r="AM1331">
        <v>0.33333333333333331</v>
      </c>
      <c r="AN1331">
        <v>7.0417410714286133</v>
      </c>
    </row>
    <row r="1332" spans="1:40" x14ac:dyDescent="0.3">
      <c r="A1332" t="s">
        <v>381</v>
      </c>
      <c r="B1332" t="s">
        <v>59</v>
      </c>
      <c r="C1332" t="s">
        <v>10</v>
      </c>
      <c r="D1332" t="s">
        <v>14</v>
      </c>
      <c r="E1332">
        <v>202602</v>
      </c>
      <c r="F1332" t="s">
        <v>424</v>
      </c>
      <c r="G1332">
        <v>0</v>
      </c>
      <c r="H1332">
        <v>0</v>
      </c>
      <c r="I1332">
        <v>0</v>
      </c>
      <c r="J1332">
        <v>2</v>
      </c>
      <c r="K1332">
        <v>0</v>
      </c>
      <c r="L1332">
        <v>0</v>
      </c>
      <c r="M1332">
        <v>0</v>
      </c>
      <c r="N1332">
        <v>0</v>
      </c>
      <c r="O1332">
        <v>0</v>
      </c>
      <c r="P1332">
        <v>1</v>
      </c>
      <c r="Q1332">
        <v>0</v>
      </c>
      <c r="R1332">
        <v>0</v>
      </c>
      <c r="S1332">
        <v>0</v>
      </c>
      <c r="T1332">
        <v>0</v>
      </c>
      <c r="U1332">
        <v>0</v>
      </c>
      <c r="V1332">
        <v>0</v>
      </c>
      <c r="W1332">
        <v>0</v>
      </c>
      <c r="X1332">
        <v>0</v>
      </c>
      <c r="Y1332">
        <v>0</v>
      </c>
      <c r="Z1332">
        <v>0</v>
      </c>
      <c r="AA1332">
        <v>0</v>
      </c>
      <c r="AB1332">
        <v>0</v>
      </c>
      <c r="AC1332">
        <v>0</v>
      </c>
      <c r="AD1332">
        <v>0</v>
      </c>
      <c r="AE1332">
        <v>0</v>
      </c>
      <c r="AF1332">
        <v>0</v>
      </c>
      <c r="AG1332">
        <v>0</v>
      </c>
      <c r="AH1332">
        <v>0</v>
      </c>
      <c r="AI1332">
        <v>0</v>
      </c>
      <c r="AJ1332">
        <v>0</v>
      </c>
      <c r="AK1332">
        <v>0</v>
      </c>
      <c r="AL1332">
        <v>3</v>
      </c>
      <c r="AM1332">
        <v>0.33333333333333331</v>
      </c>
      <c r="AN1332">
        <v>7.0417410714286133</v>
      </c>
    </row>
    <row r="1333" spans="1:40" x14ac:dyDescent="0.3">
      <c r="A1333" t="s">
        <v>381</v>
      </c>
      <c r="B1333" t="s">
        <v>59</v>
      </c>
      <c r="C1333" t="s">
        <v>10</v>
      </c>
      <c r="D1333" t="s">
        <v>14</v>
      </c>
      <c r="E1333">
        <v>202602</v>
      </c>
      <c r="F1333" t="s">
        <v>416</v>
      </c>
      <c r="G1333">
        <v>0</v>
      </c>
      <c r="H1333">
        <v>0</v>
      </c>
      <c r="I1333">
        <v>2</v>
      </c>
      <c r="J1333">
        <v>1</v>
      </c>
      <c r="K1333">
        <v>0</v>
      </c>
      <c r="L1333">
        <v>1</v>
      </c>
      <c r="M1333">
        <v>0</v>
      </c>
      <c r="N1333">
        <v>0</v>
      </c>
      <c r="O1333">
        <v>0</v>
      </c>
      <c r="P1333">
        <v>0</v>
      </c>
      <c r="Q1333">
        <v>1</v>
      </c>
      <c r="R1333">
        <v>0</v>
      </c>
      <c r="S1333">
        <v>0</v>
      </c>
      <c r="T1333">
        <v>0</v>
      </c>
      <c r="U1333">
        <v>0</v>
      </c>
      <c r="V1333">
        <v>0</v>
      </c>
      <c r="W1333">
        <v>0</v>
      </c>
      <c r="X1333">
        <v>0</v>
      </c>
      <c r="Y1333">
        <v>0</v>
      </c>
      <c r="Z1333">
        <v>0</v>
      </c>
      <c r="AA1333">
        <v>0</v>
      </c>
      <c r="AB1333">
        <v>0</v>
      </c>
      <c r="AC1333">
        <v>0</v>
      </c>
      <c r="AD1333">
        <v>0</v>
      </c>
      <c r="AE1333">
        <v>0</v>
      </c>
      <c r="AF1333">
        <v>0</v>
      </c>
      <c r="AG1333">
        <v>0</v>
      </c>
      <c r="AH1333">
        <v>0</v>
      </c>
      <c r="AI1333">
        <v>0</v>
      </c>
      <c r="AJ1333">
        <v>0</v>
      </c>
      <c r="AK1333">
        <v>0</v>
      </c>
      <c r="AL1333">
        <v>5</v>
      </c>
      <c r="AM1333">
        <v>0.33333333333333331</v>
      </c>
      <c r="AN1333">
        <v>9.0417410714286142</v>
      </c>
    </row>
    <row r="1334" spans="1:40" x14ac:dyDescent="0.3">
      <c r="A1334" t="s">
        <v>381</v>
      </c>
      <c r="B1334" t="s">
        <v>59</v>
      </c>
      <c r="C1334" t="s">
        <v>10</v>
      </c>
      <c r="D1334" t="s">
        <v>14</v>
      </c>
      <c r="E1334">
        <v>202602</v>
      </c>
      <c r="F1334" t="s">
        <v>425</v>
      </c>
      <c r="G1334">
        <v>0</v>
      </c>
      <c r="H1334">
        <v>0</v>
      </c>
      <c r="I1334">
        <v>0</v>
      </c>
      <c r="J1334">
        <v>0</v>
      </c>
      <c r="K1334">
        <v>0</v>
      </c>
      <c r="L1334">
        <v>0</v>
      </c>
      <c r="M1334">
        <v>0</v>
      </c>
      <c r="N1334">
        <v>0</v>
      </c>
      <c r="O1334">
        <v>1</v>
      </c>
      <c r="P1334">
        <v>1</v>
      </c>
      <c r="Q1334">
        <v>0</v>
      </c>
      <c r="R1334">
        <v>0</v>
      </c>
      <c r="S1334">
        <v>0</v>
      </c>
      <c r="T1334">
        <v>0</v>
      </c>
      <c r="U1334">
        <v>0</v>
      </c>
      <c r="V1334">
        <v>0</v>
      </c>
      <c r="W1334">
        <v>0</v>
      </c>
      <c r="X1334">
        <v>0</v>
      </c>
      <c r="Y1334">
        <v>0</v>
      </c>
      <c r="Z1334">
        <v>0</v>
      </c>
      <c r="AA1334">
        <v>0</v>
      </c>
      <c r="AB1334">
        <v>0</v>
      </c>
      <c r="AC1334">
        <v>0</v>
      </c>
      <c r="AD1334">
        <v>0</v>
      </c>
      <c r="AE1334">
        <v>0</v>
      </c>
      <c r="AF1334">
        <v>0</v>
      </c>
      <c r="AG1334">
        <v>0</v>
      </c>
      <c r="AH1334">
        <v>0</v>
      </c>
      <c r="AI1334">
        <v>0</v>
      </c>
      <c r="AJ1334">
        <v>0</v>
      </c>
      <c r="AK1334">
        <v>0</v>
      </c>
      <c r="AL1334">
        <v>2</v>
      </c>
      <c r="AM1334">
        <v>0.66666666666666663</v>
      </c>
      <c r="AN1334">
        <v>10.083482142857227</v>
      </c>
    </row>
    <row r="1335" spans="1:40" x14ac:dyDescent="0.3">
      <c r="A1335" t="s">
        <v>381</v>
      </c>
      <c r="B1335" t="s">
        <v>59</v>
      </c>
      <c r="C1335" t="s">
        <v>10</v>
      </c>
      <c r="D1335" t="s">
        <v>14</v>
      </c>
      <c r="E1335">
        <v>202602</v>
      </c>
      <c r="F1335" t="s">
        <v>417</v>
      </c>
      <c r="G1335">
        <v>0</v>
      </c>
      <c r="H1335">
        <v>1</v>
      </c>
      <c r="I1335">
        <v>0</v>
      </c>
      <c r="J1335">
        <v>0</v>
      </c>
      <c r="K1335">
        <v>0</v>
      </c>
      <c r="L1335">
        <v>1</v>
      </c>
      <c r="M1335">
        <v>0</v>
      </c>
      <c r="N1335">
        <v>0</v>
      </c>
      <c r="O1335">
        <v>0</v>
      </c>
      <c r="P1335">
        <v>0</v>
      </c>
      <c r="Q1335">
        <v>1</v>
      </c>
      <c r="R1335">
        <v>0</v>
      </c>
      <c r="S1335">
        <v>0</v>
      </c>
      <c r="T1335">
        <v>0</v>
      </c>
      <c r="U1335">
        <v>0</v>
      </c>
      <c r="V1335">
        <v>0</v>
      </c>
      <c r="W1335">
        <v>0</v>
      </c>
      <c r="X1335">
        <v>0</v>
      </c>
      <c r="Y1335">
        <v>0</v>
      </c>
      <c r="Z1335">
        <v>0</v>
      </c>
      <c r="AA1335">
        <v>0</v>
      </c>
      <c r="AB1335">
        <v>0</v>
      </c>
      <c r="AC1335">
        <v>0</v>
      </c>
      <c r="AD1335">
        <v>0</v>
      </c>
      <c r="AE1335">
        <v>0</v>
      </c>
      <c r="AF1335">
        <v>0</v>
      </c>
      <c r="AG1335">
        <v>0</v>
      </c>
      <c r="AH1335">
        <v>0</v>
      </c>
      <c r="AI1335">
        <v>0</v>
      </c>
      <c r="AJ1335">
        <v>0</v>
      </c>
      <c r="AK1335">
        <v>0</v>
      </c>
      <c r="AL1335">
        <v>3</v>
      </c>
      <c r="AM1335">
        <v>0.33333333333333331</v>
      </c>
      <c r="AN1335">
        <v>7.0417410714286133</v>
      </c>
    </row>
    <row r="1336" spans="1:40" x14ac:dyDescent="0.3">
      <c r="A1336" t="s">
        <v>381</v>
      </c>
      <c r="B1336" t="s">
        <v>59</v>
      </c>
      <c r="C1336" t="s">
        <v>10</v>
      </c>
      <c r="D1336" t="s">
        <v>14</v>
      </c>
      <c r="E1336">
        <v>202602</v>
      </c>
      <c r="F1336" t="s">
        <v>418</v>
      </c>
      <c r="G1336">
        <v>0</v>
      </c>
      <c r="H1336">
        <v>0</v>
      </c>
      <c r="I1336">
        <v>0</v>
      </c>
      <c r="J1336">
        <v>0</v>
      </c>
      <c r="K1336">
        <v>0</v>
      </c>
      <c r="L1336">
        <v>0</v>
      </c>
      <c r="M1336">
        <v>0</v>
      </c>
      <c r="N1336">
        <v>0</v>
      </c>
      <c r="O1336">
        <v>1</v>
      </c>
      <c r="P1336">
        <v>0</v>
      </c>
      <c r="Q1336">
        <v>0</v>
      </c>
      <c r="R1336">
        <v>0</v>
      </c>
      <c r="S1336">
        <v>0</v>
      </c>
      <c r="T1336">
        <v>0</v>
      </c>
      <c r="U1336">
        <v>0</v>
      </c>
      <c r="V1336">
        <v>0</v>
      </c>
      <c r="W1336">
        <v>0</v>
      </c>
      <c r="X1336">
        <v>0</v>
      </c>
      <c r="Y1336">
        <v>0</v>
      </c>
      <c r="Z1336">
        <v>0</v>
      </c>
      <c r="AA1336">
        <v>0</v>
      </c>
      <c r="AB1336">
        <v>0</v>
      </c>
      <c r="AC1336">
        <v>0</v>
      </c>
      <c r="AD1336">
        <v>0</v>
      </c>
      <c r="AE1336">
        <v>0</v>
      </c>
      <c r="AF1336">
        <v>0</v>
      </c>
      <c r="AG1336">
        <v>0</v>
      </c>
      <c r="AH1336">
        <v>0</v>
      </c>
      <c r="AI1336">
        <v>0</v>
      </c>
      <c r="AJ1336">
        <v>0</v>
      </c>
      <c r="AK1336">
        <v>0</v>
      </c>
      <c r="AL1336">
        <v>1</v>
      </c>
      <c r="AM1336">
        <v>0.33333333333333331</v>
      </c>
      <c r="AN1336">
        <v>5.0417410714286133</v>
      </c>
    </row>
    <row r="1337" spans="1:40" x14ac:dyDescent="0.3">
      <c r="A1337" t="s">
        <v>381</v>
      </c>
      <c r="B1337" t="s">
        <v>59</v>
      </c>
      <c r="C1337" t="s">
        <v>10</v>
      </c>
      <c r="D1337" t="s">
        <v>14</v>
      </c>
      <c r="E1337">
        <v>202602</v>
      </c>
      <c r="F1337" t="s">
        <v>419</v>
      </c>
      <c r="G1337">
        <v>0</v>
      </c>
      <c r="H1337">
        <v>2</v>
      </c>
      <c r="I1337">
        <v>0</v>
      </c>
      <c r="J1337">
        <v>0</v>
      </c>
      <c r="K1337">
        <v>0</v>
      </c>
      <c r="L1337">
        <v>0</v>
      </c>
      <c r="M1337">
        <v>0</v>
      </c>
      <c r="N1337">
        <v>0</v>
      </c>
      <c r="O1337">
        <v>0</v>
      </c>
      <c r="P1337">
        <v>1</v>
      </c>
      <c r="Q1337">
        <v>0</v>
      </c>
      <c r="R1337">
        <v>0</v>
      </c>
      <c r="S1337">
        <v>0</v>
      </c>
      <c r="T1337">
        <v>0</v>
      </c>
      <c r="U1337">
        <v>0</v>
      </c>
      <c r="V1337">
        <v>0</v>
      </c>
      <c r="W1337">
        <v>0</v>
      </c>
      <c r="X1337">
        <v>0</v>
      </c>
      <c r="Y1337">
        <v>0</v>
      </c>
      <c r="Z1337">
        <v>0</v>
      </c>
      <c r="AA1337">
        <v>0</v>
      </c>
      <c r="AB1337">
        <v>0</v>
      </c>
      <c r="AC1337">
        <v>0</v>
      </c>
      <c r="AD1337">
        <v>0</v>
      </c>
      <c r="AE1337">
        <v>0</v>
      </c>
      <c r="AF1337">
        <v>0</v>
      </c>
      <c r="AG1337">
        <v>0</v>
      </c>
      <c r="AH1337">
        <v>0</v>
      </c>
      <c r="AI1337">
        <v>0</v>
      </c>
      <c r="AJ1337">
        <v>0</v>
      </c>
      <c r="AK1337">
        <v>0</v>
      </c>
      <c r="AL1337">
        <v>3</v>
      </c>
      <c r="AM1337">
        <v>0.33333333333333331</v>
      </c>
      <c r="AN1337">
        <v>7.0417410714286133</v>
      </c>
    </row>
    <row r="1338" spans="1:40" x14ac:dyDescent="0.3">
      <c r="A1338" t="s">
        <v>381</v>
      </c>
      <c r="B1338" t="s">
        <v>59</v>
      </c>
      <c r="C1338" t="s">
        <v>10</v>
      </c>
      <c r="D1338" t="s">
        <v>14</v>
      </c>
      <c r="E1338">
        <v>202602</v>
      </c>
      <c r="F1338" t="s">
        <v>420</v>
      </c>
      <c r="G1338">
        <v>0</v>
      </c>
      <c r="H1338">
        <v>1</v>
      </c>
      <c r="I1338">
        <v>0</v>
      </c>
      <c r="J1338">
        <v>0</v>
      </c>
      <c r="K1338">
        <v>0</v>
      </c>
      <c r="L1338">
        <v>2</v>
      </c>
      <c r="M1338">
        <v>0</v>
      </c>
      <c r="N1338">
        <v>0</v>
      </c>
      <c r="O1338">
        <v>0</v>
      </c>
      <c r="P1338">
        <v>0</v>
      </c>
      <c r="Q1338">
        <v>1</v>
      </c>
      <c r="R1338">
        <v>0</v>
      </c>
      <c r="S1338">
        <v>0</v>
      </c>
      <c r="T1338">
        <v>0</v>
      </c>
      <c r="U1338">
        <v>0</v>
      </c>
      <c r="V1338">
        <v>0</v>
      </c>
      <c r="W1338">
        <v>0</v>
      </c>
      <c r="X1338">
        <v>0</v>
      </c>
      <c r="Y1338">
        <v>0</v>
      </c>
      <c r="Z1338">
        <v>0</v>
      </c>
      <c r="AA1338">
        <v>0</v>
      </c>
      <c r="AB1338">
        <v>0</v>
      </c>
      <c r="AC1338">
        <v>0</v>
      </c>
      <c r="AD1338">
        <v>0</v>
      </c>
      <c r="AE1338">
        <v>0</v>
      </c>
      <c r="AF1338">
        <v>0</v>
      </c>
      <c r="AG1338">
        <v>0</v>
      </c>
      <c r="AH1338">
        <v>0</v>
      </c>
      <c r="AI1338">
        <v>0</v>
      </c>
      <c r="AJ1338">
        <v>0</v>
      </c>
      <c r="AK1338">
        <v>0</v>
      </c>
      <c r="AL1338">
        <v>4</v>
      </c>
      <c r="AM1338">
        <v>0.33333333333333331</v>
      </c>
      <c r="AN1338">
        <v>8.0417410714286142</v>
      </c>
    </row>
    <row r="1339" spans="1:40" x14ac:dyDescent="0.3">
      <c r="A1339" t="s">
        <v>381</v>
      </c>
      <c r="B1339" t="s">
        <v>59</v>
      </c>
      <c r="C1339" t="s">
        <v>10</v>
      </c>
      <c r="D1339" t="s">
        <v>14</v>
      </c>
      <c r="E1339">
        <v>202602</v>
      </c>
      <c r="F1339" t="s">
        <v>421</v>
      </c>
      <c r="G1339">
        <v>0</v>
      </c>
      <c r="H1339">
        <v>0</v>
      </c>
      <c r="I1339">
        <v>0</v>
      </c>
      <c r="J1339">
        <v>0</v>
      </c>
      <c r="K1339">
        <v>1</v>
      </c>
      <c r="L1339">
        <v>0</v>
      </c>
      <c r="M1339">
        <v>0</v>
      </c>
      <c r="N1339">
        <v>0</v>
      </c>
      <c r="O1339">
        <v>0</v>
      </c>
      <c r="P1339">
        <v>0</v>
      </c>
      <c r="Q1339">
        <v>0</v>
      </c>
      <c r="R1339">
        <v>0</v>
      </c>
      <c r="S1339">
        <v>0</v>
      </c>
      <c r="T1339">
        <v>0</v>
      </c>
      <c r="U1339">
        <v>0</v>
      </c>
      <c r="V1339">
        <v>0</v>
      </c>
      <c r="W1339">
        <v>0</v>
      </c>
      <c r="X1339">
        <v>0</v>
      </c>
      <c r="Y1339">
        <v>0</v>
      </c>
      <c r="Z1339">
        <v>0</v>
      </c>
      <c r="AA1339">
        <v>0</v>
      </c>
      <c r="AB1339">
        <v>0</v>
      </c>
      <c r="AC1339">
        <v>0</v>
      </c>
      <c r="AD1339">
        <v>0</v>
      </c>
      <c r="AE1339">
        <v>0</v>
      </c>
      <c r="AF1339">
        <v>0</v>
      </c>
      <c r="AG1339">
        <v>0</v>
      </c>
      <c r="AH1339">
        <v>0</v>
      </c>
      <c r="AI1339">
        <v>0</v>
      </c>
      <c r="AJ1339">
        <v>0</v>
      </c>
      <c r="AK1339">
        <v>0</v>
      </c>
      <c r="AL1339">
        <v>1</v>
      </c>
      <c r="AM1339">
        <v>0</v>
      </c>
      <c r="AN1339">
        <v>1</v>
      </c>
    </row>
    <row r="1340" spans="1:40" x14ac:dyDescent="0.3">
      <c r="A1340" t="s">
        <v>381</v>
      </c>
      <c r="B1340" t="s">
        <v>59</v>
      </c>
      <c r="C1340" t="s">
        <v>10</v>
      </c>
      <c r="D1340" t="s">
        <v>14</v>
      </c>
      <c r="E1340">
        <v>202602</v>
      </c>
      <c r="F1340" t="s">
        <v>79</v>
      </c>
      <c r="G1340">
        <v>0</v>
      </c>
      <c r="H1340">
        <v>0</v>
      </c>
      <c r="I1340">
        <v>0</v>
      </c>
      <c r="J1340">
        <v>0</v>
      </c>
      <c r="K1340">
        <v>0</v>
      </c>
      <c r="L1340">
        <v>0</v>
      </c>
      <c r="M1340">
        <v>0</v>
      </c>
      <c r="N1340">
        <v>0</v>
      </c>
      <c r="O1340">
        <v>0</v>
      </c>
      <c r="P1340">
        <v>0</v>
      </c>
      <c r="Q1340">
        <v>1</v>
      </c>
      <c r="R1340">
        <v>0</v>
      </c>
      <c r="S1340">
        <v>0</v>
      </c>
      <c r="T1340">
        <v>0</v>
      </c>
      <c r="U1340">
        <v>0</v>
      </c>
      <c r="V1340">
        <v>0</v>
      </c>
      <c r="W1340">
        <v>0</v>
      </c>
      <c r="X1340">
        <v>0</v>
      </c>
      <c r="Y1340">
        <v>0</v>
      </c>
      <c r="Z1340">
        <v>0</v>
      </c>
      <c r="AA1340">
        <v>0</v>
      </c>
      <c r="AB1340">
        <v>0</v>
      </c>
      <c r="AC1340">
        <v>0</v>
      </c>
      <c r="AD1340">
        <v>0</v>
      </c>
      <c r="AE1340">
        <v>0</v>
      </c>
      <c r="AF1340">
        <v>0</v>
      </c>
      <c r="AG1340">
        <v>0</v>
      </c>
      <c r="AH1340">
        <v>0</v>
      </c>
      <c r="AI1340">
        <v>0</v>
      </c>
      <c r="AJ1340">
        <v>0</v>
      </c>
      <c r="AK1340">
        <v>0</v>
      </c>
      <c r="AL1340">
        <v>1</v>
      </c>
      <c r="AM1340">
        <v>0.33333333333333331</v>
      </c>
      <c r="AN1340">
        <v>5.0417410714286133</v>
      </c>
    </row>
    <row r="1341" spans="1:40" x14ac:dyDescent="0.3">
      <c r="A1341" t="s">
        <v>381</v>
      </c>
      <c r="B1341" t="s">
        <v>59</v>
      </c>
      <c r="C1341" t="s">
        <v>10</v>
      </c>
      <c r="D1341" t="s">
        <v>14</v>
      </c>
      <c r="E1341">
        <v>202602</v>
      </c>
      <c r="F1341" t="s">
        <v>422</v>
      </c>
      <c r="G1341">
        <v>0</v>
      </c>
      <c r="H1341">
        <v>0</v>
      </c>
      <c r="I1341">
        <v>0</v>
      </c>
      <c r="J1341">
        <v>1</v>
      </c>
      <c r="K1341">
        <v>2</v>
      </c>
      <c r="L1341">
        <v>1</v>
      </c>
      <c r="M1341">
        <v>0</v>
      </c>
      <c r="N1341">
        <v>0</v>
      </c>
      <c r="O1341">
        <v>0</v>
      </c>
      <c r="P1341">
        <v>1</v>
      </c>
      <c r="Q1341">
        <v>0</v>
      </c>
      <c r="R1341">
        <v>0</v>
      </c>
      <c r="S1341">
        <v>0</v>
      </c>
      <c r="T1341">
        <v>0</v>
      </c>
      <c r="U1341">
        <v>0</v>
      </c>
      <c r="V1341">
        <v>0</v>
      </c>
      <c r="W1341">
        <v>0</v>
      </c>
      <c r="X1341">
        <v>0</v>
      </c>
      <c r="Y1341">
        <v>0</v>
      </c>
      <c r="Z1341">
        <v>0</v>
      </c>
      <c r="AA1341">
        <v>0</v>
      </c>
      <c r="AB1341">
        <v>0</v>
      </c>
      <c r="AC1341">
        <v>0</v>
      </c>
      <c r="AD1341">
        <v>0</v>
      </c>
      <c r="AE1341">
        <v>0</v>
      </c>
      <c r="AF1341">
        <v>0</v>
      </c>
      <c r="AG1341">
        <v>0</v>
      </c>
      <c r="AH1341">
        <v>0</v>
      </c>
      <c r="AI1341">
        <v>0</v>
      </c>
      <c r="AJ1341">
        <v>0</v>
      </c>
      <c r="AK1341">
        <v>0</v>
      </c>
      <c r="AL1341">
        <v>5</v>
      </c>
      <c r="AM1341">
        <v>0.33333333333333331</v>
      </c>
      <c r="AN1341">
        <v>9.0417410714286142</v>
      </c>
    </row>
    <row r="1342" spans="1:40" x14ac:dyDescent="0.3">
      <c r="A1342" t="s">
        <v>381</v>
      </c>
      <c r="B1342" t="s">
        <v>81</v>
      </c>
      <c r="C1342" t="s">
        <v>10</v>
      </c>
      <c r="D1342" t="s">
        <v>11</v>
      </c>
      <c r="E1342">
        <v>202602</v>
      </c>
      <c r="F1342" t="s">
        <v>426</v>
      </c>
      <c r="G1342">
        <v>0</v>
      </c>
      <c r="H1342">
        <v>0</v>
      </c>
      <c r="I1342">
        <v>1</v>
      </c>
      <c r="J1342">
        <v>0</v>
      </c>
      <c r="K1342">
        <v>0</v>
      </c>
      <c r="L1342">
        <v>0</v>
      </c>
      <c r="M1342">
        <v>0</v>
      </c>
      <c r="N1342">
        <v>0</v>
      </c>
      <c r="O1342">
        <v>0</v>
      </c>
      <c r="P1342">
        <v>0</v>
      </c>
      <c r="Q1342">
        <v>0</v>
      </c>
      <c r="R1342">
        <v>0</v>
      </c>
      <c r="S1342">
        <v>0</v>
      </c>
      <c r="T1342">
        <v>0</v>
      </c>
      <c r="U1342">
        <v>0</v>
      </c>
      <c r="V1342">
        <v>0</v>
      </c>
      <c r="W1342">
        <v>0</v>
      </c>
      <c r="X1342">
        <v>0</v>
      </c>
      <c r="Y1342">
        <v>0</v>
      </c>
      <c r="Z1342">
        <v>0</v>
      </c>
      <c r="AA1342">
        <v>0</v>
      </c>
      <c r="AB1342">
        <v>0</v>
      </c>
      <c r="AC1342">
        <v>0</v>
      </c>
      <c r="AD1342">
        <v>0</v>
      </c>
      <c r="AE1342">
        <v>0</v>
      </c>
      <c r="AF1342">
        <v>0</v>
      </c>
      <c r="AG1342">
        <v>0</v>
      </c>
      <c r="AH1342">
        <v>0</v>
      </c>
      <c r="AI1342">
        <v>0</v>
      </c>
      <c r="AJ1342">
        <v>0</v>
      </c>
      <c r="AK1342">
        <v>0</v>
      </c>
      <c r="AL1342">
        <v>1</v>
      </c>
      <c r="AM1342">
        <v>0</v>
      </c>
      <c r="AN1342">
        <v>1</v>
      </c>
    </row>
    <row r="1343" spans="1:40" x14ac:dyDescent="0.3">
      <c r="A1343" t="s">
        <v>381</v>
      </c>
      <c r="B1343" t="s">
        <v>81</v>
      </c>
      <c r="C1343" t="s">
        <v>10</v>
      </c>
      <c r="D1343" t="s">
        <v>11</v>
      </c>
      <c r="E1343">
        <v>202602</v>
      </c>
      <c r="F1343" t="s">
        <v>427</v>
      </c>
      <c r="G1343">
        <v>0</v>
      </c>
      <c r="H1343">
        <v>4</v>
      </c>
      <c r="I1343">
        <v>6</v>
      </c>
      <c r="J1343">
        <v>2</v>
      </c>
      <c r="K1343">
        <v>5</v>
      </c>
      <c r="L1343">
        <v>3</v>
      </c>
      <c r="M1343">
        <v>0</v>
      </c>
      <c r="N1343">
        <v>0</v>
      </c>
      <c r="O1343">
        <v>0</v>
      </c>
      <c r="P1343">
        <v>2</v>
      </c>
      <c r="Q1343">
        <v>2</v>
      </c>
      <c r="R1343">
        <v>0</v>
      </c>
      <c r="S1343">
        <v>0</v>
      </c>
      <c r="T1343">
        <v>0</v>
      </c>
      <c r="U1343">
        <v>0</v>
      </c>
      <c r="V1343">
        <v>0</v>
      </c>
      <c r="W1343">
        <v>0</v>
      </c>
      <c r="X1343">
        <v>0</v>
      </c>
      <c r="Y1343">
        <v>0</v>
      </c>
      <c r="Z1343">
        <v>0</v>
      </c>
      <c r="AA1343">
        <v>0</v>
      </c>
      <c r="AB1343">
        <v>0</v>
      </c>
      <c r="AC1343">
        <v>0</v>
      </c>
      <c r="AD1343">
        <v>0</v>
      </c>
      <c r="AE1343">
        <v>0</v>
      </c>
      <c r="AF1343">
        <v>0</v>
      </c>
      <c r="AG1343">
        <v>0</v>
      </c>
      <c r="AH1343">
        <v>0</v>
      </c>
      <c r="AI1343">
        <v>0</v>
      </c>
      <c r="AJ1343">
        <v>0</v>
      </c>
      <c r="AK1343">
        <v>0</v>
      </c>
      <c r="AL1343">
        <v>24</v>
      </c>
      <c r="AM1343">
        <v>1.3333333333333333</v>
      </c>
      <c r="AN1343">
        <v>42.418500559492443</v>
      </c>
    </row>
    <row r="1344" spans="1:40" x14ac:dyDescent="0.3">
      <c r="A1344" t="s">
        <v>381</v>
      </c>
      <c r="B1344" t="s">
        <v>81</v>
      </c>
      <c r="C1344" t="s">
        <v>10</v>
      </c>
      <c r="D1344" t="s">
        <v>11</v>
      </c>
      <c r="E1344">
        <v>202602</v>
      </c>
      <c r="F1344" t="s">
        <v>83</v>
      </c>
      <c r="G1344">
        <v>0</v>
      </c>
      <c r="H1344">
        <v>2</v>
      </c>
      <c r="I1344">
        <v>1</v>
      </c>
      <c r="J1344">
        <v>1</v>
      </c>
      <c r="K1344">
        <v>0</v>
      </c>
      <c r="L1344">
        <v>2</v>
      </c>
      <c r="M1344">
        <v>0</v>
      </c>
      <c r="N1344">
        <v>0</v>
      </c>
      <c r="O1344">
        <v>1</v>
      </c>
      <c r="P1344">
        <v>1</v>
      </c>
      <c r="Q1344">
        <v>0</v>
      </c>
      <c r="R1344">
        <v>0</v>
      </c>
      <c r="S1344">
        <v>0</v>
      </c>
      <c r="T1344">
        <v>0</v>
      </c>
      <c r="U1344">
        <v>0</v>
      </c>
      <c r="V1344">
        <v>0</v>
      </c>
      <c r="W1344">
        <v>0</v>
      </c>
      <c r="X1344">
        <v>0</v>
      </c>
      <c r="Y1344">
        <v>0</v>
      </c>
      <c r="Z1344">
        <v>0</v>
      </c>
      <c r="AA1344">
        <v>0</v>
      </c>
      <c r="AB1344">
        <v>0</v>
      </c>
      <c r="AC1344">
        <v>0</v>
      </c>
      <c r="AD1344">
        <v>0</v>
      </c>
      <c r="AE1344">
        <v>0</v>
      </c>
      <c r="AF1344">
        <v>0</v>
      </c>
      <c r="AG1344">
        <v>0</v>
      </c>
      <c r="AH1344">
        <v>0</v>
      </c>
      <c r="AI1344">
        <v>0</v>
      </c>
      <c r="AJ1344">
        <v>0</v>
      </c>
      <c r="AK1344">
        <v>0</v>
      </c>
      <c r="AL1344">
        <v>8</v>
      </c>
      <c r="AM1344">
        <v>0.66666666666666663</v>
      </c>
      <c r="AN1344">
        <v>17.209250279746222</v>
      </c>
    </row>
    <row r="1345" spans="1:40" x14ac:dyDescent="0.3">
      <c r="A1345" t="s">
        <v>381</v>
      </c>
      <c r="B1345" t="s">
        <v>81</v>
      </c>
      <c r="C1345" t="s">
        <v>10</v>
      </c>
      <c r="D1345" t="s">
        <v>11</v>
      </c>
      <c r="E1345">
        <v>202602</v>
      </c>
      <c r="F1345" t="s">
        <v>269</v>
      </c>
      <c r="G1345">
        <v>0</v>
      </c>
      <c r="H1345">
        <v>0</v>
      </c>
      <c r="I1345">
        <v>1</v>
      </c>
      <c r="J1345">
        <v>0</v>
      </c>
      <c r="K1345">
        <v>0</v>
      </c>
      <c r="L1345">
        <v>0</v>
      </c>
      <c r="M1345">
        <v>0</v>
      </c>
      <c r="N1345">
        <v>0</v>
      </c>
      <c r="O1345">
        <v>0</v>
      </c>
      <c r="P1345">
        <v>0</v>
      </c>
      <c r="Q1345">
        <v>0</v>
      </c>
      <c r="R1345">
        <v>0</v>
      </c>
      <c r="S1345">
        <v>0</v>
      </c>
      <c r="T1345">
        <v>0</v>
      </c>
      <c r="U1345">
        <v>0</v>
      </c>
      <c r="V1345">
        <v>0</v>
      </c>
      <c r="W1345">
        <v>0</v>
      </c>
      <c r="X1345">
        <v>0</v>
      </c>
      <c r="Y1345">
        <v>0</v>
      </c>
      <c r="Z1345">
        <v>0</v>
      </c>
      <c r="AA1345">
        <v>0</v>
      </c>
      <c r="AB1345">
        <v>0</v>
      </c>
      <c r="AC1345">
        <v>0</v>
      </c>
      <c r="AD1345">
        <v>0</v>
      </c>
      <c r="AE1345">
        <v>0</v>
      </c>
      <c r="AF1345">
        <v>0</v>
      </c>
      <c r="AG1345">
        <v>0</v>
      </c>
      <c r="AH1345">
        <v>0</v>
      </c>
      <c r="AI1345">
        <v>0</v>
      </c>
      <c r="AJ1345">
        <v>0</v>
      </c>
      <c r="AK1345">
        <v>0</v>
      </c>
      <c r="AL1345">
        <v>1</v>
      </c>
      <c r="AM1345">
        <v>0</v>
      </c>
      <c r="AN1345">
        <v>1</v>
      </c>
    </row>
    <row r="1346" spans="1:40" x14ac:dyDescent="0.3">
      <c r="A1346" t="s">
        <v>381</v>
      </c>
      <c r="B1346" t="s">
        <v>81</v>
      </c>
      <c r="C1346" t="s">
        <v>10</v>
      </c>
      <c r="D1346" t="s">
        <v>11</v>
      </c>
      <c r="E1346">
        <v>202602</v>
      </c>
      <c r="F1346" t="s">
        <v>428</v>
      </c>
      <c r="G1346">
        <v>0</v>
      </c>
      <c r="H1346">
        <v>0</v>
      </c>
      <c r="I1346">
        <v>1</v>
      </c>
      <c r="J1346">
        <v>1</v>
      </c>
      <c r="K1346">
        <v>0</v>
      </c>
      <c r="L1346">
        <v>1</v>
      </c>
      <c r="M1346">
        <v>0</v>
      </c>
      <c r="N1346">
        <v>0</v>
      </c>
      <c r="O1346">
        <v>0</v>
      </c>
      <c r="P1346">
        <v>1</v>
      </c>
      <c r="Q1346">
        <v>0</v>
      </c>
      <c r="R1346">
        <v>0</v>
      </c>
      <c r="S1346">
        <v>0</v>
      </c>
      <c r="T1346">
        <v>0</v>
      </c>
      <c r="U1346">
        <v>0</v>
      </c>
      <c r="V1346">
        <v>0</v>
      </c>
      <c r="W1346">
        <v>0</v>
      </c>
      <c r="X1346">
        <v>0</v>
      </c>
      <c r="Y1346">
        <v>0</v>
      </c>
      <c r="Z1346">
        <v>0</v>
      </c>
      <c r="AA1346">
        <v>0</v>
      </c>
      <c r="AB1346">
        <v>0</v>
      </c>
      <c r="AC1346">
        <v>0</v>
      </c>
      <c r="AD1346">
        <v>0</v>
      </c>
      <c r="AE1346">
        <v>0</v>
      </c>
      <c r="AF1346">
        <v>0</v>
      </c>
      <c r="AG1346">
        <v>0</v>
      </c>
      <c r="AH1346">
        <v>0</v>
      </c>
      <c r="AI1346">
        <v>0</v>
      </c>
      <c r="AJ1346">
        <v>0</v>
      </c>
      <c r="AK1346">
        <v>0</v>
      </c>
      <c r="AL1346">
        <v>4</v>
      </c>
      <c r="AM1346">
        <v>0.33333333333333331</v>
      </c>
      <c r="AN1346">
        <v>8.6046251398731108</v>
      </c>
    </row>
    <row r="1347" spans="1:40" x14ac:dyDescent="0.3">
      <c r="A1347" t="s">
        <v>381</v>
      </c>
      <c r="B1347" t="s">
        <v>81</v>
      </c>
      <c r="C1347" t="s">
        <v>10</v>
      </c>
      <c r="D1347" t="s">
        <v>11</v>
      </c>
      <c r="E1347">
        <v>202602</v>
      </c>
      <c r="F1347" t="s">
        <v>429</v>
      </c>
      <c r="G1347">
        <v>0</v>
      </c>
      <c r="H1347">
        <v>0</v>
      </c>
      <c r="I1347">
        <v>2</v>
      </c>
      <c r="J1347">
        <v>0</v>
      </c>
      <c r="K1347">
        <v>0</v>
      </c>
      <c r="L1347">
        <v>0</v>
      </c>
      <c r="M1347">
        <v>0</v>
      </c>
      <c r="N1347">
        <v>0</v>
      </c>
      <c r="O1347">
        <v>0</v>
      </c>
      <c r="P1347">
        <v>0</v>
      </c>
      <c r="Q1347">
        <v>0</v>
      </c>
      <c r="R1347">
        <v>0</v>
      </c>
      <c r="S1347">
        <v>0</v>
      </c>
      <c r="T1347">
        <v>0</v>
      </c>
      <c r="U1347">
        <v>0</v>
      </c>
      <c r="V1347">
        <v>0</v>
      </c>
      <c r="W1347">
        <v>0</v>
      </c>
      <c r="X1347">
        <v>0</v>
      </c>
      <c r="Y1347">
        <v>0</v>
      </c>
      <c r="Z1347">
        <v>0</v>
      </c>
      <c r="AA1347">
        <v>0</v>
      </c>
      <c r="AB1347">
        <v>0</v>
      </c>
      <c r="AC1347">
        <v>0</v>
      </c>
      <c r="AD1347">
        <v>0</v>
      </c>
      <c r="AE1347">
        <v>0</v>
      </c>
      <c r="AF1347">
        <v>0</v>
      </c>
      <c r="AG1347">
        <v>0</v>
      </c>
      <c r="AH1347">
        <v>0</v>
      </c>
      <c r="AI1347">
        <v>0</v>
      </c>
      <c r="AJ1347">
        <v>0</v>
      </c>
      <c r="AK1347">
        <v>0</v>
      </c>
      <c r="AL1347">
        <v>2</v>
      </c>
      <c r="AM1347">
        <v>0</v>
      </c>
      <c r="AN1347">
        <v>2</v>
      </c>
    </row>
    <row r="1348" spans="1:40" x14ac:dyDescent="0.3">
      <c r="A1348" t="s">
        <v>381</v>
      </c>
      <c r="B1348" t="s">
        <v>81</v>
      </c>
      <c r="C1348" t="s">
        <v>10</v>
      </c>
      <c r="D1348" t="s">
        <v>11</v>
      </c>
      <c r="E1348">
        <v>202602</v>
      </c>
      <c r="F1348" t="s">
        <v>430</v>
      </c>
      <c r="G1348">
        <v>0</v>
      </c>
      <c r="H1348">
        <v>0</v>
      </c>
      <c r="I1348">
        <v>0</v>
      </c>
      <c r="J1348">
        <v>0</v>
      </c>
      <c r="K1348">
        <v>0</v>
      </c>
      <c r="L1348">
        <v>1</v>
      </c>
      <c r="M1348">
        <v>0</v>
      </c>
      <c r="N1348">
        <v>0</v>
      </c>
      <c r="O1348">
        <v>0</v>
      </c>
      <c r="P1348">
        <v>0</v>
      </c>
      <c r="Q1348">
        <v>1</v>
      </c>
      <c r="R1348">
        <v>0</v>
      </c>
      <c r="S1348">
        <v>0</v>
      </c>
      <c r="T1348">
        <v>0</v>
      </c>
      <c r="U1348">
        <v>0</v>
      </c>
      <c r="V1348">
        <v>0</v>
      </c>
      <c r="W1348">
        <v>0</v>
      </c>
      <c r="X1348">
        <v>0</v>
      </c>
      <c r="Y1348">
        <v>0</v>
      </c>
      <c r="Z1348">
        <v>0</v>
      </c>
      <c r="AA1348">
        <v>0</v>
      </c>
      <c r="AB1348">
        <v>0</v>
      </c>
      <c r="AC1348">
        <v>0</v>
      </c>
      <c r="AD1348">
        <v>0</v>
      </c>
      <c r="AE1348">
        <v>0</v>
      </c>
      <c r="AF1348">
        <v>0</v>
      </c>
      <c r="AG1348">
        <v>0</v>
      </c>
      <c r="AH1348">
        <v>0</v>
      </c>
      <c r="AI1348">
        <v>0</v>
      </c>
      <c r="AJ1348">
        <v>0</v>
      </c>
      <c r="AK1348">
        <v>0</v>
      </c>
      <c r="AL1348">
        <v>2</v>
      </c>
      <c r="AM1348">
        <v>0.33333333333333331</v>
      </c>
      <c r="AN1348">
        <v>6.6046251398731117</v>
      </c>
    </row>
    <row r="1349" spans="1:40" x14ac:dyDescent="0.3">
      <c r="A1349" t="s">
        <v>381</v>
      </c>
      <c r="B1349" t="s">
        <v>81</v>
      </c>
      <c r="C1349" t="s">
        <v>10</v>
      </c>
      <c r="D1349" t="s">
        <v>11</v>
      </c>
      <c r="E1349">
        <v>202602</v>
      </c>
      <c r="F1349" t="s">
        <v>431</v>
      </c>
      <c r="G1349">
        <v>0</v>
      </c>
      <c r="H1349">
        <v>0</v>
      </c>
      <c r="I1349">
        <v>1</v>
      </c>
      <c r="J1349">
        <v>0</v>
      </c>
      <c r="K1349">
        <v>3</v>
      </c>
      <c r="L1349">
        <v>0</v>
      </c>
      <c r="M1349">
        <v>0</v>
      </c>
      <c r="N1349">
        <v>0</v>
      </c>
      <c r="O1349">
        <v>0</v>
      </c>
      <c r="P1349">
        <v>1</v>
      </c>
      <c r="Q1349">
        <v>2</v>
      </c>
      <c r="R1349">
        <v>0</v>
      </c>
      <c r="S1349">
        <v>0</v>
      </c>
      <c r="T1349">
        <v>0</v>
      </c>
      <c r="U1349">
        <v>0</v>
      </c>
      <c r="V1349">
        <v>0</v>
      </c>
      <c r="W1349">
        <v>0</v>
      </c>
      <c r="X1349">
        <v>0</v>
      </c>
      <c r="Y1349">
        <v>0</v>
      </c>
      <c r="Z1349">
        <v>0</v>
      </c>
      <c r="AA1349">
        <v>0</v>
      </c>
      <c r="AB1349">
        <v>0</v>
      </c>
      <c r="AC1349">
        <v>0</v>
      </c>
      <c r="AD1349">
        <v>0</v>
      </c>
      <c r="AE1349">
        <v>0</v>
      </c>
      <c r="AF1349">
        <v>0</v>
      </c>
      <c r="AG1349">
        <v>0</v>
      </c>
      <c r="AH1349">
        <v>0</v>
      </c>
      <c r="AI1349">
        <v>0</v>
      </c>
      <c r="AJ1349">
        <v>0</v>
      </c>
      <c r="AK1349">
        <v>0</v>
      </c>
      <c r="AL1349">
        <v>7</v>
      </c>
      <c r="AM1349">
        <v>1</v>
      </c>
      <c r="AN1349">
        <v>20.813875419619336</v>
      </c>
    </row>
    <row r="1350" spans="1:40" x14ac:dyDescent="0.3">
      <c r="A1350" t="s">
        <v>381</v>
      </c>
      <c r="B1350" t="s">
        <v>81</v>
      </c>
      <c r="C1350" t="s">
        <v>10</v>
      </c>
      <c r="D1350" t="s">
        <v>11</v>
      </c>
      <c r="E1350">
        <v>202602</v>
      </c>
      <c r="F1350" t="s">
        <v>432</v>
      </c>
      <c r="G1350">
        <v>0</v>
      </c>
      <c r="H1350">
        <v>0</v>
      </c>
      <c r="I1350">
        <v>0</v>
      </c>
      <c r="J1350">
        <v>0</v>
      </c>
      <c r="K1350">
        <v>3</v>
      </c>
      <c r="L1350">
        <v>1</v>
      </c>
      <c r="M1350">
        <v>0</v>
      </c>
      <c r="N1350">
        <v>0</v>
      </c>
      <c r="O1350">
        <v>1</v>
      </c>
      <c r="P1350">
        <v>0</v>
      </c>
      <c r="Q1350">
        <v>1</v>
      </c>
      <c r="R1350">
        <v>0</v>
      </c>
      <c r="S1350">
        <v>0</v>
      </c>
      <c r="T1350">
        <v>0</v>
      </c>
      <c r="U1350">
        <v>0</v>
      </c>
      <c r="V1350">
        <v>0</v>
      </c>
      <c r="W1350">
        <v>0</v>
      </c>
      <c r="X1350">
        <v>0</v>
      </c>
      <c r="Y1350">
        <v>0</v>
      </c>
      <c r="Z1350">
        <v>0</v>
      </c>
      <c r="AA1350">
        <v>0</v>
      </c>
      <c r="AB1350">
        <v>0</v>
      </c>
      <c r="AC1350">
        <v>0</v>
      </c>
      <c r="AD1350">
        <v>0</v>
      </c>
      <c r="AE1350">
        <v>0</v>
      </c>
      <c r="AF1350">
        <v>0</v>
      </c>
      <c r="AG1350">
        <v>0</v>
      </c>
      <c r="AH1350">
        <v>0</v>
      </c>
      <c r="AI1350">
        <v>0</v>
      </c>
      <c r="AJ1350">
        <v>0</v>
      </c>
      <c r="AK1350">
        <v>0</v>
      </c>
      <c r="AL1350">
        <v>6</v>
      </c>
      <c r="AM1350">
        <v>0.66666666666666663</v>
      </c>
      <c r="AN1350">
        <v>15.209250279746223</v>
      </c>
    </row>
    <row r="1351" spans="1:40" x14ac:dyDescent="0.3">
      <c r="A1351" t="s">
        <v>381</v>
      </c>
      <c r="B1351" t="s">
        <v>81</v>
      </c>
      <c r="C1351" t="s">
        <v>10</v>
      </c>
      <c r="D1351" t="s">
        <v>14</v>
      </c>
      <c r="E1351">
        <v>202602</v>
      </c>
      <c r="F1351" t="s">
        <v>427</v>
      </c>
      <c r="G1351">
        <v>1</v>
      </c>
      <c r="H1351">
        <v>6</v>
      </c>
      <c r="I1351">
        <v>3</v>
      </c>
      <c r="J1351">
        <v>6</v>
      </c>
      <c r="K1351">
        <v>2</v>
      </c>
      <c r="L1351">
        <v>3</v>
      </c>
      <c r="M1351">
        <v>2</v>
      </c>
      <c r="N1351">
        <v>0</v>
      </c>
      <c r="O1351">
        <v>4</v>
      </c>
      <c r="P1351">
        <v>1</v>
      </c>
      <c r="Q1351">
        <v>4</v>
      </c>
      <c r="R1351">
        <v>0</v>
      </c>
      <c r="S1351">
        <v>0</v>
      </c>
      <c r="T1351">
        <v>0</v>
      </c>
      <c r="U1351">
        <v>0</v>
      </c>
      <c r="V1351">
        <v>0</v>
      </c>
      <c r="W1351">
        <v>0</v>
      </c>
      <c r="X1351">
        <v>0</v>
      </c>
      <c r="Y1351">
        <v>0</v>
      </c>
      <c r="Z1351">
        <v>0</v>
      </c>
      <c r="AA1351">
        <v>0</v>
      </c>
      <c r="AB1351">
        <v>0</v>
      </c>
      <c r="AC1351">
        <v>0</v>
      </c>
      <c r="AD1351">
        <v>0</v>
      </c>
      <c r="AE1351">
        <v>0</v>
      </c>
      <c r="AF1351">
        <v>0</v>
      </c>
      <c r="AG1351">
        <v>0</v>
      </c>
      <c r="AH1351">
        <v>0</v>
      </c>
      <c r="AI1351">
        <v>0</v>
      </c>
      <c r="AJ1351">
        <v>0</v>
      </c>
      <c r="AK1351">
        <v>0</v>
      </c>
      <c r="AL1351">
        <v>32</v>
      </c>
      <c r="AM1351">
        <v>3</v>
      </c>
      <c r="AN1351">
        <v>68.375669642857517</v>
      </c>
    </row>
    <row r="1352" spans="1:40" x14ac:dyDescent="0.3">
      <c r="A1352" t="s">
        <v>381</v>
      </c>
      <c r="B1352" t="s">
        <v>81</v>
      </c>
      <c r="C1352" t="s">
        <v>10</v>
      </c>
      <c r="D1352" t="s">
        <v>14</v>
      </c>
      <c r="E1352">
        <v>202602</v>
      </c>
      <c r="F1352" t="s">
        <v>83</v>
      </c>
      <c r="G1352">
        <v>0</v>
      </c>
      <c r="H1352">
        <v>3</v>
      </c>
      <c r="I1352">
        <v>1</v>
      </c>
      <c r="J1352">
        <v>1</v>
      </c>
      <c r="K1352">
        <v>1</v>
      </c>
      <c r="L1352">
        <v>1</v>
      </c>
      <c r="M1352">
        <v>0</v>
      </c>
      <c r="N1352">
        <v>0</v>
      </c>
      <c r="O1352">
        <v>1</v>
      </c>
      <c r="P1352">
        <v>2</v>
      </c>
      <c r="Q1352">
        <v>0</v>
      </c>
      <c r="R1352">
        <v>0</v>
      </c>
      <c r="S1352">
        <v>0</v>
      </c>
      <c r="T1352">
        <v>0</v>
      </c>
      <c r="U1352">
        <v>0</v>
      </c>
      <c r="V1352">
        <v>0</v>
      </c>
      <c r="W1352">
        <v>0</v>
      </c>
      <c r="X1352">
        <v>0</v>
      </c>
      <c r="Y1352">
        <v>0</v>
      </c>
      <c r="Z1352">
        <v>0</v>
      </c>
      <c r="AA1352">
        <v>0</v>
      </c>
      <c r="AB1352">
        <v>0</v>
      </c>
      <c r="AC1352">
        <v>0</v>
      </c>
      <c r="AD1352">
        <v>0</v>
      </c>
      <c r="AE1352">
        <v>0</v>
      </c>
      <c r="AF1352">
        <v>0</v>
      </c>
      <c r="AG1352">
        <v>0</v>
      </c>
      <c r="AH1352">
        <v>0</v>
      </c>
      <c r="AI1352">
        <v>0</v>
      </c>
      <c r="AJ1352">
        <v>0</v>
      </c>
      <c r="AK1352">
        <v>0</v>
      </c>
      <c r="AL1352">
        <v>10</v>
      </c>
      <c r="AM1352">
        <v>1</v>
      </c>
      <c r="AN1352">
        <v>22.125223214285839</v>
      </c>
    </row>
    <row r="1353" spans="1:40" x14ac:dyDescent="0.3">
      <c r="A1353" t="s">
        <v>381</v>
      </c>
      <c r="B1353" t="s">
        <v>81</v>
      </c>
      <c r="C1353" t="s">
        <v>10</v>
      </c>
      <c r="D1353" t="s">
        <v>14</v>
      </c>
      <c r="E1353">
        <v>202602</v>
      </c>
      <c r="F1353" t="s">
        <v>269</v>
      </c>
      <c r="G1353">
        <v>0</v>
      </c>
      <c r="H1353">
        <v>0</v>
      </c>
      <c r="I1353">
        <v>0</v>
      </c>
      <c r="J1353">
        <v>0</v>
      </c>
      <c r="K1353">
        <v>0</v>
      </c>
      <c r="L1353">
        <v>0</v>
      </c>
      <c r="M1353">
        <v>0</v>
      </c>
      <c r="N1353">
        <v>0</v>
      </c>
      <c r="O1353">
        <v>0</v>
      </c>
      <c r="P1353">
        <v>1</v>
      </c>
      <c r="Q1353">
        <v>1</v>
      </c>
      <c r="R1353">
        <v>0</v>
      </c>
      <c r="S1353">
        <v>0</v>
      </c>
      <c r="T1353">
        <v>0</v>
      </c>
      <c r="U1353">
        <v>0</v>
      </c>
      <c r="V1353">
        <v>0</v>
      </c>
      <c r="W1353">
        <v>0</v>
      </c>
      <c r="X1353">
        <v>0</v>
      </c>
      <c r="Y1353">
        <v>0</v>
      </c>
      <c r="Z1353">
        <v>0</v>
      </c>
      <c r="AA1353">
        <v>0</v>
      </c>
      <c r="AB1353">
        <v>0</v>
      </c>
      <c r="AC1353">
        <v>0</v>
      </c>
      <c r="AD1353">
        <v>0</v>
      </c>
      <c r="AE1353">
        <v>0</v>
      </c>
      <c r="AF1353">
        <v>0</v>
      </c>
      <c r="AG1353">
        <v>0</v>
      </c>
      <c r="AH1353">
        <v>0</v>
      </c>
      <c r="AI1353">
        <v>0</v>
      </c>
      <c r="AJ1353">
        <v>0</v>
      </c>
      <c r="AK1353">
        <v>0</v>
      </c>
      <c r="AL1353">
        <v>2</v>
      </c>
      <c r="AM1353">
        <v>0.66666666666666663</v>
      </c>
      <c r="AN1353">
        <v>10.083482142857227</v>
      </c>
    </row>
    <row r="1354" spans="1:40" x14ac:dyDescent="0.3">
      <c r="A1354" t="s">
        <v>381</v>
      </c>
      <c r="B1354" t="s">
        <v>81</v>
      </c>
      <c r="C1354" t="s">
        <v>10</v>
      </c>
      <c r="D1354" t="s">
        <v>14</v>
      </c>
      <c r="E1354">
        <v>202602</v>
      </c>
      <c r="F1354" t="s">
        <v>428</v>
      </c>
      <c r="G1354">
        <v>0</v>
      </c>
      <c r="H1354">
        <v>0</v>
      </c>
      <c r="I1354">
        <v>1</v>
      </c>
      <c r="J1354">
        <v>2</v>
      </c>
      <c r="K1354">
        <v>2</v>
      </c>
      <c r="L1354">
        <v>1</v>
      </c>
      <c r="M1354">
        <v>0</v>
      </c>
      <c r="N1354">
        <v>0</v>
      </c>
      <c r="O1354">
        <v>1</v>
      </c>
      <c r="P1354">
        <v>1</v>
      </c>
      <c r="Q1354">
        <v>4</v>
      </c>
      <c r="R1354">
        <v>0</v>
      </c>
      <c r="S1354">
        <v>0</v>
      </c>
      <c r="T1354">
        <v>0</v>
      </c>
      <c r="U1354">
        <v>0</v>
      </c>
      <c r="V1354">
        <v>0</v>
      </c>
      <c r="W1354">
        <v>0</v>
      </c>
      <c r="X1354">
        <v>0</v>
      </c>
      <c r="Y1354">
        <v>0</v>
      </c>
      <c r="Z1354">
        <v>0</v>
      </c>
      <c r="AA1354">
        <v>0</v>
      </c>
      <c r="AB1354">
        <v>0</v>
      </c>
      <c r="AC1354">
        <v>0</v>
      </c>
      <c r="AD1354">
        <v>0</v>
      </c>
      <c r="AE1354">
        <v>0</v>
      </c>
      <c r="AF1354">
        <v>0</v>
      </c>
      <c r="AG1354">
        <v>0</v>
      </c>
      <c r="AH1354">
        <v>0</v>
      </c>
      <c r="AI1354">
        <v>0</v>
      </c>
      <c r="AJ1354">
        <v>0</v>
      </c>
      <c r="AK1354">
        <v>0</v>
      </c>
      <c r="AL1354">
        <v>12</v>
      </c>
      <c r="AM1354">
        <v>2</v>
      </c>
      <c r="AN1354">
        <v>36.250446428571678</v>
      </c>
    </row>
    <row r="1355" spans="1:40" x14ac:dyDescent="0.3">
      <c r="A1355" t="s">
        <v>381</v>
      </c>
      <c r="B1355" t="s">
        <v>81</v>
      </c>
      <c r="C1355" t="s">
        <v>10</v>
      </c>
      <c r="D1355" t="s">
        <v>14</v>
      </c>
      <c r="E1355">
        <v>202602</v>
      </c>
      <c r="F1355" t="s">
        <v>430</v>
      </c>
      <c r="G1355">
        <v>0</v>
      </c>
      <c r="H1355">
        <v>0</v>
      </c>
      <c r="I1355">
        <v>0</v>
      </c>
      <c r="J1355">
        <v>1</v>
      </c>
      <c r="K1355">
        <v>0</v>
      </c>
      <c r="L1355">
        <v>0</v>
      </c>
      <c r="M1355">
        <v>0</v>
      </c>
      <c r="N1355">
        <v>0</v>
      </c>
      <c r="O1355">
        <v>1</v>
      </c>
      <c r="P1355">
        <v>0</v>
      </c>
      <c r="Q1355">
        <v>0</v>
      </c>
      <c r="R1355">
        <v>0</v>
      </c>
      <c r="S1355">
        <v>0</v>
      </c>
      <c r="T1355">
        <v>0</v>
      </c>
      <c r="U1355">
        <v>0</v>
      </c>
      <c r="V1355">
        <v>0</v>
      </c>
      <c r="W1355">
        <v>0</v>
      </c>
      <c r="X1355">
        <v>0</v>
      </c>
      <c r="Y1355">
        <v>0</v>
      </c>
      <c r="Z1355">
        <v>0</v>
      </c>
      <c r="AA1355">
        <v>0</v>
      </c>
      <c r="AB1355">
        <v>0</v>
      </c>
      <c r="AC1355">
        <v>0</v>
      </c>
      <c r="AD1355">
        <v>0</v>
      </c>
      <c r="AE1355">
        <v>0</v>
      </c>
      <c r="AF1355">
        <v>0</v>
      </c>
      <c r="AG1355">
        <v>0</v>
      </c>
      <c r="AH1355">
        <v>0</v>
      </c>
      <c r="AI1355">
        <v>0</v>
      </c>
      <c r="AJ1355">
        <v>0</v>
      </c>
      <c r="AK1355">
        <v>0</v>
      </c>
      <c r="AL1355">
        <v>2</v>
      </c>
      <c r="AM1355">
        <v>0.33333333333333331</v>
      </c>
      <c r="AN1355">
        <v>6.0417410714286133</v>
      </c>
    </row>
    <row r="1356" spans="1:40" x14ac:dyDescent="0.3">
      <c r="A1356" t="s">
        <v>381</v>
      </c>
      <c r="B1356" t="s">
        <v>81</v>
      </c>
      <c r="C1356" t="s">
        <v>10</v>
      </c>
      <c r="D1356" t="s">
        <v>14</v>
      </c>
      <c r="E1356">
        <v>202602</v>
      </c>
      <c r="F1356" t="s">
        <v>431</v>
      </c>
      <c r="G1356">
        <v>0</v>
      </c>
      <c r="H1356">
        <v>0</v>
      </c>
      <c r="I1356">
        <v>3</v>
      </c>
      <c r="J1356">
        <v>0</v>
      </c>
      <c r="K1356">
        <v>0</v>
      </c>
      <c r="L1356">
        <v>2</v>
      </c>
      <c r="M1356">
        <v>0</v>
      </c>
      <c r="N1356">
        <v>0</v>
      </c>
      <c r="O1356">
        <v>3</v>
      </c>
      <c r="P1356">
        <v>1</v>
      </c>
      <c r="Q1356">
        <v>0</v>
      </c>
      <c r="R1356">
        <v>0</v>
      </c>
      <c r="S1356">
        <v>0</v>
      </c>
      <c r="T1356">
        <v>0</v>
      </c>
      <c r="U1356">
        <v>0</v>
      </c>
      <c r="V1356">
        <v>0</v>
      </c>
      <c r="W1356">
        <v>0</v>
      </c>
      <c r="X1356">
        <v>0</v>
      </c>
      <c r="Y1356">
        <v>0</v>
      </c>
      <c r="Z1356">
        <v>0</v>
      </c>
      <c r="AA1356">
        <v>0</v>
      </c>
      <c r="AB1356">
        <v>0</v>
      </c>
      <c r="AC1356">
        <v>0</v>
      </c>
      <c r="AD1356">
        <v>0</v>
      </c>
      <c r="AE1356">
        <v>0</v>
      </c>
      <c r="AF1356">
        <v>0</v>
      </c>
      <c r="AG1356">
        <v>0</v>
      </c>
      <c r="AH1356">
        <v>0</v>
      </c>
      <c r="AI1356">
        <v>0</v>
      </c>
      <c r="AJ1356">
        <v>0</v>
      </c>
      <c r="AK1356">
        <v>0</v>
      </c>
      <c r="AL1356">
        <v>9</v>
      </c>
      <c r="AM1356">
        <v>1.3333333333333333</v>
      </c>
      <c r="AN1356">
        <v>25.166964285714453</v>
      </c>
    </row>
    <row r="1357" spans="1:40" x14ac:dyDescent="0.3">
      <c r="A1357" t="s">
        <v>381</v>
      </c>
      <c r="B1357" t="s">
        <v>81</v>
      </c>
      <c r="C1357" t="s">
        <v>10</v>
      </c>
      <c r="D1357" t="s">
        <v>14</v>
      </c>
      <c r="E1357">
        <v>202602</v>
      </c>
      <c r="F1357" t="s">
        <v>432</v>
      </c>
      <c r="G1357">
        <v>0</v>
      </c>
      <c r="H1357">
        <v>2</v>
      </c>
      <c r="I1357">
        <v>1</v>
      </c>
      <c r="J1357">
        <v>2</v>
      </c>
      <c r="K1357">
        <v>2</v>
      </c>
      <c r="L1357">
        <v>1</v>
      </c>
      <c r="M1357">
        <v>0</v>
      </c>
      <c r="N1357">
        <v>0</v>
      </c>
      <c r="O1357">
        <v>0</v>
      </c>
      <c r="P1357">
        <v>2</v>
      </c>
      <c r="Q1357">
        <v>0</v>
      </c>
      <c r="R1357">
        <v>0</v>
      </c>
      <c r="S1357">
        <v>0</v>
      </c>
      <c r="T1357">
        <v>0</v>
      </c>
      <c r="U1357">
        <v>0</v>
      </c>
      <c r="V1357">
        <v>0</v>
      </c>
      <c r="W1357">
        <v>0</v>
      </c>
      <c r="X1357">
        <v>0</v>
      </c>
      <c r="Y1357">
        <v>0</v>
      </c>
      <c r="Z1357">
        <v>0</v>
      </c>
      <c r="AA1357">
        <v>0</v>
      </c>
      <c r="AB1357">
        <v>0</v>
      </c>
      <c r="AC1357">
        <v>0</v>
      </c>
      <c r="AD1357">
        <v>0</v>
      </c>
      <c r="AE1357">
        <v>0</v>
      </c>
      <c r="AF1357">
        <v>0</v>
      </c>
      <c r="AG1357">
        <v>0</v>
      </c>
      <c r="AH1357">
        <v>0</v>
      </c>
      <c r="AI1357">
        <v>0</v>
      </c>
      <c r="AJ1357">
        <v>0</v>
      </c>
      <c r="AK1357">
        <v>0</v>
      </c>
      <c r="AL1357">
        <v>10</v>
      </c>
      <c r="AM1357">
        <v>0.66666666666666663</v>
      </c>
      <c r="AN1357">
        <v>18.083482142857228</v>
      </c>
    </row>
    <row r="1358" spans="1:40" x14ac:dyDescent="0.3">
      <c r="A1358" t="s">
        <v>381</v>
      </c>
      <c r="B1358" t="s">
        <v>81</v>
      </c>
      <c r="C1358" t="s">
        <v>16</v>
      </c>
      <c r="D1358" t="s">
        <v>11</v>
      </c>
      <c r="E1358">
        <v>202602</v>
      </c>
      <c r="F1358" t="s">
        <v>83</v>
      </c>
      <c r="G1358">
        <v>0</v>
      </c>
      <c r="H1358">
        <v>0</v>
      </c>
      <c r="I1358">
        <v>0</v>
      </c>
      <c r="J1358">
        <v>0</v>
      </c>
      <c r="K1358">
        <v>1</v>
      </c>
      <c r="L1358">
        <v>0</v>
      </c>
      <c r="M1358">
        <v>0</v>
      </c>
      <c r="N1358">
        <v>0</v>
      </c>
      <c r="O1358">
        <v>0</v>
      </c>
      <c r="P1358">
        <v>0</v>
      </c>
      <c r="Q1358">
        <v>0</v>
      </c>
      <c r="R1358">
        <v>0</v>
      </c>
      <c r="S1358">
        <v>0</v>
      </c>
      <c r="T1358">
        <v>0</v>
      </c>
      <c r="U1358">
        <v>0</v>
      </c>
      <c r="V1358">
        <v>0</v>
      </c>
      <c r="W1358">
        <v>0</v>
      </c>
      <c r="X1358">
        <v>0</v>
      </c>
      <c r="Y1358">
        <v>0</v>
      </c>
      <c r="Z1358">
        <v>0</v>
      </c>
      <c r="AA1358">
        <v>0</v>
      </c>
      <c r="AB1358">
        <v>0</v>
      </c>
      <c r="AC1358">
        <v>0</v>
      </c>
      <c r="AD1358">
        <v>0</v>
      </c>
      <c r="AE1358">
        <v>0</v>
      </c>
      <c r="AF1358">
        <v>0</v>
      </c>
      <c r="AG1358">
        <v>0</v>
      </c>
      <c r="AH1358">
        <v>0</v>
      </c>
      <c r="AI1358">
        <v>0</v>
      </c>
      <c r="AJ1358">
        <v>0</v>
      </c>
      <c r="AK1358">
        <v>0</v>
      </c>
      <c r="AL1358">
        <v>1</v>
      </c>
      <c r="AM1358">
        <v>0</v>
      </c>
      <c r="AN1358">
        <v>1</v>
      </c>
    </row>
    <row r="1359" spans="1:40" x14ac:dyDescent="0.3">
      <c r="A1359" t="s">
        <v>381</v>
      </c>
      <c r="B1359" t="s">
        <v>81</v>
      </c>
      <c r="C1359" t="s">
        <v>16</v>
      </c>
      <c r="D1359" t="s">
        <v>11</v>
      </c>
      <c r="E1359">
        <v>202602</v>
      </c>
      <c r="F1359" t="s">
        <v>431</v>
      </c>
      <c r="G1359">
        <v>0</v>
      </c>
      <c r="H1359">
        <v>0</v>
      </c>
      <c r="I1359">
        <v>0</v>
      </c>
      <c r="J1359">
        <v>0</v>
      </c>
      <c r="K1359">
        <v>0</v>
      </c>
      <c r="L1359">
        <v>0</v>
      </c>
      <c r="M1359">
        <v>0</v>
      </c>
      <c r="N1359">
        <v>0</v>
      </c>
      <c r="O1359">
        <v>0</v>
      </c>
      <c r="P1359">
        <v>1</v>
      </c>
      <c r="Q1359">
        <v>0</v>
      </c>
      <c r="R1359">
        <v>0</v>
      </c>
      <c r="S1359">
        <v>0</v>
      </c>
      <c r="T1359">
        <v>0</v>
      </c>
      <c r="U1359">
        <v>0</v>
      </c>
      <c r="V1359">
        <v>0</v>
      </c>
      <c r="W1359">
        <v>0</v>
      </c>
      <c r="X1359">
        <v>0</v>
      </c>
      <c r="Y1359">
        <v>0</v>
      </c>
      <c r="Z1359">
        <v>0</v>
      </c>
      <c r="AA1359">
        <v>0</v>
      </c>
      <c r="AB1359">
        <v>0</v>
      </c>
      <c r="AC1359">
        <v>0</v>
      </c>
      <c r="AD1359">
        <v>0</v>
      </c>
      <c r="AE1359">
        <v>0</v>
      </c>
      <c r="AF1359">
        <v>0</v>
      </c>
      <c r="AG1359">
        <v>0</v>
      </c>
      <c r="AH1359">
        <v>0</v>
      </c>
      <c r="AI1359">
        <v>0</v>
      </c>
      <c r="AJ1359">
        <v>0</v>
      </c>
      <c r="AK1359">
        <v>0</v>
      </c>
      <c r="AL1359">
        <v>1</v>
      </c>
      <c r="AM1359">
        <v>0.33333333333333331</v>
      </c>
      <c r="AN1359">
        <v>5.6046251398731117</v>
      </c>
    </row>
    <row r="1360" spans="1:40" x14ac:dyDescent="0.3">
      <c r="A1360" t="s">
        <v>381</v>
      </c>
      <c r="B1360" t="s">
        <v>81</v>
      </c>
      <c r="C1360" t="s">
        <v>16</v>
      </c>
      <c r="D1360" t="s">
        <v>14</v>
      </c>
      <c r="E1360">
        <v>202602</v>
      </c>
      <c r="F1360" t="s">
        <v>83</v>
      </c>
      <c r="G1360">
        <v>0</v>
      </c>
      <c r="H1360">
        <v>0</v>
      </c>
      <c r="I1360">
        <v>0</v>
      </c>
      <c r="J1360">
        <v>0</v>
      </c>
      <c r="K1360">
        <v>1</v>
      </c>
      <c r="L1360">
        <v>0</v>
      </c>
      <c r="M1360">
        <v>0</v>
      </c>
      <c r="N1360">
        <v>0</v>
      </c>
      <c r="O1360">
        <v>0</v>
      </c>
      <c r="P1360">
        <v>0</v>
      </c>
      <c r="Q1360">
        <v>0</v>
      </c>
      <c r="R1360">
        <v>0</v>
      </c>
      <c r="S1360">
        <v>0</v>
      </c>
      <c r="T1360">
        <v>0</v>
      </c>
      <c r="U1360">
        <v>0</v>
      </c>
      <c r="V1360">
        <v>0</v>
      </c>
      <c r="W1360">
        <v>0</v>
      </c>
      <c r="X1360">
        <v>0</v>
      </c>
      <c r="Y1360">
        <v>0</v>
      </c>
      <c r="Z1360">
        <v>0</v>
      </c>
      <c r="AA1360">
        <v>0</v>
      </c>
      <c r="AB1360">
        <v>0</v>
      </c>
      <c r="AC1360">
        <v>0</v>
      </c>
      <c r="AD1360">
        <v>0</v>
      </c>
      <c r="AE1360">
        <v>0</v>
      </c>
      <c r="AF1360">
        <v>0</v>
      </c>
      <c r="AG1360">
        <v>0</v>
      </c>
      <c r="AH1360">
        <v>0</v>
      </c>
      <c r="AI1360">
        <v>0</v>
      </c>
      <c r="AJ1360">
        <v>0</v>
      </c>
      <c r="AK1360">
        <v>0</v>
      </c>
      <c r="AL1360">
        <v>1</v>
      </c>
      <c r="AM1360">
        <v>0</v>
      </c>
      <c r="AN1360">
        <v>1</v>
      </c>
    </row>
    <row r="1361" spans="1:40" x14ac:dyDescent="0.3">
      <c r="A1361" t="s">
        <v>381</v>
      </c>
      <c r="B1361" t="s">
        <v>81</v>
      </c>
      <c r="C1361" t="s">
        <v>16</v>
      </c>
      <c r="D1361" t="s">
        <v>14</v>
      </c>
      <c r="E1361">
        <v>202602</v>
      </c>
      <c r="F1361" t="s">
        <v>431</v>
      </c>
      <c r="G1361">
        <v>0</v>
      </c>
      <c r="H1361">
        <v>0</v>
      </c>
      <c r="I1361">
        <v>0</v>
      </c>
      <c r="J1361">
        <v>0</v>
      </c>
      <c r="K1361">
        <v>0</v>
      </c>
      <c r="L1361">
        <v>1</v>
      </c>
      <c r="M1361">
        <v>0</v>
      </c>
      <c r="N1361">
        <v>0</v>
      </c>
      <c r="O1361">
        <v>0</v>
      </c>
      <c r="P1361">
        <v>0</v>
      </c>
      <c r="Q1361">
        <v>0</v>
      </c>
      <c r="R1361">
        <v>0</v>
      </c>
      <c r="S1361">
        <v>0</v>
      </c>
      <c r="T1361">
        <v>0</v>
      </c>
      <c r="U1361">
        <v>0</v>
      </c>
      <c r="V1361">
        <v>0</v>
      </c>
      <c r="W1361">
        <v>0</v>
      </c>
      <c r="X1361">
        <v>0</v>
      </c>
      <c r="Y1361">
        <v>0</v>
      </c>
      <c r="Z1361">
        <v>0</v>
      </c>
      <c r="AA1361">
        <v>0</v>
      </c>
      <c r="AB1361">
        <v>0</v>
      </c>
      <c r="AC1361">
        <v>0</v>
      </c>
      <c r="AD1361">
        <v>0</v>
      </c>
      <c r="AE1361">
        <v>0</v>
      </c>
      <c r="AF1361">
        <v>0</v>
      </c>
      <c r="AG1361">
        <v>0</v>
      </c>
      <c r="AH1361">
        <v>0</v>
      </c>
      <c r="AI1361">
        <v>0</v>
      </c>
      <c r="AJ1361">
        <v>0</v>
      </c>
      <c r="AK1361">
        <v>0</v>
      </c>
      <c r="AL1361">
        <v>1</v>
      </c>
      <c r="AM1361">
        <v>0</v>
      </c>
      <c r="AN1361">
        <v>1</v>
      </c>
    </row>
    <row r="1362" spans="1:40" x14ac:dyDescent="0.3">
      <c r="A1362" t="s">
        <v>381</v>
      </c>
      <c r="B1362" t="s">
        <v>100</v>
      </c>
      <c r="C1362" t="s">
        <v>10</v>
      </c>
      <c r="D1362" t="s">
        <v>11</v>
      </c>
      <c r="E1362">
        <v>202602</v>
      </c>
      <c r="F1362" t="s">
        <v>42</v>
      </c>
      <c r="G1362">
        <v>0</v>
      </c>
      <c r="H1362">
        <v>0</v>
      </c>
      <c r="I1362">
        <v>0</v>
      </c>
      <c r="J1362">
        <v>0</v>
      </c>
      <c r="K1362">
        <v>0</v>
      </c>
      <c r="L1362">
        <v>0</v>
      </c>
      <c r="M1362">
        <v>1</v>
      </c>
      <c r="N1362">
        <v>0</v>
      </c>
      <c r="O1362">
        <v>0</v>
      </c>
      <c r="P1362">
        <v>0</v>
      </c>
      <c r="Q1362">
        <v>0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0</v>
      </c>
      <c r="X1362">
        <v>0</v>
      </c>
      <c r="Y1362">
        <v>0</v>
      </c>
      <c r="Z1362">
        <v>0</v>
      </c>
      <c r="AA1362">
        <v>0</v>
      </c>
      <c r="AB1362">
        <v>0</v>
      </c>
      <c r="AC1362">
        <v>0</v>
      </c>
      <c r="AD1362">
        <v>0</v>
      </c>
      <c r="AE1362">
        <v>0</v>
      </c>
      <c r="AF1362">
        <v>0</v>
      </c>
      <c r="AG1362">
        <v>0</v>
      </c>
      <c r="AH1362">
        <v>0</v>
      </c>
      <c r="AI1362">
        <v>0</v>
      </c>
      <c r="AJ1362">
        <v>0</v>
      </c>
      <c r="AK1362">
        <v>0</v>
      </c>
      <c r="AL1362">
        <v>1</v>
      </c>
      <c r="AM1362">
        <v>0</v>
      </c>
      <c r="AN1362">
        <v>1</v>
      </c>
    </row>
    <row r="1363" spans="1:40" x14ac:dyDescent="0.3">
      <c r="A1363" t="s">
        <v>381</v>
      </c>
      <c r="B1363" t="s">
        <v>100</v>
      </c>
      <c r="C1363" t="s">
        <v>10</v>
      </c>
      <c r="D1363" t="s">
        <v>14</v>
      </c>
      <c r="E1363">
        <v>202602</v>
      </c>
      <c r="F1363" t="s">
        <v>42</v>
      </c>
      <c r="G1363">
        <v>0</v>
      </c>
      <c r="H1363">
        <v>0</v>
      </c>
      <c r="I1363">
        <v>0</v>
      </c>
      <c r="J1363">
        <v>0</v>
      </c>
      <c r="K1363">
        <v>1</v>
      </c>
      <c r="L1363">
        <v>0</v>
      </c>
      <c r="M1363">
        <v>0</v>
      </c>
      <c r="N1363">
        <v>0</v>
      </c>
      <c r="O1363">
        <v>1</v>
      </c>
      <c r="P1363">
        <v>0</v>
      </c>
      <c r="Q1363">
        <v>0</v>
      </c>
      <c r="R1363">
        <v>0</v>
      </c>
      <c r="S1363">
        <v>0</v>
      </c>
      <c r="T1363">
        <v>0</v>
      </c>
      <c r="U1363">
        <v>0</v>
      </c>
      <c r="V1363">
        <v>0</v>
      </c>
      <c r="W1363">
        <v>0</v>
      </c>
      <c r="X1363">
        <v>0</v>
      </c>
      <c r="Y1363">
        <v>0</v>
      </c>
      <c r="Z1363">
        <v>0</v>
      </c>
      <c r="AA1363">
        <v>0</v>
      </c>
      <c r="AB1363">
        <v>0</v>
      </c>
      <c r="AC1363">
        <v>0</v>
      </c>
      <c r="AD1363">
        <v>0</v>
      </c>
      <c r="AE1363">
        <v>0</v>
      </c>
      <c r="AF1363">
        <v>0</v>
      </c>
      <c r="AG1363">
        <v>0</v>
      </c>
      <c r="AH1363">
        <v>0</v>
      </c>
      <c r="AI1363">
        <v>0</v>
      </c>
      <c r="AJ1363">
        <v>0</v>
      </c>
      <c r="AK1363">
        <v>0</v>
      </c>
      <c r="AL1363">
        <v>2</v>
      </c>
      <c r="AM1363">
        <v>0.33333333333333331</v>
      </c>
      <c r="AN1363">
        <v>6.0417410714286133</v>
      </c>
    </row>
    <row r="1364" spans="1:40" x14ac:dyDescent="0.3">
      <c r="A1364" t="s">
        <v>381</v>
      </c>
      <c r="B1364" t="s">
        <v>100</v>
      </c>
      <c r="C1364" t="s">
        <v>10</v>
      </c>
      <c r="D1364" t="s">
        <v>14</v>
      </c>
      <c r="E1364">
        <v>202602</v>
      </c>
      <c r="F1364" t="s">
        <v>101</v>
      </c>
      <c r="G1364">
        <v>0</v>
      </c>
      <c r="H1364">
        <v>0</v>
      </c>
      <c r="I1364">
        <v>0</v>
      </c>
      <c r="J1364">
        <v>0</v>
      </c>
      <c r="K1364">
        <v>1</v>
      </c>
      <c r="L1364">
        <v>0</v>
      </c>
      <c r="M1364">
        <v>0</v>
      </c>
      <c r="N1364">
        <v>0</v>
      </c>
      <c r="O1364">
        <v>0</v>
      </c>
      <c r="P1364">
        <v>0</v>
      </c>
      <c r="Q1364">
        <v>0</v>
      </c>
      <c r="R1364">
        <v>0</v>
      </c>
      <c r="S1364">
        <v>0</v>
      </c>
      <c r="T1364">
        <v>0</v>
      </c>
      <c r="U1364">
        <v>0</v>
      </c>
      <c r="V1364">
        <v>0</v>
      </c>
      <c r="W1364">
        <v>0</v>
      </c>
      <c r="X1364">
        <v>0</v>
      </c>
      <c r="Y1364">
        <v>0</v>
      </c>
      <c r="Z1364">
        <v>0</v>
      </c>
      <c r="AA1364">
        <v>0</v>
      </c>
      <c r="AB1364">
        <v>0</v>
      </c>
      <c r="AC1364">
        <v>0</v>
      </c>
      <c r="AD1364">
        <v>0</v>
      </c>
      <c r="AE1364">
        <v>0</v>
      </c>
      <c r="AF1364">
        <v>0</v>
      </c>
      <c r="AG1364">
        <v>0</v>
      </c>
      <c r="AH1364">
        <v>0</v>
      </c>
      <c r="AI1364">
        <v>0</v>
      </c>
      <c r="AJ1364">
        <v>0</v>
      </c>
      <c r="AK1364">
        <v>0</v>
      </c>
      <c r="AL1364">
        <v>1</v>
      </c>
      <c r="AM1364">
        <v>0</v>
      </c>
      <c r="AN1364">
        <v>1</v>
      </c>
    </row>
    <row r="1365" spans="1:40" x14ac:dyDescent="0.3">
      <c r="A1365" t="s">
        <v>381</v>
      </c>
      <c r="B1365" t="s">
        <v>103</v>
      </c>
      <c r="C1365" t="s">
        <v>10</v>
      </c>
      <c r="D1365" t="s">
        <v>11</v>
      </c>
      <c r="E1365">
        <v>202602</v>
      </c>
      <c r="F1365" t="s">
        <v>433</v>
      </c>
      <c r="G1365">
        <v>0</v>
      </c>
      <c r="H1365">
        <v>0</v>
      </c>
      <c r="I1365">
        <v>1</v>
      </c>
      <c r="J1365">
        <v>0</v>
      </c>
      <c r="K1365">
        <v>1</v>
      </c>
      <c r="L1365">
        <v>0</v>
      </c>
      <c r="M1365">
        <v>0</v>
      </c>
      <c r="N1365">
        <v>0</v>
      </c>
      <c r="O1365">
        <v>0</v>
      </c>
      <c r="P1365">
        <v>0</v>
      </c>
      <c r="Q1365">
        <v>0</v>
      </c>
      <c r="R1365">
        <v>0</v>
      </c>
      <c r="S1365">
        <v>0</v>
      </c>
      <c r="T1365">
        <v>0</v>
      </c>
      <c r="U1365">
        <v>0</v>
      </c>
      <c r="V1365">
        <v>0</v>
      </c>
      <c r="W1365">
        <v>0</v>
      </c>
      <c r="X1365">
        <v>0</v>
      </c>
      <c r="Y1365">
        <v>0</v>
      </c>
      <c r="Z1365">
        <v>0</v>
      </c>
      <c r="AA1365">
        <v>0</v>
      </c>
      <c r="AB1365">
        <v>0</v>
      </c>
      <c r="AC1365">
        <v>0</v>
      </c>
      <c r="AD1365">
        <v>0</v>
      </c>
      <c r="AE1365">
        <v>0</v>
      </c>
      <c r="AF1365">
        <v>0</v>
      </c>
      <c r="AG1365">
        <v>0</v>
      </c>
      <c r="AH1365">
        <v>0</v>
      </c>
      <c r="AI1365">
        <v>0</v>
      </c>
      <c r="AJ1365">
        <v>0</v>
      </c>
      <c r="AK1365">
        <v>0</v>
      </c>
      <c r="AL1365">
        <v>2</v>
      </c>
      <c r="AM1365">
        <v>0</v>
      </c>
      <c r="AN1365">
        <v>2</v>
      </c>
    </row>
    <row r="1366" spans="1:40" x14ac:dyDescent="0.3">
      <c r="A1366" t="s">
        <v>381</v>
      </c>
      <c r="B1366" t="s">
        <v>103</v>
      </c>
      <c r="C1366" t="s">
        <v>10</v>
      </c>
      <c r="D1366" t="s">
        <v>14</v>
      </c>
      <c r="E1366">
        <v>202602</v>
      </c>
      <c r="F1366" t="s">
        <v>433</v>
      </c>
      <c r="G1366">
        <v>0</v>
      </c>
      <c r="H1366">
        <v>0</v>
      </c>
      <c r="I1366">
        <v>1</v>
      </c>
      <c r="J1366">
        <v>0</v>
      </c>
      <c r="K1366">
        <v>0</v>
      </c>
      <c r="L1366">
        <v>0</v>
      </c>
      <c r="M1366">
        <v>0</v>
      </c>
      <c r="N1366">
        <v>0</v>
      </c>
      <c r="O1366">
        <v>0</v>
      </c>
      <c r="P1366">
        <v>0</v>
      </c>
      <c r="Q1366">
        <v>0</v>
      </c>
      <c r="R1366">
        <v>0</v>
      </c>
      <c r="S1366">
        <v>0</v>
      </c>
      <c r="T1366">
        <v>0</v>
      </c>
      <c r="U1366">
        <v>0</v>
      </c>
      <c r="V1366">
        <v>0</v>
      </c>
      <c r="W1366">
        <v>0</v>
      </c>
      <c r="X1366">
        <v>0</v>
      </c>
      <c r="Y1366">
        <v>0</v>
      </c>
      <c r="Z1366">
        <v>0</v>
      </c>
      <c r="AA1366">
        <v>0</v>
      </c>
      <c r="AB1366">
        <v>0</v>
      </c>
      <c r="AC1366">
        <v>0</v>
      </c>
      <c r="AD1366">
        <v>0</v>
      </c>
      <c r="AE1366">
        <v>0</v>
      </c>
      <c r="AF1366">
        <v>0</v>
      </c>
      <c r="AG1366">
        <v>0</v>
      </c>
      <c r="AH1366">
        <v>0</v>
      </c>
      <c r="AI1366">
        <v>0</v>
      </c>
      <c r="AJ1366">
        <v>0</v>
      </c>
      <c r="AK1366">
        <v>0</v>
      </c>
      <c r="AL1366">
        <v>1</v>
      </c>
      <c r="AM1366">
        <v>0</v>
      </c>
      <c r="AN1366">
        <v>1</v>
      </c>
    </row>
    <row r="1367" spans="1:40" x14ac:dyDescent="0.3">
      <c r="A1367" t="s">
        <v>381</v>
      </c>
      <c r="B1367" t="s">
        <v>644</v>
      </c>
      <c r="C1367" t="s">
        <v>10</v>
      </c>
      <c r="D1367" t="s">
        <v>11</v>
      </c>
      <c r="E1367">
        <v>202602</v>
      </c>
      <c r="F1367" t="s">
        <v>56</v>
      </c>
      <c r="G1367">
        <v>0</v>
      </c>
      <c r="H1367">
        <v>0</v>
      </c>
      <c r="I1367">
        <v>0</v>
      </c>
      <c r="J1367">
        <v>0</v>
      </c>
      <c r="K1367">
        <v>0</v>
      </c>
      <c r="L1367">
        <v>0</v>
      </c>
      <c r="M1367">
        <v>0</v>
      </c>
      <c r="N1367">
        <v>0</v>
      </c>
      <c r="O1367">
        <v>1</v>
      </c>
      <c r="P1367">
        <v>0</v>
      </c>
      <c r="Q1367">
        <v>0</v>
      </c>
      <c r="R1367">
        <v>0</v>
      </c>
      <c r="S1367">
        <v>0</v>
      </c>
      <c r="T1367">
        <v>0</v>
      </c>
      <c r="U1367">
        <v>0</v>
      </c>
      <c r="V1367">
        <v>0</v>
      </c>
      <c r="W1367">
        <v>0</v>
      </c>
      <c r="X1367">
        <v>0</v>
      </c>
      <c r="Y1367">
        <v>0</v>
      </c>
      <c r="Z1367">
        <v>0</v>
      </c>
      <c r="AA1367">
        <v>0</v>
      </c>
      <c r="AB1367">
        <v>0</v>
      </c>
      <c r="AC1367">
        <v>0</v>
      </c>
      <c r="AD1367">
        <v>0</v>
      </c>
      <c r="AE1367">
        <v>0</v>
      </c>
      <c r="AF1367">
        <v>0</v>
      </c>
      <c r="AG1367">
        <v>0</v>
      </c>
      <c r="AH1367">
        <v>0</v>
      </c>
      <c r="AI1367">
        <v>0</v>
      </c>
      <c r="AJ1367">
        <v>0</v>
      </c>
      <c r="AK1367">
        <v>0</v>
      </c>
      <c r="AL1367">
        <v>1</v>
      </c>
      <c r="AM1367">
        <v>0.33333333333333331</v>
      </c>
      <c r="AN1367">
        <v>5.6046251398731117</v>
      </c>
    </row>
    <row r="1368" spans="1:40" x14ac:dyDescent="0.3">
      <c r="A1368" t="s">
        <v>381</v>
      </c>
      <c r="B1368" t="s">
        <v>644</v>
      </c>
      <c r="C1368" t="s">
        <v>10</v>
      </c>
      <c r="D1368" t="s">
        <v>11</v>
      </c>
      <c r="E1368">
        <v>202602</v>
      </c>
      <c r="F1368" t="s">
        <v>110</v>
      </c>
      <c r="G1368">
        <v>0</v>
      </c>
      <c r="H1368">
        <v>0</v>
      </c>
      <c r="I1368">
        <v>0</v>
      </c>
      <c r="J1368">
        <v>2</v>
      </c>
      <c r="K1368">
        <v>1</v>
      </c>
      <c r="L1368">
        <v>0</v>
      </c>
      <c r="M1368">
        <v>0</v>
      </c>
      <c r="N1368">
        <v>0</v>
      </c>
      <c r="O1368">
        <v>0</v>
      </c>
      <c r="P1368">
        <v>0</v>
      </c>
      <c r="Q1368">
        <v>0</v>
      </c>
      <c r="R1368">
        <v>0</v>
      </c>
      <c r="S1368">
        <v>0</v>
      </c>
      <c r="T1368">
        <v>0</v>
      </c>
      <c r="U1368">
        <v>0</v>
      </c>
      <c r="V1368">
        <v>0</v>
      </c>
      <c r="W1368">
        <v>0</v>
      </c>
      <c r="X1368">
        <v>0</v>
      </c>
      <c r="Y1368">
        <v>0</v>
      </c>
      <c r="Z1368">
        <v>0</v>
      </c>
      <c r="AA1368">
        <v>0</v>
      </c>
      <c r="AB1368">
        <v>0</v>
      </c>
      <c r="AC1368">
        <v>0</v>
      </c>
      <c r="AD1368">
        <v>0</v>
      </c>
      <c r="AE1368">
        <v>0</v>
      </c>
      <c r="AF1368">
        <v>0</v>
      </c>
      <c r="AG1368">
        <v>0</v>
      </c>
      <c r="AH1368">
        <v>0</v>
      </c>
      <c r="AI1368">
        <v>0</v>
      </c>
      <c r="AJ1368">
        <v>0</v>
      </c>
      <c r="AK1368">
        <v>0</v>
      </c>
      <c r="AL1368">
        <v>3</v>
      </c>
      <c r="AM1368">
        <v>0</v>
      </c>
      <c r="AN1368">
        <v>3</v>
      </c>
    </row>
    <row r="1369" spans="1:40" x14ac:dyDescent="0.3">
      <c r="A1369" t="s">
        <v>381</v>
      </c>
      <c r="B1369" t="s">
        <v>644</v>
      </c>
      <c r="C1369" t="s">
        <v>10</v>
      </c>
      <c r="D1369" t="s">
        <v>11</v>
      </c>
      <c r="E1369">
        <v>202602</v>
      </c>
      <c r="F1369" t="s">
        <v>111</v>
      </c>
      <c r="G1369">
        <v>0</v>
      </c>
      <c r="H1369">
        <v>0</v>
      </c>
      <c r="I1369">
        <v>0</v>
      </c>
      <c r="J1369">
        <v>0</v>
      </c>
      <c r="K1369">
        <v>0</v>
      </c>
      <c r="L1369">
        <v>0</v>
      </c>
      <c r="M1369">
        <v>0</v>
      </c>
      <c r="N1369">
        <v>0</v>
      </c>
      <c r="O1369">
        <v>0</v>
      </c>
      <c r="P1369">
        <v>1</v>
      </c>
      <c r="Q1369">
        <v>0</v>
      </c>
      <c r="R1369">
        <v>0</v>
      </c>
      <c r="S1369">
        <v>0</v>
      </c>
      <c r="T1369">
        <v>0</v>
      </c>
      <c r="U1369">
        <v>0</v>
      </c>
      <c r="V1369">
        <v>0</v>
      </c>
      <c r="W1369">
        <v>0</v>
      </c>
      <c r="X1369">
        <v>0</v>
      </c>
      <c r="Y1369">
        <v>0</v>
      </c>
      <c r="Z1369">
        <v>0</v>
      </c>
      <c r="AA1369">
        <v>0</v>
      </c>
      <c r="AB1369">
        <v>0</v>
      </c>
      <c r="AC1369">
        <v>0</v>
      </c>
      <c r="AD1369">
        <v>0</v>
      </c>
      <c r="AE1369">
        <v>0</v>
      </c>
      <c r="AF1369">
        <v>0</v>
      </c>
      <c r="AG1369">
        <v>0</v>
      </c>
      <c r="AH1369">
        <v>0</v>
      </c>
      <c r="AI1369">
        <v>0</v>
      </c>
      <c r="AJ1369">
        <v>0</v>
      </c>
      <c r="AK1369">
        <v>0</v>
      </c>
      <c r="AL1369">
        <v>1</v>
      </c>
      <c r="AM1369">
        <v>0.33333333333333331</v>
      </c>
      <c r="AN1369">
        <v>5.6046251398731117</v>
      </c>
    </row>
    <row r="1370" spans="1:40" x14ac:dyDescent="0.3">
      <c r="A1370" t="s">
        <v>381</v>
      </c>
      <c r="B1370" t="s">
        <v>644</v>
      </c>
      <c r="C1370" t="s">
        <v>10</v>
      </c>
      <c r="D1370" t="s">
        <v>11</v>
      </c>
      <c r="E1370">
        <v>202602</v>
      </c>
      <c r="F1370" t="s">
        <v>61</v>
      </c>
      <c r="G1370">
        <v>0</v>
      </c>
      <c r="H1370">
        <v>0</v>
      </c>
      <c r="I1370">
        <v>2</v>
      </c>
      <c r="J1370">
        <v>0</v>
      </c>
      <c r="K1370">
        <v>2</v>
      </c>
      <c r="L1370">
        <v>0</v>
      </c>
      <c r="M1370">
        <v>0</v>
      </c>
      <c r="N1370">
        <v>0</v>
      </c>
      <c r="O1370">
        <v>0</v>
      </c>
      <c r="P1370">
        <v>0</v>
      </c>
      <c r="Q1370">
        <v>0</v>
      </c>
      <c r="R1370">
        <v>0</v>
      </c>
      <c r="S1370">
        <v>0</v>
      </c>
      <c r="T1370">
        <v>0</v>
      </c>
      <c r="U1370">
        <v>0</v>
      </c>
      <c r="V1370">
        <v>0</v>
      </c>
      <c r="W1370">
        <v>0</v>
      </c>
      <c r="X1370">
        <v>0</v>
      </c>
      <c r="Y1370">
        <v>0</v>
      </c>
      <c r="Z1370">
        <v>0</v>
      </c>
      <c r="AA1370">
        <v>0</v>
      </c>
      <c r="AB1370">
        <v>0</v>
      </c>
      <c r="AC1370">
        <v>0</v>
      </c>
      <c r="AD1370">
        <v>0</v>
      </c>
      <c r="AE1370">
        <v>0</v>
      </c>
      <c r="AF1370">
        <v>0</v>
      </c>
      <c r="AG1370">
        <v>0</v>
      </c>
      <c r="AH1370">
        <v>0</v>
      </c>
      <c r="AI1370">
        <v>0</v>
      </c>
      <c r="AJ1370">
        <v>0</v>
      </c>
      <c r="AK1370">
        <v>0</v>
      </c>
      <c r="AL1370">
        <v>4</v>
      </c>
      <c r="AM1370">
        <v>0</v>
      </c>
      <c r="AN1370">
        <v>4</v>
      </c>
    </row>
    <row r="1371" spans="1:40" x14ac:dyDescent="0.3">
      <c r="A1371" t="s">
        <v>381</v>
      </c>
      <c r="B1371" t="s">
        <v>644</v>
      </c>
      <c r="C1371" t="s">
        <v>10</v>
      </c>
      <c r="D1371" t="s">
        <v>11</v>
      </c>
      <c r="E1371">
        <v>202602</v>
      </c>
      <c r="F1371" t="s">
        <v>112</v>
      </c>
      <c r="G1371">
        <v>0</v>
      </c>
      <c r="H1371">
        <v>3</v>
      </c>
      <c r="I1371">
        <v>0</v>
      </c>
      <c r="J1371">
        <v>1</v>
      </c>
      <c r="K1371">
        <v>1</v>
      </c>
      <c r="L1371">
        <v>0</v>
      </c>
      <c r="M1371">
        <v>0</v>
      </c>
      <c r="N1371">
        <v>0</v>
      </c>
      <c r="O1371">
        <v>0</v>
      </c>
      <c r="P1371">
        <v>0</v>
      </c>
      <c r="Q1371">
        <v>0</v>
      </c>
      <c r="R1371">
        <v>0</v>
      </c>
      <c r="S1371">
        <v>0</v>
      </c>
      <c r="T1371">
        <v>0</v>
      </c>
      <c r="U1371">
        <v>0</v>
      </c>
      <c r="V1371">
        <v>0</v>
      </c>
      <c r="W1371">
        <v>0</v>
      </c>
      <c r="X1371">
        <v>0</v>
      </c>
      <c r="Y1371">
        <v>0</v>
      </c>
      <c r="Z1371">
        <v>0</v>
      </c>
      <c r="AA1371">
        <v>0</v>
      </c>
      <c r="AB1371">
        <v>0</v>
      </c>
      <c r="AC1371">
        <v>0</v>
      </c>
      <c r="AD1371">
        <v>0</v>
      </c>
      <c r="AE1371">
        <v>0</v>
      </c>
      <c r="AF1371">
        <v>0</v>
      </c>
      <c r="AG1371">
        <v>0</v>
      </c>
      <c r="AH1371">
        <v>0</v>
      </c>
      <c r="AI1371">
        <v>0</v>
      </c>
      <c r="AJ1371">
        <v>0</v>
      </c>
      <c r="AK1371">
        <v>0</v>
      </c>
      <c r="AL1371">
        <v>5</v>
      </c>
      <c r="AM1371">
        <v>0</v>
      </c>
      <c r="AN1371">
        <v>5</v>
      </c>
    </row>
    <row r="1372" spans="1:40" x14ac:dyDescent="0.3">
      <c r="A1372" t="s">
        <v>381</v>
      </c>
      <c r="B1372" t="s">
        <v>644</v>
      </c>
      <c r="C1372" t="s">
        <v>10</v>
      </c>
      <c r="D1372" t="s">
        <v>11</v>
      </c>
      <c r="E1372">
        <v>202602</v>
      </c>
      <c r="F1372" t="s">
        <v>114</v>
      </c>
      <c r="G1372">
        <v>0</v>
      </c>
      <c r="H1372">
        <v>3</v>
      </c>
      <c r="I1372">
        <v>3</v>
      </c>
      <c r="J1372">
        <v>0</v>
      </c>
      <c r="K1372">
        <v>4</v>
      </c>
      <c r="L1372">
        <v>4</v>
      </c>
      <c r="M1372">
        <v>0</v>
      </c>
      <c r="N1372">
        <v>0</v>
      </c>
      <c r="O1372">
        <v>2</v>
      </c>
      <c r="P1372">
        <v>0</v>
      </c>
      <c r="Q1372">
        <v>1</v>
      </c>
      <c r="R1372">
        <v>0</v>
      </c>
      <c r="S1372">
        <v>0</v>
      </c>
      <c r="T1372">
        <v>0</v>
      </c>
      <c r="U1372">
        <v>0</v>
      </c>
      <c r="V1372">
        <v>0</v>
      </c>
      <c r="W1372">
        <v>0</v>
      </c>
      <c r="X1372">
        <v>0</v>
      </c>
      <c r="Y1372">
        <v>0</v>
      </c>
      <c r="Z1372">
        <v>0</v>
      </c>
      <c r="AA1372">
        <v>0</v>
      </c>
      <c r="AB1372">
        <v>0</v>
      </c>
      <c r="AC1372">
        <v>0</v>
      </c>
      <c r="AD1372">
        <v>0</v>
      </c>
      <c r="AE1372">
        <v>0</v>
      </c>
      <c r="AF1372">
        <v>0</v>
      </c>
      <c r="AG1372">
        <v>0</v>
      </c>
      <c r="AH1372">
        <v>0</v>
      </c>
      <c r="AI1372">
        <v>0</v>
      </c>
      <c r="AJ1372">
        <v>0</v>
      </c>
      <c r="AK1372">
        <v>0</v>
      </c>
      <c r="AL1372">
        <v>17</v>
      </c>
      <c r="AM1372">
        <v>1</v>
      </c>
      <c r="AN1372">
        <v>30.813875419619336</v>
      </c>
    </row>
    <row r="1373" spans="1:40" x14ac:dyDescent="0.3">
      <c r="A1373" t="s">
        <v>381</v>
      </c>
      <c r="B1373" t="s">
        <v>644</v>
      </c>
      <c r="C1373" t="s">
        <v>10</v>
      </c>
      <c r="D1373" t="s">
        <v>11</v>
      </c>
      <c r="E1373">
        <v>202602</v>
      </c>
      <c r="F1373" t="s">
        <v>115</v>
      </c>
      <c r="G1373">
        <v>0</v>
      </c>
      <c r="H1373">
        <v>0</v>
      </c>
      <c r="I1373">
        <v>0</v>
      </c>
      <c r="J1373">
        <v>1</v>
      </c>
      <c r="K1373">
        <v>0</v>
      </c>
      <c r="L1373">
        <v>2</v>
      </c>
      <c r="M1373">
        <v>0</v>
      </c>
      <c r="N1373">
        <v>0</v>
      </c>
      <c r="O1373">
        <v>1</v>
      </c>
      <c r="P1373">
        <v>0</v>
      </c>
      <c r="Q1373">
        <v>2</v>
      </c>
      <c r="R1373">
        <v>0</v>
      </c>
      <c r="S1373">
        <v>0</v>
      </c>
      <c r="T1373">
        <v>0</v>
      </c>
      <c r="U1373">
        <v>0</v>
      </c>
      <c r="V1373">
        <v>0</v>
      </c>
      <c r="W1373">
        <v>0</v>
      </c>
      <c r="X1373">
        <v>0</v>
      </c>
      <c r="Y1373">
        <v>0</v>
      </c>
      <c r="Z1373">
        <v>0</v>
      </c>
      <c r="AA1373">
        <v>0</v>
      </c>
      <c r="AB1373">
        <v>0</v>
      </c>
      <c r="AC1373">
        <v>0</v>
      </c>
      <c r="AD1373">
        <v>0</v>
      </c>
      <c r="AE1373">
        <v>0</v>
      </c>
      <c r="AF1373">
        <v>0</v>
      </c>
      <c r="AG1373">
        <v>0</v>
      </c>
      <c r="AH1373">
        <v>0</v>
      </c>
      <c r="AI1373">
        <v>0</v>
      </c>
      <c r="AJ1373">
        <v>0</v>
      </c>
      <c r="AK1373">
        <v>0</v>
      </c>
      <c r="AL1373">
        <v>6</v>
      </c>
      <c r="AM1373">
        <v>1</v>
      </c>
      <c r="AN1373">
        <v>19.813875419619336</v>
      </c>
    </row>
    <row r="1374" spans="1:40" x14ac:dyDescent="0.3">
      <c r="A1374" t="s">
        <v>381</v>
      </c>
      <c r="B1374" t="s">
        <v>644</v>
      </c>
      <c r="C1374" t="s">
        <v>10</v>
      </c>
      <c r="D1374" t="s">
        <v>11</v>
      </c>
      <c r="E1374">
        <v>202602</v>
      </c>
      <c r="F1374" t="s">
        <v>116</v>
      </c>
      <c r="G1374">
        <v>0</v>
      </c>
      <c r="H1374">
        <v>0</v>
      </c>
      <c r="I1374">
        <v>0</v>
      </c>
      <c r="J1374">
        <v>0</v>
      </c>
      <c r="K1374">
        <v>1</v>
      </c>
      <c r="L1374">
        <v>0</v>
      </c>
      <c r="M1374">
        <v>0</v>
      </c>
      <c r="N1374">
        <v>0</v>
      </c>
      <c r="O1374">
        <v>0</v>
      </c>
      <c r="P1374">
        <v>0</v>
      </c>
      <c r="Q1374">
        <v>0</v>
      </c>
      <c r="R1374">
        <v>0</v>
      </c>
      <c r="S1374">
        <v>0</v>
      </c>
      <c r="T1374">
        <v>0</v>
      </c>
      <c r="U1374">
        <v>0</v>
      </c>
      <c r="V1374">
        <v>0</v>
      </c>
      <c r="W1374">
        <v>0</v>
      </c>
      <c r="X1374">
        <v>0</v>
      </c>
      <c r="Y1374">
        <v>0</v>
      </c>
      <c r="Z1374">
        <v>0</v>
      </c>
      <c r="AA1374">
        <v>0</v>
      </c>
      <c r="AB1374">
        <v>0</v>
      </c>
      <c r="AC1374">
        <v>0</v>
      </c>
      <c r="AD1374">
        <v>0</v>
      </c>
      <c r="AE1374">
        <v>0</v>
      </c>
      <c r="AF1374">
        <v>0</v>
      </c>
      <c r="AG1374">
        <v>0</v>
      </c>
      <c r="AH1374">
        <v>0</v>
      </c>
      <c r="AI1374">
        <v>0</v>
      </c>
      <c r="AJ1374">
        <v>0</v>
      </c>
      <c r="AK1374">
        <v>0</v>
      </c>
      <c r="AL1374">
        <v>1</v>
      </c>
      <c r="AM1374">
        <v>0</v>
      </c>
      <c r="AN1374">
        <v>1</v>
      </c>
    </row>
    <row r="1375" spans="1:40" x14ac:dyDescent="0.3">
      <c r="A1375" t="s">
        <v>381</v>
      </c>
      <c r="B1375" t="s">
        <v>644</v>
      </c>
      <c r="C1375" t="s">
        <v>10</v>
      </c>
      <c r="D1375" t="s">
        <v>11</v>
      </c>
      <c r="E1375">
        <v>202602</v>
      </c>
      <c r="F1375" t="s">
        <v>130</v>
      </c>
      <c r="G1375">
        <v>0</v>
      </c>
      <c r="H1375">
        <v>0</v>
      </c>
      <c r="I1375">
        <v>0</v>
      </c>
      <c r="J1375">
        <v>0</v>
      </c>
      <c r="K1375">
        <v>0</v>
      </c>
      <c r="L1375">
        <v>0</v>
      </c>
      <c r="M1375">
        <v>0</v>
      </c>
      <c r="N1375">
        <v>0</v>
      </c>
      <c r="O1375">
        <v>0</v>
      </c>
      <c r="P1375">
        <v>1</v>
      </c>
      <c r="Q1375">
        <v>1</v>
      </c>
      <c r="R1375">
        <v>0</v>
      </c>
      <c r="S1375">
        <v>0</v>
      </c>
      <c r="T1375">
        <v>0</v>
      </c>
      <c r="U1375">
        <v>0</v>
      </c>
      <c r="V1375">
        <v>0</v>
      </c>
      <c r="W1375">
        <v>0</v>
      </c>
      <c r="X1375">
        <v>0</v>
      </c>
      <c r="Y1375">
        <v>0</v>
      </c>
      <c r="Z1375">
        <v>0</v>
      </c>
      <c r="AA1375">
        <v>0</v>
      </c>
      <c r="AB1375">
        <v>0</v>
      </c>
      <c r="AC1375">
        <v>0</v>
      </c>
      <c r="AD1375">
        <v>0</v>
      </c>
      <c r="AE1375">
        <v>0</v>
      </c>
      <c r="AF1375">
        <v>0</v>
      </c>
      <c r="AG1375">
        <v>0</v>
      </c>
      <c r="AH1375">
        <v>0</v>
      </c>
      <c r="AI1375">
        <v>0</v>
      </c>
      <c r="AJ1375">
        <v>0</v>
      </c>
      <c r="AK1375">
        <v>0</v>
      </c>
      <c r="AL1375">
        <v>2</v>
      </c>
      <c r="AM1375">
        <v>0.66666666666666663</v>
      </c>
      <c r="AN1375">
        <v>11.209250279746223</v>
      </c>
    </row>
    <row r="1376" spans="1:40" x14ac:dyDescent="0.3">
      <c r="A1376" t="s">
        <v>381</v>
      </c>
      <c r="B1376" t="s">
        <v>644</v>
      </c>
      <c r="C1376" t="s">
        <v>10</v>
      </c>
      <c r="D1376" t="s">
        <v>11</v>
      </c>
      <c r="E1376">
        <v>202602</v>
      </c>
      <c r="F1376" t="s">
        <v>318</v>
      </c>
      <c r="G1376">
        <v>0</v>
      </c>
      <c r="H1376">
        <v>0</v>
      </c>
      <c r="I1376">
        <v>1</v>
      </c>
      <c r="J1376">
        <v>0</v>
      </c>
      <c r="K1376">
        <v>0</v>
      </c>
      <c r="L1376">
        <v>0</v>
      </c>
      <c r="M1376">
        <v>0</v>
      </c>
      <c r="N1376">
        <v>0</v>
      </c>
      <c r="O1376">
        <v>0</v>
      </c>
      <c r="P1376">
        <v>0</v>
      </c>
      <c r="Q1376">
        <v>0</v>
      </c>
      <c r="R1376">
        <v>0</v>
      </c>
      <c r="S1376">
        <v>0</v>
      </c>
      <c r="T1376">
        <v>0</v>
      </c>
      <c r="U1376">
        <v>0</v>
      </c>
      <c r="V1376">
        <v>0</v>
      </c>
      <c r="W1376">
        <v>0</v>
      </c>
      <c r="X1376">
        <v>0</v>
      </c>
      <c r="Y1376">
        <v>0</v>
      </c>
      <c r="Z1376">
        <v>0</v>
      </c>
      <c r="AA1376">
        <v>0</v>
      </c>
      <c r="AB1376">
        <v>0</v>
      </c>
      <c r="AC1376">
        <v>0</v>
      </c>
      <c r="AD1376">
        <v>0</v>
      </c>
      <c r="AE1376">
        <v>0</v>
      </c>
      <c r="AF1376">
        <v>0</v>
      </c>
      <c r="AG1376">
        <v>0</v>
      </c>
      <c r="AH1376">
        <v>0</v>
      </c>
      <c r="AI1376">
        <v>0</v>
      </c>
      <c r="AJ1376">
        <v>0</v>
      </c>
      <c r="AK1376">
        <v>0</v>
      </c>
      <c r="AL1376">
        <v>1</v>
      </c>
      <c r="AM1376">
        <v>0</v>
      </c>
      <c r="AN1376">
        <v>1</v>
      </c>
    </row>
    <row r="1377" spans="1:40" x14ac:dyDescent="0.3">
      <c r="A1377" t="s">
        <v>381</v>
      </c>
      <c r="B1377" t="s">
        <v>644</v>
      </c>
      <c r="C1377" t="s">
        <v>10</v>
      </c>
      <c r="D1377" t="s">
        <v>11</v>
      </c>
      <c r="E1377">
        <v>202602</v>
      </c>
      <c r="F1377" t="s">
        <v>117</v>
      </c>
      <c r="G1377">
        <v>0</v>
      </c>
      <c r="H1377">
        <v>0</v>
      </c>
      <c r="I1377">
        <v>1</v>
      </c>
      <c r="J1377">
        <v>0</v>
      </c>
      <c r="K1377">
        <v>1</v>
      </c>
      <c r="L1377">
        <v>0</v>
      </c>
      <c r="M1377">
        <v>0</v>
      </c>
      <c r="N1377">
        <v>0</v>
      </c>
      <c r="O1377">
        <v>0</v>
      </c>
      <c r="P1377">
        <v>0</v>
      </c>
      <c r="Q1377">
        <v>1</v>
      </c>
      <c r="R1377">
        <v>0</v>
      </c>
      <c r="S1377">
        <v>0</v>
      </c>
      <c r="T1377">
        <v>0</v>
      </c>
      <c r="U1377">
        <v>0</v>
      </c>
      <c r="V1377">
        <v>0</v>
      </c>
      <c r="W1377">
        <v>0</v>
      </c>
      <c r="X1377">
        <v>0</v>
      </c>
      <c r="Y1377">
        <v>0</v>
      </c>
      <c r="Z1377">
        <v>0</v>
      </c>
      <c r="AA1377">
        <v>0</v>
      </c>
      <c r="AB1377">
        <v>0</v>
      </c>
      <c r="AC1377">
        <v>0</v>
      </c>
      <c r="AD1377">
        <v>0</v>
      </c>
      <c r="AE1377">
        <v>0</v>
      </c>
      <c r="AF1377">
        <v>0</v>
      </c>
      <c r="AG1377">
        <v>0</v>
      </c>
      <c r="AH1377">
        <v>0</v>
      </c>
      <c r="AI1377">
        <v>0</v>
      </c>
      <c r="AJ1377">
        <v>0</v>
      </c>
      <c r="AK1377">
        <v>0</v>
      </c>
      <c r="AL1377">
        <v>3</v>
      </c>
      <c r="AM1377">
        <v>0.33333333333333331</v>
      </c>
      <c r="AN1377">
        <v>7.6046251398731117</v>
      </c>
    </row>
    <row r="1378" spans="1:40" x14ac:dyDescent="0.3">
      <c r="A1378" t="s">
        <v>381</v>
      </c>
      <c r="B1378" t="s">
        <v>644</v>
      </c>
      <c r="C1378" t="s">
        <v>10</v>
      </c>
      <c r="D1378" t="s">
        <v>11</v>
      </c>
      <c r="E1378">
        <v>202602</v>
      </c>
      <c r="F1378" t="s">
        <v>118</v>
      </c>
      <c r="G1378">
        <v>0</v>
      </c>
      <c r="H1378">
        <v>1</v>
      </c>
      <c r="I1378">
        <v>0</v>
      </c>
      <c r="J1378">
        <v>0</v>
      </c>
      <c r="K1378">
        <v>0</v>
      </c>
      <c r="L1378">
        <v>2</v>
      </c>
      <c r="M1378">
        <v>1</v>
      </c>
      <c r="N1378">
        <v>0</v>
      </c>
      <c r="O1378">
        <v>1</v>
      </c>
      <c r="P1378">
        <v>1</v>
      </c>
      <c r="Q1378">
        <v>1</v>
      </c>
      <c r="R1378">
        <v>0</v>
      </c>
      <c r="S1378">
        <v>0</v>
      </c>
      <c r="T1378">
        <v>0</v>
      </c>
      <c r="U1378">
        <v>0</v>
      </c>
      <c r="V1378">
        <v>0</v>
      </c>
      <c r="W1378">
        <v>0</v>
      </c>
      <c r="X1378">
        <v>0</v>
      </c>
      <c r="Y1378">
        <v>0</v>
      </c>
      <c r="Z1378">
        <v>0</v>
      </c>
      <c r="AA1378">
        <v>0</v>
      </c>
      <c r="AB1378">
        <v>0</v>
      </c>
      <c r="AC1378">
        <v>0</v>
      </c>
      <c r="AD1378">
        <v>0</v>
      </c>
      <c r="AE1378">
        <v>0</v>
      </c>
      <c r="AF1378">
        <v>0</v>
      </c>
      <c r="AG1378">
        <v>0</v>
      </c>
      <c r="AH1378">
        <v>0</v>
      </c>
      <c r="AI1378">
        <v>0</v>
      </c>
      <c r="AJ1378">
        <v>0</v>
      </c>
      <c r="AK1378">
        <v>0</v>
      </c>
      <c r="AL1378">
        <v>7</v>
      </c>
      <c r="AM1378">
        <v>1</v>
      </c>
      <c r="AN1378">
        <v>20.813875419619336</v>
      </c>
    </row>
    <row r="1379" spans="1:40" x14ac:dyDescent="0.3">
      <c r="A1379" t="s">
        <v>381</v>
      </c>
      <c r="B1379" t="s">
        <v>644</v>
      </c>
      <c r="C1379" t="s">
        <v>10</v>
      </c>
      <c r="D1379" t="s">
        <v>11</v>
      </c>
      <c r="E1379">
        <v>202602</v>
      </c>
      <c r="F1379" t="s">
        <v>321</v>
      </c>
      <c r="G1379">
        <v>0</v>
      </c>
      <c r="H1379">
        <v>0</v>
      </c>
      <c r="I1379">
        <v>0</v>
      </c>
      <c r="J1379">
        <v>0</v>
      </c>
      <c r="K1379">
        <v>0</v>
      </c>
      <c r="L1379">
        <v>1</v>
      </c>
      <c r="M1379">
        <v>0</v>
      </c>
      <c r="N1379">
        <v>0</v>
      </c>
      <c r="O1379">
        <v>0</v>
      </c>
      <c r="P1379">
        <v>0</v>
      </c>
      <c r="Q1379">
        <v>0</v>
      </c>
      <c r="R1379">
        <v>0</v>
      </c>
      <c r="S1379">
        <v>0</v>
      </c>
      <c r="T1379">
        <v>0</v>
      </c>
      <c r="U1379">
        <v>0</v>
      </c>
      <c r="V1379">
        <v>0</v>
      </c>
      <c r="W1379">
        <v>0</v>
      </c>
      <c r="X1379">
        <v>0</v>
      </c>
      <c r="Y1379">
        <v>0</v>
      </c>
      <c r="Z1379">
        <v>0</v>
      </c>
      <c r="AA1379">
        <v>0</v>
      </c>
      <c r="AB1379">
        <v>0</v>
      </c>
      <c r="AC1379">
        <v>0</v>
      </c>
      <c r="AD1379">
        <v>0</v>
      </c>
      <c r="AE1379">
        <v>0</v>
      </c>
      <c r="AF1379">
        <v>0</v>
      </c>
      <c r="AG1379">
        <v>0</v>
      </c>
      <c r="AH1379">
        <v>0</v>
      </c>
      <c r="AI1379">
        <v>0</v>
      </c>
      <c r="AJ1379">
        <v>0</v>
      </c>
      <c r="AK1379">
        <v>0</v>
      </c>
      <c r="AL1379">
        <v>1</v>
      </c>
      <c r="AM1379">
        <v>0</v>
      </c>
      <c r="AN1379">
        <v>1</v>
      </c>
    </row>
    <row r="1380" spans="1:40" x14ac:dyDescent="0.3">
      <c r="A1380" t="s">
        <v>381</v>
      </c>
      <c r="B1380" t="s">
        <v>644</v>
      </c>
      <c r="C1380" t="s">
        <v>10</v>
      </c>
      <c r="D1380" t="s">
        <v>11</v>
      </c>
      <c r="E1380">
        <v>202602</v>
      </c>
      <c r="F1380" t="s">
        <v>132</v>
      </c>
      <c r="G1380">
        <v>0</v>
      </c>
      <c r="H1380">
        <v>1</v>
      </c>
      <c r="I1380">
        <v>0</v>
      </c>
      <c r="J1380">
        <v>0</v>
      </c>
      <c r="K1380">
        <v>0</v>
      </c>
      <c r="L1380">
        <v>0</v>
      </c>
      <c r="M1380">
        <v>0</v>
      </c>
      <c r="N1380">
        <v>0</v>
      </c>
      <c r="O1380">
        <v>1</v>
      </c>
      <c r="P1380">
        <v>0</v>
      </c>
      <c r="Q1380">
        <v>0</v>
      </c>
      <c r="R1380">
        <v>0</v>
      </c>
      <c r="S1380">
        <v>0</v>
      </c>
      <c r="T1380">
        <v>0</v>
      </c>
      <c r="U1380">
        <v>0</v>
      </c>
      <c r="V1380">
        <v>0</v>
      </c>
      <c r="W1380">
        <v>0</v>
      </c>
      <c r="X1380">
        <v>0</v>
      </c>
      <c r="Y1380">
        <v>0</v>
      </c>
      <c r="Z1380">
        <v>0</v>
      </c>
      <c r="AA1380">
        <v>0</v>
      </c>
      <c r="AB1380">
        <v>0</v>
      </c>
      <c r="AC1380">
        <v>0</v>
      </c>
      <c r="AD1380">
        <v>0</v>
      </c>
      <c r="AE1380">
        <v>0</v>
      </c>
      <c r="AF1380">
        <v>0</v>
      </c>
      <c r="AG1380">
        <v>0</v>
      </c>
      <c r="AH1380">
        <v>0</v>
      </c>
      <c r="AI1380">
        <v>0</v>
      </c>
      <c r="AJ1380">
        <v>0</v>
      </c>
      <c r="AK1380">
        <v>0</v>
      </c>
      <c r="AL1380">
        <v>2</v>
      </c>
      <c r="AM1380">
        <v>0.33333333333333331</v>
      </c>
      <c r="AN1380">
        <v>6.6046251398731117</v>
      </c>
    </row>
    <row r="1381" spans="1:40" x14ac:dyDescent="0.3">
      <c r="A1381" t="s">
        <v>381</v>
      </c>
      <c r="B1381" t="s">
        <v>644</v>
      </c>
      <c r="C1381" t="s">
        <v>10</v>
      </c>
      <c r="D1381" t="s">
        <v>11</v>
      </c>
      <c r="E1381">
        <v>202602</v>
      </c>
      <c r="F1381" t="s">
        <v>121</v>
      </c>
      <c r="G1381">
        <v>0</v>
      </c>
      <c r="H1381">
        <v>0</v>
      </c>
      <c r="I1381">
        <v>0</v>
      </c>
      <c r="J1381">
        <v>0</v>
      </c>
      <c r="K1381">
        <v>0</v>
      </c>
      <c r="L1381">
        <v>1</v>
      </c>
      <c r="M1381">
        <v>1</v>
      </c>
      <c r="N1381">
        <v>0</v>
      </c>
      <c r="O1381">
        <v>2</v>
      </c>
      <c r="P1381">
        <v>4</v>
      </c>
      <c r="Q1381">
        <v>0</v>
      </c>
      <c r="R1381">
        <v>0</v>
      </c>
      <c r="S1381">
        <v>0</v>
      </c>
      <c r="T1381">
        <v>0</v>
      </c>
      <c r="U1381">
        <v>0</v>
      </c>
      <c r="V1381">
        <v>0</v>
      </c>
      <c r="W1381">
        <v>0</v>
      </c>
      <c r="X1381">
        <v>0</v>
      </c>
      <c r="Y1381">
        <v>0</v>
      </c>
      <c r="Z1381">
        <v>0</v>
      </c>
      <c r="AA1381">
        <v>0</v>
      </c>
      <c r="AB1381">
        <v>0</v>
      </c>
      <c r="AC1381">
        <v>0</v>
      </c>
      <c r="AD1381">
        <v>0</v>
      </c>
      <c r="AE1381">
        <v>0</v>
      </c>
      <c r="AF1381">
        <v>0</v>
      </c>
      <c r="AG1381">
        <v>0</v>
      </c>
      <c r="AH1381">
        <v>0</v>
      </c>
      <c r="AI1381">
        <v>0</v>
      </c>
      <c r="AJ1381">
        <v>0</v>
      </c>
      <c r="AK1381">
        <v>0</v>
      </c>
      <c r="AL1381">
        <v>8</v>
      </c>
      <c r="AM1381">
        <v>2</v>
      </c>
      <c r="AN1381">
        <v>35.627750839238672</v>
      </c>
    </row>
    <row r="1382" spans="1:40" x14ac:dyDescent="0.3">
      <c r="A1382" t="s">
        <v>381</v>
      </c>
      <c r="B1382" t="s">
        <v>644</v>
      </c>
      <c r="C1382" t="s">
        <v>10</v>
      </c>
      <c r="D1382" t="s">
        <v>11</v>
      </c>
      <c r="E1382">
        <v>202602</v>
      </c>
      <c r="F1382" t="s">
        <v>134</v>
      </c>
      <c r="G1382">
        <v>0</v>
      </c>
      <c r="H1382">
        <v>0</v>
      </c>
      <c r="I1382">
        <v>0</v>
      </c>
      <c r="J1382">
        <v>0</v>
      </c>
      <c r="K1382">
        <v>0</v>
      </c>
      <c r="L1382">
        <v>0</v>
      </c>
      <c r="M1382">
        <v>0</v>
      </c>
      <c r="N1382">
        <v>0</v>
      </c>
      <c r="O1382">
        <v>0</v>
      </c>
      <c r="P1382">
        <v>1</v>
      </c>
      <c r="Q1382">
        <v>0</v>
      </c>
      <c r="R1382">
        <v>0</v>
      </c>
      <c r="S1382">
        <v>0</v>
      </c>
      <c r="T1382">
        <v>0</v>
      </c>
      <c r="U1382">
        <v>0</v>
      </c>
      <c r="V1382">
        <v>0</v>
      </c>
      <c r="W1382">
        <v>0</v>
      </c>
      <c r="X1382">
        <v>0</v>
      </c>
      <c r="Y1382">
        <v>0</v>
      </c>
      <c r="Z1382">
        <v>0</v>
      </c>
      <c r="AA1382">
        <v>0</v>
      </c>
      <c r="AB1382">
        <v>0</v>
      </c>
      <c r="AC1382">
        <v>0</v>
      </c>
      <c r="AD1382">
        <v>0</v>
      </c>
      <c r="AE1382">
        <v>0</v>
      </c>
      <c r="AF1382">
        <v>0</v>
      </c>
      <c r="AG1382">
        <v>0</v>
      </c>
      <c r="AH1382">
        <v>0</v>
      </c>
      <c r="AI1382">
        <v>0</v>
      </c>
      <c r="AJ1382">
        <v>0</v>
      </c>
      <c r="AK1382">
        <v>0</v>
      </c>
      <c r="AL1382">
        <v>1</v>
      </c>
      <c r="AM1382">
        <v>0.33333333333333331</v>
      </c>
      <c r="AN1382">
        <v>5.6046251398731117</v>
      </c>
    </row>
    <row r="1383" spans="1:40" x14ac:dyDescent="0.3">
      <c r="A1383" t="s">
        <v>381</v>
      </c>
      <c r="B1383" t="s">
        <v>644</v>
      </c>
      <c r="C1383" t="s">
        <v>10</v>
      </c>
      <c r="D1383" t="s">
        <v>11</v>
      </c>
      <c r="E1383">
        <v>202602</v>
      </c>
      <c r="F1383" t="s">
        <v>122</v>
      </c>
      <c r="G1383">
        <v>0</v>
      </c>
      <c r="H1383">
        <v>0</v>
      </c>
      <c r="I1383">
        <v>0</v>
      </c>
      <c r="J1383">
        <v>0</v>
      </c>
      <c r="K1383">
        <v>0</v>
      </c>
      <c r="L1383">
        <v>0</v>
      </c>
      <c r="M1383">
        <v>0</v>
      </c>
      <c r="N1383">
        <v>0</v>
      </c>
      <c r="O1383">
        <v>1</v>
      </c>
      <c r="P1383">
        <v>0</v>
      </c>
      <c r="Q1383">
        <v>1</v>
      </c>
      <c r="R1383">
        <v>0</v>
      </c>
      <c r="S1383">
        <v>0</v>
      </c>
      <c r="T1383">
        <v>0</v>
      </c>
      <c r="U1383">
        <v>0</v>
      </c>
      <c r="V1383">
        <v>0</v>
      </c>
      <c r="W1383">
        <v>0</v>
      </c>
      <c r="X1383">
        <v>0</v>
      </c>
      <c r="Y1383">
        <v>0</v>
      </c>
      <c r="Z1383">
        <v>0</v>
      </c>
      <c r="AA1383">
        <v>0</v>
      </c>
      <c r="AB1383">
        <v>0</v>
      </c>
      <c r="AC1383">
        <v>0</v>
      </c>
      <c r="AD1383">
        <v>0</v>
      </c>
      <c r="AE1383">
        <v>0</v>
      </c>
      <c r="AF1383">
        <v>0</v>
      </c>
      <c r="AG1383">
        <v>0</v>
      </c>
      <c r="AH1383">
        <v>0</v>
      </c>
      <c r="AI1383">
        <v>0</v>
      </c>
      <c r="AJ1383">
        <v>0</v>
      </c>
      <c r="AK1383">
        <v>0</v>
      </c>
      <c r="AL1383">
        <v>2</v>
      </c>
      <c r="AM1383">
        <v>0.66666666666666663</v>
      </c>
      <c r="AN1383">
        <v>11.209250279746223</v>
      </c>
    </row>
    <row r="1384" spans="1:40" x14ac:dyDescent="0.3">
      <c r="A1384" t="s">
        <v>381</v>
      </c>
      <c r="B1384" t="s">
        <v>644</v>
      </c>
      <c r="C1384" t="s">
        <v>10</v>
      </c>
      <c r="D1384" t="s">
        <v>11</v>
      </c>
      <c r="E1384">
        <v>202602</v>
      </c>
      <c r="F1384" t="s">
        <v>124</v>
      </c>
      <c r="G1384">
        <v>0</v>
      </c>
      <c r="H1384">
        <v>0</v>
      </c>
      <c r="I1384">
        <v>0</v>
      </c>
      <c r="J1384">
        <v>0</v>
      </c>
      <c r="K1384">
        <v>1</v>
      </c>
      <c r="L1384">
        <v>1</v>
      </c>
      <c r="M1384">
        <v>0</v>
      </c>
      <c r="N1384">
        <v>0</v>
      </c>
      <c r="O1384">
        <v>0</v>
      </c>
      <c r="P1384">
        <v>0</v>
      </c>
      <c r="Q1384">
        <v>0</v>
      </c>
      <c r="R1384">
        <v>0</v>
      </c>
      <c r="S1384">
        <v>0</v>
      </c>
      <c r="T1384">
        <v>0</v>
      </c>
      <c r="U1384">
        <v>0</v>
      </c>
      <c r="V1384">
        <v>0</v>
      </c>
      <c r="W1384">
        <v>0</v>
      </c>
      <c r="X1384">
        <v>0</v>
      </c>
      <c r="Y1384">
        <v>0</v>
      </c>
      <c r="Z1384">
        <v>0</v>
      </c>
      <c r="AA1384">
        <v>0</v>
      </c>
      <c r="AB1384">
        <v>0</v>
      </c>
      <c r="AC1384">
        <v>0</v>
      </c>
      <c r="AD1384">
        <v>0</v>
      </c>
      <c r="AE1384">
        <v>0</v>
      </c>
      <c r="AF1384">
        <v>0</v>
      </c>
      <c r="AG1384">
        <v>0</v>
      </c>
      <c r="AH1384">
        <v>0</v>
      </c>
      <c r="AI1384">
        <v>0</v>
      </c>
      <c r="AJ1384">
        <v>0</v>
      </c>
      <c r="AK1384">
        <v>0</v>
      </c>
      <c r="AL1384">
        <v>2</v>
      </c>
      <c r="AM1384">
        <v>0</v>
      </c>
      <c r="AN1384">
        <v>2</v>
      </c>
    </row>
    <row r="1385" spans="1:40" x14ac:dyDescent="0.3">
      <c r="A1385" t="s">
        <v>381</v>
      </c>
      <c r="B1385" t="s">
        <v>644</v>
      </c>
      <c r="C1385" t="s">
        <v>10</v>
      </c>
      <c r="D1385" t="s">
        <v>11</v>
      </c>
      <c r="E1385">
        <v>202602</v>
      </c>
      <c r="F1385" t="s">
        <v>436</v>
      </c>
      <c r="G1385">
        <v>0</v>
      </c>
      <c r="H1385">
        <v>0</v>
      </c>
      <c r="I1385">
        <v>0</v>
      </c>
      <c r="J1385">
        <v>0</v>
      </c>
      <c r="K1385">
        <v>0</v>
      </c>
      <c r="L1385">
        <v>0</v>
      </c>
      <c r="M1385">
        <v>0</v>
      </c>
      <c r="N1385">
        <v>0</v>
      </c>
      <c r="O1385">
        <v>0</v>
      </c>
      <c r="P1385">
        <v>0</v>
      </c>
      <c r="Q1385">
        <v>1</v>
      </c>
      <c r="R1385">
        <v>0</v>
      </c>
      <c r="S1385">
        <v>0</v>
      </c>
      <c r="T1385">
        <v>0</v>
      </c>
      <c r="U1385">
        <v>0</v>
      </c>
      <c r="V1385">
        <v>0</v>
      </c>
      <c r="W1385">
        <v>0</v>
      </c>
      <c r="X1385">
        <v>0</v>
      </c>
      <c r="Y1385">
        <v>0</v>
      </c>
      <c r="Z1385">
        <v>0</v>
      </c>
      <c r="AA1385">
        <v>0</v>
      </c>
      <c r="AB1385">
        <v>0</v>
      </c>
      <c r="AC1385">
        <v>0</v>
      </c>
      <c r="AD1385">
        <v>0</v>
      </c>
      <c r="AE1385">
        <v>0</v>
      </c>
      <c r="AF1385">
        <v>0</v>
      </c>
      <c r="AG1385">
        <v>0</v>
      </c>
      <c r="AH1385">
        <v>0</v>
      </c>
      <c r="AI1385">
        <v>0</v>
      </c>
      <c r="AJ1385">
        <v>0</v>
      </c>
      <c r="AK1385">
        <v>0</v>
      </c>
      <c r="AL1385">
        <v>1</v>
      </c>
      <c r="AM1385">
        <v>0.33333333333333331</v>
      </c>
      <c r="AN1385">
        <v>5.6046251398731117</v>
      </c>
    </row>
    <row r="1386" spans="1:40" x14ac:dyDescent="0.3">
      <c r="A1386" t="s">
        <v>381</v>
      </c>
      <c r="B1386" t="s">
        <v>644</v>
      </c>
      <c r="C1386" t="s">
        <v>10</v>
      </c>
      <c r="D1386" t="s">
        <v>11</v>
      </c>
      <c r="E1386">
        <v>202602</v>
      </c>
      <c r="F1386" t="s">
        <v>135</v>
      </c>
      <c r="G1386">
        <v>0</v>
      </c>
      <c r="H1386">
        <v>0</v>
      </c>
      <c r="I1386">
        <v>0</v>
      </c>
      <c r="J1386">
        <v>1</v>
      </c>
      <c r="K1386">
        <v>0</v>
      </c>
      <c r="L1386">
        <v>0</v>
      </c>
      <c r="M1386">
        <v>0</v>
      </c>
      <c r="N1386">
        <v>0</v>
      </c>
      <c r="O1386">
        <v>0</v>
      </c>
      <c r="P1386">
        <v>0</v>
      </c>
      <c r="Q1386">
        <v>0</v>
      </c>
      <c r="R1386">
        <v>0</v>
      </c>
      <c r="S1386">
        <v>0</v>
      </c>
      <c r="T1386">
        <v>0</v>
      </c>
      <c r="U1386">
        <v>0</v>
      </c>
      <c r="V1386">
        <v>0</v>
      </c>
      <c r="W1386">
        <v>0</v>
      </c>
      <c r="X1386">
        <v>0</v>
      </c>
      <c r="Y1386">
        <v>0</v>
      </c>
      <c r="Z1386">
        <v>0</v>
      </c>
      <c r="AA1386">
        <v>0</v>
      </c>
      <c r="AB1386">
        <v>0</v>
      </c>
      <c r="AC1386">
        <v>0</v>
      </c>
      <c r="AD1386">
        <v>0</v>
      </c>
      <c r="AE1386">
        <v>0</v>
      </c>
      <c r="AF1386">
        <v>0</v>
      </c>
      <c r="AG1386">
        <v>0</v>
      </c>
      <c r="AH1386">
        <v>0</v>
      </c>
      <c r="AI1386">
        <v>0</v>
      </c>
      <c r="AJ1386">
        <v>0</v>
      </c>
      <c r="AK1386">
        <v>0</v>
      </c>
      <c r="AL1386">
        <v>1</v>
      </c>
      <c r="AM1386">
        <v>0</v>
      </c>
      <c r="AN1386">
        <v>1</v>
      </c>
    </row>
    <row r="1387" spans="1:40" x14ac:dyDescent="0.3">
      <c r="A1387" t="s">
        <v>381</v>
      </c>
      <c r="B1387" t="s">
        <v>644</v>
      </c>
      <c r="C1387" t="s">
        <v>10</v>
      </c>
      <c r="D1387" t="s">
        <v>11</v>
      </c>
      <c r="E1387">
        <v>202602</v>
      </c>
      <c r="F1387" t="s">
        <v>434</v>
      </c>
      <c r="G1387">
        <v>0</v>
      </c>
      <c r="H1387">
        <v>0</v>
      </c>
      <c r="I1387">
        <v>1</v>
      </c>
      <c r="J1387">
        <v>0</v>
      </c>
      <c r="K1387">
        <v>0</v>
      </c>
      <c r="L1387">
        <v>0</v>
      </c>
      <c r="M1387">
        <v>0</v>
      </c>
      <c r="N1387">
        <v>0</v>
      </c>
      <c r="O1387">
        <v>0</v>
      </c>
      <c r="P1387">
        <v>0</v>
      </c>
      <c r="Q1387">
        <v>0</v>
      </c>
      <c r="R1387">
        <v>0</v>
      </c>
      <c r="S1387">
        <v>0</v>
      </c>
      <c r="T1387">
        <v>0</v>
      </c>
      <c r="U1387">
        <v>0</v>
      </c>
      <c r="V1387">
        <v>0</v>
      </c>
      <c r="W1387">
        <v>0</v>
      </c>
      <c r="X1387">
        <v>0</v>
      </c>
      <c r="Y1387">
        <v>0</v>
      </c>
      <c r="Z1387">
        <v>0</v>
      </c>
      <c r="AA1387">
        <v>0</v>
      </c>
      <c r="AB1387">
        <v>0</v>
      </c>
      <c r="AC1387">
        <v>0</v>
      </c>
      <c r="AD1387">
        <v>0</v>
      </c>
      <c r="AE1387">
        <v>0</v>
      </c>
      <c r="AF1387">
        <v>0</v>
      </c>
      <c r="AG1387">
        <v>0</v>
      </c>
      <c r="AH1387">
        <v>0</v>
      </c>
      <c r="AI1387">
        <v>0</v>
      </c>
      <c r="AJ1387">
        <v>0</v>
      </c>
      <c r="AK1387">
        <v>0</v>
      </c>
      <c r="AL1387">
        <v>1</v>
      </c>
      <c r="AM1387">
        <v>0</v>
      </c>
      <c r="AN1387">
        <v>1</v>
      </c>
    </row>
    <row r="1388" spans="1:40" x14ac:dyDescent="0.3">
      <c r="A1388" t="s">
        <v>381</v>
      </c>
      <c r="B1388" t="s">
        <v>644</v>
      </c>
      <c r="C1388" t="s">
        <v>10</v>
      </c>
      <c r="D1388" t="s">
        <v>14</v>
      </c>
      <c r="E1388">
        <v>202602</v>
      </c>
      <c r="F1388" t="s">
        <v>56</v>
      </c>
      <c r="G1388">
        <v>0</v>
      </c>
      <c r="H1388">
        <v>0</v>
      </c>
      <c r="I1388">
        <v>0</v>
      </c>
      <c r="J1388">
        <v>0</v>
      </c>
      <c r="K1388">
        <v>0</v>
      </c>
      <c r="L1388">
        <v>1</v>
      </c>
      <c r="M1388">
        <v>0</v>
      </c>
      <c r="N1388">
        <v>0</v>
      </c>
      <c r="O1388">
        <v>0</v>
      </c>
      <c r="P1388">
        <v>0</v>
      </c>
      <c r="Q1388">
        <v>0</v>
      </c>
      <c r="R1388">
        <v>0</v>
      </c>
      <c r="S1388">
        <v>0</v>
      </c>
      <c r="T1388">
        <v>0</v>
      </c>
      <c r="U1388">
        <v>0</v>
      </c>
      <c r="V1388">
        <v>0</v>
      </c>
      <c r="W1388">
        <v>0</v>
      </c>
      <c r="X1388">
        <v>0</v>
      </c>
      <c r="Y1388">
        <v>0</v>
      </c>
      <c r="Z1388">
        <v>0</v>
      </c>
      <c r="AA1388">
        <v>0</v>
      </c>
      <c r="AB1388">
        <v>0</v>
      </c>
      <c r="AC1388">
        <v>0</v>
      </c>
      <c r="AD1388">
        <v>0</v>
      </c>
      <c r="AE1388">
        <v>0</v>
      </c>
      <c r="AF1388">
        <v>0</v>
      </c>
      <c r="AG1388">
        <v>0</v>
      </c>
      <c r="AH1388">
        <v>0</v>
      </c>
      <c r="AI1388">
        <v>0</v>
      </c>
      <c r="AJ1388">
        <v>0</v>
      </c>
      <c r="AK1388">
        <v>0</v>
      </c>
      <c r="AL1388">
        <v>1</v>
      </c>
      <c r="AM1388">
        <v>0</v>
      </c>
      <c r="AN1388">
        <v>1</v>
      </c>
    </row>
    <row r="1389" spans="1:40" x14ac:dyDescent="0.3">
      <c r="A1389" t="s">
        <v>381</v>
      </c>
      <c r="B1389" t="s">
        <v>644</v>
      </c>
      <c r="C1389" t="s">
        <v>10</v>
      </c>
      <c r="D1389" t="s">
        <v>14</v>
      </c>
      <c r="E1389">
        <v>202602</v>
      </c>
      <c r="F1389" t="s">
        <v>110</v>
      </c>
      <c r="G1389">
        <v>0</v>
      </c>
      <c r="H1389">
        <v>1</v>
      </c>
      <c r="I1389">
        <v>1</v>
      </c>
      <c r="J1389">
        <v>0</v>
      </c>
      <c r="K1389">
        <v>0</v>
      </c>
      <c r="L1389">
        <v>0</v>
      </c>
      <c r="M1389">
        <v>0</v>
      </c>
      <c r="N1389">
        <v>0</v>
      </c>
      <c r="O1389">
        <v>0</v>
      </c>
      <c r="P1389">
        <v>0</v>
      </c>
      <c r="Q1389">
        <v>0</v>
      </c>
      <c r="R1389">
        <v>0</v>
      </c>
      <c r="S1389">
        <v>0</v>
      </c>
      <c r="T1389">
        <v>0</v>
      </c>
      <c r="U1389">
        <v>0</v>
      </c>
      <c r="V1389">
        <v>0</v>
      </c>
      <c r="W1389">
        <v>0</v>
      </c>
      <c r="X1389">
        <v>0</v>
      </c>
      <c r="Y1389">
        <v>0</v>
      </c>
      <c r="Z1389">
        <v>0</v>
      </c>
      <c r="AA1389">
        <v>0</v>
      </c>
      <c r="AB1389">
        <v>0</v>
      </c>
      <c r="AC1389">
        <v>0</v>
      </c>
      <c r="AD1389">
        <v>0</v>
      </c>
      <c r="AE1389">
        <v>0</v>
      </c>
      <c r="AF1389">
        <v>0</v>
      </c>
      <c r="AG1389">
        <v>0</v>
      </c>
      <c r="AH1389">
        <v>0</v>
      </c>
      <c r="AI1389">
        <v>0</v>
      </c>
      <c r="AJ1389">
        <v>0</v>
      </c>
      <c r="AK1389">
        <v>0</v>
      </c>
      <c r="AL1389">
        <v>2</v>
      </c>
      <c r="AM1389">
        <v>0</v>
      </c>
      <c r="AN1389">
        <v>2</v>
      </c>
    </row>
    <row r="1390" spans="1:40" x14ac:dyDescent="0.3">
      <c r="A1390" t="s">
        <v>381</v>
      </c>
      <c r="B1390" t="s">
        <v>644</v>
      </c>
      <c r="C1390" t="s">
        <v>10</v>
      </c>
      <c r="D1390" t="s">
        <v>14</v>
      </c>
      <c r="E1390">
        <v>202602</v>
      </c>
      <c r="F1390" t="s">
        <v>111</v>
      </c>
      <c r="G1390">
        <v>0</v>
      </c>
      <c r="H1390">
        <v>0</v>
      </c>
      <c r="I1390">
        <v>0</v>
      </c>
      <c r="J1390">
        <v>0</v>
      </c>
      <c r="K1390">
        <v>1</v>
      </c>
      <c r="L1390">
        <v>0</v>
      </c>
      <c r="M1390">
        <v>0</v>
      </c>
      <c r="N1390">
        <v>0</v>
      </c>
      <c r="O1390">
        <v>0</v>
      </c>
      <c r="P1390">
        <v>0</v>
      </c>
      <c r="Q1390">
        <v>0</v>
      </c>
      <c r="R1390">
        <v>0</v>
      </c>
      <c r="S1390">
        <v>0</v>
      </c>
      <c r="T1390">
        <v>0</v>
      </c>
      <c r="U1390">
        <v>0</v>
      </c>
      <c r="V1390">
        <v>0</v>
      </c>
      <c r="W1390">
        <v>0</v>
      </c>
      <c r="X1390">
        <v>0</v>
      </c>
      <c r="Y1390">
        <v>0</v>
      </c>
      <c r="Z1390">
        <v>0</v>
      </c>
      <c r="AA1390">
        <v>0</v>
      </c>
      <c r="AB1390">
        <v>0</v>
      </c>
      <c r="AC1390">
        <v>0</v>
      </c>
      <c r="AD1390">
        <v>0</v>
      </c>
      <c r="AE1390">
        <v>0</v>
      </c>
      <c r="AF1390">
        <v>0</v>
      </c>
      <c r="AG1390">
        <v>0</v>
      </c>
      <c r="AH1390">
        <v>0</v>
      </c>
      <c r="AI1390">
        <v>0</v>
      </c>
      <c r="AJ1390">
        <v>0</v>
      </c>
      <c r="AK1390">
        <v>0</v>
      </c>
      <c r="AL1390">
        <v>1</v>
      </c>
      <c r="AM1390">
        <v>0</v>
      </c>
      <c r="AN1390">
        <v>1</v>
      </c>
    </row>
    <row r="1391" spans="1:40" x14ac:dyDescent="0.3">
      <c r="A1391" t="s">
        <v>381</v>
      </c>
      <c r="B1391" t="s">
        <v>644</v>
      </c>
      <c r="C1391" t="s">
        <v>10</v>
      </c>
      <c r="D1391" t="s">
        <v>14</v>
      </c>
      <c r="E1391">
        <v>202602</v>
      </c>
      <c r="F1391" t="s">
        <v>61</v>
      </c>
      <c r="G1391">
        <v>0</v>
      </c>
      <c r="H1391">
        <v>0</v>
      </c>
      <c r="I1391">
        <v>2</v>
      </c>
      <c r="J1391">
        <v>1</v>
      </c>
      <c r="K1391">
        <v>0</v>
      </c>
      <c r="L1391">
        <v>2</v>
      </c>
      <c r="M1391">
        <v>0</v>
      </c>
      <c r="N1391">
        <v>0</v>
      </c>
      <c r="O1391">
        <v>0</v>
      </c>
      <c r="P1391">
        <v>2</v>
      </c>
      <c r="Q1391">
        <v>1</v>
      </c>
      <c r="R1391">
        <v>0</v>
      </c>
      <c r="S1391">
        <v>0</v>
      </c>
      <c r="T1391">
        <v>0</v>
      </c>
      <c r="U1391">
        <v>0</v>
      </c>
      <c r="V1391">
        <v>0</v>
      </c>
      <c r="W1391">
        <v>0</v>
      </c>
      <c r="X1391">
        <v>0</v>
      </c>
      <c r="Y1391">
        <v>0</v>
      </c>
      <c r="Z1391">
        <v>0</v>
      </c>
      <c r="AA1391">
        <v>0</v>
      </c>
      <c r="AB1391">
        <v>0</v>
      </c>
      <c r="AC1391">
        <v>0</v>
      </c>
      <c r="AD1391">
        <v>0</v>
      </c>
      <c r="AE1391">
        <v>0</v>
      </c>
      <c r="AF1391">
        <v>0</v>
      </c>
      <c r="AG1391">
        <v>0</v>
      </c>
      <c r="AH1391">
        <v>0</v>
      </c>
      <c r="AI1391">
        <v>0</v>
      </c>
      <c r="AJ1391">
        <v>0</v>
      </c>
      <c r="AK1391">
        <v>0</v>
      </c>
      <c r="AL1391">
        <v>8</v>
      </c>
      <c r="AM1391">
        <v>1</v>
      </c>
      <c r="AN1391">
        <v>20.125223214285839</v>
      </c>
    </row>
    <row r="1392" spans="1:40" x14ac:dyDescent="0.3">
      <c r="A1392" t="s">
        <v>381</v>
      </c>
      <c r="B1392" t="s">
        <v>644</v>
      </c>
      <c r="C1392" t="s">
        <v>10</v>
      </c>
      <c r="D1392" t="s">
        <v>14</v>
      </c>
      <c r="E1392">
        <v>202602</v>
      </c>
      <c r="F1392" t="s">
        <v>112</v>
      </c>
      <c r="G1392">
        <v>0</v>
      </c>
      <c r="H1392">
        <v>2</v>
      </c>
      <c r="I1392">
        <v>0</v>
      </c>
      <c r="J1392">
        <v>1</v>
      </c>
      <c r="K1392">
        <v>0</v>
      </c>
      <c r="L1392">
        <v>0</v>
      </c>
      <c r="M1392">
        <v>0</v>
      </c>
      <c r="N1392">
        <v>0</v>
      </c>
      <c r="O1392">
        <v>0</v>
      </c>
      <c r="P1392">
        <v>0</v>
      </c>
      <c r="Q1392">
        <v>0</v>
      </c>
      <c r="R1392">
        <v>0</v>
      </c>
      <c r="S1392">
        <v>0</v>
      </c>
      <c r="T1392">
        <v>0</v>
      </c>
      <c r="U1392">
        <v>0</v>
      </c>
      <c r="V1392">
        <v>0</v>
      </c>
      <c r="W1392">
        <v>0</v>
      </c>
      <c r="X1392">
        <v>0</v>
      </c>
      <c r="Y1392">
        <v>0</v>
      </c>
      <c r="Z1392">
        <v>0</v>
      </c>
      <c r="AA1392">
        <v>0</v>
      </c>
      <c r="AB1392">
        <v>0</v>
      </c>
      <c r="AC1392">
        <v>0</v>
      </c>
      <c r="AD1392">
        <v>0</v>
      </c>
      <c r="AE1392">
        <v>0</v>
      </c>
      <c r="AF1392">
        <v>0</v>
      </c>
      <c r="AG1392">
        <v>0</v>
      </c>
      <c r="AH1392">
        <v>0</v>
      </c>
      <c r="AI1392">
        <v>0</v>
      </c>
      <c r="AJ1392">
        <v>0</v>
      </c>
      <c r="AK1392">
        <v>0</v>
      </c>
      <c r="AL1392">
        <v>3</v>
      </c>
      <c r="AM1392">
        <v>0</v>
      </c>
      <c r="AN1392">
        <v>3</v>
      </c>
    </row>
    <row r="1393" spans="1:40" x14ac:dyDescent="0.3">
      <c r="A1393" t="s">
        <v>381</v>
      </c>
      <c r="B1393" t="s">
        <v>644</v>
      </c>
      <c r="C1393" t="s">
        <v>10</v>
      </c>
      <c r="D1393" t="s">
        <v>14</v>
      </c>
      <c r="E1393">
        <v>202602</v>
      </c>
      <c r="F1393" t="s">
        <v>279</v>
      </c>
      <c r="G1393">
        <v>0</v>
      </c>
      <c r="H1393">
        <v>0</v>
      </c>
      <c r="I1393">
        <v>0</v>
      </c>
      <c r="J1393">
        <v>1</v>
      </c>
      <c r="K1393">
        <v>0</v>
      </c>
      <c r="L1393">
        <v>0</v>
      </c>
      <c r="M1393">
        <v>0</v>
      </c>
      <c r="N1393">
        <v>0</v>
      </c>
      <c r="O1393">
        <v>0</v>
      </c>
      <c r="P1393">
        <v>0</v>
      </c>
      <c r="Q1393">
        <v>0</v>
      </c>
      <c r="R1393">
        <v>0</v>
      </c>
      <c r="S1393">
        <v>0</v>
      </c>
      <c r="T1393">
        <v>0</v>
      </c>
      <c r="U1393">
        <v>0</v>
      </c>
      <c r="V1393">
        <v>0</v>
      </c>
      <c r="W1393">
        <v>0</v>
      </c>
      <c r="X1393">
        <v>0</v>
      </c>
      <c r="Y1393">
        <v>0</v>
      </c>
      <c r="Z1393">
        <v>0</v>
      </c>
      <c r="AA1393">
        <v>0</v>
      </c>
      <c r="AB1393">
        <v>0</v>
      </c>
      <c r="AC1393">
        <v>0</v>
      </c>
      <c r="AD1393">
        <v>0</v>
      </c>
      <c r="AE1393">
        <v>0</v>
      </c>
      <c r="AF1393">
        <v>0</v>
      </c>
      <c r="AG1393">
        <v>0</v>
      </c>
      <c r="AH1393">
        <v>0</v>
      </c>
      <c r="AI1393">
        <v>0</v>
      </c>
      <c r="AJ1393">
        <v>0</v>
      </c>
      <c r="AK1393">
        <v>0</v>
      </c>
      <c r="AL1393">
        <v>1</v>
      </c>
      <c r="AM1393">
        <v>0</v>
      </c>
      <c r="AN1393">
        <v>1</v>
      </c>
    </row>
    <row r="1394" spans="1:40" x14ac:dyDescent="0.3">
      <c r="A1394" t="s">
        <v>381</v>
      </c>
      <c r="B1394" t="s">
        <v>644</v>
      </c>
      <c r="C1394" t="s">
        <v>10</v>
      </c>
      <c r="D1394" t="s">
        <v>14</v>
      </c>
      <c r="E1394">
        <v>202602</v>
      </c>
      <c r="F1394" t="s">
        <v>114</v>
      </c>
      <c r="G1394">
        <v>0</v>
      </c>
      <c r="H1394">
        <v>5</v>
      </c>
      <c r="I1394">
        <v>2</v>
      </c>
      <c r="J1394">
        <v>4</v>
      </c>
      <c r="K1394">
        <v>3</v>
      </c>
      <c r="L1394">
        <v>2</v>
      </c>
      <c r="M1394">
        <v>1</v>
      </c>
      <c r="N1394">
        <v>0</v>
      </c>
      <c r="O1394">
        <v>0</v>
      </c>
      <c r="P1394">
        <v>2</v>
      </c>
      <c r="Q1394">
        <v>0</v>
      </c>
      <c r="R1394">
        <v>0</v>
      </c>
      <c r="S1394">
        <v>0</v>
      </c>
      <c r="T1394">
        <v>0</v>
      </c>
      <c r="U1394">
        <v>0</v>
      </c>
      <c r="V1394">
        <v>0</v>
      </c>
      <c r="W1394">
        <v>0</v>
      </c>
      <c r="X1394">
        <v>0</v>
      </c>
      <c r="Y1394">
        <v>0</v>
      </c>
      <c r="Z1394">
        <v>0</v>
      </c>
      <c r="AA1394">
        <v>0</v>
      </c>
      <c r="AB1394">
        <v>0</v>
      </c>
      <c r="AC1394">
        <v>0</v>
      </c>
      <c r="AD1394">
        <v>0</v>
      </c>
      <c r="AE1394">
        <v>0</v>
      </c>
      <c r="AF1394">
        <v>0</v>
      </c>
      <c r="AG1394">
        <v>0</v>
      </c>
      <c r="AH1394">
        <v>0</v>
      </c>
      <c r="AI1394">
        <v>0</v>
      </c>
      <c r="AJ1394">
        <v>0</v>
      </c>
      <c r="AK1394">
        <v>0</v>
      </c>
      <c r="AL1394">
        <v>19</v>
      </c>
      <c r="AM1394">
        <v>0.66666666666666663</v>
      </c>
      <c r="AN1394">
        <v>27.083482142857228</v>
      </c>
    </row>
    <row r="1395" spans="1:40" x14ac:dyDescent="0.3">
      <c r="A1395" t="s">
        <v>381</v>
      </c>
      <c r="B1395" t="s">
        <v>644</v>
      </c>
      <c r="C1395" t="s">
        <v>10</v>
      </c>
      <c r="D1395" t="s">
        <v>14</v>
      </c>
      <c r="E1395">
        <v>202602</v>
      </c>
      <c r="F1395" t="s">
        <v>129</v>
      </c>
      <c r="G1395">
        <v>0</v>
      </c>
      <c r="H1395">
        <v>0</v>
      </c>
      <c r="I1395">
        <v>0</v>
      </c>
      <c r="J1395">
        <v>1</v>
      </c>
      <c r="K1395">
        <v>0</v>
      </c>
      <c r="L1395">
        <v>0</v>
      </c>
      <c r="M1395">
        <v>0</v>
      </c>
      <c r="N1395">
        <v>0</v>
      </c>
      <c r="O1395">
        <v>0</v>
      </c>
      <c r="P1395">
        <v>0</v>
      </c>
      <c r="Q1395">
        <v>0</v>
      </c>
      <c r="R1395">
        <v>0</v>
      </c>
      <c r="S1395">
        <v>0</v>
      </c>
      <c r="T1395">
        <v>0</v>
      </c>
      <c r="U1395">
        <v>0</v>
      </c>
      <c r="V1395">
        <v>0</v>
      </c>
      <c r="W1395">
        <v>0</v>
      </c>
      <c r="X1395">
        <v>0</v>
      </c>
      <c r="Y1395">
        <v>0</v>
      </c>
      <c r="Z1395">
        <v>0</v>
      </c>
      <c r="AA1395">
        <v>0</v>
      </c>
      <c r="AB1395">
        <v>0</v>
      </c>
      <c r="AC1395">
        <v>0</v>
      </c>
      <c r="AD1395">
        <v>0</v>
      </c>
      <c r="AE1395">
        <v>0</v>
      </c>
      <c r="AF1395">
        <v>0</v>
      </c>
      <c r="AG1395">
        <v>0</v>
      </c>
      <c r="AH1395">
        <v>0</v>
      </c>
      <c r="AI1395">
        <v>0</v>
      </c>
      <c r="AJ1395">
        <v>0</v>
      </c>
      <c r="AK1395">
        <v>0</v>
      </c>
      <c r="AL1395">
        <v>1</v>
      </c>
      <c r="AM1395">
        <v>0</v>
      </c>
      <c r="AN1395">
        <v>1</v>
      </c>
    </row>
    <row r="1396" spans="1:40" x14ac:dyDescent="0.3">
      <c r="A1396" t="s">
        <v>381</v>
      </c>
      <c r="B1396" t="s">
        <v>644</v>
      </c>
      <c r="C1396" t="s">
        <v>10</v>
      </c>
      <c r="D1396" t="s">
        <v>14</v>
      </c>
      <c r="E1396">
        <v>202602</v>
      </c>
      <c r="F1396" t="s">
        <v>115</v>
      </c>
      <c r="G1396">
        <v>0</v>
      </c>
      <c r="H1396">
        <v>1</v>
      </c>
      <c r="I1396">
        <v>0</v>
      </c>
      <c r="J1396">
        <v>1</v>
      </c>
      <c r="K1396">
        <v>4</v>
      </c>
      <c r="L1396">
        <v>1</v>
      </c>
      <c r="M1396">
        <v>0</v>
      </c>
      <c r="N1396">
        <v>0</v>
      </c>
      <c r="O1396">
        <v>1</v>
      </c>
      <c r="P1396">
        <v>0</v>
      </c>
      <c r="Q1396">
        <v>1</v>
      </c>
      <c r="R1396">
        <v>0</v>
      </c>
      <c r="S1396">
        <v>0</v>
      </c>
      <c r="T1396">
        <v>0</v>
      </c>
      <c r="U1396">
        <v>0</v>
      </c>
      <c r="V1396">
        <v>0</v>
      </c>
      <c r="W1396">
        <v>0</v>
      </c>
      <c r="X1396">
        <v>0</v>
      </c>
      <c r="Y1396">
        <v>0</v>
      </c>
      <c r="Z1396">
        <v>0</v>
      </c>
      <c r="AA1396">
        <v>0</v>
      </c>
      <c r="AB1396">
        <v>0</v>
      </c>
      <c r="AC1396">
        <v>0</v>
      </c>
      <c r="AD1396">
        <v>0</v>
      </c>
      <c r="AE1396">
        <v>0</v>
      </c>
      <c r="AF1396">
        <v>0</v>
      </c>
      <c r="AG1396">
        <v>0</v>
      </c>
      <c r="AH1396">
        <v>0</v>
      </c>
      <c r="AI1396">
        <v>0</v>
      </c>
      <c r="AJ1396">
        <v>0</v>
      </c>
      <c r="AK1396">
        <v>0</v>
      </c>
      <c r="AL1396">
        <v>9</v>
      </c>
      <c r="AM1396">
        <v>0.66666666666666663</v>
      </c>
      <c r="AN1396">
        <v>17.083482142857228</v>
      </c>
    </row>
    <row r="1397" spans="1:40" x14ac:dyDescent="0.3">
      <c r="A1397" t="s">
        <v>381</v>
      </c>
      <c r="B1397" t="s">
        <v>644</v>
      </c>
      <c r="C1397" t="s">
        <v>10</v>
      </c>
      <c r="D1397" t="s">
        <v>14</v>
      </c>
      <c r="E1397">
        <v>202602</v>
      </c>
      <c r="F1397" t="s">
        <v>116</v>
      </c>
      <c r="G1397">
        <v>0</v>
      </c>
      <c r="H1397">
        <v>0</v>
      </c>
      <c r="I1397">
        <v>1</v>
      </c>
      <c r="J1397">
        <v>0</v>
      </c>
      <c r="K1397">
        <v>0</v>
      </c>
      <c r="L1397">
        <v>0</v>
      </c>
      <c r="M1397">
        <v>0</v>
      </c>
      <c r="N1397">
        <v>0</v>
      </c>
      <c r="O1397">
        <v>1</v>
      </c>
      <c r="P1397">
        <v>0</v>
      </c>
      <c r="Q1397">
        <v>0</v>
      </c>
      <c r="R1397">
        <v>0</v>
      </c>
      <c r="S1397">
        <v>0</v>
      </c>
      <c r="T1397">
        <v>0</v>
      </c>
      <c r="U1397">
        <v>0</v>
      </c>
      <c r="V1397">
        <v>0</v>
      </c>
      <c r="W1397">
        <v>0</v>
      </c>
      <c r="X1397">
        <v>0</v>
      </c>
      <c r="Y1397">
        <v>0</v>
      </c>
      <c r="Z1397">
        <v>0</v>
      </c>
      <c r="AA1397">
        <v>0</v>
      </c>
      <c r="AB1397">
        <v>0</v>
      </c>
      <c r="AC1397">
        <v>0</v>
      </c>
      <c r="AD1397">
        <v>0</v>
      </c>
      <c r="AE1397">
        <v>0</v>
      </c>
      <c r="AF1397">
        <v>0</v>
      </c>
      <c r="AG1397">
        <v>0</v>
      </c>
      <c r="AH1397">
        <v>0</v>
      </c>
      <c r="AI1397">
        <v>0</v>
      </c>
      <c r="AJ1397">
        <v>0</v>
      </c>
      <c r="AK1397">
        <v>0</v>
      </c>
      <c r="AL1397">
        <v>2</v>
      </c>
      <c r="AM1397">
        <v>0.33333333333333331</v>
      </c>
      <c r="AN1397">
        <v>6.0417410714286133</v>
      </c>
    </row>
    <row r="1398" spans="1:40" x14ac:dyDescent="0.3">
      <c r="A1398" t="s">
        <v>381</v>
      </c>
      <c r="B1398" t="s">
        <v>644</v>
      </c>
      <c r="C1398" t="s">
        <v>10</v>
      </c>
      <c r="D1398" t="s">
        <v>14</v>
      </c>
      <c r="E1398">
        <v>202602</v>
      </c>
      <c r="F1398" t="s">
        <v>130</v>
      </c>
      <c r="G1398">
        <v>0</v>
      </c>
      <c r="H1398">
        <v>0</v>
      </c>
      <c r="I1398">
        <v>1</v>
      </c>
      <c r="J1398">
        <v>0</v>
      </c>
      <c r="K1398">
        <v>0</v>
      </c>
      <c r="L1398">
        <v>0</v>
      </c>
      <c r="M1398">
        <v>1</v>
      </c>
      <c r="N1398">
        <v>0</v>
      </c>
      <c r="O1398">
        <v>1</v>
      </c>
      <c r="P1398">
        <v>1</v>
      </c>
      <c r="Q1398">
        <v>1</v>
      </c>
      <c r="R1398">
        <v>0</v>
      </c>
      <c r="S1398">
        <v>0</v>
      </c>
      <c r="T1398">
        <v>0</v>
      </c>
      <c r="U1398">
        <v>0</v>
      </c>
      <c r="V1398">
        <v>0</v>
      </c>
      <c r="W1398">
        <v>0</v>
      </c>
      <c r="X1398">
        <v>0</v>
      </c>
      <c r="Y1398">
        <v>0</v>
      </c>
      <c r="Z1398">
        <v>0</v>
      </c>
      <c r="AA1398">
        <v>0</v>
      </c>
      <c r="AB1398">
        <v>0</v>
      </c>
      <c r="AC1398">
        <v>0</v>
      </c>
      <c r="AD1398">
        <v>0</v>
      </c>
      <c r="AE1398">
        <v>0</v>
      </c>
      <c r="AF1398">
        <v>0</v>
      </c>
      <c r="AG1398">
        <v>0</v>
      </c>
      <c r="AH1398">
        <v>0</v>
      </c>
      <c r="AI1398">
        <v>0</v>
      </c>
      <c r="AJ1398">
        <v>0</v>
      </c>
      <c r="AK1398">
        <v>0</v>
      </c>
      <c r="AL1398">
        <v>5</v>
      </c>
      <c r="AM1398">
        <v>1</v>
      </c>
      <c r="AN1398">
        <v>17.125223214285839</v>
      </c>
    </row>
    <row r="1399" spans="1:40" x14ac:dyDescent="0.3">
      <c r="A1399" t="s">
        <v>381</v>
      </c>
      <c r="B1399" t="s">
        <v>644</v>
      </c>
      <c r="C1399" t="s">
        <v>10</v>
      </c>
      <c r="D1399" t="s">
        <v>14</v>
      </c>
      <c r="E1399">
        <v>202602</v>
      </c>
      <c r="F1399" t="s">
        <v>318</v>
      </c>
      <c r="G1399">
        <v>0</v>
      </c>
      <c r="H1399">
        <v>1</v>
      </c>
      <c r="I1399">
        <v>0</v>
      </c>
      <c r="J1399">
        <v>0</v>
      </c>
      <c r="K1399">
        <v>0</v>
      </c>
      <c r="L1399">
        <v>0</v>
      </c>
      <c r="M1399">
        <v>0</v>
      </c>
      <c r="N1399">
        <v>0</v>
      </c>
      <c r="O1399">
        <v>0</v>
      </c>
      <c r="P1399">
        <v>0</v>
      </c>
      <c r="Q1399">
        <v>0</v>
      </c>
      <c r="R1399">
        <v>0</v>
      </c>
      <c r="S1399">
        <v>0</v>
      </c>
      <c r="T1399">
        <v>0</v>
      </c>
      <c r="U1399">
        <v>0</v>
      </c>
      <c r="V1399">
        <v>0</v>
      </c>
      <c r="W1399">
        <v>0</v>
      </c>
      <c r="X1399">
        <v>0</v>
      </c>
      <c r="Y1399">
        <v>0</v>
      </c>
      <c r="Z1399">
        <v>0</v>
      </c>
      <c r="AA1399">
        <v>0</v>
      </c>
      <c r="AB1399">
        <v>0</v>
      </c>
      <c r="AC1399">
        <v>0</v>
      </c>
      <c r="AD1399">
        <v>0</v>
      </c>
      <c r="AE1399">
        <v>0</v>
      </c>
      <c r="AF1399">
        <v>0</v>
      </c>
      <c r="AG1399">
        <v>0</v>
      </c>
      <c r="AH1399">
        <v>0</v>
      </c>
      <c r="AI1399">
        <v>0</v>
      </c>
      <c r="AJ1399">
        <v>0</v>
      </c>
      <c r="AK1399">
        <v>0</v>
      </c>
      <c r="AL1399">
        <v>1</v>
      </c>
      <c r="AM1399">
        <v>0</v>
      </c>
      <c r="AN1399">
        <v>1</v>
      </c>
    </row>
    <row r="1400" spans="1:40" x14ac:dyDescent="0.3">
      <c r="A1400" t="s">
        <v>381</v>
      </c>
      <c r="B1400" t="s">
        <v>644</v>
      </c>
      <c r="C1400" t="s">
        <v>10</v>
      </c>
      <c r="D1400" t="s">
        <v>14</v>
      </c>
      <c r="E1400">
        <v>202602</v>
      </c>
      <c r="F1400" t="s">
        <v>117</v>
      </c>
      <c r="G1400">
        <v>0</v>
      </c>
      <c r="H1400">
        <v>0</v>
      </c>
      <c r="I1400">
        <v>1</v>
      </c>
      <c r="J1400">
        <v>0</v>
      </c>
      <c r="K1400">
        <v>0</v>
      </c>
      <c r="L1400">
        <v>1</v>
      </c>
      <c r="M1400">
        <v>0</v>
      </c>
      <c r="N1400">
        <v>0</v>
      </c>
      <c r="O1400">
        <v>0</v>
      </c>
      <c r="P1400">
        <v>0</v>
      </c>
      <c r="Q1400">
        <v>0</v>
      </c>
      <c r="R1400">
        <v>0</v>
      </c>
      <c r="S1400">
        <v>0</v>
      </c>
      <c r="T1400">
        <v>0</v>
      </c>
      <c r="U1400">
        <v>0</v>
      </c>
      <c r="V1400">
        <v>0</v>
      </c>
      <c r="W1400">
        <v>0</v>
      </c>
      <c r="X1400">
        <v>0</v>
      </c>
      <c r="Y1400">
        <v>0</v>
      </c>
      <c r="Z1400">
        <v>0</v>
      </c>
      <c r="AA1400">
        <v>0</v>
      </c>
      <c r="AB1400">
        <v>0</v>
      </c>
      <c r="AC1400">
        <v>0</v>
      </c>
      <c r="AD1400">
        <v>0</v>
      </c>
      <c r="AE1400">
        <v>0</v>
      </c>
      <c r="AF1400">
        <v>0</v>
      </c>
      <c r="AG1400">
        <v>0</v>
      </c>
      <c r="AH1400">
        <v>0</v>
      </c>
      <c r="AI1400">
        <v>0</v>
      </c>
      <c r="AJ1400">
        <v>0</v>
      </c>
      <c r="AK1400">
        <v>0</v>
      </c>
      <c r="AL1400">
        <v>2</v>
      </c>
      <c r="AM1400">
        <v>0</v>
      </c>
      <c r="AN1400">
        <v>2</v>
      </c>
    </row>
    <row r="1401" spans="1:40" x14ac:dyDescent="0.3">
      <c r="A1401" t="s">
        <v>381</v>
      </c>
      <c r="B1401" t="s">
        <v>644</v>
      </c>
      <c r="C1401" t="s">
        <v>10</v>
      </c>
      <c r="D1401" t="s">
        <v>14</v>
      </c>
      <c r="E1401">
        <v>202602</v>
      </c>
      <c r="F1401" t="s">
        <v>118</v>
      </c>
      <c r="G1401">
        <v>0</v>
      </c>
      <c r="H1401">
        <v>0</v>
      </c>
      <c r="I1401">
        <v>3</v>
      </c>
      <c r="J1401">
        <v>1</v>
      </c>
      <c r="K1401">
        <v>1</v>
      </c>
      <c r="L1401">
        <v>1</v>
      </c>
      <c r="M1401">
        <v>0</v>
      </c>
      <c r="N1401">
        <v>0</v>
      </c>
      <c r="O1401">
        <v>1</v>
      </c>
      <c r="P1401">
        <v>0</v>
      </c>
      <c r="Q1401">
        <v>0</v>
      </c>
      <c r="R1401">
        <v>0</v>
      </c>
      <c r="S1401">
        <v>0</v>
      </c>
      <c r="T1401">
        <v>0</v>
      </c>
      <c r="U1401">
        <v>0</v>
      </c>
      <c r="V1401">
        <v>0</v>
      </c>
      <c r="W1401">
        <v>0</v>
      </c>
      <c r="X1401">
        <v>0</v>
      </c>
      <c r="Y1401">
        <v>0</v>
      </c>
      <c r="Z1401">
        <v>0</v>
      </c>
      <c r="AA1401">
        <v>0</v>
      </c>
      <c r="AB1401">
        <v>0</v>
      </c>
      <c r="AC1401">
        <v>0</v>
      </c>
      <c r="AD1401">
        <v>0</v>
      </c>
      <c r="AE1401">
        <v>0</v>
      </c>
      <c r="AF1401">
        <v>0</v>
      </c>
      <c r="AG1401">
        <v>0</v>
      </c>
      <c r="AH1401">
        <v>0</v>
      </c>
      <c r="AI1401">
        <v>0</v>
      </c>
      <c r="AJ1401">
        <v>0</v>
      </c>
      <c r="AK1401">
        <v>0</v>
      </c>
      <c r="AL1401">
        <v>7</v>
      </c>
      <c r="AM1401">
        <v>0.33333333333333331</v>
      </c>
      <c r="AN1401">
        <v>11.041741071428614</v>
      </c>
    </row>
    <row r="1402" spans="1:40" x14ac:dyDescent="0.3">
      <c r="A1402" t="s">
        <v>381</v>
      </c>
      <c r="B1402" t="s">
        <v>644</v>
      </c>
      <c r="C1402" t="s">
        <v>10</v>
      </c>
      <c r="D1402" t="s">
        <v>14</v>
      </c>
      <c r="E1402">
        <v>202602</v>
      </c>
      <c r="F1402" t="s">
        <v>131</v>
      </c>
      <c r="G1402">
        <v>0</v>
      </c>
      <c r="H1402">
        <v>0</v>
      </c>
      <c r="I1402">
        <v>0</v>
      </c>
      <c r="J1402">
        <v>0</v>
      </c>
      <c r="K1402">
        <v>1</v>
      </c>
      <c r="L1402">
        <v>0</v>
      </c>
      <c r="M1402">
        <v>0</v>
      </c>
      <c r="N1402">
        <v>0</v>
      </c>
      <c r="O1402">
        <v>0</v>
      </c>
      <c r="P1402">
        <v>0</v>
      </c>
      <c r="Q1402">
        <v>0</v>
      </c>
      <c r="R1402">
        <v>0</v>
      </c>
      <c r="S1402">
        <v>0</v>
      </c>
      <c r="T1402">
        <v>0</v>
      </c>
      <c r="U1402">
        <v>0</v>
      </c>
      <c r="V1402">
        <v>0</v>
      </c>
      <c r="W1402">
        <v>0</v>
      </c>
      <c r="X1402">
        <v>0</v>
      </c>
      <c r="Y1402">
        <v>0</v>
      </c>
      <c r="Z1402">
        <v>0</v>
      </c>
      <c r="AA1402">
        <v>0</v>
      </c>
      <c r="AB1402">
        <v>0</v>
      </c>
      <c r="AC1402">
        <v>0</v>
      </c>
      <c r="AD1402">
        <v>0</v>
      </c>
      <c r="AE1402">
        <v>0</v>
      </c>
      <c r="AF1402">
        <v>0</v>
      </c>
      <c r="AG1402">
        <v>0</v>
      </c>
      <c r="AH1402">
        <v>0</v>
      </c>
      <c r="AI1402">
        <v>0</v>
      </c>
      <c r="AJ1402">
        <v>0</v>
      </c>
      <c r="AK1402">
        <v>0</v>
      </c>
      <c r="AL1402">
        <v>1</v>
      </c>
      <c r="AM1402">
        <v>0</v>
      </c>
      <c r="AN1402">
        <v>1</v>
      </c>
    </row>
    <row r="1403" spans="1:40" x14ac:dyDescent="0.3">
      <c r="A1403" t="s">
        <v>381</v>
      </c>
      <c r="B1403" t="s">
        <v>644</v>
      </c>
      <c r="C1403" t="s">
        <v>10</v>
      </c>
      <c r="D1403" t="s">
        <v>14</v>
      </c>
      <c r="E1403">
        <v>202602</v>
      </c>
      <c r="F1403" t="s">
        <v>321</v>
      </c>
      <c r="G1403">
        <v>0</v>
      </c>
      <c r="H1403">
        <v>0</v>
      </c>
      <c r="I1403">
        <v>0</v>
      </c>
      <c r="J1403">
        <v>0</v>
      </c>
      <c r="K1403">
        <v>1</v>
      </c>
      <c r="L1403">
        <v>0</v>
      </c>
      <c r="M1403">
        <v>0</v>
      </c>
      <c r="N1403">
        <v>0</v>
      </c>
      <c r="O1403">
        <v>0</v>
      </c>
      <c r="P1403">
        <v>0</v>
      </c>
      <c r="Q1403">
        <v>0</v>
      </c>
      <c r="R1403">
        <v>0</v>
      </c>
      <c r="S1403">
        <v>0</v>
      </c>
      <c r="T1403">
        <v>0</v>
      </c>
      <c r="U1403">
        <v>0</v>
      </c>
      <c r="V1403">
        <v>0</v>
      </c>
      <c r="W1403">
        <v>0</v>
      </c>
      <c r="X1403">
        <v>0</v>
      </c>
      <c r="Y1403">
        <v>0</v>
      </c>
      <c r="Z1403">
        <v>0</v>
      </c>
      <c r="AA1403">
        <v>0</v>
      </c>
      <c r="AB1403">
        <v>0</v>
      </c>
      <c r="AC1403">
        <v>0</v>
      </c>
      <c r="AD1403">
        <v>0</v>
      </c>
      <c r="AE1403">
        <v>0</v>
      </c>
      <c r="AF1403">
        <v>0</v>
      </c>
      <c r="AG1403">
        <v>0</v>
      </c>
      <c r="AH1403">
        <v>0</v>
      </c>
      <c r="AI1403">
        <v>0</v>
      </c>
      <c r="AJ1403">
        <v>0</v>
      </c>
      <c r="AK1403">
        <v>0</v>
      </c>
      <c r="AL1403">
        <v>1</v>
      </c>
      <c r="AM1403">
        <v>0</v>
      </c>
      <c r="AN1403">
        <v>1</v>
      </c>
    </row>
    <row r="1404" spans="1:40" x14ac:dyDescent="0.3">
      <c r="A1404" t="s">
        <v>381</v>
      </c>
      <c r="B1404" t="s">
        <v>644</v>
      </c>
      <c r="C1404" t="s">
        <v>10</v>
      </c>
      <c r="D1404" t="s">
        <v>14</v>
      </c>
      <c r="E1404">
        <v>202602</v>
      </c>
      <c r="F1404" t="s">
        <v>435</v>
      </c>
      <c r="G1404">
        <v>0</v>
      </c>
      <c r="H1404">
        <v>0</v>
      </c>
      <c r="I1404">
        <v>0</v>
      </c>
      <c r="J1404">
        <v>0</v>
      </c>
      <c r="K1404">
        <v>0</v>
      </c>
      <c r="L1404">
        <v>0</v>
      </c>
      <c r="M1404">
        <v>0</v>
      </c>
      <c r="N1404">
        <v>0</v>
      </c>
      <c r="O1404">
        <v>0</v>
      </c>
      <c r="P1404">
        <v>1</v>
      </c>
      <c r="Q1404">
        <v>1</v>
      </c>
      <c r="R1404">
        <v>0</v>
      </c>
      <c r="S1404">
        <v>0</v>
      </c>
      <c r="T1404">
        <v>0</v>
      </c>
      <c r="U1404">
        <v>0</v>
      </c>
      <c r="V1404">
        <v>0</v>
      </c>
      <c r="W1404">
        <v>0</v>
      </c>
      <c r="X1404">
        <v>0</v>
      </c>
      <c r="Y1404">
        <v>0</v>
      </c>
      <c r="Z1404">
        <v>0</v>
      </c>
      <c r="AA1404">
        <v>0</v>
      </c>
      <c r="AB1404">
        <v>0</v>
      </c>
      <c r="AC1404">
        <v>0</v>
      </c>
      <c r="AD1404">
        <v>0</v>
      </c>
      <c r="AE1404">
        <v>0</v>
      </c>
      <c r="AF1404">
        <v>0</v>
      </c>
      <c r="AG1404">
        <v>0</v>
      </c>
      <c r="AH1404">
        <v>0</v>
      </c>
      <c r="AI1404">
        <v>0</v>
      </c>
      <c r="AJ1404">
        <v>0</v>
      </c>
      <c r="AK1404">
        <v>0</v>
      </c>
      <c r="AL1404">
        <v>2</v>
      </c>
      <c r="AM1404">
        <v>0.66666666666666663</v>
      </c>
      <c r="AN1404">
        <v>10.083482142857227</v>
      </c>
    </row>
    <row r="1405" spans="1:40" x14ac:dyDescent="0.3">
      <c r="A1405" t="s">
        <v>381</v>
      </c>
      <c r="B1405" t="s">
        <v>644</v>
      </c>
      <c r="C1405" t="s">
        <v>10</v>
      </c>
      <c r="D1405" t="s">
        <v>14</v>
      </c>
      <c r="E1405">
        <v>202602</v>
      </c>
      <c r="F1405" t="s">
        <v>132</v>
      </c>
      <c r="G1405">
        <v>0</v>
      </c>
      <c r="H1405">
        <v>0</v>
      </c>
      <c r="I1405">
        <v>0</v>
      </c>
      <c r="J1405">
        <v>0</v>
      </c>
      <c r="K1405">
        <v>0</v>
      </c>
      <c r="L1405">
        <v>1</v>
      </c>
      <c r="M1405">
        <v>0</v>
      </c>
      <c r="N1405">
        <v>0</v>
      </c>
      <c r="O1405">
        <v>0</v>
      </c>
      <c r="P1405">
        <v>0</v>
      </c>
      <c r="Q1405">
        <v>0</v>
      </c>
      <c r="R1405">
        <v>0</v>
      </c>
      <c r="S1405">
        <v>0</v>
      </c>
      <c r="T1405">
        <v>0</v>
      </c>
      <c r="U1405">
        <v>0</v>
      </c>
      <c r="V1405">
        <v>0</v>
      </c>
      <c r="W1405">
        <v>0</v>
      </c>
      <c r="X1405">
        <v>0</v>
      </c>
      <c r="Y1405">
        <v>0</v>
      </c>
      <c r="Z1405">
        <v>0</v>
      </c>
      <c r="AA1405">
        <v>0</v>
      </c>
      <c r="AB1405">
        <v>0</v>
      </c>
      <c r="AC1405">
        <v>0</v>
      </c>
      <c r="AD1405">
        <v>0</v>
      </c>
      <c r="AE1405">
        <v>0</v>
      </c>
      <c r="AF1405">
        <v>0</v>
      </c>
      <c r="AG1405">
        <v>0</v>
      </c>
      <c r="AH1405">
        <v>0</v>
      </c>
      <c r="AI1405">
        <v>0</v>
      </c>
      <c r="AJ1405">
        <v>0</v>
      </c>
      <c r="AK1405">
        <v>0</v>
      </c>
      <c r="AL1405">
        <v>1</v>
      </c>
      <c r="AM1405">
        <v>0</v>
      </c>
      <c r="AN1405">
        <v>1</v>
      </c>
    </row>
    <row r="1406" spans="1:40" x14ac:dyDescent="0.3">
      <c r="A1406" t="s">
        <v>381</v>
      </c>
      <c r="B1406" t="s">
        <v>644</v>
      </c>
      <c r="C1406" t="s">
        <v>10</v>
      </c>
      <c r="D1406" t="s">
        <v>14</v>
      </c>
      <c r="E1406">
        <v>202602</v>
      </c>
      <c r="F1406" t="s">
        <v>224</v>
      </c>
      <c r="G1406">
        <v>0</v>
      </c>
      <c r="H1406">
        <v>0</v>
      </c>
      <c r="I1406">
        <v>0</v>
      </c>
      <c r="J1406">
        <v>0</v>
      </c>
      <c r="K1406">
        <v>0</v>
      </c>
      <c r="L1406">
        <v>0</v>
      </c>
      <c r="M1406">
        <v>0</v>
      </c>
      <c r="N1406">
        <v>0</v>
      </c>
      <c r="O1406">
        <v>1</v>
      </c>
      <c r="P1406">
        <v>0</v>
      </c>
      <c r="Q1406">
        <v>0</v>
      </c>
      <c r="R1406">
        <v>0</v>
      </c>
      <c r="S1406">
        <v>0</v>
      </c>
      <c r="T1406">
        <v>0</v>
      </c>
      <c r="U1406">
        <v>0</v>
      </c>
      <c r="V1406">
        <v>0</v>
      </c>
      <c r="W1406">
        <v>0</v>
      </c>
      <c r="X1406">
        <v>0</v>
      </c>
      <c r="Y1406">
        <v>0</v>
      </c>
      <c r="Z1406">
        <v>0</v>
      </c>
      <c r="AA1406">
        <v>0</v>
      </c>
      <c r="AB1406">
        <v>0</v>
      </c>
      <c r="AC1406">
        <v>0</v>
      </c>
      <c r="AD1406">
        <v>0</v>
      </c>
      <c r="AE1406">
        <v>0</v>
      </c>
      <c r="AF1406">
        <v>0</v>
      </c>
      <c r="AG1406">
        <v>0</v>
      </c>
      <c r="AH1406">
        <v>0</v>
      </c>
      <c r="AI1406">
        <v>0</v>
      </c>
      <c r="AJ1406">
        <v>0</v>
      </c>
      <c r="AK1406">
        <v>0</v>
      </c>
      <c r="AL1406">
        <v>1</v>
      </c>
      <c r="AM1406">
        <v>0.33333333333333331</v>
      </c>
      <c r="AN1406">
        <v>5.0417410714286133</v>
      </c>
    </row>
    <row r="1407" spans="1:40" x14ac:dyDescent="0.3">
      <c r="A1407" t="s">
        <v>381</v>
      </c>
      <c r="B1407" t="s">
        <v>644</v>
      </c>
      <c r="C1407" t="s">
        <v>10</v>
      </c>
      <c r="D1407" t="s">
        <v>14</v>
      </c>
      <c r="E1407">
        <v>202602</v>
      </c>
      <c r="F1407" t="s">
        <v>133</v>
      </c>
      <c r="G1407">
        <v>0</v>
      </c>
      <c r="H1407">
        <v>0</v>
      </c>
      <c r="I1407">
        <v>0</v>
      </c>
      <c r="J1407">
        <v>0</v>
      </c>
      <c r="K1407">
        <v>0</v>
      </c>
      <c r="L1407">
        <v>0</v>
      </c>
      <c r="M1407">
        <v>0</v>
      </c>
      <c r="N1407">
        <v>0</v>
      </c>
      <c r="O1407">
        <v>0</v>
      </c>
      <c r="P1407">
        <v>0</v>
      </c>
      <c r="Q1407">
        <v>1</v>
      </c>
      <c r="R1407">
        <v>0</v>
      </c>
      <c r="S1407">
        <v>0</v>
      </c>
      <c r="T1407">
        <v>0</v>
      </c>
      <c r="U1407">
        <v>0</v>
      </c>
      <c r="V1407">
        <v>0</v>
      </c>
      <c r="W1407">
        <v>0</v>
      </c>
      <c r="X1407">
        <v>0</v>
      </c>
      <c r="Y1407">
        <v>0</v>
      </c>
      <c r="Z1407">
        <v>0</v>
      </c>
      <c r="AA1407">
        <v>0</v>
      </c>
      <c r="AB1407">
        <v>0</v>
      </c>
      <c r="AC1407">
        <v>0</v>
      </c>
      <c r="AD1407">
        <v>0</v>
      </c>
      <c r="AE1407">
        <v>0</v>
      </c>
      <c r="AF1407">
        <v>0</v>
      </c>
      <c r="AG1407">
        <v>0</v>
      </c>
      <c r="AH1407">
        <v>0</v>
      </c>
      <c r="AI1407">
        <v>0</v>
      </c>
      <c r="AJ1407">
        <v>0</v>
      </c>
      <c r="AK1407">
        <v>0</v>
      </c>
      <c r="AL1407">
        <v>1</v>
      </c>
      <c r="AM1407">
        <v>0.33333333333333331</v>
      </c>
      <c r="AN1407">
        <v>5.0417410714286133</v>
      </c>
    </row>
    <row r="1408" spans="1:40" x14ac:dyDescent="0.3">
      <c r="A1408" t="s">
        <v>381</v>
      </c>
      <c r="B1408" t="s">
        <v>644</v>
      </c>
      <c r="C1408" t="s">
        <v>10</v>
      </c>
      <c r="D1408" t="s">
        <v>14</v>
      </c>
      <c r="E1408">
        <v>202602</v>
      </c>
      <c r="F1408" t="s">
        <v>119</v>
      </c>
      <c r="G1408">
        <v>0</v>
      </c>
      <c r="H1408">
        <v>1</v>
      </c>
      <c r="I1408">
        <v>1</v>
      </c>
      <c r="J1408">
        <v>0</v>
      </c>
      <c r="K1408">
        <v>1</v>
      </c>
      <c r="L1408">
        <v>0</v>
      </c>
      <c r="M1408">
        <v>0</v>
      </c>
      <c r="N1408">
        <v>0</v>
      </c>
      <c r="O1408">
        <v>0</v>
      </c>
      <c r="P1408">
        <v>1</v>
      </c>
      <c r="Q1408">
        <v>0</v>
      </c>
      <c r="R1408">
        <v>0</v>
      </c>
      <c r="S1408">
        <v>0</v>
      </c>
      <c r="T1408">
        <v>0</v>
      </c>
      <c r="U1408">
        <v>0</v>
      </c>
      <c r="V1408">
        <v>0</v>
      </c>
      <c r="W1408">
        <v>0</v>
      </c>
      <c r="X1408">
        <v>0</v>
      </c>
      <c r="Y1408">
        <v>0</v>
      </c>
      <c r="Z1408">
        <v>0</v>
      </c>
      <c r="AA1408">
        <v>0</v>
      </c>
      <c r="AB1408">
        <v>0</v>
      </c>
      <c r="AC1408">
        <v>0</v>
      </c>
      <c r="AD1408">
        <v>0</v>
      </c>
      <c r="AE1408">
        <v>0</v>
      </c>
      <c r="AF1408">
        <v>0</v>
      </c>
      <c r="AG1408">
        <v>0</v>
      </c>
      <c r="AH1408">
        <v>0</v>
      </c>
      <c r="AI1408">
        <v>0</v>
      </c>
      <c r="AJ1408">
        <v>0</v>
      </c>
      <c r="AK1408">
        <v>0</v>
      </c>
      <c r="AL1408">
        <v>4</v>
      </c>
      <c r="AM1408">
        <v>0.33333333333333331</v>
      </c>
      <c r="AN1408">
        <v>8.0417410714286142</v>
      </c>
    </row>
    <row r="1409" spans="1:40" x14ac:dyDescent="0.3">
      <c r="A1409" t="s">
        <v>381</v>
      </c>
      <c r="B1409" t="s">
        <v>644</v>
      </c>
      <c r="C1409" t="s">
        <v>10</v>
      </c>
      <c r="D1409" t="s">
        <v>14</v>
      </c>
      <c r="E1409">
        <v>202602</v>
      </c>
      <c r="F1409" t="s">
        <v>121</v>
      </c>
      <c r="G1409">
        <v>0</v>
      </c>
      <c r="H1409">
        <v>0</v>
      </c>
      <c r="I1409">
        <v>2</v>
      </c>
      <c r="J1409">
        <v>1</v>
      </c>
      <c r="K1409">
        <v>3</v>
      </c>
      <c r="L1409">
        <v>1</v>
      </c>
      <c r="M1409">
        <v>4</v>
      </c>
      <c r="N1409">
        <v>0</v>
      </c>
      <c r="O1409">
        <v>0</v>
      </c>
      <c r="P1409">
        <v>0</v>
      </c>
      <c r="Q1409">
        <v>0</v>
      </c>
      <c r="R1409">
        <v>0</v>
      </c>
      <c r="S1409">
        <v>0</v>
      </c>
      <c r="T1409">
        <v>0</v>
      </c>
      <c r="U1409">
        <v>0</v>
      </c>
      <c r="V1409">
        <v>0</v>
      </c>
      <c r="W1409">
        <v>0</v>
      </c>
      <c r="X1409">
        <v>0</v>
      </c>
      <c r="Y1409">
        <v>0</v>
      </c>
      <c r="Z1409">
        <v>0</v>
      </c>
      <c r="AA1409">
        <v>0</v>
      </c>
      <c r="AB1409">
        <v>0</v>
      </c>
      <c r="AC1409">
        <v>0</v>
      </c>
      <c r="AD1409">
        <v>0</v>
      </c>
      <c r="AE1409">
        <v>0</v>
      </c>
      <c r="AF1409">
        <v>0</v>
      </c>
      <c r="AG1409">
        <v>0</v>
      </c>
      <c r="AH1409">
        <v>0</v>
      </c>
      <c r="AI1409">
        <v>0</v>
      </c>
      <c r="AJ1409">
        <v>0</v>
      </c>
      <c r="AK1409">
        <v>0</v>
      </c>
      <c r="AL1409">
        <v>11</v>
      </c>
      <c r="AM1409">
        <v>0</v>
      </c>
      <c r="AN1409">
        <v>11</v>
      </c>
    </row>
    <row r="1410" spans="1:40" x14ac:dyDescent="0.3">
      <c r="A1410" t="s">
        <v>381</v>
      </c>
      <c r="B1410" t="s">
        <v>644</v>
      </c>
      <c r="C1410" t="s">
        <v>10</v>
      </c>
      <c r="D1410" t="s">
        <v>14</v>
      </c>
      <c r="E1410">
        <v>202602</v>
      </c>
      <c r="F1410" t="s">
        <v>134</v>
      </c>
      <c r="G1410">
        <v>0</v>
      </c>
      <c r="H1410">
        <v>0</v>
      </c>
      <c r="I1410">
        <v>0</v>
      </c>
      <c r="J1410">
        <v>0</v>
      </c>
      <c r="K1410">
        <v>1</v>
      </c>
      <c r="L1410">
        <v>0</v>
      </c>
      <c r="M1410">
        <v>0</v>
      </c>
      <c r="N1410">
        <v>0</v>
      </c>
      <c r="O1410">
        <v>0</v>
      </c>
      <c r="P1410">
        <v>0</v>
      </c>
      <c r="Q1410">
        <v>0</v>
      </c>
      <c r="R1410">
        <v>0</v>
      </c>
      <c r="S1410">
        <v>0</v>
      </c>
      <c r="T1410">
        <v>0</v>
      </c>
      <c r="U1410">
        <v>0</v>
      </c>
      <c r="V1410">
        <v>0</v>
      </c>
      <c r="W1410">
        <v>0</v>
      </c>
      <c r="X1410">
        <v>0</v>
      </c>
      <c r="Y1410">
        <v>0</v>
      </c>
      <c r="Z1410">
        <v>0</v>
      </c>
      <c r="AA1410">
        <v>0</v>
      </c>
      <c r="AB1410">
        <v>0</v>
      </c>
      <c r="AC1410">
        <v>0</v>
      </c>
      <c r="AD1410">
        <v>0</v>
      </c>
      <c r="AE1410">
        <v>0</v>
      </c>
      <c r="AF1410">
        <v>0</v>
      </c>
      <c r="AG1410">
        <v>0</v>
      </c>
      <c r="AH1410">
        <v>0</v>
      </c>
      <c r="AI1410">
        <v>0</v>
      </c>
      <c r="AJ1410">
        <v>0</v>
      </c>
      <c r="AK1410">
        <v>0</v>
      </c>
      <c r="AL1410">
        <v>1</v>
      </c>
      <c r="AM1410">
        <v>0</v>
      </c>
      <c r="AN1410">
        <v>1</v>
      </c>
    </row>
    <row r="1411" spans="1:40" x14ac:dyDescent="0.3">
      <c r="A1411" t="s">
        <v>381</v>
      </c>
      <c r="B1411" t="s">
        <v>644</v>
      </c>
      <c r="C1411" t="s">
        <v>10</v>
      </c>
      <c r="D1411" t="s">
        <v>14</v>
      </c>
      <c r="E1411">
        <v>202602</v>
      </c>
      <c r="F1411" t="s">
        <v>122</v>
      </c>
      <c r="G1411">
        <v>0</v>
      </c>
      <c r="H1411">
        <v>0</v>
      </c>
      <c r="I1411">
        <v>1</v>
      </c>
      <c r="J1411">
        <v>0</v>
      </c>
      <c r="K1411">
        <v>0</v>
      </c>
      <c r="L1411">
        <v>1</v>
      </c>
      <c r="M1411">
        <v>0</v>
      </c>
      <c r="N1411">
        <v>0</v>
      </c>
      <c r="O1411">
        <v>0</v>
      </c>
      <c r="P1411">
        <v>1</v>
      </c>
      <c r="Q1411">
        <v>0</v>
      </c>
      <c r="R1411">
        <v>0</v>
      </c>
      <c r="S1411">
        <v>0</v>
      </c>
      <c r="T1411">
        <v>0</v>
      </c>
      <c r="U1411">
        <v>0</v>
      </c>
      <c r="V1411">
        <v>0</v>
      </c>
      <c r="W1411">
        <v>0</v>
      </c>
      <c r="X1411">
        <v>0</v>
      </c>
      <c r="Y1411">
        <v>0</v>
      </c>
      <c r="Z1411">
        <v>0</v>
      </c>
      <c r="AA1411">
        <v>0</v>
      </c>
      <c r="AB1411">
        <v>0</v>
      </c>
      <c r="AC1411">
        <v>0</v>
      </c>
      <c r="AD1411">
        <v>0</v>
      </c>
      <c r="AE1411">
        <v>0</v>
      </c>
      <c r="AF1411">
        <v>0</v>
      </c>
      <c r="AG1411">
        <v>0</v>
      </c>
      <c r="AH1411">
        <v>0</v>
      </c>
      <c r="AI1411">
        <v>0</v>
      </c>
      <c r="AJ1411">
        <v>0</v>
      </c>
      <c r="AK1411">
        <v>0</v>
      </c>
      <c r="AL1411">
        <v>3</v>
      </c>
      <c r="AM1411">
        <v>0.33333333333333331</v>
      </c>
      <c r="AN1411">
        <v>7.0417410714286133</v>
      </c>
    </row>
    <row r="1412" spans="1:40" x14ac:dyDescent="0.3">
      <c r="A1412" t="s">
        <v>381</v>
      </c>
      <c r="B1412" t="s">
        <v>644</v>
      </c>
      <c r="C1412" t="s">
        <v>10</v>
      </c>
      <c r="D1412" t="s">
        <v>14</v>
      </c>
      <c r="E1412">
        <v>202602</v>
      </c>
      <c r="F1412" t="s">
        <v>123</v>
      </c>
      <c r="G1412">
        <v>0</v>
      </c>
      <c r="H1412">
        <v>0</v>
      </c>
      <c r="I1412">
        <v>0</v>
      </c>
      <c r="J1412">
        <v>0</v>
      </c>
      <c r="K1412">
        <v>0</v>
      </c>
      <c r="L1412">
        <v>1</v>
      </c>
      <c r="M1412">
        <v>0</v>
      </c>
      <c r="N1412">
        <v>0</v>
      </c>
      <c r="O1412">
        <v>0</v>
      </c>
      <c r="P1412">
        <v>0</v>
      </c>
      <c r="Q1412">
        <v>0</v>
      </c>
      <c r="R1412">
        <v>0</v>
      </c>
      <c r="S1412">
        <v>0</v>
      </c>
      <c r="T1412">
        <v>0</v>
      </c>
      <c r="U1412">
        <v>0</v>
      </c>
      <c r="V1412">
        <v>0</v>
      </c>
      <c r="W1412">
        <v>0</v>
      </c>
      <c r="X1412">
        <v>0</v>
      </c>
      <c r="Y1412">
        <v>0</v>
      </c>
      <c r="Z1412">
        <v>0</v>
      </c>
      <c r="AA1412">
        <v>0</v>
      </c>
      <c r="AB1412">
        <v>0</v>
      </c>
      <c r="AC1412">
        <v>0</v>
      </c>
      <c r="AD1412">
        <v>0</v>
      </c>
      <c r="AE1412">
        <v>0</v>
      </c>
      <c r="AF1412">
        <v>0</v>
      </c>
      <c r="AG1412">
        <v>0</v>
      </c>
      <c r="AH1412">
        <v>0</v>
      </c>
      <c r="AI1412">
        <v>0</v>
      </c>
      <c r="AJ1412">
        <v>0</v>
      </c>
      <c r="AK1412">
        <v>0</v>
      </c>
      <c r="AL1412">
        <v>1</v>
      </c>
      <c r="AM1412">
        <v>0</v>
      </c>
      <c r="AN1412">
        <v>1</v>
      </c>
    </row>
    <row r="1413" spans="1:40" x14ac:dyDescent="0.3">
      <c r="A1413" t="s">
        <v>381</v>
      </c>
      <c r="B1413" t="s">
        <v>644</v>
      </c>
      <c r="C1413" t="s">
        <v>10</v>
      </c>
      <c r="D1413" t="s">
        <v>14</v>
      </c>
      <c r="E1413">
        <v>202602</v>
      </c>
      <c r="F1413" t="s">
        <v>124</v>
      </c>
      <c r="G1413">
        <v>0</v>
      </c>
      <c r="H1413">
        <v>1</v>
      </c>
      <c r="I1413">
        <v>0</v>
      </c>
      <c r="J1413">
        <v>1</v>
      </c>
      <c r="K1413">
        <v>0</v>
      </c>
      <c r="L1413">
        <v>0</v>
      </c>
      <c r="M1413">
        <v>0</v>
      </c>
      <c r="N1413">
        <v>0</v>
      </c>
      <c r="O1413">
        <v>3</v>
      </c>
      <c r="P1413">
        <v>0</v>
      </c>
      <c r="Q1413">
        <v>0</v>
      </c>
      <c r="R1413">
        <v>0</v>
      </c>
      <c r="S1413">
        <v>0</v>
      </c>
      <c r="T1413">
        <v>0</v>
      </c>
      <c r="U1413">
        <v>0</v>
      </c>
      <c r="V1413">
        <v>0</v>
      </c>
      <c r="W1413">
        <v>0</v>
      </c>
      <c r="X1413">
        <v>0</v>
      </c>
      <c r="Y1413">
        <v>0</v>
      </c>
      <c r="Z1413">
        <v>0</v>
      </c>
      <c r="AA1413">
        <v>0</v>
      </c>
      <c r="AB1413">
        <v>0</v>
      </c>
      <c r="AC1413">
        <v>0</v>
      </c>
      <c r="AD1413">
        <v>0</v>
      </c>
      <c r="AE1413">
        <v>0</v>
      </c>
      <c r="AF1413">
        <v>0</v>
      </c>
      <c r="AG1413">
        <v>0</v>
      </c>
      <c r="AH1413">
        <v>0</v>
      </c>
      <c r="AI1413">
        <v>0</v>
      </c>
      <c r="AJ1413">
        <v>0</v>
      </c>
      <c r="AK1413">
        <v>0</v>
      </c>
      <c r="AL1413">
        <v>5</v>
      </c>
      <c r="AM1413">
        <v>1</v>
      </c>
      <c r="AN1413">
        <v>17.125223214285839</v>
      </c>
    </row>
    <row r="1414" spans="1:40" x14ac:dyDescent="0.3">
      <c r="A1414" t="s">
        <v>381</v>
      </c>
      <c r="B1414" t="s">
        <v>644</v>
      </c>
      <c r="C1414" t="s">
        <v>10</v>
      </c>
      <c r="D1414" t="s">
        <v>14</v>
      </c>
      <c r="E1414">
        <v>202602</v>
      </c>
      <c r="F1414" t="s">
        <v>436</v>
      </c>
      <c r="G1414">
        <v>0</v>
      </c>
      <c r="H1414">
        <v>0</v>
      </c>
      <c r="I1414">
        <v>0</v>
      </c>
      <c r="J1414">
        <v>0</v>
      </c>
      <c r="K1414">
        <v>0</v>
      </c>
      <c r="L1414">
        <v>0</v>
      </c>
      <c r="M1414">
        <v>1</v>
      </c>
      <c r="N1414">
        <v>0</v>
      </c>
      <c r="O1414">
        <v>0</v>
      </c>
      <c r="P1414">
        <v>0</v>
      </c>
      <c r="Q1414">
        <v>0</v>
      </c>
      <c r="R1414">
        <v>0</v>
      </c>
      <c r="S1414">
        <v>0</v>
      </c>
      <c r="T1414">
        <v>0</v>
      </c>
      <c r="U1414">
        <v>0</v>
      </c>
      <c r="V1414">
        <v>0</v>
      </c>
      <c r="W1414">
        <v>0</v>
      </c>
      <c r="X1414">
        <v>0</v>
      </c>
      <c r="Y1414">
        <v>0</v>
      </c>
      <c r="Z1414">
        <v>0</v>
      </c>
      <c r="AA1414">
        <v>0</v>
      </c>
      <c r="AB1414">
        <v>0</v>
      </c>
      <c r="AC1414">
        <v>0</v>
      </c>
      <c r="AD1414">
        <v>0</v>
      </c>
      <c r="AE1414">
        <v>0</v>
      </c>
      <c r="AF1414">
        <v>0</v>
      </c>
      <c r="AG1414">
        <v>0</v>
      </c>
      <c r="AH1414">
        <v>0</v>
      </c>
      <c r="AI1414">
        <v>0</v>
      </c>
      <c r="AJ1414">
        <v>0</v>
      </c>
      <c r="AK1414">
        <v>0</v>
      </c>
      <c r="AL1414">
        <v>1</v>
      </c>
      <c r="AM1414">
        <v>0</v>
      </c>
      <c r="AN1414">
        <v>1</v>
      </c>
    </row>
    <row r="1415" spans="1:40" x14ac:dyDescent="0.3">
      <c r="A1415" t="s">
        <v>381</v>
      </c>
      <c r="B1415" t="s">
        <v>644</v>
      </c>
      <c r="C1415" t="s">
        <v>10</v>
      </c>
      <c r="D1415" t="s">
        <v>14</v>
      </c>
      <c r="E1415">
        <v>202602</v>
      </c>
      <c r="F1415" t="s">
        <v>135</v>
      </c>
      <c r="G1415">
        <v>0</v>
      </c>
      <c r="H1415">
        <v>0</v>
      </c>
      <c r="I1415">
        <v>0</v>
      </c>
      <c r="J1415">
        <v>0</v>
      </c>
      <c r="K1415">
        <v>0</v>
      </c>
      <c r="L1415">
        <v>0</v>
      </c>
      <c r="M1415">
        <v>0</v>
      </c>
      <c r="N1415">
        <v>0</v>
      </c>
      <c r="O1415">
        <v>0</v>
      </c>
      <c r="P1415">
        <v>2</v>
      </c>
      <c r="Q1415">
        <v>0</v>
      </c>
      <c r="R1415">
        <v>0</v>
      </c>
      <c r="S1415">
        <v>0</v>
      </c>
      <c r="T1415">
        <v>0</v>
      </c>
      <c r="U1415">
        <v>0</v>
      </c>
      <c r="V1415">
        <v>0</v>
      </c>
      <c r="W1415">
        <v>0</v>
      </c>
      <c r="X1415">
        <v>0</v>
      </c>
      <c r="Y1415">
        <v>0</v>
      </c>
      <c r="Z1415">
        <v>0</v>
      </c>
      <c r="AA1415">
        <v>0</v>
      </c>
      <c r="AB1415">
        <v>0</v>
      </c>
      <c r="AC1415">
        <v>0</v>
      </c>
      <c r="AD1415">
        <v>0</v>
      </c>
      <c r="AE1415">
        <v>0</v>
      </c>
      <c r="AF1415">
        <v>0</v>
      </c>
      <c r="AG1415">
        <v>0</v>
      </c>
      <c r="AH1415">
        <v>0</v>
      </c>
      <c r="AI1415">
        <v>0</v>
      </c>
      <c r="AJ1415">
        <v>0</v>
      </c>
      <c r="AK1415">
        <v>0</v>
      </c>
      <c r="AL1415">
        <v>2</v>
      </c>
      <c r="AM1415">
        <v>0.66666666666666663</v>
      </c>
      <c r="AN1415">
        <v>10.083482142857227</v>
      </c>
    </row>
    <row r="1416" spans="1:40" x14ac:dyDescent="0.3">
      <c r="A1416" t="s">
        <v>381</v>
      </c>
      <c r="B1416" t="s">
        <v>644</v>
      </c>
      <c r="C1416" t="s">
        <v>10</v>
      </c>
      <c r="D1416" t="s">
        <v>14</v>
      </c>
      <c r="E1416">
        <v>202602</v>
      </c>
      <c r="F1416" t="s">
        <v>127</v>
      </c>
      <c r="G1416">
        <v>0</v>
      </c>
      <c r="H1416">
        <v>0</v>
      </c>
      <c r="I1416">
        <v>1</v>
      </c>
      <c r="J1416">
        <v>0</v>
      </c>
      <c r="K1416">
        <v>0</v>
      </c>
      <c r="L1416">
        <v>0</v>
      </c>
      <c r="M1416">
        <v>0</v>
      </c>
      <c r="N1416">
        <v>0</v>
      </c>
      <c r="O1416">
        <v>0</v>
      </c>
      <c r="P1416">
        <v>0</v>
      </c>
      <c r="Q1416">
        <v>0</v>
      </c>
      <c r="R1416">
        <v>0</v>
      </c>
      <c r="S1416">
        <v>0</v>
      </c>
      <c r="T1416">
        <v>0</v>
      </c>
      <c r="U1416">
        <v>0</v>
      </c>
      <c r="V1416">
        <v>0</v>
      </c>
      <c r="W1416">
        <v>0</v>
      </c>
      <c r="X1416">
        <v>0</v>
      </c>
      <c r="Y1416">
        <v>0</v>
      </c>
      <c r="Z1416">
        <v>0</v>
      </c>
      <c r="AA1416">
        <v>0</v>
      </c>
      <c r="AB1416">
        <v>0</v>
      </c>
      <c r="AC1416">
        <v>0</v>
      </c>
      <c r="AD1416">
        <v>0</v>
      </c>
      <c r="AE1416">
        <v>0</v>
      </c>
      <c r="AF1416">
        <v>0</v>
      </c>
      <c r="AG1416">
        <v>0</v>
      </c>
      <c r="AH1416">
        <v>0</v>
      </c>
      <c r="AI1416">
        <v>0</v>
      </c>
      <c r="AJ1416">
        <v>0</v>
      </c>
      <c r="AK1416">
        <v>0</v>
      </c>
      <c r="AL1416">
        <v>1</v>
      </c>
      <c r="AM1416">
        <v>0</v>
      </c>
      <c r="AN1416">
        <v>1</v>
      </c>
    </row>
    <row r="1417" spans="1:40" x14ac:dyDescent="0.3">
      <c r="A1417" t="s">
        <v>381</v>
      </c>
      <c r="B1417" t="s">
        <v>644</v>
      </c>
      <c r="C1417" t="s">
        <v>10</v>
      </c>
      <c r="D1417" t="s">
        <v>14</v>
      </c>
      <c r="E1417">
        <v>202602</v>
      </c>
      <c r="F1417" t="s">
        <v>227</v>
      </c>
      <c r="G1417">
        <v>0</v>
      </c>
      <c r="H1417">
        <v>0</v>
      </c>
      <c r="I1417">
        <v>0</v>
      </c>
      <c r="J1417">
        <v>1</v>
      </c>
      <c r="K1417">
        <v>0</v>
      </c>
      <c r="L1417">
        <v>0</v>
      </c>
      <c r="M1417">
        <v>0</v>
      </c>
      <c r="N1417">
        <v>0</v>
      </c>
      <c r="O1417">
        <v>0</v>
      </c>
      <c r="P1417">
        <v>0</v>
      </c>
      <c r="Q1417">
        <v>0</v>
      </c>
      <c r="R1417">
        <v>0</v>
      </c>
      <c r="S1417">
        <v>0</v>
      </c>
      <c r="T1417">
        <v>0</v>
      </c>
      <c r="U1417">
        <v>0</v>
      </c>
      <c r="V1417">
        <v>0</v>
      </c>
      <c r="W1417">
        <v>0</v>
      </c>
      <c r="X1417">
        <v>0</v>
      </c>
      <c r="Y1417">
        <v>0</v>
      </c>
      <c r="Z1417">
        <v>0</v>
      </c>
      <c r="AA1417">
        <v>0</v>
      </c>
      <c r="AB1417">
        <v>0</v>
      </c>
      <c r="AC1417">
        <v>0</v>
      </c>
      <c r="AD1417">
        <v>0</v>
      </c>
      <c r="AE1417">
        <v>0</v>
      </c>
      <c r="AF1417">
        <v>0</v>
      </c>
      <c r="AG1417">
        <v>0</v>
      </c>
      <c r="AH1417">
        <v>0</v>
      </c>
      <c r="AI1417">
        <v>0</v>
      </c>
      <c r="AJ1417">
        <v>0</v>
      </c>
      <c r="AK1417">
        <v>0</v>
      </c>
      <c r="AL1417">
        <v>1</v>
      </c>
      <c r="AM1417">
        <v>0</v>
      </c>
      <c r="AN1417">
        <v>1</v>
      </c>
    </row>
    <row r="1418" spans="1:40" x14ac:dyDescent="0.3">
      <c r="A1418" t="s">
        <v>381</v>
      </c>
      <c r="B1418" t="s">
        <v>644</v>
      </c>
      <c r="C1418" t="s">
        <v>10</v>
      </c>
      <c r="D1418" t="s">
        <v>14</v>
      </c>
      <c r="E1418">
        <v>202602</v>
      </c>
      <c r="F1418" t="s">
        <v>437</v>
      </c>
      <c r="G1418">
        <v>0</v>
      </c>
      <c r="H1418">
        <v>1</v>
      </c>
      <c r="I1418">
        <v>0</v>
      </c>
      <c r="J1418">
        <v>0</v>
      </c>
      <c r="K1418">
        <v>0</v>
      </c>
      <c r="L1418">
        <v>0</v>
      </c>
      <c r="M1418">
        <v>0</v>
      </c>
      <c r="N1418">
        <v>0</v>
      </c>
      <c r="O1418">
        <v>0</v>
      </c>
      <c r="P1418">
        <v>0</v>
      </c>
      <c r="Q1418">
        <v>1</v>
      </c>
      <c r="R1418">
        <v>0</v>
      </c>
      <c r="S1418">
        <v>0</v>
      </c>
      <c r="T1418">
        <v>0</v>
      </c>
      <c r="U1418">
        <v>0</v>
      </c>
      <c r="V1418">
        <v>0</v>
      </c>
      <c r="W1418">
        <v>0</v>
      </c>
      <c r="X1418">
        <v>0</v>
      </c>
      <c r="Y1418">
        <v>0</v>
      </c>
      <c r="Z1418">
        <v>0</v>
      </c>
      <c r="AA1418">
        <v>0</v>
      </c>
      <c r="AB1418">
        <v>0</v>
      </c>
      <c r="AC1418">
        <v>0</v>
      </c>
      <c r="AD1418">
        <v>0</v>
      </c>
      <c r="AE1418">
        <v>0</v>
      </c>
      <c r="AF1418">
        <v>0</v>
      </c>
      <c r="AG1418">
        <v>0</v>
      </c>
      <c r="AH1418">
        <v>0</v>
      </c>
      <c r="AI1418">
        <v>0</v>
      </c>
      <c r="AJ1418">
        <v>0</v>
      </c>
      <c r="AK1418">
        <v>0</v>
      </c>
      <c r="AL1418">
        <v>2</v>
      </c>
      <c r="AM1418">
        <v>0.33333333333333331</v>
      </c>
      <c r="AN1418">
        <v>6.0417410714286133</v>
      </c>
    </row>
    <row r="1419" spans="1:40" x14ac:dyDescent="0.3">
      <c r="A1419" t="s">
        <v>381</v>
      </c>
      <c r="B1419" t="s">
        <v>644</v>
      </c>
      <c r="C1419" t="s">
        <v>10</v>
      </c>
      <c r="D1419" t="s">
        <v>14</v>
      </c>
      <c r="E1419">
        <v>202602</v>
      </c>
      <c r="F1419" t="s">
        <v>434</v>
      </c>
      <c r="G1419">
        <v>0</v>
      </c>
      <c r="H1419">
        <v>1</v>
      </c>
      <c r="I1419">
        <v>0</v>
      </c>
      <c r="J1419">
        <v>0</v>
      </c>
      <c r="K1419">
        <v>0</v>
      </c>
      <c r="L1419">
        <v>0</v>
      </c>
      <c r="M1419">
        <v>0</v>
      </c>
      <c r="N1419">
        <v>0</v>
      </c>
      <c r="O1419">
        <v>0</v>
      </c>
      <c r="P1419">
        <v>0</v>
      </c>
      <c r="Q1419">
        <v>0</v>
      </c>
      <c r="R1419">
        <v>0</v>
      </c>
      <c r="S1419">
        <v>0</v>
      </c>
      <c r="T1419">
        <v>0</v>
      </c>
      <c r="U1419">
        <v>0</v>
      </c>
      <c r="V1419">
        <v>0</v>
      </c>
      <c r="W1419">
        <v>0</v>
      </c>
      <c r="X1419">
        <v>0</v>
      </c>
      <c r="Y1419">
        <v>0</v>
      </c>
      <c r="Z1419">
        <v>0</v>
      </c>
      <c r="AA1419">
        <v>0</v>
      </c>
      <c r="AB1419">
        <v>0</v>
      </c>
      <c r="AC1419">
        <v>0</v>
      </c>
      <c r="AD1419">
        <v>0</v>
      </c>
      <c r="AE1419">
        <v>0</v>
      </c>
      <c r="AF1419">
        <v>0</v>
      </c>
      <c r="AG1419">
        <v>0</v>
      </c>
      <c r="AH1419">
        <v>0</v>
      </c>
      <c r="AI1419">
        <v>0</v>
      </c>
      <c r="AJ1419">
        <v>0</v>
      </c>
      <c r="AK1419">
        <v>0</v>
      </c>
      <c r="AL1419">
        <v>1</v>
      </c>
      <c r="AM1419">
        <v>0</v>
      </c>
      <c r="AN1419">
        <v>1</v>
      </c>
    </row>
    <row r="1420" spans="1:40" x14ac:dyDescent="0.3">
      <c r="A1420" t="s">
        <v>381</v>
      </c>
      <c r="B1420" t="s">
        <v>644</v>
      </c>
      <c r="C1420" t="s">
        <v>16</v>
      </c>
      <c r="D1420" t="s">
        <v>14</v>
      </c>
      <c r="E1420">
        <v>202602</v>
      </c>
      <c r="F1420" t="s">
        <v>112</v>
      </c>
      <c r="G1420">
        <v>0</v>
      </c>
      <c r="H1420">
        <v>0</v>
      </c>
      <c r="I1420">
        <v>0</v>
      </c>
      <c r="J1420">
        <v>0</v>
      </c>
      <c r="K1420">
        <v>0</v>
      </c>
      <c r="L1420">
        <v>0</v>
      </c>
      <c r="M1420">
        <v>0</v>
      </c>
      <c r="N1420">
        <v>0</v>
      </c>
      <c r="O1420">
        <v>0</v>
      </c>
      <c r="P1420">
        <v>1</v>
      </c>
      <c r="Q1420">
        <v>0</v>
      </c>
      <c r="R1420">
        <v>0</v>
      </c>
      <c r="S1420">
        <v>0</v>
      </c>
      <c r="T1420">
        <v>0</v>
      </c>
      <c r="U1420">
        <v>0</v>
      </c>
      <c r="V1420">
        <v>0</v>
      </c>
      <c r="W1420">
        <v>0</v>
      </c>
      <c r="X1420">
        <v>0</v>
      </c>
      <c r="Y1420">
        <v>0</v>
      </c>
      <c r="Z1420">
        <v>0</v>
      </c>
      <c r="AA1420">
        <v>0</v>
      </c>
      <c r="AB1420">
        <v>0</v>
      </c>
      <c r="AC1420">
        <v>0</v>
      </c>
      <c r="AD1420">
        <v>0</v>
      </c>
      <c r="AE1420">
        <v>0</v>
      </c>
      <c r="AF1420">
        <v>0</v>
      </c>
      <c r="AG1420">
        <v>0</v>
      </c>
      <c r="AH1420">
        <v>0</v>
      </c>
      <c r="AI1420">
        <v>0</v>
      </c>
      <c r="AJ1420">
        <v>0</v>
      </c>
      <c r="AK1420">
        <v>0</v>
      </c>
      <c r="AL1420">
        <v>1</v>
      </c>
      <c r="AM1420">
        <v>0.33333333333333331</v>
      </c>
      <c r="AN1420">
        <v>5.0417410714286133</v>
      </c>
    </row>
    <row r="1421" spans="1:40" x14ac:dyDescent="0.3">
      <c r="A1421" t="s">
        <v>381</v>
      </c>
      <c r="B1421" t="s">
        <v>644</v>
      </c>
      <c r="C1421" t="s">
        <v>16</v>
      </c>
      <c r="D1421" t="s">
        <v>14</v>
      </c>
      <c r="E1421">
        <v>202602</v>
      </c>
      <c r="F1421" t="s">
        <v>117</v>
      </c>
      <c r="G1421">
        <v>0</v>
      </c>
      <c r="H1421">
        <v>0</v>
      </c>
      <c r="I1421">
        <v>0</v>
      </c>
      <c r="J1421">
        <v>1</v>
      </c>
      <c r="K1421">
        <v>0</v>
      </c>
      <c r="L1421">
        <v>0</v>
      </c>
      <c r="M1421">
        <v>0</v>
      </c>
      <c r="N1421">
        <v>0</v>
      </c>
      <c r="O1421">
        <v>0</v>
      </c>
      <c r="P1421">
        <v>0</v>
      </c>
      <c r="Q1421">
        <v>0</v>
      </c>
      <c r="R1421">
        <v>0</v>
      </c>
      <c r="S1421">
        <v>0</v>
      </c>
      <c r="T1421">
        <v>0</v>
      </c>
      <c r="U1421">
        <v>0</v>
      </c>
      <c r="V1421">
        <v>0</v>
      </c>
      <c r="W1421">
        <v>0</v>
      </c>
      <c r="X1421">
        <v>0</v>
      </c>
      <c r="Y1421">
        <v>0</v>
      </c>
      <c r="Z1421">
        <v>0</v>
      </c>
      <c r="AA1421">
        <v>0</v>
      </c>
      <c r="AB1421">
        <v>0</v>
      </c>
      <c r="AC1421">
        <v>0</v>
      </c>
      <c r="AD1421">
        <v>0</v>
      </c>
      <c r="AE1421">
        <v>0</v>
      </c>
      <c r="AF1421">
        <v>0</v>
      </c>
      <c r="AG1421">
        <v>0</v>
      </c>
      <c r="AH1421">
        <v>0</v>
      </c>
      <c r="AI1421">
        <v>0</v>
      </c>
      <c r="AJ1421">
        <v>0</v>
      </c>
      <c r="AK1421">
        <v>0</v>
      </c>
      <c r="AL1421">
        <v>1</v>
      </c>
      <c r="AM1421">
        <v>0</v>
      </c>
      <c r="AN1421">
        <v>1</v>
      </c>
    </row>
    <row r="1422" spans="1:40" x14ac:dyDescent="0.3">
      <c r="A1422" t="s">
        <v>381</v>
      </c>
      <c r="B1422" t="s">
        <v>644</v>
      </c>
      <c r="C1422" t="s">
        <v>16</v>
      </c>
      <c r="D1422" t="s">
        <v>14</v>
      </c>
      <c r="E1422">
        <v>202602</v>
      </c>
      <c r="F1422" t="s">
        <v>320</v>
      </c>
      <c r="G1422">
        <v>0</v>
      </c>
      <c r="H1422">
        <v>0</v>
      </c>
      <c r="I1422">
        <v>0</v>
      </c>
      <c r="J1422">
        <v>0</v>
      </c>
      <c r="K1422">
        <v>0</v>
      </c>
      <c r="L1422">
        <v>0</v>
      </c>
      <c r="M1422">
        <v>0</v>
      </c>
      <c r="N1422">
        <v>0</v>
      </c>
      <c r="O1422">
        <v>0</v>
      </c>
      <c r="P1422">
        <v>1</v>
      </c>
      <c r="Q1422">
        <v>0</v>
      </c>
      <c r="R1422">
        <v>0</v>
      </c>
      <c r="S1422">
        <v>0</v>
      </c>
      <c r="T1422">
        <v>0</v>
      </c>
      <c r="U1422">
        <v>0</v>
      </c>
      <c r="V1422">
        <v>0</v>
      </c>
      <c r="W1422">
        <v>0</v>
      </c>
      <c r="X1422">
        <v>0</v>
      </c>
      <c r="Y1422">
        <v>0</v>
      </c>
      <c r="Z1422">
        <v>0</v>
      </c>
      <c r="AA1422">
        <v>0</v>
      </c>
      <c r="AB1422">
        <v>0</v>
      </c>
      <c r="AC1422">
        <v>0</v>
      </c>
      <c r="AD1422">
        <v>0</v>
      </c>
      <c r="AE1422">
        <v>0</v>
      </c>
      <c r="AF1422">
        <v>0</v>
      </c>
      <c r="AG1422">
        <v>0</v>
      </c>
      <c r="AH1422">
        <v>0</v>
      </c>
      <c r="AI1422">
        <v>0</v>
      </c>
      <c r="AJ1422">
        <v>0</v>
      </c>
      <c r="AK1422">
        <v>0</v>
      </c>
      <c r="AL1422">
        <v>1</v>
      </c>
      <c r="AM1422">
        <v>0.33333333333333331</v>
      </c>
      <c r="AN1422">
        <v>5.0417410714286133</v>
      </c>
    </row>
    <row r="1423" spans="1:40" x14ac:dyDescent="0.3">
      <c r="A1423" t="s">
        <v>381</v>
      </c>
      <c r="B1423" t="s">
        <v>136</v>
      </c>
      <c r="C1423" t="s">
        <v>10</v>
      </c>
      <c r="D1423" t="s">
        <v>11</v>
      </c>
      <c r="E1423">
        <v>202602</v>
      </c>
      <c r="F1423" t="s">
        <v>42</v>
      </c>
      <c r="G1423">
        <v>0</v>
      </c>
      <c r="H1423">
        <v>2</v>
      </c>
      <c r="I1423">
        <v>0</v>
      </c>
      <c r="J1423">
        <v>0</v>
      </c>
      <c r="K1423">
        <v>1</v>
      </c>
      <c r="L1423">
        <v>0</v>
      </c>
      <c r="M1423">
        <v>0</v>
      </c>
      <c r="N1423">
        <v>0</v>
      </c>
      <c r="O1423">
        <v>0</v>
      </c>
      <c r="P1423">
        <v>1</v>
      </c>
      <c r="Q1423">
        <v>0</v>
      </c>
      <c r="R1423">
        <v>0</v>
      </c>
      <c r="S1423">
        <v>0</v>
      </c>
      <c r="T1423">
        <v>0</v>
      </c>
      <c r="U1423">
        <v>0</v>
      </c>
      <c r="V1423">
        <v>0</v>
      </c>
      <c r="W1423">
        <v>0</v>
      </c>
      <c r="X1423">
        <v>0</v>
      </c>
      <c r="Y1423">
        <v>0</v>
      </c>
      <c r="Z1423">
        <v>0</v>
      </c>
      <c r="AA1423">
        <v>0</v>
      </c>
      <c r="AB1423">
        <v>0</v>
      </c>
      <c r="AC1423">
        <v>0</v>
      </c>
      <c r="AD1423">
        <v>0</v>
      </c>
      <c r="AE1423">
        <v>0</v>
      </c>
      <c r="AF1423">
        <v>0</v>
      </c>
      <c r="AG1423">
        <v>0</v>
      </c>
      <c r="AH1423">
        <v>0</v>
      </c>
      <c r="AI1423">
        <v>0</v>
      </c>
      <c r="AJ1423">
        <v>0</v>
      </c>
      <c r="AK1423">
        <v>0</v>
      </c>
      <c r="AL1423">
        <v>4</v>
      </c>
      <c r="AM1423">
        <v>0.33333333333333331</v>
      </c>
      <c r="AN1423">
        <v>8.6046251398731108</v>
      </c>
    </row>
    <row r="1424" spans="1:40" x14ac:dyDescent="0.3">
      <c r="A1424" t="s">
        <v>381</v>
      </c>
      <c r="B1424" t="s">
        <v>136</v>
      </c>
      <c r="C1424" t="s">
        <v>10</v>
      </c>
      <c r="D1424" t="s">
        <v>14</v>
      </c>
      <c r="E1424">
        <v>202602</v>
      </c>
      <c r="F1424" t="s">
        <v>42</v>
      </c>
      <c r="G1424">
        <v>0</v>
      </c>
      <c r="H1424">
        <v>1</v>
      </c>
      <c r="I1424">
        <v>0</v>
      </c>
      <c r="J1424">
        <v>1</v>
      </c>
      <c r="K1424">
        <v>0</v>
      </c>
      <c r="L1424">
        <v>0</v>
      </c>
      <c r="M1424">
        <v>0</v>
      </c>
      <c r="N1424">
        <v>0</v>
      </c>
      <c r="O1424">
        <v>0</v>
      </c>
      <c r="P1424">
        <v>0</v>
      </c>
      <c r="Q1424">
        <v>1</v>
      </c>
      <c r="R1424">
        <v>0</v>
      </c>
      <c r="S1424">
        <v>0</v>
      </c>
      <c r="T1424">
        <v>0</v>
      </c>
      <c r="U1424">
        <v>0</v>
      </c>
      <c r="V1424">
        <v>0</v>
      </c>
      <c r="W1424">
        <v>0</v>
      </c>
      <c r="X1424">
        <v>0</v>
      </c>
      <c r="Y1424">
        <v>0</v>
      </c>
      <c r="Z1424">
        <v>0</v>
      </c>
      <c r="AA1424">
        <v>0</v>
      </c>
      <c r="AB1424">
        <v>0</v>
      </c>
      <c r="AC1424">
        <v>0</v>
      </c>
      <c r="AD1424">
        <v>0</v>
      </c>
      <c r="AE1424">
        <v>0</v>
      </c>
      <c r="AF1424">
        <v>0</v>
      </c>
      <c r="AG1424">
        <v>0</v>
      </c>
      <c r="AH1424">
        <v>0</v>
      </c>
      <c r="AI1424">
        <v>0</v>
      </c>
      <c r="AJ1424">
        <v>0</v>
      </c>
      <c r="AK1424">
        <v>0</v>
      </c>
      <c r="AL1424">
        <v>3</v>
      </c>
      <c r="AM1424">
        <v>0.33333333333333331</v>
      </c>
      <c r="AN1424">
        <v>7.0417410714286133</v>
      </c>
    </row>
    <row r="1425" spans="1:40" x14ac:dyDescent="0.3">
      <c r="A1425" t="s">
        <v>381</v>
      </c>
      <c r="B1425" t="s">
        <v>684</v>
      </c>
      <c r="C1425" t="s">
        <v>10</v>
      </c>
      <c r="D1425" t="s">
        <v>11</v>
      </c>
      <c r="E1425">
        <v>202602</v>
      </c>
      <c r="F1425" t="s">
        <v>101</v>
      </c>
      <c r="G1425">
        <v>0</v>
      </c>
      <c r="H1425">
        <v>0</v>
      </c>
      <c r="I1425">
        <v>0</v>
      </c>
      <c r="J1425">
        <v>1</v>
      </c>
      <c r="K1425">
        <v>0</v>
      </c>
      <c r="L1425">
        <v>0</v>
      </c>
      <c r="M1425">
        <v>0</v>
      </c>
      <c r="N1425">
        <v>0</v>
      </c>
      <c r="O1425">
        <v>1</v>
      </c>
      <c r="P1425">
        <v>1</v>
      </c>
      <c r="Q1425">
        <v>0</v>
      </c>
      <c r="R1425">
        <v>0</v>
      </c>
      <c r="S1425">
        <v>0</v>
      </c>
      <c r="T1425">
        <v>0</v>
      </c>
      <c r="U1425">
        <v>0</v>
      </c>
      <c r="V1425">
        <v>0</v>
      </c>
      <c r="W1425">
        <v>0</v>
      </c>
      <c r="X1425">
        <v>0</v>
      </c>
      <c r="Y1425">
        <v>0</v>
      </c>
      <c r="Z1425">
        <v>0</v>
      </c>
      <c r="AA1425">
        <v>0</v>
      </c>
      <c r="AB1425">
        <v>0</v>
      </c>
      <c r="AC1425">
        <v>0</v>
      </c>
      <c r="AD1425">
        <v>0</v>
      </c>
      <c r="AE1425">
        <v>0</v>
      </c>
      <c r="AF1425">
        <v>0</v>
      </c>
      <c r="AG1425">
        <v>0</v>
      </c>
      <c r="AH1425">
        <v>0</v>
      </c>
      <c r="AI1425">
        <v>0</v>
      </c>
      <c r="AJ1425">
        <v>0</v>
      </c>
      <c r="AK1425">
        <v>0</v>
      </c>
      <c r="AL1425">
        <v>3</v>
      </c>
      <c r="AM1425">
        <v>0.66666666666666663</v>
      </c>
      <c r="AN1425">
        <v>12.209250279746223</v>
      </c>
    </row>
    <row r="1426" spans="1:40" x14ac:dyDescent="0.3">
      <c r="A1426" t="s">
        <v>381</v>
      </c>
      <c r="B1426" t="s">
        <v>684</v>
      </c>
      <c r="C1426" t="s">
        <v>10</v>
      </c>
      <c r="D1426" t="s">
        <v>11</v>
      </c>
      <c r="E1426">
        <v>202602</v>
      </c>
      <c r="F1426" t="s">
        <v>138</v>
      </c>
      <c r="G1426">
        <v>0</v>
      </c>
      <c r="H1426">
        <v>0</v>
      </c>
      <c r="I1426">
        <v>1</v>
      </c>
      <c r="J1426">
        <v>0</v>
      </c>
      <c r="K1426">
        <v>0</v>
      </c>
      <c r="L1426">
        <v>0</v>
      </c>
      <c r="M1426">
        <v>0</v>
      </c>
      <c r="N1426">
        <v>0</v>
      </c>
      <c r="O1426">
        <v>1</v>
      </c>
      <c r="P1426">
        <v>0</v>
      </c>
      <c r="Q1426">
        <v>0</v>
      </c>
      <c r="R1426">
        <v>0</v>
      </c>
      <c r="S1426">
        <v>0</v>
      </c>
      <c r="T1426">
        <v>0</v>
      </c>
      <c r="U1426">
        <v>0</v>
      </c>
      <c r="V1426">
        <v>0</v>
      </c>
      <c r="W1426">
        <v>0</v>
      </c>
      <c r="X1426">
        <v>0</v>
      </c>
      <c r="Y1426">
        <v>0</v>
      </c>
      <c r="Z1426">
        <v>0</v>
      </c>
      <c r="AA1426">
        <v>0</v>
      </c>
      <c r="AB1426">
        <v>0</v>
      </c>
      <c r="AC1426">
        <v>0</v>
      </c>
      <c r="AD1426">
        <v>0</v>
      </c>
      <c r="AE1426">
        <v>0</v>
      </c>
      <c r="AF1426">
        <v>0</v>
      </c>
      <c r="AG1426">
        <v>0</v>
      </c>
      <c r="AH1426">
        <v>0</v>
      </c>
      <c r="AI1426">
        <v>0</v>
      </c>
      <c r="AJ1426">
        <v>0</v>
      </c>
      <c r="AK1426">
        <v>0</v>
      </c>
      <c r="AL1426">
        <v>2</v>
      </c>
      <c r="AM1426">
        <v>0.33333333333333331</v>
      </c>
      <c r="AN1426">
        <v>6.6046251398731117</v>
      </c>
    </row>
    <row r="1427" spans="1:40" x14ac:dyDescent="0.3">
      <c r="A1427" t="s">
        <v>381</v>
      </c>
      <c r="B1427" t="s">
        <v>684</v>
      </c>
      <c r="C1427" t="s">
        <v>10</v>
      </c>
      <c r="D1427" t="s">
        <v>14</v>
      </c>
      <c r="E1427">
        <v>202602</v>
      </c>
      <c r="F1427" t="s">
        <v>101</v>
      </c>
      <c r="G1427">
        <v>0</v>
      </c>
      <c r="H1427">
        <v>0</v>
      </c>
      <c r="I1427">
        <v>0</v>
      </c>
      <c r="J1427">
        <v>1</v>
      </c>
      <c r="K1427">
        <v>0</v>
      </c>
      <c r="L1427">
        <v>2</v>
      </c>
      <c r="M1427">
        <v>0</v>
      </c>
      <c r="N1427">
        <v>0</v>
      </c>
      <c r="O1427">
        <v>0</v>
      </c>
      <c r="P1427">
        <v>0</v>
      </c>
      <c r="Q1427">
        <v>1</v>
      </c>
      <c r="R1427">
        <v>0</v>
      </c>
      <c r="S1427">
        <v>0</v>
      </c>
      <c r="T1427">
        <v>0</v>
      </c>
      <c r="U1427">
        <v>0</v>
      </c>
      <c r="V1427">
        <v>0</v>
      </c>
      <c r="W1427">
        <v>0</v>
      </c>
      <c r="X1427">
        <v>0</v>
      </c>
      <c r="Y1427">
        <v>0</v>
      </c>
      <c r="Z1427">
        <v>0</v>
      </c>
      <c r="AA1427">
        <v>0</v>
      </c>
      <c r="AB1427">
        <v>0</v>
      </c>
      <c r="AC1427">
        <v>0</v>
      </c>
      <c r="AD1427">
        <v>0</v>
      </c>
      <c r="AE1427">
        <v>0</v>
      </c>
      <c r="AF1427">
        <v>0</v>
      </c>
      <c r="AG1427">
        <v>0</v>
      </c>
      <c r="AH1427">
        <v>0</v>
      </c>
      <c r="AI1427">
        <v>0</v>
      </c>
      <c r="AJ1427">
        <v>0</v>
      </c>
      <c r="AK1427">
        <v>0</v>
      </c>
      <c r="AL1427">
        <v>4</v>
      </c>
      <c r="AM1427">
        <v>0.33333333333333331</v>
      </c>
      <c r="AN1427">
        <v>8.0417410714286142</v>
      </c>
    </row>
    <row r="1428" spans="1:40" x14ac:dyDescent="0.3">
      <c r="A1428" t="s">
        <v>381</v>
      </c>
      <c r="B1428" t="s">
        <v>684</v>
      </c>
      <c r="C1428" t="s">
        <v>10</v>
      </c>
      <c r="D1428" t="s">
        <v>14</v>
      </c>
      <c r="E1428">
        <v>202602</v>
      </c>
      <c r="F1428" t="s">
        <v>138</v>
      </c>
      <c r="G1428">
        <v>0</v>
      </c>
      <c r="H1428">
        <v>0</v>
      </c>
      <c r="I1428">
        <v>1</v>
      </c>
      <c r="J1428">
        <v>0</v>
      </c>
      <c r="K1428">
        <v>1</v>
      </c>
      <c r="L1428">
        <v>2</v>
      </c>
      <c r="M1428">
        <v>0</v>
      </c>
      <c r="N1428">
        <v>0</v>
      </c>
      <c r="O1428">
        <v>0</v>
      </c>
      <c r="P1428">
        <v>0</v>
      </c>
      <c r="Q1428">
        <v>0</v>
      </c>
      <c r="R1428">
        <v>0</v>
      </c>
      <c r="S1428">
        <v>0</v>
      </c>
      <c r="T1428">
        <v>0</v>
      </c>
      <c r="U1428">
        <v>0</v>
      </c>
      <c r="V1428">
        <v>0</v>
      </c>
      <c r="W1428">
        <v>0</v>
      </c>
      <c r="X1428">
        <v>0</v>
      </c>
      <c r="Y1428">
        <v>0</v>
      </c>
      <c r="Z1428">
        <v>0</v>
      </c>
      <c r="AA1428">
        <v>0</v>
      </c>
      <c r="AB1428">
        <v>0</v>
      </c>
      <c r="AC1428">
        <v>0</v>
      </c>
      <c r="AD1428">
        <v>0</v>
      </c>
      <c r="AE1428">
        <v>0</v>
      </c>
      <c r="AF1428">
        <v>0</v>
      </c>
      <c r="AG1428">
        <v>0</v>
      </c>
      <c r="AH1428">
        <v>0</v>
      </c>
      <c r="AI1428">
        <v>0</v>
      </c>
      <c r="AJ1428">
        <v>0</v>
      </c>
      <c r="AK1428">
        <v>0</v>
      </c>
      <c r="AL1428">
        <v>4</v>
      </c>
      <c r="AM1428">
        <v>0</v>
      </c>
      <c r="AN1428">
        <v>4</v>
      </c>
    </row>
    <row r="1429" spans="1:40" x14ac:dyDescent="0.3">
      <c r="A1429" t="s">
        <v>381</v>
      </c>
      <c r="B1429" t="s">
        <v>139</v>
      </c>
      <c r="C1429" t="s">
        <v>10</v>
      </c>
      <c r="D1429" t="s">
        <v>11</v>
      </c>
      <c r="E1429">
        <v>202602</v>
      </c>
      <c r="F1429" t="s">
        <v>438</v>
      </c>
      <c r="G1429">
        <v>0</v>
      </c>
      <c r="H1429">
        <v>2</v>
      </c>
      <c r="I1429">
        <v>0</v>
      </c>
      <c r="J1429">
        <v>3</v>
      </c>
      <c r="K1429">
        <v>0</v>
      </c>
      <c r="L1429">
        <v>0</v>
      </c>
      <c r="M1429">
        <v>0</v>
      </c>
      <c r="N1429">
        <v>0</v>
      </c>
      <c r="O1429">
        <v>4</v>
      </c>
      <c r="P1429">
        <v>0</v>
      </c>
      <c r="Q1429">
        <v>1</v>
      </c>
      <c r="R1429">
        <v>0</v>
      </c>
      <c r="S1429">
        <v>0</v>
      </c>
      <c r="T1429">
        <v>0</v>
      </c>
      <c r="U1429">
        <v>0</v>
      </c>
      <c r="V1429">
        <v>0</v>
      </c>
      <c r="W1429">
        <v>0</v>
      </c>
      <c r="X1429">
        <v>0</v>
      </c>
      <c r="Y1429">
        <v>0</v>
      </c>
      <c r="Z1429">
        <v>0</v>
      </c>
      <c r="AA1429">
        <v>0</v>
      </c>
      <c r="AB1429">
        <v>0</v>
      </c>
      <c r="AC1429">
        <v>0</v>
      </c>
      <c r="AD1429">
        <v>0</v>
      </c>
      <c r="AE1429">
        <v>0</v>
      </c>
      <c r="AF1429">
        <v>0</v>
      </c>
      <c r="AG1429">
        <v>0</v>
      </c>
      <c r="AH1429">
        <v>0</v>
      </c>
      <c r="AI1429">
        <v>0</v>
      </c>
      <c r="AJ1429">
        <v>0</v>
      </c>
      <c r="AK1429">
        <v>0</v>
      </c>
      <c r="AL1429">
        <v>10</v>
      </c>
      <c r="AM1429">
        <v>1.6666666666666667</v>
      </c>
      <c r="AN1429">
        <v>33.023125699365558</v>
      </c>
    </row>
    <row r="1430" spans="1:40" x14ac:dyDescent="0.3">
      <c r="A1430" t="s">
        <v>381</v>
      </c>
      <c r="B1430" t="s">
        <v>139</v>
      </c>
      <c r="C1430" t="s">
        <v>10</v>
      </c>
      <c r="D1430" t="s">
        <v>11</v>
      </c>
      <c r="E1430">
        <v>202602</v>
      </c>
      <c r="F1430" t="s">
        <v>283</v>
      </c>
      <c r="G1430">
        <v>0</v>
      </c>
      <c r="H1430">
        <v>0</v>
      </c>
      <c r="I1430">
        <v>0</v>
      </c>
      <c r="J1430">
        <v>2</v>
      </c>
      <c r="K1430">
        <v>1</v>
      </c>
      <c r="L1430">
        <v>1</v>
      </c>
      <c r="M1430">
        <v>1</v>
      </c>
      <c r="N1430">
        <v>1</v>
      </c>
      <c r="O1430">
        <v>2</v>
      </c>
      <c r="P1430">
        <v>0</v>
      </c>
      <c r="Q1430">
        <v>6</v>
      </c>
      <c r="R1430">
        <v>0</v>
      </c>
      <c r="S1430">
        <v>0</v>
      </c>
      <c r="T1430">
        <v>0</v>
      </c>
      <c r="U1430">
        <v>0</v>
      </c>
      <c r="V1430">
        <v>0</v>
      </c>
      <c r="W1430">
        <v>0</v>
      </c>
      <c r="X1430">
        <v>0</v>
      </c>
      <c r="Y1430">
        <v>0</v>
      </c>
      <c r="Z1430">
        <v>0</v>
      </c>
      <c r="AA1430">
        <v>0</v>
      </c>
      <c r="AB1430">
        <v>0</v>
      </c>
      <c r="AC1430">
        <v>0</v>
      </c>
      <c r="AD1430">
        <v>0</v>
      </c>
      <c r="AE1430">
        <v>0</v>
      </c>
      <c r="AF1430">
        <v>0</v>
      </c>
      <c r="AG1430">
        <v>0</v>
      </c>
      <c r="AH1430">
        <v>0</v>
      </c>
      <c r="AI1430">
        <v>0</v>
      </c>
      <c r="AJ1430">
        <v>0</v>
      </c>
      <c r="AK1430">
        <v>0</v>
      </c>
      <c r="AL1430">
        <v>14</v>
      </c>
      <c r="AM1430">
        <v>2.6666666666666665</v>
      </c>
      <c r="AN1430">
        <v>50.837001118984894</v>
      </c>
    </row>
    <row r="1431" spans="1:40" x14ac:dyDescent="0.3">
      <c r="A1431" t="s">
        <v>381</v>
      </c>
      <c r="B1431" t="s">
        <v>139</v>
      </c>
      <c r="C1431" t="s">
        <v>10</v>
      </c>
      <c r="D1431" t="s">
        <v>11</v>
      </c>
      <c r="E1431">
        <v>202602</v>
      </c>
      <c r="F1431" t="s">
        <v>439</v>
      </c>
      <c r="G1431">
        <v>0</v>
      </c>
      <c r="H1431">
        <v>0</v>
      </c>
      <c r="I1431">
        <v>0</v>
      </c>
      <c r="J1431">
        <v>0</v>
      </c>
      <c r="K1431">
        <v>0</v>
      </c>
      <c r="L1431">
        <v>1</v>
      </c>
      <c r="M1431">
        <v>0</v>
      </c>
      <c r="N1431">
        <v>0</v>
      </c>
      <c r="O1431">
        <v>1</v>
      </c>
      <c r="P1431">
        <v>0</v>
      </c>
      <c r="Q1431">
        <v>2</v>
      </c>
      <c r="R1431">
        <v>0</v>
      </c>
      <c r="S1431">
        <v>0</v>
      </c>
      <c r="T1431">
        <v>0</v>
      </c>
      <c r="U1431">
        <v>0</v>
      </c>
      <c r="V1431">
        <v>0</v>
      </c>
      <c r="W1431">
        <v>0</v>
      </c>
      <c r="X1431">
        <v>0</v>
      </c>
      <c r="Y1431">
        <v>0</v>
      </c>
      <c r="Z1431">
        <v>0</v>
      </c>
      <c r="AA1431">
        <v>0</v>
      </c>
      <c r="AB1431">
        <v>0</v>
      </c>
      <c r="AC1431">
        <v>0</v>
      </c>
      <c r="AD1431">
        <v>0</v>
      </c>
      <c r="AE1431">
        <v>0</v>
      </c>
      <c r="AF1431">
        <v>0</v>
      </c>
      <c r="AG1431">
        <v>0</v>
      </c>
      <c r="AH1431">
        <v>0</v>
      </c>
      <c r="AI1431">
        <v>0</v>
      </c>
      <c r="AJ1431">
        <v>0</v>
      </c>
      <c r="AK1431">
        <v>0</v>
      </c>
      <c r="AL1431">
        <v>4</v>
      </c>
      <c r="AM1431">
        <v>1</v>
      </c>
      <c r="AN1431">
        <v>17.813875419619336</v>
      </c>
    </row>
    <row r="1432" spans="1:40" x14ac:dyDescent="0.3">
      <c r="A1432" t="s">
        <v>381</v>
      </c>
      <c r="B1432" t="s">
        <v>139</v>
      </c>
      <c r="C1432" t="s">
        <v>10</v>
      </c>
      <c r="D1432" t="s">
        <v>11</v>
      </c>
      <c r="E1432">
        <v>202602</v>
      </c>
      <c r="F1432" t="s">
        <v>415</v>
      </c>
      <c r="G1432">
        <v>0</v>
      </c>
      <c r="H1432">
        <v>0</v>
      </c>
      <c r="I1432">
        <v>0</v>
      </c>
      <c r="J1432">
        <v>0</v>
      </c>
      <c r="K1432">
        <v>1</v>
      </c>
      <c r="L1432">
        <v>0</v>
      </c>
      <c r="M1432">
        <v>0</v>
      </c>
      <c r="N1432">
        <v>0</v>
      </c>
      <c r="O1432">
        <v>0</v>
      </c>
      <c r="P1432">
        <v>0</v>
      </c>
      <c r="Q1432">
        <v>0</v>
      </c>
      <c r="R1432">
        <v>0</v>
      </c>
      <c r="S1432">
        <v>0</v>
      </c>
      <c r="T1432">
        <v>0</v>
      </c>
      <c r="U1432">
        <v>0</v>
      </c>
      <c r="V1432">
        <v>0</v>
      </c>
      <c r="W1432">
        <v>0</v>
      </c>
      <c r="X1432">
        <v>0</v>
      </c>
      <c r="Y1432">
        <v>0</v>
      </c>
      <c r="Z1432">
        <v>0</v>
      </c>
      <c r="AA1432">
        <v>0</v>
      </c>
      <c r="AB1432">
        <v>0</v>
      </c>
      <c r="AC1432">
        <v>0</v>
      </c>
      <c r="AD1432">
        <v>0</v>
      </c>
      <c r="AE1432">
        <v>0</v>
      </c>
      <c r="AF1432">
        <v>0</v>
      </c>
      <c r="AG1432">
        <v>0</v>
      </c>
      <c r="AH1432">
        <v>0</v>
      </c>
      <c r="AI1432">
        <v>0</v>
      </c>
      <c r="AJ1432">
        <v>0</v>
      </c>
      <c r="AK1432">
        <v>0</v>
      </c>
      <c r="AL1432">
        <v>1</v>
      </c>
      <c r="AM1432">
        <v>0</v>
      </c>
      <c r="AN1432">
        <v>1</v>
      </c>
    </row>
    <row r="1433" spans="1:40" x14ac:dyDescent="0.3">
      <c r="A1433" t="s">
        <v>381</v>
      </c>
      <c r="B1433" t="s">
        <v>139</v>
      </c>
      <c r="C1433" t="s">
        <v>10</v>
      </c>
      <c r="D1433" t="s">
        <v>11</v>
      </c>
      <c r="E1433">
        <v>202602</v>
      </c>
      <c r="F1433" t="s">
        <v>440</v>
      </c>
      <c r="G1433">
        <v>0</v>
      </c>
      <c r="H1433">
        <v>0</v>
      </c>
      <c r="I1433">
        <v>0</v>
      </c>
      <c r="J1433">
        <v>1</v>
      </c>
      <c r="K1433">
        <v>0</v>
      </c>
      <c r="L1433">
        <v>0</v>
      </c>
      <c r="M1433">
        <v>0</v>
      </c>
      <c r="N1433">
        <v>0</v>
      </c>
      <c r="O1433">
        <v>0</v>
      </c>
      <c r="P1433">
        <v>0</v>
      </c>
      <c r="Q1433">
        <v>1</v>
      </c>
      <c r="R1433">
        <v>0</v>
      </c>
      <c r="S1433">
        <v>0</v>
      </c>
      <c r="T1433">
        <v>0</v>
      </c>
      <c r="U1433">
        <v>0</v>
      </c>
      <c r="V1433">
        <v>0</v>
      </c>
      <c r="W1433">
        <v>0</v>
      </c>
      <c r="X1433">
        <v>0</v>
      </c>
      <c r="Y1433">
        <v>0</v>
      </c>
      <c r="Z1433">
        <v>0</v>
      </c>
      <c r="AA1433">
        <v>0</v>
      </c>
      <c r="AB1433">
        <v>0</v>
      </c>
      <c r="AC1433">
        <v>0</v>
      </c>
      <c r="AD1433">
        <v>0</v>
      </c>
      <c r="AE1433">
        <v>0</v>
      </c>
      <c r="AF1433">
        <v>0</v>
      </c>
      <c r="AG1433">
        <v>0</v>
      </c>
      <c r="AH1433">
        <v>0</v>
      </c>
      <c r="AI1433">
        <v>0</v>
      </c>
      <c r="AJ1433">
        <v>0</v>
      </c>
      <c r="AK1433">
        <v>0</v>
      </c>
      <c r="AL1433">
        <v>2</v>
      </c>
      <c r="AM1433">
        <v>0.33333333333333331</v>
      </c>
      <c r="AN1433">
        <v>6.6046251398731117</v>
      </c>
    </row>
    <row r="1434" spans="1:40" x14ac:dyDescent="0.3">
      <c r="A1434" t="s">
        <v>381</v>
      </c>
      <c r="B1434" t="s">
        <v>139</v>
      </c>
      <c r="C1434" t="s">
        <v>10</v>
      </c>
      <c r="D1434" t="s">
        <v>11</v>
      </c>
      <c r="E1434">
        <v>202602</v>
      </c>
      <c r="F1434" t="s">
        <v>444</v>
      </c>
      <c r="G1434">
        <v>0</v>
      </c>
      <c r="H1434">
        <v>0</v>
      </c>
      <c r="I1434">
        <v>0</v>
      </c>
      <c r="J1434">
        <v>0</v>
      </c>
      <c r="K1434">
        <v>0</v>
      </c>
      <c r="L1434">
        <v>0</v>
      </c>
      <c r="M1434">
        <v>0</v>
      </c>
      <c r="N1434">
        <v>0</v>
      </c>
      <c r="O1434">
        <v>0</v>
      </c>
      <c r="P1434">
        <v>0</v>
      </c>
      <c r="Q1434">
        <v>1</v>
      </c>
      <c r="R1434">
        <v>0</v>
      </c>
      <c r="S1434">
        <v>0</v>
      </c>
      <c r="T1434">
        <v>0</v>
      </c>
      <c r="U1434">
        <v>0</v>
      </c>
      <c r="V1434">
        <v>0</v>
      </c>
      <c r="W1434">
        <v>0</v>
      </c>
      <c r="X1434">
        <v>0</v>
      </c>
      <c r="Y1434">
        <v>0</v>
      </c>
      <c r="Z1434">
        <v>0</v>
      </c>
      <c r="AA1434">
        <v>0</v>
      </c>
      <c r="AB1434">
        <v>0</v>
      </c>
      <c r="AC1434">
        <v>0</v>
      </c>
      <c r="AD1434">
        <v>0</v>
      </c>
      <c r="AE1434">
        <v>0</v>
      </c>
      <c r="AF1434">
        <v>0</v>
      </c>
      <c r="AG1434">
        <v>0</v>
      </c>
      <c r="AH1434">
        <v>0</v>
      </c>
      <c r="AI1434">
        <v>0</v>
      </c>
      <c r="AJ1434">
        <v>0</v>
      </c>
      <c r="AK1434">
        <v>0</v>
      </c>
      <c r="AL1434">
        <v>1</v>
      </c>
      <c r="AM1434">
        <v>0.33333333333333331</v>
      </c>
      <c r="AN1434">
        <v>5.6046251398731117</v>
      </c>
    </row>
    <row r="1435" spans="1:40" x14ac:dyDescent="0.3">
      <c r="A1435" t="s">
        <v>381</v>
      </c>
      <c r="B1435" t="s">
        <v>139</v>
      </c>
      <c r="C1435" t="s">
        <v>10</v>
      </c>
      <c r="D1435" t="s">
        <v>11</v>
      </c>
      <c r="E1435">
        <v>202602</v>
      </c>
      <c r="F1435" t="s">
        <v>441</v>
      </c>
      <c r="G1435">
        <v>0</v>
      </c>
      <c r="H1435">
        <v>0</v>
      </c>
      <c r="I1435">
        <v>0</v>
      </c>
      <c r="J1435">
        <v>0</v>
      </c>
      <c r="K1435">
        <v>0</v>
      </c>
      <c r="L1435">
        <v>0</v>
      </c>
      <c r="M1435">
        <v>1</v>
      </c>
      <c r="N1435">
        <v>0</v>
      </c>
      <c r="O1435">
        <v>0</v>
      </c>
      <c r="P1435">
        <v>0</v>
      </c>
      <c r="Q1435">
        <v>0</v>
      </c>
      <c r="R1435">
        <v>0</v>
      </c>
      <c r="S1435">
        <v>0</v>
      </c>
      <c r="T1435">
        <v>0</v>
      </c>
      <c r="U1435">
        <v>0</v>
      </c>
      <c r="V1435">
        <v>0</v>
      </c>
      <c r="W1435">
        <v>0</v>
      </c>
      <c r="X1435">
        <v>0</v>
      </c>
      <c r="Y1435">
        <v>0</v>
      </c>
      <c r="Z1435">
        <v>0</v>
      </c>
      <c r="AA1435">
        <v>0</v>
      </c>
      <c r="AB1435">
        <v>0</v>
      </c>
      <c r="AC1435">
        <v>0</v>
      </c>
      <c r="AD1435">
        <v>0</v>
      </c>
      <c r="AE1435">
        <v>0</v>
      </c>
      <c r="AF1435">
        <v>0</v>
      </c>
      <c r="AG1435">
        <v>0</v>
      </c>
      <c r="AH1435">
        <v>0</v>
      </c>
      <c r="AI1435">
        <v>0</v>
      </c>
      <c r="AJ1435">
        <v>0</v>
      </c>
      <c r="AK1435">
        <v>0</v>
      </c>
      <c r="AL1435">
        <v>1</v>
      </c>
      <c r="AM1435">
        <v>0</v>
      </c>
      <c r="AN1435">
        <v>1</v>
      </c>
    </row>
    <row r="1436" spans="1:40" x14ac:dyDescent="0.3">
      <c r="A1436" t="s">
        <v>381</v>
      </c>
      <c r="B1436" t="s">
        <v>139</v>
      </c>
      <c r="C1436" t="s">
        <v>10</v>
      </c>
      <c r="D1436" t="s">
        <v>11</v>
      </c>
      <c r="E1436">
        <v>202602</v>
      </c>
      <c r="F1436" t="s">
        <v>238</v>
      </c>
      <c r="G1436">
        <v>0</v>
      </c>
      <c r="H1436">
        <v>0</v>
      </c>
      <c r="I1436">
        <v>0</v>
      </c>
      <c r="J1436">
        <v>0</v>
      </c>
      <c r="K1436">
        <v>0</v>
      </c>
      <c r="L1436">
        <v>1</v>
      </c>
      <c r="M1436">
        <v>0</v>
      </c>
      <c r="N1436">
        <v>0</v>
      </c>
      <c r="O1436">
        <v>0</v>
      </c>
      <c r="P1436">
        <v>0</v>
      </c>
      <c r="Q1436">
        <v>0</v>
      </c>
      <c r="R1436">
        <v>0</v>
      </c>
      <c r="S1436">
        <v>0</v>
      </c>
      <c r="T1436">
        <v>0</v>
      </c>
      <c r="U1436">
        <v>0</v>
      </c>
      <c r="V1436">
        <v>0</v>
      </c>
      <c r="W1436">
        <v>0</v>
      </c>
      <c r="X1436">
        <v>0</v>
      </c>
      <c r="Y1436">
        <v>0</v>
      </c>
      <c r="Z1436">
        <v>0</v>
      </c>
      <c r="AA1436">
        <v>0</v>
      </c>
      <c r="AB1436">
        <v>0</v>
      </c>
      <c r="AC1436">
        <v>0</v>
      </c>
      <c r="AD1436">
        <v>0</v>
      </c>
      <c r="AE1436">
        <v>0</v>
      </c>
      <c r="AF1436">
        <v>0</v>
      </c>
      <c r="AG1436">
        <v>0</v>
      </c>
      <c r="AH1436">
        <v>0</v>
      </c>
      <c r="AI1436">
        <v>0</v>
      </c>
      <c r="AJ1436">
        <v>0</v>
      </c>
      <c r="AK1436">
        <v>0</v>
      </c>
      <c r="AL1436">
        <v>1</v>
      </c>
      <c r="AM1436">
        <v>0</v>
      </c>
      <c r="AN1436">
        <v>1</v>
      </c>
    </row>
    <row r="1437" spans="1:40" x14ac:dyDescent="0.3">
      <c r="A1437" t="s">
        <v>381</v>
      </c>
      <c r="B1437" t="s">
        <v>139</v>
      </c>
      <c r="C1437" t="s">
        <v>10</v>
      </c>
      <c r="D1437" t="s">
        <v>11</v>
      </c>
      <c r="E1437">
        <v>202602</v>
      </c>
      <c r="F1437" t="s">
        <v>162</v>
      </c>
      <c r="G1437">
        <v>0</v>
      </c>
      <c r="H1437">
        <v>0</v>
      </c>
      <c r="I1437">
        <v>0</v>
      </c>
      <c r="J1437">
        <v>0</v>
      </c>
      <c r="K1437">
        <v>0</v>
      </c>
      <c r="L1437">
        <v>0</v>
      </c>
      <c r="M1437">
        <v>0</v>
      </c>
      <c r="N1437">
        <v>0</v>
      </c>
      <c r="O1437">
        <v>0</v>
      </c>
      <c r="P1437">
        <v>0</v>
      </c>
      <c r="Q1437">
        <v>1</v>
      </c>
      <c r="R1437">
        <v>0</v>
      </c>
      <c r="S1437">
        <v>0</v>
      </c>
      <c r="T1437">
        <v>0</v>
      </c>
      <c r="U1437">
        <v>0</v>
      </c>
      <c r="V1437">
        <v>0</v>
      </c>
      <c r="W1437">
        <v>0</v>
      </c>
      <c r="X1437">
        <v>0</v>
      </c>
      <c r="Y1437">
        <v>0</v>
      </c>
      <c r="Z1437">
        <v>0</v>
      </c>
      <c r="AA1437">
        <v>0</v>
      </c>
      <c r="AB1437">
        <v>0</v>
      </c>
      <c r="AC1437">
        <v>0</v>
      </c>
      <c r="AD1437">
        <v>0</v>
      </c>
      <c r="AE1437">
        <v>0</v>
      </c>
      <c r="AF1437">
        <v>0</v>
      </c>
      <c r="AG1437">
        <v>0</v>
      </c>
      <c r="AH1437">
        <v>0</v>
      </c>
      <c r="AI1437">
        <v>0</v>
      </c>
      <c r="AJ1437">
        <v>0</v>
      </c>
      <c r="AK1437">
        <v>0</v>
      </c>
      <c r="AL1437">
        <v>1</v>
      </c>
      <c r="AM1437">
        <v>0.33333333333333331</v>
      </c>
      <c r="AN1437">
        <v>5.6046251398731117</v>
      </c>
    </row>
    <row r="1438" spans="1:40" x14ac:dyDescent="0.3">
      <c r="A1438" t="s">
        <v>381</v>
      </c>
      <c r="B1438" t="s">
        <v>139</v>
      </c>
      <c r="C1438" t="s">
        <v>10</v>
      </c>
      <c r="D1438" t="s">
        <v>11</v>
      </c>
      <c r="E1438">
        <v>202602</v>
      </c>
      <c r="F1438" t="s">
        <v>446</v>
      </c>
      <c r="G1438">
        <v>0</v>
      </c>
      <c r="H1438">
        <v>0</v>
      </c>
      <c r="I1438">
        <v>0</v>
      </c>
      <c r="J1438">
        <v>0</v>
      </c>
      <c r="K1438">
        <v>0</v>
      </c>
      <c r="L1438">
        <v>0</v>
      </c>
      <c r="M1438">
        <v>0</v>
      </c>
      <c r="N1438">
        <v>0</v>
      </c>
      <c r="O1438">
        <v>0</v>
      </c>
      <c r="P1438">
        <v>0</v>
      </c>
      <c r="Q1438">
        <v>1</v>
      </c>
      <c r="R1438">
        <v>0</v>
      </c>
      <c r="S1438">
        <v>0</v>
      </c>
      <c r="T1438">
        <v>0</v>
      </c>
      <c r="U1438">
        <v>0</v>
      </c>
      <c r="V1438">
        <v>0</v>
      </c>
      <c r="W1438">
        <v>0</v>
      </c>
      <c r="X1438">
        <v>0</v>
      </c>
      <c r="Y1438">
        <v>0</v>
      </c>
      <c r="Z1438">
        <v>0</v>
      </c>
      <c r="AA1438">
        <v>0</v>
      </c>
      <c r="AB1438">
        <v>0</v>
      </c>
      <c r="AC1438">
        <v>0</v>
      </c>
      <c r="AD1438">
        <v>0</v>
      </c>
      <c r="AE1438">
        <v>0</v>
      </c>
      <c r="AF1438">
        <v>0</v>
      </c>
      <c r="AG1438">
        <v>0</v>
      </c>
      <c r="AH1438">
        <v>0</v>
      </c>
      <c r="AI1438">
        <v>0</v>
      </c>
      <c r="AJ1438">
        <v>0</v>
      </c>
      <c r="AK1438">
        <v>0</v>
      </c>
      <c r="AL1438">
        <v>1</v>
      </c>
      <c r="AM1438">
        <v>0.33333333333333331</v>
      </c>
      <c r="AN1438">
        <v>5.6046251398731117</v>
      </c>
    </row>
    <row r="1439" spans="1:40" x14ac:dyDescent="0.3">
      <c r="A1439" t="s">
        <v>381</v>
      </c>
      <c r="B1439" t="s">
        <v>139</v>
      </c>
      <c r="C1439" t="s">
        <v>10</v>
      </c>
      <c r="D1439" t="s">
        <v>14</v>
      </c>
      <c r="E1439">
        <v>202602</v>
      </c>
      <c r="F1439" t="s">
        <v>442</v>
      </c>
      <c r="G1439">
        <v>0</v>
      </c>
      <c r="H1439">
        <v>0</v>
      </c>
      <c r="I1439">
        <v>0</v>
      </c>
      <c r="J1439">
        <v>0</v>
      </c>
      <c r="K1439">
        <v>0</v>
      </c>
      <c r="L1439">
        <v>0</v>
      </c>
      <c r="M1439">
        <v>0</v>
      </c>
      <c r="N1439">
        <v>0</v>
      </c>
      <c r="O1439">
        <v>0</v>
      </c>
      <c r="P1439">
        <v>1</v>
      </c>
      <c r="Q1439">
        <v>0</v>
      </c>
      <c r="R1439">
        <v>0</v>
      </c>
      <c r="S1439">
        <v>0</v>
      </c>
      <c r="T1439">
        <v>0</v>
      </c>
      <c r="U1439">
        <v>0</v>
      </c>
      <c r="V1439">
        <v>0</v>
      </c>
      <c r="W1439">
        <v>0</v>
      </c>
      <c r="X1439">
        <v>0</v>
      </c>
      <c r="Y1439">
        <v>0</v>
      </c>
      <c r="Z1439">
        <v>0</v>
      </c>
      <c r="AA1439">
        <v>0</v>
      </c>
      <c r="AB1439">
        <v>0</v>
      </c>
      <c r="AC1439">
        <v>0</v>
      </c>
      <c r="AD1439">
        <v>0</v>
      </c>
      <c r="AE1439">
        <v>0</v>
      </c>
      <c r="AF1439">
        <v>0</v>
      </c>
      <c r="AG1439">
        <v>0</v>
      </c>
      <c r="AH1439">
        <v>0</v>
      </c>
      <c r="AI1439">
        <v>0</v>
      </c>
      <c r="AJ1439">
        <v>0</v>
      </c>
      <c r="AK1439">
        <v>0</v>
      </c>
      <c r="AL1439">
        <v>1</v>
      </c>
      <c r="AM1439">
        <v>0.33333333333333331</v>
      </c>
      <c r="AN1439">
        <v>5.0417410714286133</v>
      </c>
    </row>
    <row r="1440" spans="1:40" x14ac:dyDescent="0.3">
      <c r="A1440" t="s">
        <v>381</v>
      </c>
      <c r="B1440" t="s">
        <v>139</v>
      </c>
      <c r="C1440" t="s">
        <v>10</v>
      </c>
      <c r="D1440" t="s">
        <v>14</v>
      </c>
      <c r="E1440">
        <v>202602</v>
      </c>
      <c r="F1440" t="s">
        <v>443</v>
      </c>
      <c r="G1440">
        <v>0</v>
      </c>
      <c r="H1440">
        <v>0</v>
      </c>
      <c r="I1440">
        <v>0</v>
      </c>
      <c r="J1440">
        <v>0</v>
      </c>
      <c r="K1440">
        <v>0</v>
      </c>
      <c r="L1440">
        <v>0</v>
      </c>
      <c r="M1440">
        <v>0</v>
      </c>
      <c r="N1440">
        <v>0</v>
      </c>
      <c r="O1440">
        <v>1</v>
      </c>
      <c r="P1440">
        <v>0</v>
      </c>
      <c r="Q1440">
        <v>0</v>
      </c>
      <c r="R1440">
        <v>0</v>
      </c>
      <c r="S1440">
        <v>0</v>
      </c>
      <c r="T1440">
        <v>0</v>
      </c>
      <c r="U1440">
        <v>0</v>
      </c>
      <c r="V1440">
        <v>0</v>
      </c>
      <c r="W1440">
        <v>0</v>
      </c>
      <c r="X1440">
        <v>0</v>
      </c>
      <c r="Y1440">
        <v>0</v>
      </c>
      <c r="Z1440">
        <v>0</v>
      </c>
      <c r="AA1440">
        <v>0</v>
      </c>
      <c r="AB1440">
        <v>0</v>
      </c>
      <c r="AC1440">
        <v>0</v>
      </c>
      <c r="AD1440">
        <v>0</v>
      </c>
      <c r="AE1440">
        <v>0</v>
      </c>
      <c r="AF1440">
        <v>0</v>
      </c>
      <c r="AG1440">
        <v>0</v>
      </c>
      <c r="AH1440">
        <v>0</v>
      </c>
      <c r="AI1440">
        <v>0</v>
      </c>
      <c r="AJ1440">
        <v>0</v>
      </c>
      <c r="AK1440">
        <v>0</v>
      </c>
      <c r="AL1440">
        <v>1</v>
      </c>
      <c r="AM1440">
        <v>0.33333333333333331</v>
      </c>
      <c r="AN1440">
        <v>5.0417410714286133</v>
      </c>
    </row>
    <row r="1441" spans="1:40" x14ac:dyDescent="0.3">
      <c r="A1441" t="s">
        <v>381</v>
      </c>
      <c r="B1441" t="s">
        <v>139</v>
      </c>
      <c r="C1441" t="s">
        <v>10</v>
      </c>
      <c r="D1441" t="s">
        <v>14</v>
      </c>
      <c r="E1441">
        <v>202602</v>
      </c>
      <c r="F1441" t="s">
        <v>438</v>
      </c>
      <c r="G1441">
        <v>0</v>
      </c>
      <c r="H1441">
        <v>0</v>
      </c>
      <c r="I1441">
        <v>1</v>
      </c>
      <c r="J1441">
        <v>1</v>
      </c>
      <c r="K1441">
        <v>3</v>
      </c>
      <c r="L1441">
        <v>2</v>
      </c>
      <c r="M1441">
        <v>2</v>
      </c>
      <c r="N1441">
        <v>0</v>
      </c>
      <c r="O1441">
        <v>1</v>
      </c>
      <c r="P1441">
        <v>0</v>
      </c>
      <c r="Q1441">
        <v>1</v>
      </c>
      <c r="R1441">
        <v>0</v>
      </c>
      <c r="S1441">
        <v>0</v>
      </c>
      <c r="T1441">
        <v>0</v>
      </c>
      <c r="U1441">
        <v>0</v>
      </c>
      <c r="V1441">
        <v>0</v>
      </c>
      <c r="W1441">
        <v>0</v>
      </c>
      <c r="X1441">
        <v>0</v>
      </c>
      <c r="Y1441">
        <v>0</v>
      </c>
      <c r="Z1441">
        <v>0</v>
      </c>
      <c r="AA1441">
        <v>0</v>
      </c>
      <c r="AB1441">
        <v>0</v>
      </c>
      <c r="AC1441">
        <v>0</v>
      </c>
      <c r="AD1441">
        <v>0</v>
      </c>
      <c r="AE1441">
        <v>0</v>
      </c>
      <c r="AF1441">
        <v>0</v>
      </c>
      <c r="AG1441">
        <v>0</v>
      </c>
      <c r="AH1441">
        <v>0</v>
      </c>
      <c r="AI1441">
        <v>0</v>
      </c>
      <c r="AJ1441">
        <v>0</v>
      </c>
      <c r="AK1441">
        <v>0</v>
      </c>
      <c r="AL1441">
        <v>11</v>
      </c>
      <c r="AM1441">
        <v>0.66666666666666663</v>
      </c>
      <c r="AN1441">
        <v>19.083482142857228</v>
      </c>
    </row>
    <row r="1442" spans="1:40" x14ac:dyDescent="0.3">
      <c r="A1442" t="s">
        <v>381</v>
      </c>
      <c r="B1442" t="s">
        <v>139</v>
      </c>
      <c r="C1442" t="s">
        <v>10</v>
      </c>
      <c r="D1442" t="s">
        <v>14</v>
      </c>
      <c r="E1442">
        <v>202602</v>
      </c>
      <c r="F1442" t="s">
        <v>283</v>
      </c>
      <c r="G1442">
        <v>0</v>
      </c>
      <c r="H1442">
        <v>2</v>
      </c>
      <c r="I1442">
        <v>3</v>
      </c>
      <c r="J1442">
        <v>3</v>
      </c>
      <c r="K1442">
        <v>2</v>
      </c>
      <c r="L1442">
        <v>3</v>
      </c>
      <c r="M1442">
        <v>1</v>
      </c>
      <c r="N1442">
        <v>0</v>
      </c>
      <c r="O1442">
        <v>2</v>
      </c>
      <c r="P1442">
        <v>0</v>
      </c>
      <c r="Q1442">
        <v>2</v>
      </c>
      <c r="R1442">
        <v>0</v>
      </c>
      <c r="S1442">
        <v>0</v>
      </c>
      <c r="T1442">
        <v>0</v>
      </c>
      <c r="U1442">
        <v>0</v>
      </c>
      <c r="V1442">
        <v>0</v>
      </c>
      <c r="W1442">
        <v>0</v>
      </c>
      <c r="X1442">
        <v>0</v>
      </c>
      <c r="Y1442">
        <v>0</v>
      </c>
      <c r="Z1442">
        <v>0</v>
      </c>
      <c r="AA1442">
        <v>0</v>
      </c>
      <c r="AB1442">
        <v>0</v>
      </c>
      <c r="AC1442">
        <v>0</v>
      </c>
      <c r="AD1442">
        <v>0</v>
      </c>
      <c r="AE1442">
        <v>0</v>
      </c>
      <c r="AF1442">
        <v>0</v>
      </c>
      <c r="AG1442">
        <v>0</v>
      </c>
      <c r="AH1442">
        <v>0</v>
      </c>
      <c r="AI1442">
        <v>0</v>
      </c>
      <c r="AJ1442">
        <v>0</v>
      </c>
      <c r="AK1442">
        <v>0</v>
      </c>
      <c r="AL1442">
        <v>18</v>
      </c>
      <c r="AM1442">
        <v>1.3333333333333333</v>
      </c>
      <c r="AN1442">
        <v>34.166964285714457</v>
      </c>
    </row>
    <row r="1443" spans="1:40" x14ac:dyDescent="0.3">
      <c r="A1443" t="s">
        <v>381</v>
      </c>
      <c r="B1443" t="s">
        <v>139</v>
      </c>
      <c r="C1443" t="s">
        <v>10</v>
      </c>
      <c r="D1443" t="s">
        <v>14</v>
      </c>
      <c r="E1443">
        <v>202602</v>
      </c>
      <c r="F1443" t="s">
        <v>439</v>
      </c>
      <c r="G1443">
        <v>0</v>
      </c>
      <c r="H1443">
        <v>0</v>
      </c>
      <c r="I1443">
        <v>1</v>
      </c>
      <c r="J1443">
        <v>3</v>
      </c>
      <c r="K1443">
        <v>1</v>
      </c>
      <c r="L1443">
        <v>0</v>
      </c>
      <c r="M1443">
        <v>0</v>
      </c>
      <c r="N1443">
        <v>0</v>
      </c>
      <c r="O1443">
        <v>1</v>
      </c>
      <c r="P1443">
        <v>3</v>
      </c>
      <c r="Q1443">
        <v>2</v>
      </c>
      <c r="R1443">
        <v>0</v>
      </c>
      <c r="S1443">
        <v>0</v>
      </c>
      <c r="T1443">
        <v>0</v>
      </c>
      <c r="U1443">
        <v>0</v>
      </c>
      <c r="V1443">
        <v>0</v>
      </c>
      <c r="W1443">
        <v>0</v>
      </c>
      <c r="X1443">
        <v>0</v>
      </c>
      <c r="Y1443">
        <v>0</v>
      </c>
      <c r="Z1443">
        <v>0</v>
      </c>
      <c r="AA1443">
        <v>0</v>
      </c>
      <c r="AB1443">
        <v>0</v>
      </c>
      <c r="AC1443">
        <v>0</v>
      </c>
      <c r="AD1443">
        <v>0</v>
      </c>
      <c r="AE1443">
        <v>0</v>
      </c>
      <c r="AF1443">
        <v>0</v>
      </c>
      <c r="AG1443">
        <v>0</v>
      </c>
      <c r="AH1443">
        <v>0</v>
      </c>
      <c r="AI1443">
        <v>0</v>
      </c>
      <c r="AJ1443">
        <v>0</v>
      </c>
      <c r="AK1443">
        <v>0</v>
      </c>
      <c r="AL1443">
        <v>11</v>
      </c>
      <c r="AM1443">
        <v>2</v>
      </c>
      <c r="AN1443">
        <v>35.250446428571678</v>
      </c>
    </row>
    <row r="1444" spans="1:40" x14ac:dyDescent="0.3">
      <c r="A1444" t="s">
        <v>381</v>
      </c>
      <c r="B1444" t="s">
        <v>139</v>
      </c>
      <c r="C1444" t="s">
        <v>10</v>
      </c>
      <c r="D1444" t="s">
        <v>14</v>
      </c>
      <c r="E1444">
        <v>202602</v>
      </c>
      <c r="F1444" t="s">
        <v>415</v>
      </c>
      <c r="G1444">
        <v>0</v>
      </c>
      <c r="H1444">
        <v>0</v>
      </c>
      <c r="I1444">
        <v>1</v>
      </c>
      <c r="J1444">
        <v>0</v>
      </c>
      <c r="K1444">
        <v>0</v>
      </c>
      <c r="L1444">
        <v>0</v>
      </c>
      <c r="M1444">
        <v>0</v>
      </c>
      <c r="N1444">
        <v>0</v>
      </c>
      <c r="O1444">
        <v>0</v>
      </c>
      <c r="P1444">
        <v>1</v>
      </c>
      <c r="Q1444">
        <v>0</v>
      </c>
      <c r="R1444">
        <v>0</v>
      </c>
      <c r="S1444">
        <v>0</v>
      </c>
      <c r="T1444">
        <v>0</v>
      </c>
      <c r="U1444">
        <v>0</v>
      </c>
      <c r="V1444">
        <v>0</v>
      </c>
      <c r="W1444">
        <v>0</v>
      </c>
      <c r="X1444">
        <v>0</v>
      </c>
      <c r="Y1444">
        <v>0</v>
      </c>
      <c r="Z1444">
        <v>0</v>
      </c>
      <c r="AA1444">
        <v>0</v>
      </c>
      <c r="AB1444">
        <v>0</v>
      </c>
      <c r="AC1444">
        <v>0</v>
      </c>
      <c r="AD1444">
        <v>0</v>
      </c>
      <c r="AE1444">
        <v>0</v>
      </c>
      <c r="AF1444">
        <v>0</v>
      </c>
      <c r="AG1444">
        <v>0</v>
      </c>
      <c r="AH1444">
        <v>0</v>
      </c>
      <c r="AI1444">
        <v>0</v>
      </c>
      <c r="AJ1444">
        <v>0</v>
      </c>
      <c r="AK1444">
        <v>0</v>
      </c>
      <c r="AL1444">
        <v>2</v>
      </c>
      <c r="AM1444">
        <v>0.33333333333333331</v>
      </c>
      <c r="AN1444">
        <v>6.0417410714286133</v>
      </c>
    </row>
    <row r="1445" spans="1:40" x14ac:dyDescent="0.3">
      <c r="A1445" t="s">
        <v>381</v>
      </c>
      <c r="B1445" t="s">
        <v>139</v>
      </c>
      <c r="C1445" t="s">
        <v>10</v>
      </c>
      <c r="D1445" t="s">
        <v>14</v>
      </c>
      <c r="E1445">
        <v>202602</v>
      </c>
      <c r="F1445" t="s">
        <v>440</v>
      </c>
      <c r="G1445">
        <v>0</v>
      </c>
      <c r="H1445">
        <v>0</v>
      </c>
      <c r="I1445">
        <v>2</v>
      </c>
      <c r="J1445">
        <v>0</v>
      </c>
      <c r="K1445">
        <v>2</v>
      </c>
      <c r="L1445">
        <v>0</v>
      </c>
      <c r="M1445">
        <v>0</v>
      </c>
      <c r="N1445">
        <v>0</v>
      </c>
      <c r="O1445">
        <v>0</v>
      </c>
      <c r="P1445">
        <v>2</v>
      </c>
      <c r="Q1445">
        <v>1</v>
      </c>
      <c r="R1445">
        <v>0</v>
      </c>
      <c r="S1445">
        <v>0</v>
      </c>
      <c r="T1445">
        <v>0</v>
      </c>
      <c r="U1445">
        <v>0</v>
      </c>
      <c r="V1445">
        <v>0</v>
      </c>
      <c r="W1445">
        <v>0</v>
      </c>
      <c r="X1445">
        <v>0</v>
      </c>
      <c r="Y1445">
        <v>0</v>
      </c>
      <c r="Z1445">
        <v>0</v>
      </c>
      <c r="AA1445">
        <v>0</v>
      </c>
      <c r="AB1445">
        <v>0</v>
      </c>
      <c r="AC1445">
        <v>0</v>
      </c>
      <c r="AD1445">
        <v>0</v>
      </c>
      <c r="AE1445">
        <v>0</v>
      </c>
      <c r="AF1445">
        <v>0</v>
      </c>
      <c r="AG1445">
        <v>0</v>
      </c>
      <c r="AH1445">
        <v>0</v>
      </c>
      <c r="AI1445">
        <v>0</v>
      </c>
      <c r="AJ1445">
        <v>0</v>
      </c>
      <c r="AK1445">
        <v>0</v>
      </c>
      <c r="AL1445">
        <v>7</v>
      </c>
      <c r="AM1445">
        <v>1</v>
      </c>
      <c r="AN1445">
        <v>19.125223214285839</v>
      </c>
    </row>
    <row r="1446" spans="1:40" x14ac:dyDescent="0.3">
      <c r="A1446" t="s">
        <v>381</v>
      </c>
      <c r="B1446" t="s">
        <v>139</v>
      </c>
      <c r="C1446" t="s">
        <v>10</v>
      </c>
      <c r="D1446" t="s">
        <v>14</v>
      </c>
      <c r="E1446">
        <v>202602</v>
      </c>
      <c r="F1446" t="s">
        <v>148</v>
      </c>
      <c r="G1446">
        <v>0</v>
      </c>
      <c r="H1446">
        <v>0</v>
      </c>
      <c r="I1446">
        <v>0</v>
      </c>
      <c r="J1446">
        <v>0</v>
      </c>
      <c r="K1446">
        <v>1</v>
      </c>
      <c r="L1446">
        <v>0</v>
      </c>
      <c r="M1446">
        <v>0</v>
      </c>
      <c r="N1446">
        <v>0</v>
      </c>
      <c r="O1446">
        <v>0</v>
      </c>
      <c r="P1446">
        <v>0</v>
      </c>
      <c r="Q1446">
        <v>1</v>
      </c>
      <c r="R1446">
        <v>0</v>
      </c>
      <c r="S1446">
        <v>0</v>
      </c>
      <c r="T1446">
        <v>0</v>
      </c>
      <c r="U1446">
        <v>0</v>
      </c>
      <c r="V1446">
        <v>0</v>
      </c>
      <c r="W1446">
        <v>0</v>
      </c>
      <c r="X1446">
        <v>0</v>
      </c>
      <c r="Y1446">
        <v>0</v>
      </c>
      <c r="Z1446">
        <v>0</v>
      </c>
      <c r="AA1446">
        <v>0</v>
      </c>
      <c r="AB1446">
        <v>0</v>
      </c>
      <c r="AC1446">
        <v>0</v>
      </c>
      <c r="AD1446">
        <v>0</v>
      </c>
      <c r="AE1446">
        <v>0</v>
      </c>
      <c r="AF1446">
        <v>0</v>
      </c>
      <c r="AG1446">
        <v>0</v>
      </c>
      <c r="AH1446">
        <v>0</v>
      </c>
      <c r="AI1446">
        <v>0</v>
      </c>
      <c r="AJ1446">
        <v>0</v>
      </c>
      <c r="AK1446">
        <v>0</v>
      </c>
      <c r="AL1446">
        <v>2</v>
      </c>
      <c r="AM1446">
        <v>0.33333333333333331</v>
      </c>
      <c r="AN1446">
        <v>6.0417410714286133</v>
      </c>
    </row>
    <row r="1447" spans="1:40" x14ac:dyDescent="0.3">
      <c r="A1447" t="s">
        <v>381</v>
      </c>
      <c r="B1447" t="s">
        <v>139</v>
      </c>
      <c r="C1447" t="s">
        <v>10</v>
      </c>
      <c r="D1447" t="s">
        <v>14</v>
      </c>
      <c r="E1447">
        <v>202602</v>
      </c>
      <c r="F1447" t="s">
        <v>444</v>
      </c>
      <c r="G1447">
        <v>0</v>
      </c>
      <c r="H1447">
        <v>0</v>
      </c>
      <c r="I1447">
        <v>1</v>
      </c>
      <c r="J1447">
        <v>0</v>
      </c>
      <c r="K1447">
        <v>0</v>
      </c>
      <c r="L1447">
        <v>0</v>
      </c>
      <c r="M1447">
        <v>0</v>
      </c>
      <c r="N1447">
        <v>0</v>
      </c>
      <c r="O1447">
        <v>1</v>
      </c>
      <c r="P1447">
        <v>0</v>
      </c>
      <c r="Q1447">
        <v>0</v>
      </c>
      <c r="R1447">
        <v>0</v>
      </c>
      <c r="S1447">
        <v>0</v>
      </c>
      <c r="T1447">
        <v>0</v>
      </c>
      <c r="U1447">
        <v>0</v>
      </c>
      <c r="V1447">
        <v>0</v>
      </c>
      <c r="W1447">
        <v>0</v>
      </c>
      <c r="X1447">
        <v>0</v>
      </c>
      <c r="Y1447">
        <v>0</v>
      </c>
      <c r="Z1447">
        <v>0</v>
      </c>
      <c r="AA1447">
        <v>0</v>
      </c>
      <c r="AB1447">
        <v>0</v>
      </c>
      <c r="AC1447">
        <v>0</v>
      </c>
      <c r="AD1447">
        <v>0</v>
      </c>
      <c r="AE1447">
        <v>0</v>
      </c>
      <c r="AF1447">
        <v>0</v>
      </c>
      <c r="AG1447">
        <v>0</v>
      </c>
      <c r="AH1447">
        <v>0</v>
      </c>
      <c r="AI1447">
        <v>0</v>
      </c>
      <c r="AJ1447">
        <v>0</v>
      </c>
      <c r="AK1447">
        <v>0</v>
      </c>
      <c r="AL1447">
        <v>2</v>
      </c>
      <c r="AM1447">
        <v>0.33333333333333331</v>
      </c>
      <c r="AN1447">
        <v>6.0417410714286133</v>
      </c>
    </row>
    <row r="1448" spans="1:40" x14ac:dyDescent="0.3">
      <c r="A1448" t="s">
        <v>381</v>
      </c>
      <c r="B1448" t="s">
        <v>139</v>
      </c>
      <c r="C1448" t="s">
        <v>10</v>
      </c>
      <c r="D1448" t="s">
        <v>14</v>
      </c>
      <c r="E1448">
        <v>202602</v>
      </c>
      <c r="F1448" t="s">
        <v>441</v>
      </c>
      <c r="G1448">
        <v>0</v>
      </c>
      <c r="H1448">
        <v>0</v>
      </c>
      <c r="I1448">
        <v>1</v>
      </c>
      <c r="J1448">
        <v>0</v>
      </c>
      <c r="K1448">
        <v>0</v>
      </c>
      <c r="L1448">
        <v>0</v>
      </c>
      <c r="M1448">
        <v>0</v>
      </c>
      <c r="N1448">
        <v>0</v>
      </c>
      <c r="O1448">
        <v>0</v>
      </c>
      <c r="P1448">
        <v>0</v>
      </c>
      <c r="Q1448">
        <v>0</v>
      </c>
      <c r="R1448">
        <v>0</v>
      </c>
      <c r="S1448">
        <v>0</v>
      </c>
      <c r="T1448">
        <v>0</v>
      </c>
      <c r="U1448">
        <v>0</v>
      </c>
      <c r="V1448">
        <v>0</v>
      </c>
      <c r="W1448">
        <v>0</v>
      </c>
      <c r="X1448">
        <v>0</v>
      </c>
      <c r="Y1448">
        <v>0</v>
      </c>
      <c r="Z1448">
        <v>0</v>
      </c>
      <c r="AA1448">
        <v>0</v>
      </c>
      <c r="AB1448">
        <v>0</v>
      </c>
      <c r="AC1448">
        <v>0</v>
      </c>
      <c r="AD1448">
        <v>0</v>
      </c>
      <c r="AE1448">
        <v>0</v>
      </c>
      <c r="AF1448">
        <v>0</v>
      </c>
      <c r="AG1448">
        <v>0</v>
      </c>
      <c r="AH1448">
        <v>0</v>
      </c>
      <c r="AI1448">
        <v>0</v>
      </c>
      <c r="AJ1448">
        <v>0</v>
      </c>
      <c r="AK1448">
        <v>0</v>
      </c>
      <c r="AL1448">
        <v>1</v>
      </c>
      <c r="AM1448">
        <v>0</v>
      </c>
      <c r="AN1448">
        <v>1</v>
      </c>
    </row>
    <row r="1449" spans="1:40" x14ac:dyDescent="0.3">
      <c r="A1449" t="s">
        <v>381</v>
      </c>
      <c r="B1449" t="s">
        <v>139</v>
      </c>
      <c r="C1449" t="s">
        <v>10</v>
      </c>
      <c r="D1449" t="s">
        <v>14</v>
      </c>
      <c r="E1449">
        <v>202602</v>
      </c>
      <c r="F1449" t="s">
        <v>445</v>
      </c>
      <c r="G1449">
        <v>0</v>
      </c>
      <c r="H1449">
        <v>0</v>
      </c>
      <c r="I1449">
        <v>0</v>
      </c>
      <c r="J1449">
        <v>0</v>
      </c>
      <c r="K1449">
        <v>0</v>
      </c>
      <c r="L1449">
        <v>0</v>
      </c>
      <c r="M1449">
        <v>0</v>
      </c>
      <c r="N1449">
        <v>0</v>
      </c>
      <c r="O1449">
        <v>1</v>
      </c>
      <c r="P1449">
        <v>0</v>
      </c>
      <c r="Q1449">
        <v>0</v>
      </c>
      <c r="R1449">
        <v>0</v>
      </c>
      <c r="S1449">
        <v>0</v>
      </c>
      <c r="T1449">
        <v>0</v>
      </c>
      <c r="U1449">
        <v>0</v>
      </c>
      <c r="V1449">
        <v>0</v>
      </c>
      <c r="W1449">
        <v>0</v>
      </c>
      <c r="X1449">
        <v>0</v>
      </c>
      <c r="Y1449">
        <v>0</v>
      </c>
      <c r="Z1449">
        <v>0</v>
      </c>
      <c r="AA1449">
        <v>0</v>
      </c>
      <c r="AB1449">
        <v>0</v>
      </c>
      <c r="AC1449">
        <v>0</v>
      </c>
      <c r="AD1449">
        <v>0</v>
      </c>
      <c r="AE1449">
        <v>0</v>
      </c>
      <c r="AF1449">
        <v>0</v>
      </c>
      <c r="AG1449">
        <v>0</v>
      </c>
      <c r="AH1449">
        <v>0</v>
      </c>
      <c r="AI1449">
        <v>0</v>
      </c>
      <c r="AJ1449">
        <v>0</v>
      </c>
      <c r="AK1449">
        <v>0</v>
      </c>
      <c r="AL1449">
        <v>1</v>
      </c>
      <c r="AM1449">
        <v>0.33333333333333331</v>
      </c>
      <c r="AN1449">
        <v>5.0417410714286133</v>
      </c>
    </row>
    <row r="1450" spans="1:40" x14ac:dyDescent="0.3">
      <c r="A1450" t="s">
        <v>381</v>
      </c>
      <c r="B1450" t="s">
        <v>139</v>
      </c>
      <c r="C1450" t="s">
        <v>10</v>
      </c>
      <c r="D1450" t="s">
        <v>14</v>
      </c>
      <c r="E1450">
        <v>202602</v>
      </c>
      <c r="F1450" t="s">
        <v>238</v>
      </c>
      <c r="G1450">
        <v>0</v>
      </c>
      <c r="H1450">
        <v>0</v>
      </c>
      <c r="I1450">
        <v>0</v>
      </c>
      <c r="J1450">
        <v>0</v>
      </c>
      <c r="K1450">
        <v>1</v>
      </c>
      <c r="L1450">
        <v>0</v>
      </c>
      <c r="M1450">
        <v>0</v>
      </c>
      <c r="N1450">
        <v>0</v>
      </c>
      <c r="O1450">
        <v>0</v>
      </c>
      <c r="P1450">
        <v>0</v>
      </c>
      <c r="Q1450">
        <v>0</v>
      </c>
      <c r="R1450">
        <v>0</v>
      </c>
      <c r="S1450">
        <v>0</v>
      </c>
      <c r="T1450">
        <v>0</v>
      </c>
      <c r="U1450">
        <v>0</v>
      </c>
      <c r="V1450">
        <v>0</v>
      </c>
      <c r="W1450">
        <v>0</v>
      </c>
      <c r="X1450">
        <v>0</v>
      </c>
      <c r="Y1450">
        <v>0</v>
      </c>
      <c r="Z1450">
        <v>0</v>
      </c>
      <c r="AA1450">
        <v>0</v>
      </c>
      <c r="AB1450">
        <v>0</v>
      </c>
      <c r="AC1450">
        <v>0</v>
      </c>
      <c r="AD1450">
        <v>0</v>
      </c>
      <c r="AE1450">
        <v>0</v>
      </c>
      <c r="AF1450">
        <v>0</v>
      </c>
      <c r="AG1450">
        <v>0</v>
      </c>
      <c r="AH1450">
        <v>0</v>
      </c>
      <c r="AI1450">
        <v>0</v>
      </c>
      <c r="AJ1450">
        <v>0</v>
      </c>
      <c r="AK1450">
        <v>0</v>
      </c>
      <c r="AL1450">
        <v>1</v>
      </c>
      <c r="AM1450">
        <v>0</v>
      </c>
      <c r="AN1450">
        <v>1</v>
      </c>
    </row>
    <row r="1451" spans="1:40" x14ac:dyDescent="0.3">
      <c r="A1451" t="s">
        <v>381</v>
      </c>
      <c r="B1451" t="s">
        <v>139</v>
      </c>
      <c r="C1451" t="s">
        <v>10</v>
      </c>
      <c r="D1451" t="s">
        <v>14</v>
      </c>
      <c r="E1451">
        <v>202602</v>
      </c>
      <c r="F1451" t="s">
        <v>162</v>
      </c>
      <c r="G1451">
        <v>0</v>
      </c>
      <c r="H1451">
        <v>0</v>
      </c>
      <c r="I1451">
        <v>0</v>
      </c>
      <c r="J1451">
        <v>0</v>
      </c>
      <c r="K1451">
        <v>0</v>
      </c>
      <c r="L1451">
        <v>0</v>
      </c>
      <c r="M1451">
        <v>0</v>
      </c>
      <c r="N1451">
        <v>0</v>
      </c>
      <c r="O1451">
        <v>1</v>
      </c>
      <c r="P1451">
        <v>1</v>
      </c>
      <c r="Q1451">
        <v>0</v>
      </c>
      <c r="R1451">
        <v>0</v>
      </c>
      <c r="S1451">
        <v>0</v>
      </c>
      <c r="T1451">
        <v>0</v>
      </c>
      <c r="U1451">
        <v>0</v>
      </c>
      <c r="V1451">
        <v>0</v>
      </c>
      <c r="W1451">
        <v>0</v>
      </c>
      <c r="X1451">
        <v>0</v>
      </c>
      <c r="Y1451">
        <v>0</v>
      </c>
      <c r="Z1451">
        <v>0</v>
      </c>
      <c r="AA1451">
        <v>0</v>
      </c>
      <c r="AB1451">
        <v>0</v>
      </c>
      <c r="AC1451">
        <v>0</v>
      </c>
      <c r="AD1451">
        <v>0</v>
      </c>
      <c r="AE1451">
        <v>0</v>
      </c>
      <c r="AF1451">
        <v>0</v>
      </c>
      <c r="AG1451">
        <v>0</v>
      </c>
      <c r="AH1451">
        <v>0</v>
      </c>
      <c r="AI1451">
        <v>0</v>
      </c>
      <c r="AJ1451">
        <v>0</v>
      </c>
      <c r="AK1451">
        <v>0</v>
      </c>
      <c r="AL1451">
        <v>2</v>
      </c>
      <c r="AM1451">
        <v>0.66666666666666663</v>
      </c>
      <c r="AN1451">
        <v>10.083482142857227</v>
      </c>
    </row>
    <row r="1452" spans="1:40" x14ac:dyDescent="0.3">
      <c r="A1452" t="s">
        <v>381</v>
      </c>
      <c r="B1452" t="s">
        <v>139</v>
      </c>
      <c r="C1452" t="s">
        <v>10</v>
      </c>
      <c r="D1452" t="s">
        <v>14</v>
      </c>
      <c r="E1452">
        <v>202602</v>
      </c>
      <c r="F1452" t="s">
        <v>446</v>
      </c>
      <c r="G1452">
        <v>0</v>
      </c>
      <c r="H1452">
        <v>0</v>
      </c>
      <c r="I1452">
        <v>0</v>
      </c>
      <c r="J1452">
        <v>0</v>
      </c>
      <c r="K1452">
        <v>1</v>
      </c>
      <c r="L1452">
        <v>0</v>
      </c>
      <c r="M1452">
        <v>0</v>
      </c>
      <c r="N1452">
        <v>0</v>
      </c>
      <c r="O1452">
        <v>0</v>
      </c>
      <c r="P1452">
        <v>0</v>
      </c>
      <c r="Q1452">
        <v>1</v>
      </c>
      <c r="R1452">
        <v>0</v>
      </c>
      <c r="S1452">
        <v>0</v>
      </c>
      <c r="T1452">
        <v>0</v>
      </c>
      <c r="U1452">
        <v>0</v>
      </c>
      <c r="V1452">
        <v>0</v>
      </c>
      <c r="W1452">
        <v>0</v>
      </c>
      <c r="X1452">
        <v>0</v>
      </c>
      <c r="Y1452">
        <v>0</v>
      </c>
      <c r="Z1452">
        <v>0</v>
      </c>
      <c r="AA1452">
        <v>0</v>
      </c>
      <c r="AB1452">
        <v>0</v>
      </c>
      <c r="AC1452">
        <v>0</v>
      </c>
      <c r="AD1452">
        <v>0</v>
      </c>
      <c r="AE1452">
        <v>0</v>
      </c>
      <c r="AF1452">
        <v>0</v>
      </c>
      <c r="AG1452">
        <v>0</v>
      </c>
      <c r="AH1452">
        <v>0</v>
      </c>
      <c r="AI1452">
        <v>0</v>
      </c>
      <c r="AJ1452">
        <v>0</v>
      </c>
      <c r="AK1452">
        <v>0</v>
      </c>
      <c r="AL1452">
        <v>2</v>
      </c>
      <c r="AM1452">
        <v>0.33333333333333331</v>
      </c>
      <c r="AN1452">
        <v>6.0417410714286133</v>
      </c>
    </row>
    <row r="1453" spans="1:40" x14ac:dyDescent="0.3">
      <c r="A1453" t="s">
        <v>381</v>
      </c>
      <c r="B1453" t="s">
        <v>139</v>
      </c>
      <c r="C1453" t="s">
        <v>16</v>
      </c>
      <c r="D1453" t="s">
        <v>11</v>
      </c>
      <c r="E1453">
        <v>202602</v>
      </c>
      <c r="F1453" t="s">
        <v>283</v>
      </c>
      <c r="G1453">
        <v>0</v>
      </c>
      <c r="H1453">
        <v>0</v>
      </c>
      <c r="I1453">
        <v>0</v>
      </c>
      <c r="J1453">
        <v>0</v>
      </c>
      <c r="K1453">
        <v>1</v>
      </c>
      <c r="L1453">
        <v>0</v>
      </c>
      <c r="M1453">
        <v>0</v>
      </c>
      <c r="N1453">
        <v>0</v>
      </c>
      <c r="O1453">
        <v>0</v>
      </c>
      <c r="P1453">
        <v>0</v>
      </c>
      <c r="Q1453">
        <v>1</v>
      </c>
      <c r="R1453">
        <v>0</v>
      </c>
      <c r="S1453">
        <v>0</v>
      </c>
      <c r="T1453">
        <v>0</v>
      </c>
      <c r="U1453">
        <v>0</v>
      </c>
      <c r="V1453">
        <v>0</v>
      </c>
      <c r="W1453">
        <v>0</v>
      </c>
      <c r="X1453">
        <v>0</v>
      </c>
      <c r="Y1453">
        <v>0</v>
      </c>
      <c r="Z1453">
        <v>0</v>
      </c>
      <c r="AA1453">
        <v>0</v>
      </c>
      <c r="AB1453">
        <v>0</v>
      </c>
      <c r="AC1453">
        <v>0</v>
      </c>
      <c r="AD1453">
        <v>0</v>
      </c>
      <c r="AE1453">
        <v>0</v>
      </c>
      <c r="AF1453">
        <v>0</v>
      </c>
      <c r="AG1453">
        <v>0</v>
      </c>
      <c r="AH1453">
        <v>0</v>
      </c>
      <c r="AI1453">
        <v>0</v>
      </c>
      <c r="AJ1453">
        <v>0</v>
      </c>
      <c r="AK1453">
        <v>0</v>
      </c>
      <c r="AL1453">
        <v>2</v>
      </c>
      <c r="AM1453">
        <v>0.33333333333333331</v>
      </c>
      <c r="AN1453">
        <v>6.6046251398731117</v>
      </c>
    </row>
    <row r="1454" spans="1:40" x14ac:dyDescent="0.3">
      <c r="A1454" t="s">
        <v>381</v>
      </c>
      <c r="B1454" t="s">
        <v>139</v>
      </c>
      <c r="C1454" t="s">
        <v>16</v>
      </c>
      <c r="D1454" t="s">
        <v>14</v>
      </c>
      <c r="E1454">
        <v>202602</v>
      </c>
      <c r="F1454" t="s">
        <v>283</v>
      </c>
      <c r="G1454">
        <v>0</v>
      </c>
      <c r="H1454">
        <v>0</v>
      </c>
      <c r="I1454">
        <v>1</v>
      </c>
      <c r="J1454">
        <v>1</v>
      </c>
      <c r="K1454">
        <v>0</v>
      </c>
      <c r="L1454">
        <v>0</v>
      </c>
      <c r="M1454">
        <v>0</v>
      </c>
      <c r="N1454">
        <v>0</v>
      </c>
      <c r="O1454">
        <v>0</v>
      </c>
      <c r="P1454">
        <v>1</v>
      </c>
      <c r="Q1454">
        <v>0</v>
      </c>
      <c r="R1454">
        <v>0</v>
      </c>
      <c r="S1454">
        <v>0</v>
      </c>
      <c r="T1454">
        <v>0</v>
      </c>
      <c r="U1454">
        <v>0</v>
      </c>
      <c r="V1454">
        <v>0</v>
      </c>
      <c r="W1454">
        <v>0</v>
      </c>
      <c r="X1454">
        <v>0</v>
      </c>
      <c r="Y1454">
        <v>0</v>
      </c>
      <c r="Z1454">
        <v>0</v>
      </c>
      <c r="AA1454">
        <v>0</v>
      </c>
      <c r="AB1454">
        <v>0</v>
      </c>
      <c r="AC1454">
        <v>0</v>
      </c>
      <c r="AD1454">
        <v>0</v>
      </c>
      <c r="AE1454">
        <v>0</v>
      </c>
      <c r="AF1454">
        <v>0</v>
      </c>
      <c r="AG1454">
        <v>0</v>
      </c>
      <c r="AH1454">
        <v>0</v>
      </c>
      <c r="AI1454">
        <v>0</v>
      </c>
      <c r="AJ1454">
        <v>0</v>
      </c>
      <c r="AK1454">
        <v>0</v>
      </c>
      <c r="AL1454">
        <v>3</v>
      </c>
      <c r="AM1454">
        <v>0.33333333333333331</v>
      </c>
      <c r="AN1454">
        <v>7.0417410714286133</v>
      </c>
    </row>
    <row r="1455" spans="1:40" x14ac:dyDescent="0.3">
      <c r="A1455" t="s">
        <v>381</v>
      </c>
      <c r="B1455" t="s">
        <v>139</v>
      </c>
      <c r="C1455" t="s">
        <v>16</v>
      </c>
      <c r="D1455" t="s">
        <v>14</v>
      </c>
      <c r="E1455">
        <v>202602</v>
      </c>
      <c r="F1455" t="s">
        <v>439</v>
      </c>
      <c r="G1455">
        <v>0</v>
      </c>
      <c r="H1455">
        <v>0</v>
      </c>
      <c r="I1455">
        <v>0</v>
      </c>
      <c r="J1455">
        <v>0</v>
      </c>
      <c r="K1455">
        <v>1</v>
      </c>
      <c r="L1455">
        <v>0</v>
      </c>
      <c r="M1455">
        <v>0</v>
      </c>
      <c r="N1455">
        <v>0</v>
      </c>
      <c r="O1455">
        <v>0</v>
      </c>
      <c r="P1455">
        <v>0</v>
      </c>
      <c r="Q1455">
        <v>1</v>
      </c>
      <c r="R1455">
        <v>0</v>
      </c>
      <c r="S1455">
        <v>0</v>
      </c>
      <c r="T1455">
        <v>0</v>
      </c>
      <c r="U1455">
        <v>0</v>
      </c>
      <c r="V1455">
        <v>0</v>
      </c>
      <c r="W1455">
        <v>0</v>
      </c>
      <c r="X1455">
        <v>0</v>
      </c>
      <c r="Y1455">
        <v>0</v>
      </c>
      <c r="Z1455">
        <v>0</v>
      </c>
      <c r="AA1455">
        <v>0</v>
      </c>
      <c r="AB1455">
        <v>0</v>
      </c>
      <c r="AC1455">
        <v>0</v>
      </c>
      <c r="AD1455">
        <v>0</v>
      </c>
      <c r="AE1455">
        <v>0</v>
      </c>
      <c r="AF1455">
        <v>0</v>
      </c>
      <c r="AG1455">
        <v>0</v>
      </c>
      <c r="AH1455">
        <v>0</v>
      </c>
      <c r="AI1455">
        <v>0</v>
      </c>
      <c r="AJ1455">
        <v>0</v>
      </c>
      <c r="AK1455">
        <v>0</v>
      </c>
      <c r="AL1455">
        <v>2</v>
      </c>
      <c r="AM1455">
        <v>0.33333333333333331</v>
      </c>
      <c r="AN1455">
        <v>6.0417410714286133</v>
      </c>
    </row>
    <row r="1456" spans="1:40" x14ac:dyDescent="0.3">
      <c r="A1456" t="s">
        <v>381</v>
      </c>
      <c r="B1456" t="s">
        <v>239</v>
      </c>
      <c r="C1456" t="s">
        <v>10</v>
      </c>
      <c r="D1456" t="s">
        <v>11</v>
      </c>
      <c r="E1456">
        <v>202602</v>
      </c>
      <c r="F1456" t="s">
        <v>204</v>
      </c>
      <c r="G1456">
        <v>0</v>
      </c>
      <c r="H1456">
        <v>0</v>
      </c>
      <c r="I1456">
        <v>1</v>
      </c>
      <c r="J1456">
        <v>0</v>
      </c>
      <c r="K1456">
        <v>0</v>
      </c>
      <c r="L1456">
        <v>0</v>
      </c>
      <c r="M1456">
        <v>0</v>
      </c>
      <c r="N1456">
        <v>0</v>
      </c>
      <c r="O1456">
        <v>1</v>
      </c>
      <c r="P1456">
        <v>0</v>
      </c>
      <c r="Q1456">
        <v>1</v>
      </c>
      <c r="R1456">
        <v>0</v>
      </c>
      <c r="S1456">
        <v>0</v>
      </c>
      <c r="T1456">
        <v>0</v>
      </c>
      <c r="U1456">
        <v>0</v>
      </c>
      <c r="V1456">
        <v>0</v>
      </c>
      <c r="W1456">
        <v>0</v>
      </c>
      <c r="X1456">
        <v>0</v>
      </c>
      <c r="Y1456">
        <v>0</v>
      </c>
      <c r="Z1456">
        <v>0</v>
      </c>
      <c r="AA1456">
        <v>0</v>
      </c>
      <c r="AB1456">
        <v>0</v>
      </c>
      <c r="AC1456">
        <v>0</v>
      </c>
      <c r="AD1456">
        <v>0</v>
      </c>
      <c r="AE1456">
        <v>0</v>
      </c>
      <c r="AF1456">
        <v>0</v>
      </c>
      <c r="AG1456">
        <v>0</v>
      </c>
      <c r="AH1456">
        <v>0</v>
      </c>
      <c r="AI1456">
        <v>0</v>
      </c>
      <c r="AJ1456">
        <v>0</v>
      </c>
      <c r="AK1456">
        <v>0</v>
      </c>
      <c r="AL1456">
        <v>3</v>
      </c>
      <c r="AM1456">
        <v>0.66666666666666663</v>
      </c>
      <c r="AN1456">
        <v>12.209250279746223</v>
      </c>
    </row>
    <row r="1457" spans="1:40" x14ac:dyDescent="0.3">
      <c r="A1457" t="s">
        <v>381</v>
      </c>
      <c r="B1457" t="s">
        <v>239</v>
      </c>
      <c r="C1457" t="s">
        <v>10</v>
      </c>
      <c r="D1457" t="s">
        <v>14</v>
      </c>
      <c r="E1457">
        <v>202602</v>
      </c>
      <c r="F1457" t="s">
        <v>204</v>
      </c>
      <c r="G1457">
        <v>0</v>
      </c>
      <c r="H1457">
        <v>0</v>
      </c>
      <c r="I1457">
        <v>3</v>
      </c>
      <c r="J1457">
        <v>1</v>
      </c>
      <c r="K1457">
        <v>3</v>
      </c>
      <c r="L1457">
        <v>7</v>
      </c>
      <c r="M1457">
        <v>0</v>
      </c>
      <c r="N1457">
        <v>0</v>
      </c>
      <c r="O1457">
        <v>4</v>
      </c>
      <c r="P1457">
        <v>10</v>
      </c>
      <c r="Q1457">
        <v>0</v>
      </c>
      <c r="R1457">
        <v>0</v>
      </c>
      <c r="S1457">
        <v>0</v>
      </c>
      <c r="T1457">
        <v>0</v>
      </c>
      <c r="U1457">
        <v>0</v>
      </c>
      <c r="V1457">
        <v>0</v>
      </c>
      <c r="W1457">
        <v>0</v>
      </c>
      <c r="X1457">
        <v>0</v>
      </c>
      <c r="Y1457">
        <v>0</v>
      </c>
      <c r="Z1457">
        <v>0</v>
      </c>
      <c r="AA1457">
        <v>0</v>
      </c>
      <c r="AB1457">
        <v>0</v>
      </c>
      <c r="AC1457">
        <v>0</v>
      </c>
      <c r="AD1457">
        <v>0</v>
      </c>
      <c r="AE1457">
        <v>0</v>
      </c>
      <c r="AF1457">
        <v>0</v>
      </c>
      <c r="AG1457">
        <v>0</v>
      </c>
      <c r="AH1457">
        <v>0</v>
      </c>
      <c r="AI1457">
        <v>0</v>
      </c>
      <c r="AJ1457">
        <v>0</v>
      </c>
      <c r="AK1457">
        <v>0</v>
      </c>
      <c r="AL1457">
        <v>28</v>
      </c>
      <c r="AM1457">
        <v>4.666666666666667</v>
      </c>
      <c r="AN1457">
        <v>84.584375000000591</v>
      </c>
    </row>
    <row r="1458" spans="1:40" x14ac:dyDescent="0.3">
      <c r="A1458" t="s">
        <v>381</v>
      </c>
      <c r="B1458" t="s">
        <v>164</v>
      </c>
      <c r="C1458" t="s">
        <v>10</v>
      </c>
      <c r="D1458" t="s">
        <v>11</v>
      </c>
      <c r="E1458">
        <v>202602</v>
      </c>
      <c r="F1458" t="s">
        <v>18</v>
      </c>
      <c r="G1458">
        <v>0</v>
      </c>
      <c r="H1458">
        <v>2</v>
      </c>
      <c r="I1458">
        <v>5</v>
      </c>
      <c r="J1458">
        <v>2</v>
      </c>
      <c r="K1458">
        <v>5</v>
      </c>
      <c r="L1458">
        <v>2</v>
      </c>
      <c r="M1458">
        <v>2</v>
      </c>
      <c r="N1458">
        <v>0</v>
      </c>
      <c r="O1458">
        <v>5</v>
      </c>
      <c r="P1458">
        <v>4</v>
      </c>
      <c r="Q1458">
        <v>2</v>
      </c>
      <c r="R1458">
        <v>0</v>
      </c>
      <c r="S1458">
        <v>0</v>
      </c>
      <c r="T1458">
        <v>0</v>
      </c>
      <c r="U1458">
        <v>0</v>
      </c>
      <c r="V1458">
        <v>0</v>
      </c>
      <c r="W1458">
        <v>0</v>
      </c>
      <c r="X1458">
        <v>0</v>
      </c>
      <c r="Y1458">
        <v>0</v>
      </c>
      <c r="Z1458">
        <v>0</v>
      </c>
      <c r="AA1458">
        <v>0</v>
      </c>
      <c r="AB1458">
        <v>0</v>
      </c>
      <c r="AC1458">
        <v>0</v>
      </c>
      <c r="AD1458">
        <v>0</v>
      </c>
      <c r="AE1458">
        <v>0</v>
      </c>
      <c r="AF1458">
        <v>0</v>
      </c>
      <c r="AG1458">
        <v>0</v>
      </c>
      <c r="AH1458">
        <v>0</v>
      </c>
      <c r="AI1458">
        <v>0</v>
      </c>
      <c r="AJ1458">
        <v>0</v>
      </c>
      <c r="AK1458">
        <v>0</v>
      </c>
      <c r="AL1458">
        <v>29</v>
      </c>
      <c r="AM1458">
        <v>3.6666666666666665</v>
      </c>
      <c r="AN1458">
        <v>79.650876538604223</v>
      </c>
    </row>
    <row r="1459" spans="1:40" x14ac:dyDescent="0.3">
      <c r="A1459" t="s">
        <v>381</v>
      </c>
      <c r="B1459" t="s">
        <v>164</v>
      </c>
      <c r="C1459" t="s">
        <v>10</v>
      </c>
      <c r="D1459" t="s">
        <v>11</v>
      </c>
      <c r="E1459">
        <v>202602</v>
      </c>
      <c r="F1459" t="s">
        <v>138</v>
      </c>
      <c r="G1459">
        <v>0</v>
      </c>
      <c r="H1459">
        <v>5</v>
      </c>
      <c r="I1459">
        <v>1</v>
      </c>
      <c r="J1459">
        <v>1</v>
      </c>
      <c r="K1459">
        <v>7</v>
      </c>
      <c r="L1459">
        <v>5</v>
      </c>
      <c r="M1459">
        <v>0</v>
      </c>
      <c r="N1459">
        <v>0</v>
      </c>
      <c r="O1459">
        <v>3</v>
      </c>
      <c r="P1459">
        <v>5</v>
      </c>
      <c r="Q1459">
        <v>3</v>
      </c>
      <c r="R1459">
        <v>0</v>
      </c>
      <c r="S1459">
        <v>0</v>
      </c>
      <c r="T1459">
        <v>0</v>
      </c>
      <c r="U1459">
        <v>0</v>
      </c>
      <c r="V1459">
        <v>0</v>
      </c>
      <c r="W1459">
        <v>0</v>
      </c>
      <c r="X1459">
        <v>0</v>
      </c>
      <c r="Y1459">
        <v>0</v>
      </c>
      <c r="Z1459">
        <v>0</v>
      </c>
      <c r="AA1459">
        <v>0</v>
      </c>
      <c r="AB1459">
        <v>0</v>
      </c>
      <c r="AC1459">
        <v>0</v>
      </c>
      <c r="AD1459">
        <v>0</v>
      </c>
      <c r="AE1459">
        <v>0</v>
      </c>
      <c r="AF1459">
        <v>0</v>
      </c>
      <c r="AG1459">
        <v>0</v>
      </c>
      <c r="AH1459">
        <v>0</v>
      </c>
      <c r="AI1459">
        <v>0</v>
      </c>
      <c r="AJ1459">
        <v>0</v>
      </c>
      <c r="AK1459">
        <v>0</v>
      </c>
      <c r="AL1459">
        <v>30</v>
      </c>
      <c r="AM1459">
        <v>3.6666666666666665</v>
      </c>
      <c r="AN1459">
        <v>80.650876538604223</v>
      </c>
    </row>
    <row r="1460" spans="1:40" x14ac:dyDescent="0.3">
      <c r="A1460" t="s">
        <v>381</v>
      </c>
      <c r="B1460" t="s">
        <v>164</v>
      </c>
      <c r="C1460" t="s">
        <v>10</v>
      </c>
      <c r="D1460" t="s">
        <v>14</v>
      </c>
      <c r="E1460">
        <v>202602</v>
      </c>
      <c r="F1460" t="s">
        <v>18</v>
      </c>
      <c r="G1460">
        <v>2</v>
      </c>
      <c r="H1460">
        <v>3</v>
      </c>
      <c r="I1460">
        <v>4</v>
      </c>
      <c r="J1460">
        <v>2</v>
      </c>
      <c r="K1460">
        <v>6</v>
      </c>
      <c r="L1460">
        <v>4</v>
      </c>
      <c r="M1460">
        <v>0</v>
      </c>
      <c r="N1460">
        <v>0</v>
      </c>
      <c r="O1460">
        <v>2</v>
      </c>
      <c r="P1460">
        <v>5</v>
      </c>
      <c r="Q1460">
        <v>6</v>
      </c>
      <c r="R1460">
        <v>0</v>
      </c>
      <c r="S1460">
        <v>0</v>
      </c>
      <c r="T1460">
        <v>0</v>
      </c>
      <c r="U1460">
        <v>0</v>
      </c>
      <c r="V1460">
        <v>0</v>
      </c>
      <c r="W1460">
        <v>0</v>
      </c>
      <c r="X1460">
        <v>0</v>
      </c>
      <c r="Y1460">
        <v>0</v>
      </c>
      <c r="Z1460">
        <v>0</v>
      </c>
      <c r="AA1460">
        <v>0</v>
      </c>
      <c r="AB1460">
        <v>0</v>
      </c>
      <c r="AC1460">
        <v>0</v>
      </c>
      <c r="AD1460">
        <v>0</v>
      </c>
      <c r="AE1460">
        <v>0</v>
      </c>
      <c r="AF1460">
        <v>0</v>
      </c>
      <c r="AG1460">
        <v>0</v>
      </c>
      <c r="AH1460">
        <v>0</v>
      </c>
      <c r="AI1460">
        <v>0</v>
      </c>
      <c r="AJ1460">
        <v>0</v>
      </c>
      <c r="AK1460">
        <v>0</v>
      </c>
      <c r="AL1460">
        <v>34</v>
      </c>
      <c r="AM1460">
        <v>4.333333333333333</v>
      </c>
      <c r="AN1460">
        <v>86.542633928571973</v>
      </c>
    </row>
    <row r="1461" spans="1:40" x14ac:dyDescent="0.3">
      <c r="A1461" t="s">
        <v>381</v>
      </c>
      <c r="B1461" t="s">
        <v>164</v>
      </c>
      <c r="C1461" t="s">
        <v>10</v>
      </c>
      <c r="D1461" t="s">
        <v>14</v>
      </c>
      <c r="E1461">
        <v>202602</v>
      </c>
      <c r="F1461" t="s">
        <v>138</v>
      </c>
      <c r="G1461">
        <v>0</v>
      </c>
      <c r="H1461">
        <v>2</v>
      </c>
      <c r="I1461">
        <v>5</v>
      </c>
      <c r="J1461">
        <v>4</v>
      </c>
      <c r="K1461">
        <v>8</v>
      </c>
      <c r="L1461">
        <v>4</v>
      </c>
      <c r="M1461">
        <v>7</v>
      </c>
      <c r="N1461">
        <v>0</v>
      </c>
      <c r="O1461">
        <v>12</v>
      </c>
      <c r="P1461">
        <v>7</v>
      </c>
      <c r="Q1461">
        <v>15</v>
      </c>
      <c r="R1461">
        <v>0</v>
      </c>
      <c r="S1461">
        <v>0</v>
      </c>
      <c r="T1461">
        <v>0</v>
      </c>
      <c r="U1461">
        <v>0</v>
      </c>
      <c r="V1461">
        <v>0</v>
      </c>
      <c r="W1461">
        <v>0</v>
      </c>
      <c r="X1461">
        <v>0</v>
      </c>
      <c r="Y1461">
        <v>0</v>
      </c>
      <c r="Z1461">
        <v>0</v>
      </c>
      <c r="AA1461">
        <v>0</v>
      </c>
      <c r="AB1461">
        <v>0</v>
      </c>
      <c r="AC1461">
        <v>0</v>
      </c>
      <c r="AD1461">
        <v>0</v>
      </c>
      <c r="AE1461">
        <v>0</v>
      </c>
      <c r="AF1461">
        <v>0</v>
      </c>
      <c r="AG1461">
        <v>0</v>
      </c>
      <c r="AH1461">
        <v>0</v>
      </c>
      <c r="AI1461">
        <v>0</v>
      </c>
      <c r="AJ1461">
        <v>0</v>
      </c>
      <c r="AK1461">
        <v>0</v>
      </c>
      <c r="AL1461">
        <v>64</v>
      </c>
      <c r="AM1461">
        <v>11.333333333333334</v>
      </c>
      <c r="AN1461">
        <v>201.41919642857283</v>
      </c>
    </row>
    <row r="1462" spans="1:40" x14ac:dyDescent="0.3">
      <c r="A1462" t="s">
        <v>381</v>
      </c>
      <c r="B1462" t="s">
        <v>164</v>
      </c>
      <c r="C1462" t="s">
        <v>16</v>
      </c>
      <c r="D1462" t="s">
        <v>11</v>
      </c>
      <c r="E1462">
        <v>202602</v>
      </c>
      <c r="F1462" t="s">
        <v>18</v>
      </c>
      <c r="G1462">
        <v>0</v>
      </c>
      <c r="H1462">
        <v>0</v>
      </c>
      <c r="I1462">
        <v>0</v>
      </c>
      <c r="J1462">
        <v>0</v>
      </c>
      <c r="K1462">
        <v>1</v>
      </c>
      <c r="L1462">
        <v>0</v>
      </c>
      <c r="M1462">
        <v>0</v>
      </c>
      <c r="N1462">
        <v>0</v>
      </c>
      <c r="O1462">
        <v>0</v>
      </c>
      <c r="P1462">
        <v>0</v>
      </c>
      <c r="Q1462">
        <v>1</v>
      </c>
      <c r="R1462">
        <v>0</v>
      </c>
      <c r="S1462">
        <v>0</v>
      </c>
      <c r="T1462">
        <v>0</v>
      </c>
      <c r="U1462">
        <v>0</v>
      </c>
      <c r="V1462">
        <v>0</v>
      </c>
      <c r="W1462">
        <v>0</v>
      </c>
      <c r="X1462">
        <v>0</v>
      </c>
      <c r="Y1462">
        <v>0</v>
      </c>
      <c r="Z1462">
        <v>0</v>
      </c>
      <c r="AA1462">
        <v>0</v>
      </c>
      <c r="AB1462">
        <v>0</v>
      </c>
      <c r="AC1462">
        <v>0</v>
      </c>
      <c r="AD1462">
        <v>0</v>
      </c>
      <c r="AE1462">
        <v>0</v>
      </c>
      <c r="AF1462">
        <v>0</v>
      </c>
      <c r="AG1462">
        <v>0</v>
      </c>
      <c r="AH1462">
        <v>0</v>
      </c>
      <c r="AI1462">
        <v>0</v>
      </c>
      <c r="AJ1462">
        <v>0</v>
      </c>
      <c r="AK1462">
        <v>0</v>
      </c>
      <c r="AL1462">
        <v>2</v>
      </c>
      <c r="AM1462">
        <v>0.33333333333333331</v>
      </c>
      <c r="AN1462">
        <v>6.6046251398731117</v>
      </c>
    </row>
    <row r="1463" spans="1:40" x14ac:dyDescent="0.3">
      <c r="A1463" t="s">
        <v>381</v>
      </c>
      <c r="B1463" t="s">
        <v>164</v>
      </c>
      <c r="C1463" t="s">
        <v>16</v>
      </c>
      <c r="D1463" t="s">
        <v>11</v>
      </c>
      <c r="E1463">
        <v>202602</v>
      </c>
      <c r="F1463" t="s">
        <v>138</v>
      </c>
      <c r="G1463">
        <v>0</v>
      </c>
      <c r="H1463">
        <v>0</v>
      </c>
      <c r="I1463">
        <v>0</v>
      </c>
      <c r="J1463">
        <v>0</v>
      </c>
      <c r="K1463">
        <v>0</v>
      </c>
      <c r="L1463">
        <v>0</v>
      </c>
      <c r="M1463">
        <v>0</v>
      </c>
      <c r="N1463">
        <v>0</v>
      </c>
      <c r="O1463">
        <v>1</v>
      </c>
      <c r="P1463">
        <v>0</v>
      </c>
      <c r="Q1463">
        <v>1</v>
      </c>
      <c r="R1463">
        <v>0</v>
      </c>
      <c r="S1463">
        <v>0</v>
      </c>
      <c r="T1463">
        <v>0</v>
      </c>
      <c r="U1463">
        <v>0</v>
      </c>
      <c r="V1463">
        <v>0</v>
      </c>
      <c r="W1463">
        <v>0</v>
      </c>
      <c r="X1463">
        <v>0</v>
      </c>
      <c r="Y1463">
        <v>0</v>
      </c>
      <c r="Z1463">
        <v>0</v>
      </c>
      <c r="AA1463">
        <v>0</v>
      </c>
      <c r="AB1463">
        <v>0</v>
      </c>
      <c r="AC1463">
        <v>0</v>
      </c>
      <c r="AD1463">
        <v>0</v>
      </c>
      <c r="AE1463">
        <v>0</v>
      </c>
      <c r="AF1463">
        <v>0</v>
      </c>
      <c r="AG1463">
        <v>0</v>
      </c>
      <c r="AH1463">
        <v>0</v>
      </c>
      <c r="AI1463">
        <v>0</v>
      </c>
      <c r="AJ1463">
        <v>0</v>
      </c>
      <c r="AK1463">
        <v>0</v>
      </c>
      <c r="AL1463">
        <v>2</v>
      </c>
      <c r="AM1463">
        <v>0.66666666666666663</v>
      </c>
      <c r="AN1463">
        <v>11.209250279746223</v>
      </c>
    </row>
    <row r="1464" spans="1:40" x14ac:dyDescent="0.3">
      <c r="A1464" t="s">
        <v>381</v>
      </c>
      <c r="B1464" t="s">
        <v>164</v>
      </c>
      <c r="C1464" t="s">
        <v>16</v>
      </c>
      <c r="D1464" t="s">
        <v>14</v>
      </c>
      <c r="E1464">
        <v>202602</v>
      </c>
      <c r="F1464" t="s">
        <v>18</v>
      </c>
      <c r="G1464">
        <v>0</v>
      </c>
      <c r="H1464">
        <v>0</v>
      </c>
      <c r="I1464">
        <v>0</v>
      </c>
      <c r="J1464">
        <v>1</v>
      </c>
      <c r="K1464">
        <v>0</v>
      </c>
      <c r="L1464">
        <v>1</v>
      </c>
      <c r="M1464">
        <v>0</v>
      </c>
      <c r="N1464">
        <v>0</v>
      </c>
      <c r="O1464">
        <v>1</v>
      </c>
      <c r="P1464">
        <v>0</v>
      </c>
      <c r="Q1464">
        <v>0</v>
      </c>
      <c r="R1464">
        <v>0</v>
      </c>
      <c r="S1464">
        <v>0</v>
      </c>
      <c r="T1464">
        <v>0</v>
      </c>
      <c r="U1464">
        <v>0</v>
      </c>
      <c r="V1464">
        <v>0</v>
      </c>
      <c r="W1464">
        <v>0</v>
      </c>
      <c r="X1464">
        <v>0</v>
      </c>
      <c r="Y1464">
        <v>0</v>
      </c>
      <c r="Z1464">
        <v>0</v>
      </c>
      <c r="AA1464">
        <v>0</v>
      </c>
      <c r="AB1464">
        <v>0</v>
      </c>
      <c r="AC1464">
        <v>0</v>
      </c>
      <c r="AD1464">
        <v>0</v>
      </c>
      <c r="AE1464">
        <v>0</v>
      </c>
      <c r="AF1464">
        <v>0</v>
      </c>
      <c r="AG1464">
        <v>0</v>
      </c>
      <c r="AH1464">
        <v>0</v>
      </c>
      <c r="AI1464">
        <v>0</v>
      </c>
      <c r="AJ1464">
        <v>0</v>
      </c>
      <c r="AK1464">
        <v>0</v>
      </c>
      <c r="AL1464">
        <v>3</v>
      </c>
      <c r="AM1464">
        <v>0.33333333333333331</v>
      </c>
      <c r="AN1464">
        <v>7.0417410714286133</v>
      </c>
    </row>
    <row r="1465" spans="1:40" x14ac:dyDescent="0.3">
      <c r="A1465" t="s">
        <v>381</v>
      </c>
      <c r="B1465" t="s">
        <v>164</v>
      </c>
      <c r="C1465" t="s">
        <v>16</v>
      </c>
      <c r="D1465" t="s">
        <v>14</v>
      </c>
      <c r="E1465">
        <v>202602</v>
      </c>
      <c r="F1465" t="s">
        <v>138</v>
      </c>
      <c r="G1465">
        <v>0</v>
      </c>
      <c r="H1465">
        <v>0</v>
      </c>
      <c r="I1465">
        <v>0</v>
      </c>
      <c r="J1465">
        <v>0</v>
      </c>
      <c r="K1465">
        <v>1</v>
      </c>
      <c r="L1465">
        <v>1</v>
      </c>
      <c r="M1465">
        <v>1</v>
      </c>
      <c r="N1465">
        <v>0</v>
      </c>
      <c r="O1465">
        <v>1</v>
      </c>
      <c r="P1465">
        <v>0</v>
      </c>
      <c r="Q1465">
        <v>0</v>
      </c>
      <c r="R1465">
        <v>0</v>
      </c>
      <c r="S1465">
        <v>0</v>
      </c>
      <c r="T1465">
        <v>0</v>
      </c>
      <c r="U1465">
        <v>0</v>
      </c>
      <c r="V1465">
        <v>0</v>
      </c>
      <c r="W1465">
        <v>0</v>
      </c>
      <c r="X1465">
        <v>0</v>
      </c>
      <c r="Y1465">
        <v>0</v>
      </c>
      <c r="Z1465">
        <v>0</v>
      </c>
      <c r="AA1465">
        <v>0</v>
      </c>
      <c r="AB1465">
        <v>0</v>
      </c>
      <c r="AC1465">
        <v>0</v>
      </c>
      <c r="AD1465">
        <v>0</v>
      </c>
      <c r="AE1465">
        <v>0</v>
      </c>
      <c r="AF1465">
        <v>0</v>
      </c>
      <c r="AG1465">
        <v>0</v>
      </c>
      <c r="AH1465">
        <v>0</v>
      </c>
      <c r="AI1465">
        <v>0</v>
      </c>
      <c r="AJ1465">
        <v>0</v>
      </c>
      <c r="AK1465">
        <v>0</v>
      </c>
      <c r="AL1465">
        <v>4</v>
      </c>
      <c r="AM1465">
        <v>0.33333333333333331</v>
      </c>
      <c r="AN1465">
        <v>8.0417410714286142</v>
      </c>
    </row>
    <row r="1466" spans="1:40" x14ac:dyDescent="0.3">
      <c r="A1466" t="s">
        <v>381</v>
      </c>
      <c r="B1466" t="s">
        <v>168</v>
      </c>
      <c r="C1466" t="s">
        <v>10</v>
      </c>
      <c r="D1466" t="s">
        <v>11</v>
      </c>
      <c r="E1466">
        <v>202602</v>
      </c>
      <c r="F1466" t="s">
        <v>169</v>
      </c>
      <c r="G1466">
        <v>0</v>
      </c>
      <c r="H1466">
        <v>0</v>
      </c>
      <c r="I1466">
        <v>0</v>
      </c>
      <c r="J1466">
        <v>1</v>
      </c>
      <c r="K1466">
        <v>0</v>
      </c>
      <c r="L1466">
        <v>1</v>
      </c>
      <c r="M1466">
        <v>0</v>
      </c>
      <c r="N1466">
        <v>0</v>
      </c>
      <c r="O1466">
        <v>1</v>
      </c>
      <c r="P1466">
        <v>0</v>
      </c>
      <c r="Q1466">
        <v>2</v>
      </c>
      <c r="R1466">
        <v>0</v>
      </c>
      <c r="S1466">
        <v>0</v>
      </c>
      <c r="T1466">
        <v>0</v>
      </c>
      <c r="U1466">
        <v>0</v>
      </c>
      <c r="V1466">
        <v>0</v>
      </c>
      <c r="W1466">
        <v>0</v>
      </c>
      <c r="X1466">
        <v>0</v>
      </c>
      <c r="Y1466">
        <v>0</v>
      </c>
      <c r="Z1466">
        <v>0</v>
      </c>
      <c r="AA1466">
        <v>0</v>
      </c>
      <c r="AB1466">
        <v>0</v>
      </c>
      <c r="AC1466">
        <v>0</v>
      </c>
      <c r="AD1466">
        <v>0</v>
      </c>
      <c r="AE1466">
        <v>0</v>
      </c>
      <c r="AF1466">
        <v>0</v>
      </c>
      <c r="AG1466">
        <v>0</v>
      </c>
      <c r="AH1466">
        <v>0</v>
      </c>
      <c r="AI1466">
        <v>0</v>
      </c>
      <c r="AJ1466">
        <v>0</v>
      </c>
      <c r="AK1466">
        <v>0</v>
      </c>
      <c r="AL1466">
        <v>5</v>
      </c>
      <c r="AM1466">
        <v>1</v>
      </c>
      <c r="AN1466">
        <v>18.813875419619336</v>
      </c>
    </row>
    <row r="1467" spans="1:40" x14ac:dyDescent="0.3">
      <c r="A1467" t="s">
        <v>381</v>
      </c>
      <c r="B1467" t="s">
        <v>168</v>
      </c>
      <c r="C1467" t="s">
        <v>10</v>
      </c>
      <c r="D1467" t="s">
        <v>14</v>
      </c>
      <c r="E1467">
        <v>202602</v>
      </c>
      <c r="F1467" t="s">
        <v>169</v>
      </c>
      <c r="G1467">
        <v>0</v>
      </c>
      <c r="H1467">
        <v>0</v>
      </c>
      <c r="I1467">
        <v>0</v>
      </c>
      <c r="J1467">
        <v>1</v>
      </c>
      <c r="K1467">
        <v>1</v>
      </c>
      <c r="L1467">
        <v>1</v>
      </c>
      <c r="M1467">
        <v>0</v>
      </c>
      <c r="N1467">
        <v>0</v>
      </c>
      <c r="O1467">
        <v>0</v>
      </c>
      <c r="P1467">
        <v>2</v>
      </c>
      <c r="Q1467">
        <v>1</v>
      </c>
      <c r="R1467">
        <v>0</v>
      </c>
      <c r="S1467">
        <v>0</v>
      </c>
      <c r="T1467">
        <v>0</v>
      </c>
      <c r="U1467">
        <v>0</v>
      </c>
      <c r="V1467">
        <v>0</v>
      </c>
      <c r="W1467">
        <v>0</v>
      </c>
      <c r="X1467">
        <v>0</v>
      </c>
      <c r="Y1467">
        <v>0</v>
      </c>
      <c r="Z1467">
        <v>0</v>
      </c>
      <c r="AA1467">
        <v>0</v>
      </c>
      <c r="AB1467">
        <v>0</v>
      </c>
      <c r="AC1467">
        <v>0</v>
      </c>
      <c r="AD1467">
        <v>0</v>
      </c>
      <c r="AE1467">
        <v>0</v>
      </c>
      <c r="AF1467">
        <v>0</v>
      </c>
      <c r="AG1467">
        <v>0</v>
      </c>
      <c r="AH1467">
        <v>0</v>
      </c>
      <c r="AI1467">
        <v>0</v>
      </c>
      <c r="AJ1467">
        <v>0</v>
      </c>
      <c r="AK1467">
        <v>0</v>
      </c>
      <c r="AL1467">
        <v>6</v>
      </c>
      <c r="AM1467">
        <v>1</v>
      </c>
      <c r="AN1467">
        <v>18.125223214285839</v>
      </c>
    </row>
    <row r="1468" spans="1:40" x14ac:dyDescent="0.3">
      <c r="A1468" t="s">
        <v>381</v>
      </c>
      <c r="B1468" t="s">
        <v>170</v>
      </c>
      <c r="C1468" t="s">
        <v>10</v>
      </c>
      <c r="D1468" t="s">
        <v>11</v>
      </c>
      <c r="E1468">
        <v>202602</v>
      </c>
      <c r="F1468" t="s">
        <v>50</v>
      </c>
      <c r="G1468">
        <v>0</v>
      </c>
      <c r="H1468">
        <v>0</v>
      </c>
      <c r="I1468">
        <v>0</v>
      </c>
      <c r="J1468">
        <v>1</v>
      </c>
      <c r="K1468">
        <v>1</v>
      </c>
      <c r="L1468">
        <v>0</v>
      </c>
      <c r="M1468">
        <v>0</v>
      </c>
      <c r="N1468">
        <v>0</v>
      </c>
      <c r="O1468">
        <v>0</v>
      </c>
      <c r="P1468">
        <v>0</v>
      </c>
      <c r="Q1468">
        <v>0</v>
      </c>
      <c r="R1468">
        <v>0</v>
      </c>
      <c r="S1468">
        <v>0</v>
      </c>
      <c r="T1468">
        <v>0</v>
      </c>
      <c r="U1468">
        <v>0</v>
      </c>
      <c r="V1468">
        <v>0</v>
      </c>
      <c r="W1468">
        <v>0</v>
      </c>
      <c r="X1468">
        <v>0</v>
      </c>
      <c r="Y1468">
        <v>0</v>
      </c>
      <c r="Z1468">
        <v>0</v>
      </c>
      <c r="AA1468">
        <v>0</v>
      </c>
      <c r="AB1468">
        <v>0</v>
      </c>
      <c r="AC1468">
        <v>0</v>
      </c>
      <c r="AD1468">
        <v>0</v>
      </c>
      <c r="AE1468">
        <v>0</v>
      </c>
      <c r="AF1468">
        <v>0</v>
      </c>
      <c r="AG1468">
        <v>0</v>
      </c>
      <c r="AH1468">
        <v>0</v>
      </c>
      <c r="AI1468">
        <v>0</v>
      </c>
      <c r="AJ1468">
        <v>0</v>
      </c>
      <c r="AK1468">
        <v>0</v>
      </c>
      <c r="AL1468">
        <v>2</v>
      </c>
      <c r="AM1468">
        <v>0</v>
      </c>
      <c r="AN1468">
        <v>2</v>
      </c>
    </row>
    <row r="1469" spans="1:40" x14ac:dyDescent="0.3">
      <c r="A1469" t="s">
        <v>381</v>
      </c>
      <c r="B1469" t="s">
        <v>170</v>
      </c>
      <c r="C1469" t="s">
        <v>10</v>
      </c>
      <c r="D1469" t="s">
        <v>14</v>
      </c>
      <c r="E1469">
        <v>202602</v>
      </c>
      <c r="F1469" t="s">
        <v>50</v>
      </c>
      <c r="G1469">
        <v>0</v>
      </c>
      <c r="H1469">
        <v>0</v>
      </c>
      <c r="I1469">
        <v>1</v>
      </c>
      <c r="J1469">
        <v>1</v>
      </c>
      <c r="K1469">
        <v>0</v>
      </c>
      <c r="L1469">
        <v>1</v>
      </c>
      <c r="M1469">
        <v>1</v>
      </c>
      <c r="N1469">
        <v>0</v>
      </c>
      <c r="O1469">
        <v>0</v>
      </c>
      <c r="P1469">
        <v>1</v>
      </c>
      <c r="Q1469">
        <v>0</v>
      </c>
      <c r="R1469">
        <v>0</v>
      </c>
      <c r="S1469">
        <v>0</v>
      </c>
      <c r="T1469">
        <v>0</v>
      </c>
      <c r="U1469">
        <v>0</v>
      </c>
      <c r="V1469">
        <v>0</v>
      </c>
      <c r="W1469">
        <v>0</v>
      </c>
      <c r="X1469">
        <v>0</v>
      </c>
      <c r="Y1469">
        <v>0</v>
      </c>
      <c r="Z1469">
        <v>0</v>
      </c>
      <c r="AA1469">
        <v>0</v>
      </c>
      <c r="AB1469">
        <v>0</v>
      </c>
      <c r="AC1469">
        <v>0</v>
      </c>
      <c r="AD1469">
        <v>0</v>
      </c>
      <c r="AE1469">
        <v>0</v>
      </c>
      <c r="AF1469">
        <v>0</v>
      </c>
      <c r="AG1469">
        <v>0</v>
      </c>
      <c r="AH1469">
        <v>0</v>
      </c>
      <c r="AI1469">
        <v>0</v>
      </c>
      <c r="AJ1469">
        <v>0</v>
      </c>
      <c r="AK1469">
        <v>0</v>
      </c>
      <c r="AL1469">
        <v>5</v>
      </c>
      <c r="AM1469">
        <v>0.33333333333333331</v>
      </c>
      <c r="AN1469">
        <v>9.0417410714286142</v>
      </c>
    </row>
    <row r="1470" spans="1:40" x14ac:dyDescent="0.3">
      <c r="A1470" t="s">
        <v>381</v>
      </c>
      <c r="B1470" t="s">
        <v>171</v>
      </c>
      <c r="C1470" t="s">
        <v>10</v>
      </c>
      <c r="D1470" t="s">
        <v>11</v>
      </c>
      <c r="E1470">
        <v>202602</v>
      </c>
      <c r="F1470" t="s">
        <v>172</v>
      </c>
      <c r="G1470">
        <v>0</v>
      </c>
      <c r="H1470">
        <v>1</v>
      </c>
      <c r="I1470">
        <v>2</v>
      </c>
      <c r="J1470">
        <v>3</v>
      </c>
      <c r="K1470">
        <v>6</v>
      </c>
      <c r="L1470">
        <v>6</v>
      </c>
      <c r="M1470">
        <v>2</v>
      </c>
      <c r="N1470">
        <v>0</v>
      </c>
      <c r="O1470">
        <v>3</v>
      </c>
      <c r="P1470">
        <v>1</v>
      </c>
      <c r="Q1470">
        <v>2</v>
      </c>
      <c r="R1470">
        <v>0</v>
      </c>
      <c r="S1470">
        <v>0</v>
      </c>
      <c r="T1470">
        <v>0</v>
      </c>
      <c r="U1470">
        <v>0</v>
      </c>
      <c r="V1470">
        <v>0</v>
      </c>
      <c r="W1470">
        <v>0</v>
      </c>
      <c r="X1470">
        <v>0</v>
      </c>
      <c r="Y1470">
        <v>0</v>
      </c>
      <c r="Z1470">
        <v>0</v>
      </c>
      <c r="AA1470">
        <v>0</v>
      </c>
      <c r="AB1470">
        <v>0</v>
      </c>
      <c r="AC1470">
        <v>0</v>
      </c>
      <c r="AD1470">
        <v>0</v>
      </c>
      <c r="AE1470">
        <v>0</v>
      </c>
      <c r="AF1470">
        <v>0</v>
      </c>
      <c r="AG1470">
        <v>0</v>
      </c>
      <c r="AH1470">
        <v>0</v>
      </c>
      <c r="AI1470">
        <v>0</v>
      </c>
      <c r="AJ1470">
        <v>0</v>
      </c>
      <c r="AK1470">
        <v>0</v>
      </c>
      <c r="AL1470">
        <v>26</v>
      </c>
      <c r="AM1470">
        <v>2</v>
      </c>
      <c r="AN1470">
        <v>53.627750839238672</v>
      </c>
    </row>
    <row r="1471" spans="1:40" x14ac:dyDescent="0.3">
      <c r="A1471" t="s">
        <v>381</v>
      </c>
      <c r="B1471" t="s">
        <v>171</v>
      </c>
      <c r="C1471" t="s">
        <v>10</v>
      </c>
      <c r="D1471" t="s">
        <v>14</v>
      </c>
      <c r="E1471">
        <v>202602</v>
      </c>
      <c r="F1471" t="s">
        <v>172</v>
      </c>
      <c r="G1471">
        <v>0</v>
      </c>
      <c r="H1471">
        <v>7</v>
      </c>
      <c r="I1471">
        <v>5</v>
      </c>
      <c r="J1471">
        <v>4</v>
      </c>
      <c r="K1471">
        <v>3</v>
      </c>
      <c r="L1471">
        <v>4</v>
      </c>
      <c r="M1471">
        <v>3</v>
      </c>
      <c r="N1471">
        <v>0</v>
      </c>
      <c r="O1471">
        <v>2</v>
      </c>
      <c r="P1471">
        <v>4</v>
      </c>
      <c r="Q1471">
        <v>5</v>
      </c>
      <c r="R1471">
        <v>0</v>
      </c>
      <c r="S1471">
        <v>0</v>
      </c>
      <c r="T1471">
        <v>0</v>
      </c>
      <c r="U1471">
        <v>0</v>
      </c>
      <c r="V1471">
        <v>0</v>
      </c>
      <c r="W1471">
        <v>0</v>
      </c>
      <c r="X1471">
        <v>0</v>
      </c>
      <c r="Y1471">
        <v>0</v>
      </c>
      <c r="Z1471">
        <v>0</v>
      </c>
      <c r="AA1471">
        <v>0</v>
      </c>
      <c r="AB1471">
        <v>0</v>
      </c>
      <c r="AC1471">
        <v>0</v>
      </c>
      <c r="AD1471">
        <v>0</v>
      </c>
      <c r="AE1471">
        <v>0</v>
      </c>
      <c r="AF1471">
        <v>0</v>
      </c>
      <c r="AG1471">
        <v>0</v>
      </c>
      <c r="AH1471">
        <v>0</v>
      </c>
      <c r="AI1471">
        <v>0</v>
      </c>
      <c r="AJ1471">
        <v>0</v>
      </c>
      <c r="AK1471">
        <v>0</v>
      </c>
      <c r="AL1471">
        <v>37</v>
      </c>
      <c r="AM1471">
        <v>3.6666666666666665</v>
      </c>
      <c r="AN1471">
        <v>81.459151785714738</v>
      </c>
    </row>
    <row r="1472" spans="1:40" x14ac:dyDescent="0.3">
      <c r="A1472" t="s">
        <v>381</v>
      </c>
      <c r="B1472" t="s">
        <v>173</v>
      </c>
      <c r="C1472" t="s">
        <v>10</v>
      </c>
      <c r="D1472" t="s">
        <v>11</v>
      </c>
      <c r="E1472">
        <v>202602</v>
      </c>
      <c r="F1472" t="s">
        <v>172</v>
      </c>
      <c r="G1472">
        <v>0</v>
      </c>
      <c r="H1472">
        <v>3</v>
      </c>
      <c r="I1472">
        <v>3</v>
      </c>
      <c r="J1472">
        <v>0</v>
      </c>
      <c r="K1472">
        <v>0</v>
      </c>
      <c r="L1472">
        <v>4</v>
      </c>
      <c r="M1472">
        <v>0</v>
      </c>
      <c r="N1472">
        <v>0</v>
      </c>
      <c r="O1472">
        <v>3</v>
      </c>
      <c r="P1472">
        <v>1</v>
      </c>
      <c r="Q1472">
        <v>1</v>
      </c>
      <c r="R1472">
        <v>0</v>
      </c>
      <c r="S1472">
        <v>0</v>
      </c>
      <c r="T1472">
        <v>0</v>
      </c>
      <c r="U1472">
        <v>0</v>
      </c>
      <c r="V1472">
        <v>0</v>
      </c>
      <c r="W1472">
        <v>0</v>
      </c>
      <c r="X1472">
        <v>0</v>
      </c>
      <c r="Y1472">
        <v>0</v>
      </c>
      <c r="Z1472">
        <v>0</v>
      </c>
      <c r="AA1472">
        <v>0</v>
      </c>
      <c r="AB1472">
        <v>0</v>
      </c>
      <c r="AC1472">
        <v>0</v>
      </c>
      <c r="AD1472">
        <v>0</v>
      </c>
      <c r="AE1472">
        <v>0</v>
      </c>
      <c r="AF1472">
        <v>0</v>
      </c>
      <c r="AG1472">
        <v>0</v>
      </c>
      <c r="AH1472">
        <v>0</v>
      </c>
      <c r="AI1472">
        <v>0</v>
      </c>
      <c r="AJ1472">
        <v>0</v>
      </c>
      <c r="AK1472">
        <v>0</v>
      </c>
      <c r="AL1472">
        <v>15</v>
      </c>
      <c r="AM1472">
        <v>1.6666666666666667</v>
      </c>
      <c r="AN1472">
        <v>38.023125699365558</v>
      </c>
    </row>
    <row r="1473" spans="1:40" x14ac:dyDescent="0.3">
      <c r="A1473" t="s">
        <v>381</v>
      </c>
      <c r="B1473" t="s">
        <v>173</v>
      </c>
      <c r="C1473" t="s">
        <v>10</v>
      </c>
      <c r="D1473" t="s">
        <v>14</v>
      </c>
      <c r="E1473">
        <v>202602</v>
      </c>
      <c r="F1473" t="s">
        <v>172</v>
      </c>
      <c r="G1473">
        <v>0</v>
      </c>
      <c r="H1473">
        <v>0</v>
      </c>
      <c r="I1473">
        <v>1</v>
      </c>
      <c r="J1473">
        <v>6</v>
      </c>
      <c r="K1473">
        <v>3</v>
      </c>
      <c r="L1473">
        <v>4</v>
      </c>
      <c r="M1473">
        <v>0</v>
      </c>
      <c r="N1473">
        <v>0</v>
      </c>
      <c r="O1473">
        <v>0</v>
      </c>
      <c r="P1473">
        <v>2</v>
      </c>
      <c r="Q1473">
        <v>3</v>
      </c>
      <c r="R1473">
        <v>0</v>
      </c>
      <c r="S1473">
        <v>0</v>
      </c>
      <c r="T1473">
        <v>0</v>
      </c>
      <c r="U1473">
        <v>0</v>
      </c>
      <c r="V1473">
        <v>0</v>
      </c>
      <c r="W1473">
        <v>0</v>
      </c>
      <c r="X1473">
        <v>0</v>
      </c>
      <c r="Y1473">
        <v>0</v>
      </c>
      <c r="Z1473">
        <v>0</v>
      </c>
      <c r="AA1473">
        <v>0</v>
      </c>
      <c r="AB1473">
        <v>0</v>
      </c>
      <c r="AC1473">
        <v>0</v>
      </c>
      <c r="AD1473">
        <v>0</v>
      </c>
      <c r="AE1473">
        <v>0</v>
      </c>
      <c r="AF1473">
        <v>0</v>
      </c>
      <c r="AG1473">
        <v>0</v>
      </c>
      <c r="AH1473">
        <v>0</v>
      </c>
      <c r="AI1473">
        <v>0</v>
      </c>
      <c r="AJ1473">
        <v>0</v>
      </c>
      <c r="AK1473">
        <v>0</v>
      </c>
      <c r="AL1473">
        <v>19</v>
      </c>
      <c r="AM1473">
        <v>1.6666666666666667</v>
      </c>
      <c r="AN1473">
        <v>39.20870535714306</v>
      </c>
    </row>
    <row r="1474" spans="1:40" x14ac:dyDescent="0.3">
      <c r="A1474" t="s">
        <v>381</v>
      </c>
      <c r="B1474" t="s">
        <v>173</v>
      </c>
      <c r="C1474" t="s">
        <v>16</v>
      </c>
      <c r="D1474" t="s">
        <v>14</v>
      </c>
      <c r="E1474">
        <v>202602</v>
      </c>
      <c r="F1474" t="s">
        <v>172</v>
      </c>
      <c r="G1474">
        <v>0</v>
      </c>
      <c r="H1474">
        <v>0</v>
      </c>
      <c r="I1474">
        <v>0</v>
      </c>
      <c r="J1474">
        <v>0</v>
      </c>
      <c r="K1474">
        <v>0</v>
      </c>
      <c r="L1474">
        <v>0</v>
      </c>
      <c r="M1474">
        <v>0</v>
      </c>
      <c r="N1474">
        <v>0</v>
      </c>
      <c r="O1474">
        <v>0</v>
      </c>
      <c r="P1474">
        <v>1</v>
      </c>
      <c r="Q1474">
        <v>0</v>
      </c>
      <c r="R1474">
        <v>0</v>
      </c>
      <c r="S1474">
        <v>0</v>
      </c>
      <c r="T1474">
        <v>0</v>
      </c>
      <c r="U1474">
        <v>0</v>
      </c>
      <c r="V1474">
        <v>0</v>
      </c>
      <c r="W1474">
        <v>0</v>
      </c>
      <c r="X1474">
        <v>0</v>
      </c>
      <c r="Y1474">
        <v>0</v>
      </c>
      <c r="Z1474">
        <v>0</v>
      </c>
      <c r="AA1474">
        <v>0</v>
      </c>
      <c r="AB1474">
        <v>0</v>
      </c>
      <c r="AC1474">
        <v>0</v>
      </c>
      <c r="AD1474">
        <v>0</v>
      </c>
      <c r="AE1474">
        <v>0</v>
      </c>
      <c r="AF1474">
        <v>0</v>
      </c>
      <c r="AG1474">
        <v>0</v>
      </c>
      <c r="AH1474">
        <v>0</v>
      </c>
      <c r="AI1474">
        <v>0</v>
      </c>
      <c r="AJ1474">
        <v>0</v>
      </c>
      <c r="AK1474">
        <v>0</v>
      </c>
      <c r="AL1474">
        <v>1</v>
      </c>
      <c r="AM1474">
        <v>0.33333333333333331</v>
      </c>
      <c r="AN1474">
        <v>5.0417410714286133</v>
      </c>
    </row>
    <row r="1475" spans="1:40" x14ac:dyDescent="0.3">
      <c r="A1475" t="s">
        <v>447</v>
      </c>
      <c r="B1475" t="s">
        <v>9</v>
      </c>
      <c r="C1475" t="s">
        <v>10</v>
      </c>
      <c r="D1475" t="s">
        <v>11</v>
      </c>
      <c r="E1475">
        <v>202602</v>
      </c>
      <c r="F1475" t="s">
        <v>175</v>
      </c>
      <c r="G1475">
        <v>0</v>
      </c>
      <c r="H1475">
        <v>0</v>
      </c>
      <c r="I1475">
        <v>2</v>
      </c>
      <c r="J1475">
        <v>1</v>
      </c>
      <c r="K1475">
        <v>0</v>
      </c>
      <c r="L1475">
        <v>2</v>
      </c>
      <c r="M1475">
        <v>4</v>
      </c>
      <c r="N1475">
        <v>1</v>
      </c>
      <c r="O1475">
        <v>0</v>
      </c>
      <c r="P1475">
        <v>1</v>
      </c>
      <c r="Q1475">
        <v>3</v>
      </c>
      <c r="R1475">
        <v>0</v>
      </c>
      <c r="S1475">
        <v>0</v>
      </c>
      <c r="T1475">
        <v>0</v>
      </c>
      <c r="U1475">
        <v>0</v>
      </c>
      <c r="V1475">
        <v>0</v>
      </c>
      <c r="W1475">
        <v>0</v>
      </c>
      <c r="X1475">
        <v>0</v>
      </c>
      <c r="Y1475">
        <v>0</v>
      </c>
      <c r="Z1475">
        <v>0</v>
      </c>
      <c r="AA1475">
        <v>0</v>
      </c>
      <c r="AB1475">
        <v>0</v>
      </c>
      <c r="AC1475">
        <v>0</v>
      </c>
      <c r="AD1475">
        <v>0</v>
      </c>
      <c r="AE1475">
        <v>0</v>
      </c>
      <c r="AF1475">
        <v>0</v>
      </c>
      <c r="AG1475">
        <v>0</v>
      </c>
      <c r="AH1475">
        <v>0</v>
      </c>
      <c r="AI1475">
        <v>0</v>
      </c>
      <c r="AJ1475">
        <v>0</v>
      </c>
      <c r="AK1475">
        <v>0</v>
      </c>
      <c r="AL1475">
        <v>14</v>
      </c>
      <c r="AM1475">
        <v>1.3333333333333333</v>
      </c>
      <c r="AN1475">
        <v>32.418500559492443</v>
      </c>
    </row>
    <row r="1476" spans="1:40" x14ac:dyDescent="0.3">
      <c r="A1476" t="s">
        <v>447</v>
      </c>
      <c r="B1476" t="s">
        <v>9</v>
      </c>
      <c r="C1476" t="s">
        <v>10</v>
      </c>
      <c r="D1476" t="s">
        <v>14</v>
      </c>
      <c r="E1476">
        <v>202602</v>
      </c>
      <c r="F1476" t="s">
        <v>175</v>
      </c>
      <c r="G1476">
        <v>0</v>
      </c>
      <c r="H1476">
        <v>2</v>
      </c>
      <c r="I1476">
        <v>2</v>
      </c>
      <c r="J1476">
        <v>2</v>
      </c>
      <c r="K1476">
        <v>1</v>
      </c>
      <c r="L1476">
        <v>0</v>
      </c>
      <c r="M1476">
        <v>2</v>
      </c>
      <c r="N1476">
        <v>1</v>
      </c>
      <c r="O1476">
        <v>0</v>
      </c>
      <c r="P1476">
        <v>5</v>
      </c>
      <c r="Q1476">
        <v>1</v>
      </c>
      <c r="R1476">
        <v>0</v>
      </c>
      <c r="S1476">
        <v>0</v>
      </c>
      <c r="T1476">
        <v>0</v>
      </c>
      <c r="U1476">
        <v>0</v>
      </c>
      <c r="V1476">
        <v>0</v>
      </c>
      <c r="W1476">
        <v>0</v>
      </c>
      <c r="X1476">
        <v>0</v>
      </c>
      <c r="Y1476">
        <v>0</v>
      </c>
      <c r="Z1476">
        <v>0</v>
      </c>
      <c r="AA1476">
        <v>0</v>
      </c>
      <c r="AB1476">
        <v>0</v>
      </c>
      <c r="AC1476">
        <v>0</v>
      </c>
      <c r="AD1476">
        <v>0</v>
      </c>
      <c r="AE1476">
        <v>0</v>
      </c>
      <c r="AF1476">
        <v>0</v>
      </c>
      <c r="AG1476">
        <v>0</v>
      </c>
      <c r="AH1476">
        <v>0</v>
      </c>
      <c r="AI1476">
        <v>0</v>
      </c>
      <c r="AJ1476">
        <v>0</v>
      </c>
      <c r="AK1476">
        <v>0</v>
      </c>
      <c r="AL1476">
        <v>16</v>
      </c>
      <c r="AM1476">
        <v>2</v>
      </c>
      <c r="AN1476">
        <v>40.250446428571678</v>
      </c>
    </row>
    <row r="1477" spans="1:40" x14ac:dyDescent="0.3">
      <c r="A1477" t="s">
        <v>447</v>
      </c>
      <c r="B1477" t="s">
        <v>9</v>
      </c>
      <c r="C1477" t="s">
        <v>10</v>
      </c>
      <c r="D1477" t="s">
        <v>14</v>
      </c>
      <c r="E1477">
        <v>202602</v>
      </c>
      <c r="F1477" t="s">
        <v>178</v>
      </c>
      <c r="G1477">
        <v>0</v>
      </c>
      <c r="H1477">
        <v>0</v>
      </c>
      <c r="I1477">
        <v>0</v>
      </c>
      <c r="J1477">
        <v>0</v>
      </c>
      <c r="K1477">
        <v>0</v>
      </c>
      <c r="L1477">
        <v>0</v>
      </c>
      <c r="M1477">
        <v>0</v>
      </c>
      <c r="N1477">
        <v>0</v>
      </c>
      <c r="O1477">
        <v>2</v>
      </c>
      <c r="P1477">
        <v>0</v>
      </c>
      <c r="Q1477">
        <v>0</v>
      </c>
      <c r="R1477">
        <v>0</v>
      </c>
      <c r="S1477">
        <v>0</v>
      </c>
      <c r="T1477">
        <v>0</v>
      </c>
      <c r="U1477">
        <v>0</v>
      </c>
      <c r="V1477">
        <v>0</v>
      </c>
      <c r="W1477">
        <v>0</v>
      </c>
      <c r="X1477">
        <v>0</v>
      </c>
      <c r="Y1477">
        <v>0</v>
      </c>
      <c r="Z1477">
        <v>0</v>
      </c>
      <c r="AA1477">
        <v>0</v>
      </c>
      <c r="AB1477">
        <v>0</v>
      </c>
      <c r="AC1477">
        <v>0</v>
      </c>
      <c r="AD1477">
        <v>0</v>
      </c>
      <c r="AE1477">
        <v>0</v>
      </c>
      <c r="AF1477">
        <v>0</v>
      </c>
      <c r="AG1477">
        <v>0</v>
      </c>
      <c r="AH1477">
        <v>0</v>
      </c>
      <c r="AI1477">
        <v>0</v>
      </c>
      <c r="AJ1477">
        <v>0</v>
      </c>
      <c r="AK1477">
        <v>0</v>
      </c>
      <c r="AL1477">
        <v>2</v>
      </c>
      <c r="AM1477">
        <v>0.66666666666666663</v>
      </c>
      <c r="AN1477">
        <v>10.083482142857227</v>
      </c>
    </row>
    <row r="1478" spans="1:40" x14ac:dyDescent="0.3">
      <c r="A1478" t="s">
        <v>447</v>
      </c>
      <c r="B1478" t="s">
        <v>17</v>
      </c>
      <c r="C1478" t="s">
        <v>10</v>
      </c>
      <c r="D1478" t="s">
        <v>11</v>
      </c>
      <c r="E1478">
        <v>202602</v>
      </c>
      <c r="F1478" t="s">
        <v>18</v>
      </c>
      <c r="G1478">
        <v>0</v>
      </c>
      <c r="H1478">
        <v>0</v>
      </c>
      <c r="I1478">
        <v>0</v>
      </c>
      <c r="J1478">
        <v>0</v>
      </c>
      <c r="K1478">
        <v>0</v>
      </c>
      <c r="L1478">
        <v>1</v>
      </c>
      <c r="M1478">
        <v>0</v>
      </c>
      <c r="N1478">
        <v>0</v>
      </c>
      <c r="O1478">
        <v>0</v>
      </c>
      <c r="P1478">
        <v>3</v>
      </c>
      <c r="Q1478">
        <v>1</v>
      </c>
      <c r="R1478">
        <v>0</v>
      </c>
      <c r="S1478">
        <v>0</v>
      </c>
      <c r="T1478">
        <v>0</v>
      </c>
      <c r="U1478">
        <v>0</v>
      </c>
      <c r="V1478">
        <v>0</v>
      </c>
      <c r="W1478">
        <v>0</v>
      </c>
      <c r="X1478">
        <v>0</v>
      </c>
      <c r="Y1478">
        <v>0</v>
      </c>
      <c r="Z1478">
        <v>0</v>
      </c>
      <c r="AA1478">
        <v>0</v>
      </c>
      <c r="AB1478">
        <v>0</v>
      </c>
      <c r="AC1478">
        <v>0</v>
      </c>
      <c r="AD1478">
        <v>0</v>
      </c>
      <c r="AE1478">
        <v>0</v>
      </c>
      <c r="AF1478">
        <v>0</v>
      </c>
      <c r="AG1478">
        <v>0</v>
      </c>
      <c r="AH1478">
        <v>0</v>
      </c>
      <c r="AI1478">
        <v>0</v>
      </c>
      <c r="AJ1478">
        <v>0</v>
      </c>
      <c r="AK1478">
        <v>0</v>
      </c>
      <c r="AL1478">
        <v>5</v>
      </c>
      <c r="AM1478">
        <v>1.3333333333333333</v>
      </c>
      <c r="AN1478">
        <v>23.418500559492447</v>
      </c>
    </row>
    <row r="1479" spans="1:40" x14ac:dyDescent="0.3">
      <c r="A1479" t="s">
        <v>447</v>
      </c>
      <c r="B1479" t="s">
        <v>17</v>
      </c>
      <c r="C1479" t="s">
        <v>10</v>
      </c>
      <c r="D1479" t="s">
        <v>11</v>
      </c>
      <c r="E1479">
        <v>202602</v>
      </c>
      <c r="F1479" t="s">
        <v>448</v>
      </c>
      <c r="G1479">
        <v>0</v>
      </c>
      <c r="H1479">
        <v>0</v>
      </c>
      <c r="I1479">
        <v>0</v>
      </c>
      <c r="J1479">
        <v>0</v>
      </c>
      <c r="K1479">
        <v>0</v>
      </c>
      <c r="L1479">
        <v>1</v>
      </c>
      <c r="M1479">
        <v>0</v>
      </c>
      <c r="N1479">
        <v>0</v>
      </c>
      <c r="O1479">
        <v>0</v>
      </c>
      <c r="P1479">
        <v>0</v>
      </c>
      <c r="Q1479">
        <v>0</v>
      </c>
      <c r="R1479">
        <v>0</v>
      </c>
      <c r="S1479">
        <v>0</v>
      </c>
      <c r="T1479">
        <v>0</v>
      </c>
      <c r="U1479">
        <v>0</v>
      </c>
      <c r="V1479">
        <v>0</v>
      </c>
      <c r="W1479">
        <v>0</v>
      </c>
      <c r="X1479">
        <v>0</v>
      </c>
      <c r="Y1479">
        <v>0</v>
      </c>
      <c r="Z1479">
        <v>0</v>
      </c>
      <c r="AA1479">
        <v>0</v>
      </c>
      <c r="AB1479">
        <v>0</v>
      </c>
      <c r="AC1479">
        <v>0</v>
      </c>
      <c r="AD1479">
        <v>0</v>
      </c>
      <c r="AE1479">
        <v>0</v>
      </c>
      <c r="AF1479">
        <v>0</v>
      </c>
      <c r="AG1479">
        <v>0</v>
      </c>
      <c r="AH1479">
        <v>0</v>
      </c>
      <c r="AI1479">
        <v>0</v>
      </c>
      <c r="AJ1479">
        <v>0</v>
      </c>
      <c r="AK1479">
        <v>0</v>
      </c>
      <c r="AL1479">
        <v>1</v>
      </c>
      <c r="AM1479">
        <v>0</v>
      </c>
      <c r="AN1479">
        <v>1</v>
      </c>
    </row>
    <row r="1480" spans="1:40" x14ac:dyDescent="0.3">
      <c r="A1480" t="s">
        <v>447</v>
      </c>
      <c r="B1480" t="s">
        <v>17</v>
      </c>
      <c r="C1480" t="s">
        <v>10</v>
      </c>
      <c r="D1480" t="s">
        <v>11</v>
      </c>
      <c r="E1480">
        <v>202602</v>
      </c>
      <c r="F1480" t="s">
        <v>449</v>
      </c>
      <c r="G1480">
        <v>0</v>
      </c>
      <c r="H1480">
        <v>0</v>
      </c>
      <c r="I1480">
        <v>0</v>
      </c>
      <c r="J1480">
        <v>2</v>
      </c>
      <c r="K1480">
        <v>0</v>
      </c>
      <c r="L1480">
        <v>0</v>
      </c>
      <c r="M1480">
        <v>0</v>
      </c>
      <c r="N1480">
        <v>0</v>
      </c>
      <c r="O1480">
        <v>0</v>
      </c>
      <c r="P1480">
        <v>0</v>
      </c>
      <c r="Q1480">
        <v>0</v>
      </c>
      <c r="R1480">
        <v>0</v>
      </c>
      <c r="S1480">
        <v>0</v>
      </c>
      <c r="T1480">
        <v>0</v>
      </c>
      <c r="U1480">
        <v>0</v>
      </c>
      <c r="V1480">
        <v>0</v>
      </c>
      <c r="W1480">
        <v>0</v>
      </c>
      <c r="X1480">
        <v>0</v>
      </c>
      <c r="Y1480">
        <v>0</v>
      </c>
      <c r="Z1480">
        <v>0</v>
      </c>
      <c r="AA1480">
        <v>0</v>
      </c>
      <c r="AB1480">
        <v>0</v>
      </c>
      <c r="AC1480">
        <v>0</v>
      </c>
      <c r="AD1480">
        <v>0</v>
      </c>
      <c r="AE1480">
        <v>0</v>
      </c>
      <c r="AF1480">
        <v>0</v>
      </c>
      <c r="AG1480">
        <v>0</v>
      </c>
      <c r="AH1480">
        <v>0</v>
      </c>
      <c r="AI1480">
        <v>0</v>
      </c>
      <c r="AJ1480">
        <v>0</v>
      </c>
      <c r="AK1480">
        <v>0</v>
      </c>
      <c r="AL1480">
        <v>2</v>
      </c>
      <c r="AM1480">
        <v>0</v>
      </c>
      <c r="AN1480">
        <v>2</v>
      </c>
    </row>
    <row r="1481" spans="1:40" x14ac:dyDescent="0.3">
      <c r="A1481" t="s">
        <v>447</v>
      </c>
      <c r="B1481" t="s">
        <v>17</v>
      </c>
      <c r="C1481" t="s">
        <v>10</v>
      </c>
      <c r="D1481" t="s">
        <v>11</v>
      </c>
      <c r="E1481">
        <v>202602</v>
      </c>
      <c r="F1481" t="s">
        <v>450</v>
      </c>
      <c r="G1481">
        <v>0</v>
      </c>
      <c r="H1481">
        <v>0</v>
      </c>
      <c r="I1481">
        <v>1</v>
      </c>
      <c r="J1481">
        <v>0</v>
      </c>
      <c r="K1481">
        <v>0</v>
      </c>
      <c r="L1481">
        <v>0</v>
      </c>
      <c r="M1481">
        <v>0</v>
      </c>
      <c r="N1481">
        <v>0</v>
      </c>
      <c r="O1481">
        <v>0</v>
      </c>
      <c r="P1481">
        <v>1</v>
      </c>
      <c r="Q1481">
        <v>0</v>
      </c>
      <c r="R1481">
        <v>0</v>
      </c>
      <c r="S1481">
        <v>0</v>
      </c>
      <c r="T1481">
        <v>0</v>
      </c>
      <c r="U1481">
        <v>0</v>
      </c>
      <c r="V1481">
        <v>0</v>
      </c>
      <c r="W1481">
        <v>0</v>
      </c>
      <c r="X1481">
        <v>0</v>
      </c>
      <c r="Y1481">
        <v>0</v>
      </c>
      <c r="Z1481">
        <v>0</v>
      </c>
      <c r="AA1481">
        <v>0</v>
      </c>
      <c r="AB1481">
        <v>0</v>
      </c>
      <c r="AC1481">
        <v>0</v>
      </c>
      <c r="AD1481">
        <v>0</v>
      </c>
      <c r="AE1481">
        <v>0</v>
      </c>
      <c r="AF1481">
        <v>0</v>
      </c>
      <c r="AG1481">
        <v>0</v>
      </c>
      <c r="AH1481">
        <v>0</v>
      </c>
      <c r="AI1481">
        <v>0</v>
      </c>
      <c r="AJ1481">
        <v>0</v>
      </c>
      <c r="AK1481">
        <v>0</v>
      </c>
      <c r="AL1481">
        <v>2</v>
      </c>
      <c r="AM1481">
        <v>0.33333333333333331</v>
      </c>
      <c r="AN1481">
        <v>6.6046251398731117</v>
      </c>
    </row>
    <row r="1482" spans="1:40" x14ac:dyDescent="0.3">
      <c r="A1482" t="s">
        <v>447</v>
      </c>
      <c r="B1482" t="s">
        <v>17</v>
      </c>
      <c r="C1482" t="s">
        <v>10</v>
      </c>
      <c r="D1482" t="s">
        <v>11</v>
      </c>
      <c r="E1482">
        <v>202602</v>
      </c>
      <c r="F1482" t="s">
        <v>451</v>
      </c>
      <c r="G1482">
        <v>0</v>
      </c>
      <c r="H1482">
        <v>1</v>
      </c>
      <c r="I1482">
        <v>1</v>
      </c>
      <c r="J1482">
        <v>0</v>
      </c>
      <c r="K1482">
        <v>1</v>
      </c>
      <c r="L1482">
        <v>2</v>
      </c>
      <c r="M1482">
        <v>1</v>
      </c>
      <c r="N1482">
        <v>0</v>
      </c>
      <c r="O1482">
        <v>1</v>
      </c>
      <c r="P1482">
        <v>2</v>
      </c>
      <c r="Q1482">
        <v>2</v>
      </c>
      <c r="R1482">
        <v>0</v>
      </c>
      <c r="S1482">
        <v>0</v>
      </c>
      <c r="T1482">
        <v>0</v>
      </c>
      <c r="U1482">
        <v>0</v>
      </c>
      <c r="V1482">
        <v>0</v>
      </c>
      <c r="W1482">
        <v>0</v>
      </c>
      <c r="X1482">
        <v>0</v>
      </c>
      <c r="Y1482">
        <v>0</v>
      </c>
      <c r="Z1482">
        <v>0</v>
      </c>
      <c r="AA1482">
        <v>0</v>
      </c>
      <c r="AB1482">
        <v>0</v>
      </c>
      <c r="AC1482">
        <v>0</v>
      </c>
      <c r="AD1482">
        <v>0</v>
      </c>
      <c r="AE1482">
        <v>0</v>
      </c>
      <c r="AF1482">
        <v>0</v>
      </c>
      <c r="AG1482">
        <v>0</v>
      </c>
      <c r="AH1482">
        <v>0</v>
      </c>
      <c r="AI1482">
        <v>0</v>
      </c>
      <c r="AJ1482">
        <v>0</v>
      </c>
      <c r="AK1482">
        <v>0</v>
      </c>
      <c r="AL1482">
        <v>11</v>
      </c>
      <c r="AM1482">
        <v>1.6666666666666667</v>
      </c>
      <c r="AN1482">
        <v>34.023125699365558</v>
      </c>
    </row>
    <row r="1483" spans="1:40" x14ac:dyDescent="0.3">
      <c r="A1483" t="s">
        <v>447</v>
      </c>
      <c r="B1483" t="s">
        <v>17</v>
      </c>
      <c r="C1483" t="s">
        <v>10</v>
      </c>
      <c r="D1483" t="s">
        <v>11</v>
      </c>
      <c r="E1483">
        <v>202602</v>
      </c>
      <c r="F1483" t="s">
        <v>452</v>
      </c>
      <c r="G1483">
        <v>0</v>
      </c>
      <c r="H1483">
        <v>0</v>
      </c>
      <c r="I1483">
        <v>1</v>
      </c>
      <c r="J1483">
        <v>0</v>
      </c>
      <c r="K1483">
        <v>0</v>
      </c>
      <c r="L1483">
        <v>1</v>
      </c>
      <c r="M1483">
        <v>0</v>
      </c>
      <c r="N1483">
        <v>0</v>
      </c>
      <c r="O1483">
        <v>1</v>
      </c>
      <c r="P1483">
        <v>0</v>
      </c>
      <c r="Q1483">
        <v>0</v>
      </c>
      <c r="R1483">
        <v>0</v>
      </c>
      <c r="S1483">
        <v>0</v>
      </c>
      <c r="T1483">
        <v>0</v>
      </c>
      <c r="U1483">
        <v>0</v>
      </c>
      <c r="V1483">
        <v>0</v>
      </c>
      <c r="W1483">
        <v>0</v>
      </c>
      <c r="X1483">
        <v>0</v>
      </c>
      <c r="Y1483">
        <v>0</v>
      </c>
      <c r="Z1483">
        <v>0</v>
      </c>
      <c r="AA1483">
        <v>0</v>
      </c>
      <c r="AB1483">
        <v>0</v>
      </c>
      <c r="AC1483">
        <v>0</v>
      </c>
      <c r="AD1483">
        <v>0</v>
      </c>
      <c r="AE1483">
        <v>0</v>
      </c>
      <c r="AF1483">
        <v>0</v>
      </c>
      <c r="AG1483">
        <v>0</v>
      </c>
      <c r="AH1483">
        <v>0</v>
      </c>
      <c r="AI1483">
        <v>0</v>
      </c>
      <c r="AJ1483">
        <v>0</v>
      </c>
      <c r="AK1483">
        <v>0</v>
      </c>
      <c r="AL1483">
        <v>3</v>
      </c>
      <c r="AM1483">
        <v>0.33333333333333331</v>
      </c>
      <c r="AN1483">
        <v>7.6046251398731117</v>
      </c>
    </row>
    <row r="1484" spans="1:40" x14ac:dyDescent="0.3">
      <c r="A1484" t="s">
        <v>447</v>
      </c>
      <c r="B1484" t="s">
        <v>17</v>
      </c>
      <c r="C1484" t="s">
        <v>10</v>
      </c>
      <c r="D1484" t="s">
        <v>11</v>
      </c>
      <c r="E1484">
        <v>202602</v>
      </c>
      <c r="F1484" t="s">
        <v>453</v>
      </c>
      <c r="G1484">
        <v>0</v>
      </c>
      <c r="H1484">
        <v>1</v>
      </c>
      <c r="I1484">
        <v>0</v>
      </c>
      <c r="J1484">
        <v>0</v>
      </c>
      <c r="K1484">
        <v>0</v>
      </c>
      <c r="L1484">
        <v>2</v>
      </c>
      <c r="M1484">
        <v>0</v>
      </c>
      <c r="N1484">
        <v>0</v>
      </c>
      <c r="O1484">
        <v>0</v>
      </c>
      <c r="P1484">
        <v>1</v>
      </c>
      <c r="Q1484">
        <v>0</v>
      </c>
      <c r="R1484">
        <v>0</v>
      </c>
      <c r="S1484">
        <v>0</v>
      </c>
      <c r="T1484">
        <v>0</v>
      </c>
      <c r="U1484">
        <v>0</v>
      </c>
      <c r="V1484">
        <v>0</v>
      </c>
      <c r="W1484">
        <v>0</v>
      </c>
      <c r="X1484">
        <v>0</v>
      </c>
      <c r="Y1484">
        <v>0</v>
      </c>
      <c r="Z1484">
        <v>0</v>
      </c>
      <c r="AA1484">
        <v>0</v>
      </c>
      <c r="AB1484">
        <v>0</v>
      </c>
      <c r="AC1484">
        <v>0</v>
      </c>
      <c r="AD1484">
        <v>0</v>
      </c>
      <c r="AE1484">
        <v>0</v>
      </c>
      <c r="AF1484">
        <v>0</v>
      </c>
      <c r="AG1484">
        <v>0</v>
      </c>
      <c r="AH1484">
        <v>0</v>
      </c>
      <c r="AI1484">
        <v>0</v>
      </c>
      <c r="AJ1484">
        <v>0</v>
      </c>
      <c r="AK1484">
        <v>0</v>
      </c>
      <c r="AL1484">
        <v>4</v>
      </c>
      <c r="AM1484">
        <v>0.33333333333333331</v>
      </c>
      <c r="AN1484">
        <v>8.6046251398731108</v>
      </c>
    </row>
    <row r="1485" spans="1:40" x14ac:dyDescent="0.3">
      <c r="A1485" t="s">
        <v>447</v>
      </c>
      <c r="B1485" t="s">
        <v>17</v>
      </c>
      <c r="C1485" t="s">
        <v>10</v>
      </c>
      <c r="D1485" t="s">
        <v>11</v>
      </c>
      <c r="E1485">
        <v>202602</v>
      </c>
      <c r="F1485" t="s">
        <v>454</v>
      </c>
      <c r="G1485">
        <v>0</v>
      </c>
      <c r="H1485">
        <v>0</v>
      </c>
      <c r="I1485">
        <v>3</v>
      </c>
      <c r="J1485">
        <v>0</v>
      </c>
      <c r="K1485">
        <v>0</v>
      </c>
      <c r="L1485">
        <v>0</v>
      </c>
      <c r="M1485">
        <v>1</v>
      </c>
      <c r="N1485">
        <v>0</v>
      </c>
      <c r="O1485">
        <v>1</v>
      </c>
      <c r="P1485">
        <v>0</v>
      </c>
      <c r="Q1485">
        <v>0</v>
      </c>
      <c r="R1485">
        <v>0</v>
      </c>
      <c r="S1485">
        <v>0</v>
      </c>
      <c r="T1485">
        <v>0</v>
      </c>
      <c r="U1485">
        <v>0</v>
      </c>
      <c r="V1485">
        <v>0</v>
      </c>
      <c r="W1485">
        <v>0</v>
      </c>
      <c r="X1485">
        <v>0</v>
      </c>
      <c r="Y1485">
        <v>0</v>
      </c>
      <c r="Z1485">
        <v>0</v>
      </c>
      <c r="AA1485">
        <v>0</v>
      </c>
      <c r="AB1485">
        <v>0</v>
      </c>
      <c r="AC1485">
        <v>0</v>
      </c>
      <c r="AD1485">
        <v>0</v>
      </c>
      <c r="AE1485">
        <v>0</v>
      </c>
      <c r="AF1485">
        <v>0</v>
      </c>
      <c r="AG1485">
        <v>0</v>
      </c>
      <c r="AH1485">
        <v>0</v>
      </c>
      <c r="AI1485">
        <v>0</v>
      </c>
      <c r="AJ1485">
        <v>0</v>
      </c>
      <c r="AK1485">
        <v>0</v>
      </c>
      <c r="AL1485">
        <v>5</v>
      </c>
      <c r="AM1485">
        <v>0.33333333333333331</v>
      </c>
      <c r="AN1485">
        <v>9.6046251398731108</v>
      </c>
    </row>
    <row r="1486" spans="1:40" x14ac:dyDescent="0.3">
      <c r="A1486" t="s">
        <v>447</v>
      </c>
      <c r="B1486" t="s">
        <v>17</v>
      </c>
      <c r="C1486" t="s">
        <v>10</v>
      </c>
      <c r="D1486" t="s">
        <v>11</v>
      </c>
      <c r="E1486">
        <v>202602</v>
      </c>
      <c r="F1486" t="s">
        <v>455</v>
      </c>
      <c r="G1486">
        <v>0</v>
      </c>
      <c r="H1486">
        <v>1</v>
      </c>
      <c r="I1486">
        <v>2</v>
      </c>
      <c r="J1486">
        <v>0</v>
      </c>
      <c r="K1486">
        <v>0</v>
      </c>
      <c r="L1486">
        <v>1</v>
      </c>
      <c r="M1486">
        <v>0</v>
      </c>
      <c r="N1486">
        <v>0</v>
      </c>
      <c r="O1486">
        <v>1</v>
      </c>
      <c r="P1486">
        <v>0</v>
      </c>
      <c r="Q1486">
        <v>1</v>
      </c>
      <c r="R1486">
        <v>0</v>
      </c>
      <c r="S1486">
        <v>0</v>
      </c>
      <c r="T1486">
        <v>0</v>
      </c>
      <c r="U1486">
        <v>0</v>
      </c>
      <c r="V1486">
        <v>0</v>
      </c>
      <c r="W1486">
        <v>0</v>
      </c>
      <c r="X1486">
        <v>0</v>
      </c>
      <c r="Y1486">
        <v>0</v>
      </c>
      <c r="Z1486">
        <v>0</v>
      </c>
      <c r="AA1486">
        <v>0</v>
      </c>
      <c r="AB1486">
        <v>0</v>
      </c>
      <c r="AC1486">
        <v>0</v>
      </c>
      <c r="AD1486">
        <v>0</v>
      </c>
      <c r="AE1486">
        <v>0</v>
      </c>
      <c r="AF1486">
        <v>0</v>
      </c>
      <c r="AG1486">
        <v>0</v>
      </c>
      <c r="AH1486">
        <v>0</v>
      </c>
      <c r="AI1486">
        <v>0</v>
      </c>
      <c r="AJ1486">
        <v>0</v>
      </c>
      <c r="AK1486">
        <v>0</v>
      </c>
      <c r="AL1486">
        <v>6</v>
      </c>
      <c r="AM1486">
        <v>0.66666666666666663</v>
      </c>
      <c r="AN1486">
        <v>15.209250279746223</v>
      </c>
    </row>
    <row r="1487" spans="1:40" x14ac:dyDescent="0.3">
      <c r="A1487" t="s">
        <v>447</v>
      </c>
      <c r="B1487" t="s">
        <v>17</v>
      </c>
      <c r="C1487" t="s">
        <v>10</v>
      </c>
      <c r="D1487" t="s">
        <v>11</v>
      </c>
      <c r="E1487">
        <v>202602</v>
      </c>
      <c r="F1487" t="s">
        <v>456</v>
      </c>
      <c r="G1487">
        <v>0</v>
      </c>
      <c r="H1487">
        <v>1</v>
      </c>
      <c r="I1487">
        <v>0</v>
      </c>
      <c r="J1487">
        <v>0</v>
      </c>
      <c r="K1487">
        <v>0</v>
      </c>
      <c r="L1487">
        <v>0</v>
      </c>
      <c r="M1487">
        <v>0</v>
      </c>
      <c r="N1487">
        <v>0</v>
      </c>
      <c r="O1487">
        <v>0</v>
      </c>
      <c r="P1487">
        <v>0</v>
      </c>
      <c r="Q1487">
        <v>0</v>
      </c>
      <c r="R1487">
        <v>0</v>
      </c>
      <c r="S1487">
        <v>0</v>
      </c>
      <c r="T1487">
        <v>0</v>
      </c>
      <c r="U1487">
        <v>0</v>
      </c>
      <c r="V1487">
        <v>0</v>
      </c>
      <c r="W1487">
        <v>0</v>
      </c>
      <c r="X1487">
        <v>0</v>
      </c>
      <c r="Y1487">
        <v>0</v>
      </c>
      <c r="Z1487">
        <v>0</v>
      </c>
      <c r="AA1487">
        <v>0</v>
      </c>
      <c r="AB1487">
        <v>0</v>
      </c>
      <c r="AC1487">
        <v>0</v>
      </c>
      <c r="AD1487">
        <v>0</v>
      </c>
      <c r="AE1487">
        <v>0</v>
      </c>
      <c r="AF1487">
        <v>0</v>
      </c>
      <c r="AG1487">
        <v>0</v>
      </c>
      <c r="AH1487">
        <v>0</v>
      </c>
      <c r="AI1487">
        <v>0</v>
      </c>
      <c r="AJ1487">
        <v>0</v>
      </c>
      <c r="AK1487">
        <v>0</v>
      </c>
      <c r="AL1487">
        <v>1</v>
      </c>
      <c r="AM1487">
        <v>0</v>
      </c>
      <c r="AN1487">
        <v>1</v>
      </c>
    </row>
    <row r="1488" spans="1:40" x14ac:dyDescent="0.3">
      <c r="A1488" t="s">
        <v>447</v>
      </c>
      <c r="B1488" t="s">
        <v>17</v>
      </c>
      <c r="C1488" t="s">
        <v>10</v>
      </c>
      <c r="D1488" t="s">
        <v>11</v>
      </c>
      <c r="E1488">
        <v>202602</v>
      </c>
      <c r="F1488" t="s">
        <v>457</v>
      </c>
      <c r="G1488">
        <v>0</v>
      </c>
      <c r="H1488">
        <v>0</v>
      </c>
      <c r="I1488">
        <v>1</v>
      </c>
      <c r="J1488">
        <v>0</v>
      </c>
      <c r="K1488">
        <v>0</v>
      </c>
      <c r="L1488">
        <v>0</v>
      </c>
      <c r="M1488">
        <v>0</v>
      </c>
      <c r="N1488">
        <v>0</v>
      </c>
      <c r="O1488">
        <v>0</v>
      </c>
      <c r="P1488">
        <v>0</v>
      </c>
      <c r="Q1488">
        <v>0</v>
      </c>
      <c r="R1488">
        <v>0</v>
      </c>
      <c r="S1488">
        <v>0</v>
      </c>
      <c r="T1488">
        <v>0</v>
      </c>
      <c r="U1488">
        <v>0</v>
      </c>
      <c r="V1488">
        <v>0</v>
      </c>
      <c r="W1488">
        <v>0</v>
      </c>
      <c r="X1488">
        <v>0</v>
      </c>
      <c r="Y1488">
        <v>0</v>
      </c>
      <c r="Z1488">
        <v>0</v>
      </c>
      <c r="AA1488">
        <v>0</v>
      </c>
      <c r="AB1488">
        <v>0</v>
      </c>
      <c r="AC1488">
        <v>0</v>
      </c>
      <c r="AD1488">
        <v>0</v>
      </c>
      <c r="AE1488">
        <v>0</v>
      </c>
      <c r="AF1488">
        <v>0</v>
      </c>
      <c r="AG1488">
        <v>0</v>
      </c>
      <c r="AH1488">
        <v>0</v>
      </c>
      <c r="AI1488">
        <v>0</v>
      </c>
      <c r="AJ1488">
        <v>0</v>
      </c>
      <c r="AK1488">
        <v>0</v>
      </c>
      <c r="AL1488">
        <v>1</v>
      </c>
      <c r="AM1488">
        <v>0</v>
      </c>
      <c r="AN1488">
        <v>1</v>
      </c>
    </row>
    <row r="1489" spans="1:40" x14ac:dyDescent="0.3">
      <c r="A1489" t="s">
        <v>447</v>
      </c>
      <c r="B1489" t="s">
        <v>17</v>
      </c>
      <c r="C1489" t="s">
        <v>10</v>
      </c>
      <c r="D1489" t="s">
        <v>11</v>
      </c>
      <c r="E1489">
        <v>202602</v>
      </c>
      <c r="F1489" t="s">
        <v>458</v>
      </c>
      <c r="G1489">
        <v>0</v>
      </c>
      <c r="H1489">
        <v>1</v>
      </c>
      <c r="I1489">
        <v>0</v>
      </c>
      <c r="J1489">
        <v>0</v>
      </c>
      <c r="K1489">
        <v>0</v>
      </c>
      <c r="L1489">
        <v>0</v>
      </c>
      <c r="M1489">
        <v>0</v>
      </c>
      <c r="N1489">
        <v>0</v>
      </c>
      <c r="O1489">
        <v>0</v>
      </c>
      <c r="P1489">
        <v>0</v>
      </c>
      <c r="Q1489">
        <v>0</v>
      </c>
      <c r="R1489">
        <v>0</v>
      </c>
      <c r="S1489">
        <v>0</v>
      </c>
      <c r="T1489">
        <v>0</v>
      </c>
      <c r="U1489">
        <v>0</v>
      </c>
      <c r="V1489">
        <v>0</v>
      </c>
      <c r="W1489">
        <v>0</v>
      </c>
      <c r="X1489">
        <v>0</v>
      </c>
      <c r="Y1489">
        <v>0</v>
      </c>
      <c r="Z1489">
        <v>0</v>
      </c>
      <c r="AA1489">
        <v>0</v>
      </c>
      <c r="AB1489">
        <v>0</v>
      </c>
      <c r="AC1489">
        <v>0</v>
      </c>
      <c r="AD1489">
        <v>0</v>
      </c>
      <c r="AE1489">
        <v>0</v>
      </c>
      <c r="AF1489">
        <v>0</v>
      </c>
      <c r="AG1489">
        <v>0</v>
      </c>
      <c r="AH1489">
        <v>0</v>
      </c>
      <c r="AI1489">
        <v>0</v>
      </c>
      <c r="AJ1489">
        <v>0</v>
      </c>
      <c r="AK1489">
        <v>0</v>
      </c>
      <c r="AL1489">
        <v>1</v>
      </c>
      <c r="AM1489">
        <v>0</v>
      </c>
      <c r="AN1489">
        <v>1</v>
      </c>
    </row>
    <row r="1490" spans="1:40" x14ac:dyDescent="0.3">
      <c r="A1490" t="s">
        <v>447</v>
      </c>
      <c r="B1490" t="s">
        <v>17</v>
      </c>
      <c r="C1490" t="s">
        <v>10</v>
      </c>
      <c r="D1490" t="s">
        <v>11</v>
      </c>
      <c r="E1490">
        <v>202602</v>
      </c>
      <c r="F1490" t="s">
        <v>459</v>
      </c>
      <c r="G1490">
        <v>0</v>
      </c>
      <c r="H1490">
        <v>0</v>
      </c>
      <c r="I1490">
        <v>1</v>
      </c>
      <c r="J1490">
        <v>0</v>
      </c>
      <c r="K1490">
        <v>0</v>
      </c>
      <c r="L1490">
        <v>0</v>
      </c>
      <c r="M1490">
        <v>0</v>
      </c>
      <c r="N1490">
        <v>0</v>
      </c>
      <c r="O1490">
        <v>0</v>
      </c>
      <c r="P1490">
        <v>0</v>
      </c>
      <c r="Q1490">
        <v>1</v>
      </c>
      <c r="R1490">
        <v>0</v>
      </c>
      <c r="S1490">
        <v>0</v>
      </c>
      <c r="T1490">
        <v>0</v>
      </c>
      <c r="U1490">
        <v>0</v>
      </c>
      <c r="V1490">
        <v>0</v>
      </c>
      <c r="W1490">
        <v>0</v>
      </c>
      <c r="X1490">
        <v>0</v>
      </c>
      <c r="Y1490">
        <v>0</v>
      </c>
      <c r="Z1490">
        <v>0</v>
      </c>
      <c r="AA1490">
        <v>0</v>
      </c>
      <c r="AB1490">
        <v>0</v>
      </c>
      <c r="AC1490">
        <v>0</v>
      </c>
      <c r="AD1490">
        <v>0</v>
      </c>
      <c r="AE1490">
        <v>0</v>
      </c>
      <c r="AF1490">
        <v>0</v>
      </c>
      <c r="AG1490">
        <v>0</v>
      </c>
      <c r="AH1490">
        <v>0</v>
      </c>
      <c r="AI1490">
        <v>0</v>
      </c>
      <c r="AJ1490">
        <v>0</v>
      </c>
      <c r="AK1490">
        <v>0</v>
      </c>
      <c r="AL1490">
        <v>2</v>
      </c>
      <c r="AM1490">
        <v>0.33333333333333331</v>
      </c>
      <c r="AN1490">
        <v>6.6046251398731117</v>
      </c>
    </row>
    <row r="1491" spans="1:40" x14ac:dyDescent="0.3">
      <c r="A1491" t="s">
        <v>447</v>
      </c>
      <c r="B1491" t="s">
        <v>17</v>
      </c>
      <c r="C1491" t="s">
        <v>10</v>
      </c>
      <c r="D1491" t="s">
        <v>11</v>
      </c>
      <c r="E1491">
        <v>202602</v>
      </c>
      <c r="F1491" t="s">
        <v>460</v>
      </c>
      <c r="G1491">
        <v>0</v>
      </c>
      <c r="H1491">
        <v>0</v>
      </c>
      <c r="I1491">
        <v>0</v>
      </c>
      <c r="J1491">
        <v>0</v>
      </c>
      <c r="K1491">
        <v>0</v>
      </c>
      <c r="L1491">
        <v>2</v>
      </c>
      <c r="M1491">
        <v>0</v>
      </c>
      <c r="N1491">
        <v>0</v>
      </c>
      <c r="O1491">
        <v>1</v>
      </c>
      <c r="P1491">
        <v>0</v>
      </c>
      <c r="Q1491">
        <v>0</v>
      </c>
      <c r="R1491">
        <v>0</v>
      </c>
      <c r="S1491">
        <v>0</v>
      </c>
      <c r="T1491">
        <v>0</v>
      </c>
      <c r="U1491">
        <v>0</v>
      </c>
      <c r="V1491">
        <v>0</v>
      </c>
      <c r="W1491">
        <v>0</v>
      </c>
      <c r="X1491">
        <v>0</v>
      </c>
      <c r="Y1491">
        <v>0</v>
      </c>
      <c r="Z1491">
        <v>0</v>
      </c>
      <c r="AA1491">
        <v>0</v>
      </c>
      <c r="AB1491">
        <v>0</v>
      </c>
      <c r="AC1491">
        <v>0</v>
      </c>
      <c r="AD1491">
        <v>0</v>
      </c>
      <c r="AE1491">
        <v>0</v>
      </c>
      <c r="AF1491">
        <v>0</v>
      </c>
      <c r="AG1491">
        <v>0</v>
      </c>
      <c r="AH1491">
        <v>0</v>
      </c>
      <c r="AI1491">
        <v>0</v>
      </c>
      <c r="AJ1491">
        <v>0</v>
      </c>
      <c r="AK1491">
        <v>0</v>
      </c>
      <c r="AL1491">
        <v>3</v>
      </c>
      <c r="AM1491">
        <v>0.33333333333333331</v>
      </c>
      <c r="AN1491">
        <v>7.6046251398731117</v>
      </c>
    </row>
    <row r="1492" spans="1:40" x14ac:dyDescent="0.3">
      <c r="A1492" t="s">
        <v>447</v>
      </c>
      <c r="B1492" t="s">
        <v>17</v>
      </c>
      <c r="C1492" t="s">
        <v>10</v>
      </c>
      <c r="D1492" t="s">
        <v>11</v>
      </c>
      <c r="E1492">
        <v>202602</v>
      </c>
      <c r="F1492" t="s">
        <v>461</v>
      </c>
      <c r="G1492">
        <v>0</v>
      </c>
      <c r="H1492">
        <v>0</v>
      </c>
      <c r="I1492">
        <v>0</v>
      </c>
      <c r="J1492">
        <v>1</v>
      </c>
      <c r="K1492">
        <v>0</v>
      </c>
      <c r="L1492">
        <v>0</v>
      </c>
      <c r="M1492">
        <v>0</v>
      </c>
      <c r="N1492">
        <v>0</v>
      </c>
      <c r="O1492">
        <v>0</v>
      </c>
      <c r="P1492">
        <v>0</v>
      </c>
      <c r="Q1492">
        <v>0</v>
      </c>
      <c r="R1492">
        <v>0</v>
      </c>
      <c r="S1492">
        <v>0</v>
      </c>
      <c r="T1492">
        <v>0</v>
      </c>
      <c r="U1492">
        <v>0</v>
      </c>
      <c r="V1492">
        <v>0</v>
      </c>
      <c r="W1492">
        <v>0</v>
      </c>
      <c r="X1492">
        <v>0</v>
      </c>
      <c r="Y1492">
        <v>0</v>
      </c>
      <c r="Z1492">
        <v>0</v>
      </c>
      <c r="AA1492">
        <v>0</v>
      </c>
      <c r="AB1492">
        <v>0</v>
      </c>
      <c r="AC1492">
        <v>0</v>
      </c>
      <c r="AD1492">
        <v>0</v>
      </c>
      <c r="AE1492">
        <v>0</v>
      </c>
      <c r="AF1492">
        <v>0</v>
      </c>
      <c r="AG1492">
        <v>0</v>
      </c>
      <c r="AH1492">
        <v>0</v>
      </c>
      <c r="AI1492">
        <v>0</v>
      </c>
      <c r="AJ1492">
        <v>0</v>
      </c>
      <c r="AK1492">
        <v>0</v>
      </c>
      <c r="AL1492">
        <v>1</v>
      </c>
      <c r="AM1492">
        <v>0</v>
      </c>
      <c r="AN1492">
        <v>1</v>
      </c>
    </row>
    <row r="1493" spans="1:40" x14ac:dyDescent="0.3">
      <c r="A1493" t="s">
        <v>447</v>
      </c>
      <c r="B1493" t="s">
        <v>17</v>
      </c>
      <c r="C1493" t="s">
        <v>10</v>
      </c>
      <c r="D1493" t="s">
        <v>11</v>
      </c>
      <c r="E1493">
        <v>202602</v>
      </c>
      <c r="F1493" t="s">
        <v>462</v>
      </c>
      <c r="G1493">
        <v>0</v>
      </c>
      <c r="H1493">
        <v>0</v>
      </c>
      <c r="I1493">
        <v>1</v>
      </c>
      <c r="J1493">
        <v>0</v>
      </c>
      <c r="K1493">
        <v>1</v>
      </c>
      <c r="L1493">
        <v>0</v>
      </c>
      <c r="M1493">
        <v>0</v>
      </c>
      <c r="N1493">
        <v>0</v>
      </c>
      <c r="O1493">
        <v>0</v>
      </c>
      <c r="P1493">
        <v>1</v>
      </c>
      <c r="Q1493">
        <v>0</v>
      </c>
      <c r="R1493">
        <v>0</v>
      </c>
      <c r="S1493">
        <v>0</v>
      </c>
      <c r="T1493">
        <v>0</v>
      </c>
      <c r="U1493">
        <v>0</v>
      </c>
      <c r="V1493">
        <v>0</v>
      </c>
      <c r="W1493">
        <v>0</v>
      </c>
      <c r="X1493">
        <v>0</v>
      </c>
      <c r="Y1493">
        <v>0</v>
      </c>
      <c r="Z1493">
        <v>0</v>
      </c>
      <c r="AA1493">
        <v>0</v>
      </c>
      <c r="AB1493">
        <v>0</v>
      </c>
      <c r="AC1493">
        <v>0</v>
      </c>
      <c r="AD1493">
        <v>0</v>
      </c>
      <c r="AE1493">
        <v>0</v>
      </c>
      <c r="AF1493">
        <v>0</v>
      </c>
      <c r="AG1493">
        <v>0</v>
      </c>
      <c r="AH1493">
        <v>0</v>
      </c>
      <c r="AI1493">
        <v>0</v>
      </c>
      <c r="AJ1493">
        <v>0</v>
      </c>
      <c r="AK1493">
        <v>0</v>
      </c>
      <c r="AL1493">
        <v>3</v>
      </c>
      <c r="AM1493">
        <v>0.33333333333333331</v>
      </c>
      <c r="AN1493">
        <v>7.6046251398731117</v>
      </c>
    </row>
    <row r="1494" spans="1:40" x14ac:dyDescent="0.3">
      <c r="A1494" t="s">
        <v>447</v>
      </c>
      <c r="B1494" t="s">
        <v>17</v>
      </c>
      <c r="C1494" t="s">
        <v>10</v>
      </c>
      <c r="D1494" t="s">
        <v>11</v>
      </c>
      <c r="E1494">
        <v>202602</v>
      </c>
      <c r="F1494" t="s">
        <v>463</v>
      </c>
      <c r="G1494">
        <v>0</v>
      </c>
      <c r="H1494">
        <v>0</v>
      </c>
      <c r="I1494">
        <v>0</v>
      </c>
      <c r="J1494">
        <v>0</v>
      </c>
      <c r="K1494">
        <v>2</v>
      </c>
      <c r="L1494">
        <v>1</v>
      </c>
      <c r="M1494">
        <v>0</v>
      </c>
      <c r="N1494">
        <v>0</v>
      </c>
      <c r="O1494">
        <v>1</v>
      </c>
      <c r="P1494">
        <v>0</v>
      </c>
      <c r="Q1494">
        <v>0</v>
      </c>
      <c r="R1494">
        <v>0</v>
      </c>
      <c r="S1494">
        <v>0</v>
      </c>
      <c r="T1494">
        <v>0</v>
      </c>
      <c r="U1494">
        <v>0</v>
      </c>
      <c r="V1494">
        <v>0</v>
      </c>
      <c r="W1494">
        <v>0</v>
      </c>
      <c r="X1494">
        <v>0</v>
      </c>
      <c r="Y1494">
        <v>0</v>
      </c>
      <c r="Z1494">
        <v>0</v>
      </c>
      <c r="AA1494">
        <v>0</v>
      </c>
      <c r="AB1494">
        <v>0</v>
      </c>
      <c r="AC1494">
        <v>0</v>
      </c>
      <c r="AD1494">
        <v>0</v>
      </c>
      <c r="AE1494">
        <v>0</v>
      </c>
      <c r="AF1494">
        <v>0</v>
      </c>
      <c r="AG1494">
        <v>0</v>
      </c>
      <c r="AH1494">
        <v>0</v>
      </c>
      <c r="AI1494">
        <v>0</v>
      </c>
      <c r="AJ1494">
        <v>0</v>
      </c>
      <c r="AK1494">
        <v>0</v>
      </c>
      <c r="AL1494">
        <v>4</v>
      </c>
      <c r="AM1494">
        <v>0.33333333333333331</v>
      </c>
      <c r="AN1494">
        <v>8.6046251398731108</v>
      </c>
    </row>
    <row r="1495" spans="1:40" x14ac:dyDescent="0.3">
      <c r="A1495" t="s">
        <v>447</v>
      </c>
      <c r="B1495" t="s">
        <v>17</v>
      </c>
      <c r="C1495" t="s">
        <v>10</v>
      </c>
      <c r="D1495" t="s">
        <v>14</v>
      </c>
      <c r="E1495">
        <v>202602</v>
      </c>
      <c r="F1495" t="s">
        <v>18</v>
      </c>
      <c r="G1495">
        <v>0</v>
      </c>
      <c r="H1495">
        <v>0</v>
      </c>
      <c r="I1495">
        <v>0</v>
      </c>
      <c r="J1495">
        <v>0</v>
      </c>
      <c r="K1495">
        <v>2</v>
      </c>
      <c r="L1495">
        <v>0</v>
      </c>
      <c r="M1495">
        <v>1</v>
      </c>
      <c r="N1495">
        <v>0</v>
      </c>
      <c r="O1495">
        <v>2</v>
      </c>
      <c r="P1495">
        <v>1</v>
      </c>
      <c r="Q1495">
        <v>0</v>
      </c>
      <c r="R1495">
        <v>0</v>
      </c>
      <c r="S1495">
        <v>0</v>
      </c>
      <c r="T1495">
        <v>0</v>
      </c>
      <c r="U1495">
        <v>0</v>
      </c>
      <c r="V1495">
        <v>0</v>
      </c>
      <c r="W1495">
        <v>0</v>
      </c>
      <c r="X1495">
        <v>0</v>
      </c>
      <c r="Y1495">
        <v>0</v>
      </c>
      <c r="Z1495">
        <v>0</v>
      </c>
      <c r="AA1495">
        <v>0</v>
      </c>
      <c r="AB1495">
        <v>0</v>
      </c>
      <c r="AC1495">
        <v>0</v>
      </c>
      <c r="AD1495">
        <v>0</v>
      </c>
      <c r="AE1495">
        <v>0</v>
      </c>
      <c r="AF1495">
        <v>0</v>
      </c>
      <c r="AG1495">
        <v>0</v>
      </c>
      <c r="AH1495">
        <v>0</v>
      </c>
      <c r="AI1495">
        <v>0</v>
      </c>
      <c r="AJ1495">
        <v>0</v>
      </c>
      <c r="AK1495">
        <v>0</v>
      </c>
      <c r="AL1495">
        <v>6</v>
      </c>
      <c r="AM1495">
        <v>1</v>
      </c>
      <c r="AN1495">
        <v>18.125223214285839</v>
      </c>
    </row>
    <row r="1496" spans="1:40" x14ac:dyDescent="0.3">
      <c r="A1496" t="s">
        <v>447</v>
      </c>
      <c r="B1496" t="s">
        <v>17</v>
      </c>
      <c r="C1496" t="s">
        <v>10</v>
      </c>
      <c r="D1496" t="s">
        <v>14</v>
      </c>
      <c r="E1496">
        <v>202602</v>
      </c>
      <c r="F1496" t="s">
        <v>448</v>
      </c>
      <c r="G1496">
        <v>0</v>
      </c>
      <c r="H1496">
        <v>0</v>
      </c>
      <c r="I1496">
        <v>0</v>
      </c>
      <c r="J1496">
        <v>0</v>
      </c>
      <c r="K1496">
        <v>1</v>
      </c>
      <c r="L1496">
        <v>0</v>
      </c>
      <c r="M1496">
        <v>0</v>
      </c>
      <c r="N1496">
        <v>0</v>
      </c>
      <c r="O1496">
        <v>0</v>
      </c>
      <c r="P1496">
        <v>1</v>
      </c>
      <c r="Q1496">
        <v>0</v>
      </c>
      <c r="R1496">
        <v>0</v>
      </c>
      <c r="S1496">
        <v>0</v>
      </c>
      <c r="T1496">
        <v>0</v>
      </c>
      <c r="U1496">
        <v>0</v>
      </c>
      <c r="V1496">
        <v>0</v>
      </c>
      <c r="W1496">
        <v>0</v>
      </c>
      <c r="X1496">
        <v>0</v>
      </c>
      <c r="Y1496">
        <v>0</v>
      </c>
      <c r="Z1496">
        <v>0</v>
      </c>
      <c r="AA1496">
        <v>0</v>
      </c>
      <c r="AB1496">
        <v>0</v>
      </c>
      <c r="AC1496">
        <v>0</v>
      </c>
      <c r="AD1496">
        <v>0</v>
      </c>
      <c r="AE1496">
        <v>0</v>
      </c>
      <c r="AF1496">
        <v>0</v>
      </c>
      <c r="AG1496">
        <v>0</v>
      </c>
      <c r="AH1496">
        <v>0</v>
      </c>
      <c r="AI1496">
        <v>0</v>
      </c>
      <c r="AJ1496">
        <v>0</v>
      </c>
      <c r="AK1496">
        <v>0</v>
      </c>
      <c r="AL1496">
        <v>2</v>
      </c>
      <c r="AM1496">
        <v>0.33333333333333331</v>
      </c>
      <c r="AN1496">
        <v>6.0417410714286133</v>
      </c>
    </row>
    <row r="1497" spans="1:40" x14ac:dyDescent="0.3">
      <c r="A1497" t="s">
        <v>447</v>
      </c>
      <c r="B1497" t="s">
        <v>17</v>
      </c>
      <c r="C1497" t="s">
        <v>10</v>
      </c>
      <c r="D1497" t="s">
        <v>14</v>
      </c>
      <c r="E1497">
        <v>202602</v>
      </c>
      <c r="F1497" t="s">
        <v>449</v>
      </c>
      <c r="G1497">
        <v>0</v>
      </c>
      <c r="H1497">
        <v>0</v>
      </c>
      <c r="I1497">
        <v>2</v>
      </c>
      <c r="J1497">
        <v>0</v>
      </c>
      <c r="K1497">
        <v>0</v>
      </c>
      <c r="L1497">
        <v>0</v>
      </c>
      <c r="M1497">
        <v>0</v>
      </c>
      <c r="N1497">
        <v>0</v>
      </c>
      <c r="O1497">
        <v>0</v>
      </c>
      <c r="P1497">
        <v>0</v>
      </c>
      <c r="Q1497">
        <v>0</v>
      </c>
      <c r="R1497">
        <v>0</v>
      </c>
      <c r="S1497">
        <v>0</v>
      </c>
      <c r="T1497">
        <v>0</v>
      </c>
      <c r="U1497">
        <v>0</v>
      </c>
      <c r="V1497">
        <v>0</v>
      </c>
      <c r="W1497">
        <v>0</v>
      </c>
      <c r="X1497">
        <v>0</v>
      </c>
      <c r="Y1497">
        <v>0</v>
      </c>
      <c r="Z1497">
        <v>0</v>
      </c>
      <c r="AA1497">
        <v>0</v>
      </c>
      <c r="AB1497">
        <v>0</v>
      </c>
      <c r="AC1497">
        <v>0</v>
      </c>
      <c r="AD1497">
        <v>0</v>
      </c>
      <c r="AE1497">
        <v>0</v>
      </c>
      <c r="AF1497">
        <v>0</v>
      </c>
      <c r="AG1497">
        <v>0</v>
      </c>
      <c r="AH1497">
        <v>0</v>
      </c>
      <c r="AI1497">
        <v>0</v>
      </c>
      <c r="AJ1497">
        <v>0</v>
      </c>
      <c r="AK1497">
        <v>0</v>
      </c>
      <c r="AL1497">
        <v>2</v>
      </c>
      <c r="AM1497">
        <v>0</v>
      </c>
      <c r="AN1497">
        <v>2</v>
      </c>
    </row>
    <row r="1498" spans="1:40" x14ac:dyDescent="0.3">
      <c r="A1498" t="s">
        <v>447</v>
      </c>
      <c r="B1498" t="s">
        <v>17</v>
      </c>
      <c r="C1498" t="s">
        <v>10</v>
      </c>
      <c r="D1498" t="s">
        <v>14</v>
      </c>
      <c r="E1498">
        <v>202602</v>
      </c>
      <c r="F1498" t="s">
        <v>450</v>
      </c>
      <c r="G1498">
        <v>0</v>
      </c>
      <c r="H1498">
        <v>1</v>
      </c>
      <c r="I1498">
        <v>0</v>
      </c>
      <c r="J1498">
        <v>0</v>
      </c>
      <c r="K1498">
        <v>0</v>
      </c>
      <c r="L1498">
        <v>0</v>
      </c>
      <c r="M1498">
        <v>0</v>
      </c>
      <c r="N1498">
        <v>0</v>
      </c>
      <c r="O1498">
        <v>0</v>
      </c>
      <c r="P1498">
        <v>1</v>
      </c>
      <c r="Q1498">
        <v>0</v>
      </c>
      <c r="R1498">
        <v>0</v>
      </c>
      <c r="S1498">
        <v>0</v>
      </c>
      <c r="T1498">
        <v>0</v>
      </c>
      <c r="U1498">
        <v>0</v>
      </c>
      <c r="V1498">
        <v>0</v>
      </c>
      <c r="W1498">
        <v>0</v>
      </c>
      <c r="X1498">
        <v>0</v>
      </c>
      <c r="Y1498">
        <v>0</v>
      </c>
      <c r="Z1498">
        <v>0</v>
      </c>
      <c r="AA1498">
        <v>0</v>
      </c>
      <c r="AB1498">
        <v>0</v>
      </c>
      <c r="AC1498">
        <v>0</v>
      </c>
      <c r="AD1498">
        <v>0</v>
      </c>
      <c r="AE1498">
        <v>0</v>
      </c>
      <c r="AF1498">
        <v>0</v>
      </c>
      <c r="AG1498">
        <v>0</v>
      </c>
      <c r="AH1498">
        <v>0</v>
      </c>
      <c r="AI1498">
        <v>0</v>
      </c>
      <c r="AJ1498">
        <v>0</v>
      </c>
      <c r="AK1498">
        <v>0</v>
      </c>
      <c r="AL1498">
        <v>2</v>
      </c>
      <c r="AM1498">
        <v>0.33333333333333331</v>
      </c>
      <c r="AN1498">
        <v>6.0417410714286133</v>
      </c>
    </row>
    <row r="1499" spans="1:40" x14ac:dyDescent="0.3">
      <c r="A1499" t="s">
        <v>447</v>
      </c>
      <c r="B1499" t="s">
        <v>17</v>
      </c>
      <c r="C1499" t="s">
        <v>10</v>
      </c>
      <c r="D1499" t="s">
        <v>14</v>
      </c>
      <c r="E1499">
        <v>202602</v>
      </c>
      <c r="F1499" t="s">
        <v>451</v>
      </c>
      <c r="G1499">
        <v>0</v>
      </c>
      <c r="H1499">
        <v>2</v>
      </c>
      <c r="I1499">
        <v>1</v>
      </c>
      <c r="J1499">
        <v>1</v>
      </c>
      <c r="K1499">
        <v>3</v>
      </c>
      <c r="L1499">
        <v>2</v>
      </c>
      <c r="M1499">
        <v>0</v>
      </c>
      <c r="N1499">
        <v>0</v>
      </c>
      <c r="O1499">
        <v>1</v>
      </c>
      <c r="P1499">
        <v>1</v>
      </c>
      <c r="Q1499">
        <v>0</v>
      </c>
      <c r="R1499">
        <v>0</v>
      </c>
      <c r="S1499">
        <v>0</v>
      </c>
      <c r="T1499">
        <v>0</v>
      </c>
      <c r="U1499">
        <v>0</v>
      </c>
      <c r="V1499">
        <v>0</v>
      </c>
      <c r="W1499">
        <v>0</v>
      </c>
      <c r="X1499">
        <v>0</v>
      </c>
      <c r="Y1499">
        <v>0</v>
      </c>
      <c r="Z1499">
        <v>0</v>
      </c>
      <c r="AA1499">
        <v>0</v>
      </c>
      <c r="AB1499">
        <v>0</v>
      </c>
      <c r="AC1499">
        <v>0</v>
      </c>
      <c r="AD1499">
        <v>0</v>
      </c>
      <c r="AE1499">
        <v>0</v>
      </c>
      <c r="AF1499">
        <v>0</v>
      </c>
      <c r="AG1499">
        <v>0</v>
      </c>
      <c r="AH1499">
        <v>0</v>
      </c>
      <c r="AI1499">
        <v>0</v>
      </c>
      <c r="AJ1499">
        <v>0</v>
      </c>
      <c r="AK1499">
        <v>0</v>
      </c>
      <c r="AL1499">
        <v>11</v>
      </c>
      <c r="AM1499">
        <v>0.66666666666666663</v>
      </c>
      <c r="AN1499">
        <v>19.083482142857228</v>
      </c>
    </row>
    <row r="1500" spans="1:40" x14ac:dyDescent="0.3">
      <c r="A1500" t="s">
        <v>447</v>
      </c>
      <c r="B1500" t="s">
        <v>17</v>
      </c>
      <c r="C1500" t="s">
        <v>10</v>
      </c>
      <c r="D1500" t="s">
        <v>14</v>
      </c>
      <c r="E1500">
        <v>202602</v>
      </c>
      <c r="F1500" t="s">
        <v>452</v>
      </c>
      <c r="G1500">
        <v>0</v>
      </c>
      <c r="H1500">
        <v>1</v>
      </c>
      <c r="I1500">
        <v>0</v>
      </c>
      <c r="J1500">
        <v>1</v>
      </c>
      <c r="K1500">
        <v>0</v>
      </c>
      <c r="L1500">
        <v>1</v>
      </c>
      <c r="M1500">
        <v>0</v>
      </c>
      <c r="N1500">
        <v>0</v>
      </c>
      <c r="O1500">
        <v>0</v>
      </c>
      <c r="P1500">
        <v>0</v>
      </c>
      <c r="Q1500">
        <v>0</v>
      </c>
      <c r="R1500">
        <v>0</v>
      </c>
      <c r="S1500">
        <v>0</v>
      </c>
      <c r="T1500">
        <v>0</v>
      </c>
      <c r="U1500">
        <v>0</v>
      </c>
      <c r="V1500">
        <v>0</v>
      </c>
      <c r="W1500">
        <v>0</v>
      </c>
      <c r="X1500">
        <v>0</v>
      </c>
      <c r="Y1500">
        <v>0</v>
      </c>
      <c r="Z1500">
        <v>0</v>
      </c>
      <c r="AA1500">
        <v>0</v>
      </c>
      <c r="AB1500">
        <v>0</v>
      </c>
      <c r="AC1500">
        <v>0</v>
      </c>
      <c r="AD1500">
        <v>0</v>
      </c>
      <c r="AE1500">
        <v>0</v>
      </c>
      <c r="AF1500">
        <v>0</v>
      </c>
      <c r="AG1500">
        <v>0</v>
      </c>
      <c r="AH1500">
        <v>0</v>
      </c>
      <c r="AI1500">
        <v>0</v>
      </c>
      <c r="AJ1500">
        <v>0</v>
      </c>
      <c r="AK1500">
        <v>0</v>
      </c>
      <c r="AL1500">
        <v>3</v>
      </c>
      <c r="AM1500">
        <v>0</v>
      </c>
      <c r="AN1500">
        <v>3</v>
      </c>
    </row>
    <row r="1501" spans="1:40" x14ac:dyDescent="0.3">
      <c r="A1501" t="s">
        <v>447</v>
      </c>
      <c r="B1501" t="s">
        <v>17</v>
      </c>
      <c r="C1501" t="s">
        <v>10</v>
      </c>
      <c r="D1501" t="s">
        <v>14</v>
      </c>
      <c r="E1501">
        <v>202602</v>
      </c>
      <c r="F1501" t="s">
        <v>453</v>
      </c>
      <c r="G1501">
        <v>1</v>
      </c>
      <c r="H1501">
        <v>0</v>
      </c>
      <c r="I1501">
        <v>1</v>
      </c>
      <c r="J1501">
        <v>0</v>
      </c>
      <c r="K1501">
        <v>1</v>
      </c>
      <c r="L1501">
        <v>0</v>
      </c>
      <c r="M1501">
        <v>0</v>
      </c>
      <c r="N1501">
        <v>0</v>
      </c>
      <c r="O1501">
        <v>0</v>
      </c>
      <c r="P1501">
        <v>1</v>
      </c>
      <c r="Q1501">
        <v>0</v>
      </c>
      <c r="R1501">
        <v>0</v>
      </c>
      <c r="S1501">
        <v>0</v>
      </c>
      <c r="T1501">
        <v>0</v>
      </c>
      <c r="U1501">
        <v>0</v>
      </c>
      <c r="V1501">
        <v>0</v>
      </c>
      <c r="W1501">
        <v>0</v>
      </c>
      <c r="X1501">
        <v>0</v>
      </c>
      <c r="Y1501">
        <v>0</v>
      </c>
      <c r="Z1501">
        <v>0</v>
      </c>
      <c r="AA1501">
        <v>0</v>
      </c>
      <c r="AB1501">
        <v>0</v>
      </c>
      <c r="AC1501">
        <v>0</v>
      </c>
      <c r="AD1501">
        <v>0</v>
      </c>
      <c r="AE1501">
        <v>0</v>
      </c>
      <c r="AF1501">
        <v>0</v>
      </c>
      <c r="AG1501">
        <v>0</v>
      </c>
      <c r="AH1501">
        <v>0</v>
      </c>
      <c r="AI1501">
        <v>0</v>
      </c>
      <c r="AJ1501">
        <v>0</v>
      </c>
      <c r="AK1501">
        <v>0</v>
      </c>
      <c r="AL1501">
        <v>4</v>
      </c>
      <c r="AM1501">
        <v>0.33333333333333331</v>
      </c>
      <c r="AN1501">
        <v>8.0417410714286142</v>
      </c>
    </row>
    <row r="1502" spans="1:40" x14ac:dyDescent="0.3">
      <c r="A1502" t="s">
        <v>447</v>
      </c>
      <c r="B1502" t="s">
        <v>17</v>
      </c>
      <c r="C1502" t="s">
        <v>10</v>
      </c>
      <c r="D1502" t="s">
        <v>14</v>
      </c>
      <c r="E1502">
        <v>202602</v>
      </c>
      <c r="F1502" t="s">
        <v>454</v>
      </c>
      <c r="G1502">
        <v>2</v>
      </c>
      <c r="H1502">
        <v>0</v>
      </c>
      <c r="I1502">
        <v>1</v>
      </c>
      <c r="J1502">
        <v>0</v>
      </c>
      <c r="K1502">
        <v>1</v>
      </c>
      <c r="L1502">
        <v>0</v>
      </c>
      <c r="M1502">
        <v>0</v>
      </c>
      <c r="N1502">
        <v>0</v>
      </c>
      <c r="O1502">
        <v>0</v>
      </c>
      <c r="P1502">
        <v>0</v>
      </c>
      <c r="Q1502">
        <v>0</v>
      </c>
      <c r="R1502">
        <v>0</v>
      </c>
      <c r="S1502">
        <v>0</v>
      </c>
      <c r="T1502">
        <v>0</v>
      </c>
      <c r="U1502">
        <v>0</v>
      </c>
      <c r="V1502">
        <v>0</v>
      </c>
      <c r="W1502">
        <v>0</v>
      </c>
      <c r="X1502">
        <v>0</v>
      </c>
      <c r="Y1502">
        <v>0</v>
      </c>
      <c r="Z1502">
        <v>0</v>
      </c>
      <c r="AA1502">
        <v>0</v>
      </c>
      <c r="AB1502">
        <v>0</v>
      </c>
      <c r="AC1502">
        <v>0</v>
      </c>
      <c r="AD1502">
        <v>0</v>
      </c>
      <c r="AE1502">
        <v>0</v>
      </c>
      <c r="AF1502">
        <v>0</v>
      </c>
      <c r="AG1502">
        <v>0</v>
      </c>
      <c r="AH1502">
        <v>0</v>
      </c>
      <c r="AI1502">
        <v>0</v>
      </c>
      <c r="AJ1502">
        <v>0</v>
      </c>
      <c r="AK1502">
        <v>0</v>
      </c>
      <c r="AL1502">
        <v>4</v>
      </c>
      <c r="AM1502">
        <v>0</v>
      </c>
      <c r="AN1502">
        <v>4</v>
      </c>
    </row>
    <row r="1503" spans="1:40" x14ac:dyDescent="0.3">
      <c r="A1503" t="s">
        <v>447</v>
      </c>
      <c r="B1503" t="s">
        <v>17</v>
      </c>
      <c r="C1503" t="s">
        <v>10</v>
      </c>
      <c r="D1503" t="s">
        <v>14</v>
      </c>
      <c r="E1503">
        <v>202602</v>
      </c>
      <c r="F1503" t="s">
        <v>455</v>
      </c>
      <c r="G1503">
        <v>1</v>
      </c>
      <c r="H1503">
        <v>1</v>
      </c>
      <c r="I1503">
        <v>0</v>
      </c>
      <c r="J1503">
        <v>0</v>
      </c>
      <c r="K1503">
        <v>0</v>
      </c>
      <c r="L1503">
        <v>0</v>
      </c>
      <c r="M1503">
        <v>1</v>
      </c>
      <c r="N1503">
        <v>0</v>
      </c>
      <c r="O1503">
        <v>0</v>
      </c>
      <c r="P1503">
        <v>1</v>
      </c>
      <c r="Q1503">
        <v>0</v>
      </c>
      <c r="R1503">
        <v>0</v>
      </c>
      <c r="S1503">
        <v>0</v>
      </c>
      <c r="T1503">
        <v>0</v>
      </c>
      <c r="U1503">
        <v>0</v>
      </c>
      <c r="V1503">
        <v>0</v>
      </c>
      <c r="W1503">
        <v>0</v>
      </c>
      <c r="X1503">
        <v>0</v>
      </c>
      <c r="Y1503">
        <v>0</v>
      </c>
      <c r="Z1503">
        <v>0</v>
      </c>
      <c r="AA1503">
        <v>0</v>
      </c>
      <c r="AB1503">
        <v>0</v>
      </c>
      <c r="AC1503">
        <v>0</v>
      </c>
      <c r="AD1503">
        <v>0</v>
      </c>
      <c r="AE1503">
        <v>0</v>
      </c>
      <c r="AF1503">
        <v>0</v>
      </c>
      <c r="AG1503">
        <v>0</v>
      </c>
      <c r="AH1503">
        <v>0</v>
      </c>
      <c r="AI1503">
        <v>0</v>
      </c>
      <c r="AJ1503">
        <v>0</v>
      </c>
      <c r="AK1503">
        <v>0</v>
      </c>
      <c r="AL1503">
        <v>4</v>
      </c>
      <c r="AM1503">
        <v>0.33333333333333331</v>
      </c>
      <c r="AN1503">
        <v>8.0417410714286142</v>
      </c>
    </row>
    <row r="1504" spans="1:40" x14ac:dyDescent="0.3">
      <c r="A1504" t="s">
        <v>447</v>
      </c>
      <c r="B1504" t="s">
        <v>17</v>
      </c>
      <c r="C1504" t="s">
        <v>10</v>
      </c>
      <c r="D1504" t="s">
        <v>14</v>
      </c>
      <c r="E1504">
        <v>202602</v>
      </c>
      <c r="F1504" t="s">
        <v>456</v>
      </c>
      <c r="G1504">
        <v>0</v>
      </c>
      <c r="H1504">
        <v>0</v>
      </c>
      <c r="I1504">
        <v>0</v>
      </c>
      <c r="J1504">
        <v>0</v>
      </c>
      <c r="K1504">
        <v>0</v>
      </c>
      <c r="L1504">
        <v>0</v>
      </c>
      <c r="M1504">
        <v>0</v>
      </c>
      <c r="N1504">
        <v>0</v>
      </c>
      <c r="O1504">
        <v>0</v>
      </c>
      <c r="P1504">
        <v>0</v>
      </c>
      <c r="Q1504">
        <v>3</v>
      </c>
      <c r="R1504">
        <v>0</v>
      </c>
      <c r="S1504">
        <v>0</v>
      </c>
      <c r="T1504">
        <v>0</v>
      </c>
      <c r="U1504">
        <v>0</v>
      </c>
      <c r="V1504">
        <v>0</v>
      </c>
      <c r="W1504">
        <v>0</v>
      </c>
      <c r="X1504">
        <v>0</v>
      </c>
      <c r="Y1504">
        <v>0</v>
      </c>
      <c r="Z1504">
        <v>0</v>
      </c>
      <c r="AA1504">
        <v>0</v>
      </c>
      <c r="AB1504">
        <v>0</v>
      </c>
      <c r="AC1504">
        <v>0</v>
      </c>
      <c r="AD1504">
        <v>0</v>
      </c>
      <c r="AE1504">
        <v>0</v>
      </c>
      <c r="AF1504">
        <v>0</v>
      </c>
      <c r="AG1504">
        <v>0</v>
      </c>
      <c r="AH1504">
        <v>0</v>
      </c>
      <c r="AI1504">
        <v>0</v>
      </c>
      <c r="AJ1504">
        <v>0</v>
      </c>
      <c r="AK1504">
        <v>0</v>
      </c>
      <c r="AL1504">
        <v>3</v>
      </c>
      <c r="AM1504">
        <v>1</v>
      </c>
      <c r="AN1504">
        <v>15.125223214285839</v>
      </c>
    </row>
    <row r="1505" spans="1:40" x14ac:dyDescent="0.3">
      <c r="A1505" t="s">
        <v>447</v>
      </c>
      <c r="B1505" t="s">
        <v>17</v>
      </c>
      <c r="C1505" t="s">
        <v>10</v>
      </c>
      <c r="D1505" t="s">
        <v>14</v>
      </c>
      <c r="E1505">
        <v>202602</v>
      </c>
      <c r="F1505" t="s">
        <v>458</v>
      </c>
      <c r="G1505">
        <v>0</v>
      </c>
      <c r="H1505">
        <v>0</v>
      </c>
      <c r="I1505">
        <v>0</v>
      </c>
      <c r="J1505">
        <v>0</v>
      </c>
      <c r="K1505">
        <v>0</v>
      </c>
      <c r="L1505">
        <v>2</v>
      </c>
      <c r="M1505">
        <v>0</v>
      </c>
      <c r="N1505">
        <v>0</v>
      </c>
      <c r="O1505">
        <v>0</v>
      </c>
      <c r="P1505">
        <v>0</v>
      </c>
      <c r="Q1505">
        <v>0</v>
      </c>
      <c r="R1505">
        <v>0</v>
      </c>
      <c r="S1505">
        <v>0</v>
      </c>
      <c r="T1505">
        <v>0</v>
      </c>
      <c r="U1505">
        <v>0</v>
      </c>
      <c r="V1505">
        <v>0</v>
      </c>
      <c r="W1505">
        <v>0</v>
      </c>
      <c r="X1505">
        <v>0</v>
      </c>
      <c r="Y1505">
        <v>0</v>
      </c>
      <c r="Z1505">
        <v>0</v>
      </c>
      <c r="AA1505">
        <v>0</v>
      </c>
      <c r="AB1505">
        <v>0</v>
      </c>
      <c r="AC1505">
        <v>0</v>
      </c>
      <c r="AD1505">
        <v>0</v>
      </c>
      <c r="AE1505">
        <v>0</v>
      </c>
      <c r="AF1505">
        <v>0</v>
      </c>
      <c r="AG1505">
        <v>0</v>
      </c>
      <c r="AH1505">
        <v>0</v>
      </c>
      <c r="AI1505">
        <v>0</v>
      </c>
      <c r="AJ1505">
        <v>0</v>
      </c>
      <c r="AK1505">
        <v>0</v>
      </c>
      <c r="AL1505">
        <v>2</v>
      </c>
      <c r="AM1505">
        <v>0</v>
      </c>
      <c r="AN1505">
        <v>2</v>
      </c>
    </row>
    <row r="1506" spans="1:40" x14ac:dyDescent="0.3">
      <c r="A1506" t="s">
        <v>447</v>
      </c>
      <c r="B1506" t="s">
        <v>17</v>
      </c>
      <c r="C1506" t="s">
        <v>10</v>
      </c>
      <c r="D1506" t="s">
        <v>14</v>
      </c>
      <c r="E1506">
        <v>202602</v>
      </c>
      <c r="F1506" t="s">
        <v>459</v>
      </c>
      <c r="G1506">
        <v>0</v>
      </c>
      <c r="H1506">
        <v>0</v>
      </c>
      <c r="I1506">
        <v>0</v>
      </c>
      <c r="J1506">
        <v>0</v>
      </c>
      <c r="K1506">
        <v>0</v>
      </c>
      <c r="L1506">
        <v>1</v>
      </c>
      <c r="M1506">
        <v>0</v>
      </c>
      <c r="N1506">
        <v>0</v>
      </c>
      <c r="O1506">
        <v>2</v>
      </c>
      <c r="P1506">
        <v>0</v>
      </c>
      <c r="Q1506">
        <v>0</v>
      </c>
      <c r="R1506">
        <v>0</v>
      </c>
      <c r="S1506">
        <v>0</v>
      </c>
      <c r="T1506">
        <v>0</v>
      </c>
      <c r="U1506">
        <v>0</v>
      </c>
      <c r="V1506">
        <v>0</v>
      </c>
      <c r="W1506">
        <v>0</v>
      </c>
      <c r="X1506">
        <v>0</v>
      </c>
      <c r="Y1506">
        <v>0</v>
      </c>
      <c r="Z1506">
        <v>0</v>
      </c>
      <c r="AA1506">
        <v>0</v>
      </c>
      <c r="AB1506">
        <v>0</v>
      </c>
      <c r="AC1506">
        <v>0</v>
      </c>
      <c r="AD1506">
        <v>0</v>
      </c>
      <c r="AE1506">
        <v>0</v>
      </c>
      <c r="AF1506">
        <v>0</v>
      </c>
      <c r="AG1506">
        <v>0</v>
      </c>
      <c r="AH1506">
        <v>0</v>
      </c>
      <c r="AI1506">
        <v>0</v>
      </c>
      <c r="AJ1506">
        <v>0</v>
      </c>
      <c r="AK1506">
        <v>0</v>
      </c>
      <c r="AL1506">
        <v>3</v>
      </c>
      <c r="AM1506">
        <v>0.66666666666666663</v>
      </c>
      <c r="AN1506">
        <v>11.083482142857227</v>
      </c>
    </row>
    <row r="1507" spans="1:40" x14ac:dyDescent="0.3">
      <c r="A1507" t="s">
        <v>447</v>
      </c>
      <c r="B1507" t="s">
        <v>17</v>
      </c>
      <c r="C1507" t="s">
        <v>10</v>
      </c>
      <c r="D1507" t="s">
        <v>14</v>
      </c>
      <c r="E1507">
        <v>202602</v>
      </c>
      <c r="F1507" t="s">
        <v>460</v>
      </c>
      <c r="G1507">
        <v>0</v>
      </c>
      <c r="H1507">
        <v>0</v>
      </c>
      <c r="I1507">
        <v>0</v>
      </c>
      <c r="J1507">
        <v>2</v>
      </c>
      <c r="K1507">
        <v>1</v>
      </c>
      <c r="L1507">
        <v>1</v>
      </c>
      <c r="M1507">
        <v>0</v>
      </c>
      <c r="N1507">
        <v>1</v>
      </c>
      <c r="O1507">
        <v>0</v>
      </c>
      <c r="P1507">
        <v>0</v>
      </c>
      <c r="Q1507">
        <v>1</v>
      </c>
      <c r="R1507">
        <v>0</v>
      </c>
      <c r="S1507">
        <v>0</v>
      </c>
      <c r="T1507">
        <v>0</v>
      </c>
      <c r="U1507">
        <v>0</v>
      </c>
      <c r="V1507">
        <v>0</v>
      </c>
      <c r="W1507">
        <v>0</v>
      </c>
      <c r="X1507">
        <v>0</v>
      </c>
      <c r="Y1507">
        <v>0</v>
      </c>
      <c r="Z1507">
        <v>0</v>
      </c>
      <c r="AA1507">
        <v>0</v>
      </c>
      <c r="AB1507">
        <v>0</v>
      </c>
      <c r="AC1507">
        <v>0</v>
      </c>
      <c r="AD1507">
        <v>0</v>
      </c>
      <c r="AE1507">
        <v>0</v>
      </c>
      <c r="AF1507">
        <v>0</v>
      </c>
      <c r="AG1507">
        <v>0</v>
      </c>
      <c r="AH1507">
        <v>0</v>
      </c>
      <c r="AI1507">
        <v>0</v>
      </c>
      <c r="AJ1507">
        <v>0</v>
      </c>
      <c r="AK1507">
        <v>0</v>
      </c>
      <c r="AL1507">
        <v>6</v>
      </c>
      <c r="AM1507">
        <v>0.33333333333333331</v>
      </c>
      <c r="AN1507">
        <v>10.041741071428614</v>
      </c>
    </row>
    <row r="1508" spans="1:40" x14ac:dyDescent="0.3">
      <c r="A1508" t="s">
        <v>447</v>
      </c>
      <c r="B1508" t="s">
        <v>17</v>
      </c>
      <c r="C1508" t="s">
        <v>10</v>
      </c>
      <c r="D1508" t="s">
        <v>14</v>
      </c>
      <c r="E1508">
        <v>202602</v>
      </c>
      <c r="F1508" t="s">
        <v>462</v>
      </c>
      <c r="G1508">
        <v>0</v>
      </c>
      <c r="H1508">
        <v>2</v>
      </c>
      <c r="I1508">
        <v>0</v>
      </c>
      <c r="J1508">
        <v>1</v>
      </c>
      <c r="K1508">
        <v>0</v>
      </c>
      <c r="L1508">
        <v>0</v>
      </c>
      <c r="M1508">
        <v>0</v>
      </c>
      <c r="N1508">
        <v>0</v>
      </c>
      <c r="O1508">
        <v>0</v>
      </c>
      <c r="P1508">
        <v>0</v>
      </c>
      <c r="Q1508">
        <v>0</v>
      </c>
      <c r="R1508">
        <v>0</v>
      </c>
      <c r="S1508">
        <v>0</v>
      </c>
      <c r="T1508">
        <v>0</v>
      </c>
      <c r="U1508">
        <v>0</v>
      </c>
      <c r="V1508">
        <v>0</v>
      </c>
      <c r="W1508">
        <v>0</v>
      </c>
      <c r="X1508">
        <v>0</v>
      </c>
      <c r="Y1508">
        <v>0</v>
      </c>
      <c r="Z1508">
        <v>0</v>
      </c>
      <c r="AA1508">
        <v>0</v>
      </c>
      <c r="AB1508">
        <v>0</v>
      </c>
      <c r="AC1508">
        <v>0</v>
      </c>
      <c r="AD1508">
        <v>0</v>
      </c>
      <c r="AE1508">
        <v>0</v>
      </c>
      <c r="AF1508">
        <v>0</v>
      </c>
      <c r="AG1508">
        <v>0</v>
      </c>
      <c r="AH1508">
        <v>0</v>
      </c>
      <c r="AI1508">
        <v>0</v>
      </c>
      <c r="AJ1508">
        <v>0</v>
      </c>
      <c r="AK1508">
        <v>0</v>
      </c>
      <c r="AL1508">
        <v>3</v>
      </c>
      <c r="AM1508">
        <v>0</v>
      </c>
      <c r="AN1508">
        <v>3</v>
      </c>
    </row>
    <row r="1509" spans="1:40" x14ac:dyDescent="0.3">
      <c r="A1509" t="s">
        <v>447</v>
      </c>
      <c r="B1509" t="s">
        <v>17</v>
      </c>
      <c r="C1509" t="s">
        <v>10</v>
      </c>
      <c r="D1509" t="s">
        <v>14</v>
      </c>
      <c r="E1509">
        <v>202602</v>
      </c>
      <c r="F1509" t="s">
        <v>463</v>
      </c>
      <c r="G1509">
        <v>0</v>
      </c>
      <c r="H1509">
        <v>2</v>
      </c>
      <c r="I1509">
        <v>1</v>
      </c>
      <c r="J1509">
        <v>0</v>
      </c>
      <c r="K1509">
        <v>0</v>
      </c>
      <c r="L1509">
        <v>0</v>
      </c>
      <c r="M1509">
        <v>1</v>
      </c>
      <c r="N1509">
        <v>0</v>
      </c>
      <c r="O1509">
        <v>0</v>
      </c>
      <c r="P1509">
        <v>0</v>
      </c>
      <c r="Q1509">
        <v>0</v>
      </c>
      <c r="R1509">
        <v>0</v>
      </c>
      <c r="S1509">
        <v>0</v>
      </c>
      <c r="T1509">
        <v>0</v>
      </c>
      <c r="U1509">
        <v>0</v>
      </c>
      <c r="V1509">
        <v>0</v>
      </c>
      <c r="W1509">
        <v>0</v>
      </c>
      <c r="X1509">
        <v>0</v>
      </c>
      <c r="Y1509">
        <v>0</v>
      </c>
      <c r="Z1509">
        <v>0</v>
      </c>
      <c r="AA1509">
        <v>0</v>
      </c>
      <c r="AB1509">
        <v>0</v>
      </c>
      <c r="AC1509">
        <v>0</v>
      </c>
      <c r="AD1509">
        <v>0</v>
      </c>
      <c r="AE1509">
        <v>0</v>
      </c>
      <c r="AF1509">
        <v>0</v>
      </c>
      <c r="AG1509">
        <v>0</v>
      </c>
      <c r="AH1509">
        <v>0</v>
      </c>
      <c r="AI1509">
        <v>0</v>
      </c>
      <c r="AJ1509">
        <v>0</v>
      </c>
      <c r="AK1509">
        <v>0</v>
      </c>
      <c r="AL1509">
        <v>4</v>
      </c>
      <c r="AM1509">
        <v>0</v>
      </c>
      <c r="AN1509">
        <v>4</v>
      </c>
    </row>
    <row r="1510" spans="1:40" x14ac:dyDescent="0.3">
      <c r="A1510" t="s">
        <v>447</v>
      </c>
      <c r="B1510" t="s">
        <v>17</v>
      </c>
      <c r="C1510" t="s">
        <v>16</v>
      </c>
      <c r="D1510" t="s">
        <v>11</v>
      </c>
      <c r="E1510">
        <v>202602</v>
      </c>
      <c r="F1510" t="s">
        <v>18</v>
      </c>
      <c r="G1510">
        <v>0</v>
      </c>
      <c r="H1510">
        <v>0</v>
      </c>
      <c r="I1510">
        <v>0</v>
      </c>
      <c r="J1510">
        <v>0</v>
      </c>
      <c r="K1510">
        <v>1</v>
      </c>
      <c r="L1510">
        <v>0</v>
      </c>
      <c r="M1510">
        <v>0</v>
      </c>
      <c r="N1510">
        <v>0</v>
      </c>
      <c r="O1510">
        <v>1</v>
      </c>
      <c r="P1510">
        <v>1</v>
      </c>
      <c r="Q1510">
        <v>1</v>
      </c>
      <c r="R1510">
        <v>0</v>
      </c>
      <c r="S1510">
        <v>0</v>
      </c>
      <c r="T1510">
        <v>0</v>
      </c>
      <c r="U1510">
        <v>0</v>
      </c>
      <c r="V1510">
        <v>0</v>
      </c>
      <c r="W1510">
        <v>0</v>
      </c>
      <c r="X1510">
        <v>0</v>
      </c>
      <c r="Y1510">
        <v>0</v>
      </c>
      <c r="Z1510">
        <v>0</v>
      </c>
      <c r="AA1510">
        <v>0</v>
      </c>
      <c r="AB1510">
        <v>0</v>
      </c>
      <c r="AC1510">
        <v>0</v>
      </c>
      <c r="AD1510">
        <v>0</v>
      </c>
      <c r="AE1510">
        <v>0</v>
      </c>
      <c r="AF1510">
        <v>0</v>
      </c>
      <c r="AG1510">
        <v>0</v>
      </c>
      <c r="AH1510">
        <v>0</v>
      </c>
      <c r="AI1510">
        <v>0</v>
      </c>
      <c r="AJ1510">
        <v>0</v>
      </c>
      <c r="AK1510">
        <v>0</v>
      </c>
      <c r="AL1510">
        <v>4</v>
      </c>
      <c r="AM1510">
        <v>1</v>
      </c>
      <c r="AN1510">
        <v>17.813875419619336</v>
      </c>
    </row>
    <row r="1511" spans="1:40" x14ac:dyDescent="0.3">
      <c r="A1511" t="s">
        <v>447</v>
      </c>
      <c r="B1511" t="s">
        <v>17</v>
      </c>
      <c r="C1511" t="s">
        <v>16</v>
      </c>
      <c r="D1511" t="s">
        <v>11</v>
      </c>
      <c r="E1511">
        <v>202602</v>
      </c>
      <c r="F1511" t="s">
        <v>448</v>
      </c>
      <c r="G1511">
        <v>0</v>
      </c>
      <c r="H1511">
        <v>0</v>
      </c>
      <c r="I1511">
        <v>0</v>
      </c>
      <c r="J1511">
        <v>1</v>
      </c>
      <c r="K1511">
        <v>0</v>
      </c>
      <c r="L1511">
        <v>0</v>
      </c>
      <c r="M1511">
        <v>0</v>
      </c>
      <c r="N1511">
        <v>0</v>
      </c>
      <c r="O1511">
        <v>0</v>
      </c>
      <c r="P1511">
        <v>0</v>
      </c>
      <c r="Q1511">
        <v>0</v>
      </c>
      <c r="R1511">
        <v>0</v>
      </c>
      <c r="S1511">
        <v>0</v>
      </c>
      <c r="T1511">
        <v>0</v>
      </c>
      <c r="U1511">
        <v>0</v>
      </c>
      <c r="V1511">
        <v>0</v>
      </c>
      <c r="W1511">
        <v>0</v>
      </c>
      <c r="X1511">
        <v>0</v>
      </c>
      <c r="Y1511">
        <v>0</v>
      </c>
      <c r="Z1511">
        <v>0</v>
      </c>
      <c r="AA1511">
        <v>0</v>
      </c>
      <c r="AB1511">
        <v>0</v>
      </c>
      <c r="AC1511">
        <v>0</v>
      </c>
      <c r="AD1511">
        <v>0</v>
      </c>
      <c r="AE1511">
        <v>0</v>
      </c>
      <c r="AF1511">
        <v>0</v>
      </c>
      <c r="AG1511">
        <v>0</v>
      </c>
      <c r="AH1511">
        <v>0</v>
      </c>
      <c r="AI1511">
        <v>0</v>
      </c>
      <c r="AJ1511">
        <v>0</v>
      </c>
      <c r="AK1511">
        <v>0</v>
      </c>
      <c r="AL1511">
        <v>1</v>
      </c>
      <c r="AM1511">
        <v>0</v>
      </c>
      <c r="AN1511">
        <v>1</v>
      </c>
    </row>
    <row r="1512" spans="1:40" x14ac:dyDescent="0.3">
      <c r="A1512" t="s">
        <v>447</v>
      </c>
      <c r="B1512" t="s">
        <v>17</v>
      </c>
      <c r="C1512" t="s">
        <v>16</v>
      </c>
      <c r="D1512" t="s">
        <v>11</v>
      </c>
      <c r="E1512">
        <v>202602</v>
      </c>
      <c r="F1512" t="s">
        <v>451</v>
      </c>
      <c r="G1512">
        <v>0</v>
      </c>
      <c r="H1512">
        <v>0</v>
      </c>
      <c r="I1512">
        <v>0</v>
      </c>
      <c r="J1512">
        <v>0</v>
      </c>
      <c r="K1512">
        <v>0</v>
      </c>
      <c r="L1512">
        <v>0</v>
      </c>
      <c r="M1512">
        <v>3</v>
      </c>
      <c r="N1512">
        <v>0</v>
      </c>
      <c r="O1512">
        <v>0</v>
      </c>
      <c r="P1512">
        <v>1</v>
      </c>
      <c r="Q1512">
        <v>0</v>
      </c>
      <c r="R1512">
        <v>0</v>
      </c>
      <c r="S1512">
        <v>0</v>
      </c>
      <c r="T1512">
        <v>0</v>
      </c>
      <c r="U1512">
        <v>0</v>
      </c>
      <c r="V1512">
        <v>0</v>
      </c>
      <c r="W1512">
        <v>0</v>
      </c>
      <c r="X1512">
        <v>0</v>
      </c>
      <c r="Y1512">
        <v>0</v>
      </c>
      <c r="Z1512">
        <v>0</v>
      </c>
      <c r="AA1512">
        <v>0</v>
      </c>
      <c r="AB1512">
        <v>0</v>
      </c>
      <c r="AC1512">
        <v>0</v>
      </c>
      <c r="AD1512">
        <v>0</v>
      </c>
      <c r="AE1512">
        <v>0</v>
      </c>
      <c r="AF1512">
        <v>0</v>
      </c>
      <c r="AG1512">
        <v>0</v>
      </c>
      <c r="AH1512">
        <v>0</v>
      </c>
      <c r="AI1512">
        <v>0</v>
      </c>
      <c r="AJ1512">
        <v>0</v>
      </c>
      <c r="AK1512">
        <v>0</v>
      </c>
      <c r="AL1512">
        <v>4</v>
      </c>
      <c r="AM1512">
        <v>0.33333333333333331</v>
      </c>
      <c r="AN1512">
        <v>8.6046251398731108</v>
      </c>
    </row>
    <row r="1513" spans="1:40" x14ac:dyDescent="0.3">
      <c r="A1513" t="s">
        <v>447</v>
      </c>
      <c r="B1513" t="s">
        <v>17</v>
      </c>
      <c r="C1513" t="s">
        <v>16</v>
      </c>
      <c r="D1513" t="s">
        <v>14</v>
      </c>
      <c r="E1513">
        <v>202602</v>
      </c>
      <c r="F1513" t="s">
        <v>18</v>
      </c>
      <c r="G1513">
        <v>0</v>
      </c>
      <c r="H1513">
        <v>0</v>
      </c>
      <c r="I1513">
        <v>0</v>
      </c>
      <c r="J1513">
        <v>0</v>
      </c>
      <c r="K1513">
        <v>1</v>
      </c>
      <c r="L1513">
        <v>0</v>
      </c>
      <c r="M1513">
        <v>1</v>
      </c>
      <c r="N1513">
        <v>0</v>
      </c>
      <c r="O1513">
        <v>1</v>
      </c>
      <c r="P1513">
        <v>2</v>
      </c>
      <c r="Q1513">
        <v>0</v>
      </c>
      <c r="R1513">
        <v>0</v>
      </c>
      <c r="S1513">
        <v>0</v>
      </c>
      <c r="T1513">
        <v>0</v>
      </c>
      <c r="U1513">
        <v>0</v>
      </c>
      <c r="V1513">
        <v>0</v>
      </c>
      <c r="W1513">
        <v>0</v>
      </c>
      <c r="X1513">
        <v>0</v>
      </c>
      <c r="Y1513">
        <v>0</v>
      </c>
      <c r="Z1513">
        <v>0</v>
      </c>
      <c r="AA1513">
        <v>0</v>
      </c>
      <c r="AB1513">
        <v>0</v>
      </c>
      <c r="AC1513">
        <v>0</v>
      </c>
      <c r="AD1513">
        <v>0</v>
      </c>
      <c r="AE1513">
        <v>0</v>
      </c>
      <c r="AF1513">
        <v>0</v>
      </c>
      <c r="AG1513">
        <v>0</v>
      </c>
      <c r="AH1513">
        <v>0</v>
      </c>
      <c r="AI1513">
        <v>0</v>
      </c>
      <c r="AJ1513">
        <v>0</v>
      </c>
      <c r="AK1513">
        <v>0</v>
      </c>
      <c r="AL1513">
        <v>5</v>
      </c>
      <c r="AM1513">
        <v>1</v>
      </c>
      <c r="AN1513">
        <v>17.125223214285839</v>
      </c>
    </row>
    <row r="1514" spans="1:40" x14ac:dyDescent="0.3">
      <c r="A1514" t="s">
        <v>447</v>
      </c>
      <c r="B1514" t="s">
        <v>17</v>
      </c>
      <c r="C1514" t="s">
        <v>16</v>
      </c>
      <c r="D1514" t="s">
        <v>14</v>
      </c>
      <c r="E1514">
        <v>202602</v>
      </c>
      <c r="F1514" t="s">
        <v>448</v>
      </c>
      <c r="G1514">
        <v>0</v>
      </c>
      <c r="H1514">
        <v>0</v>
      </c>
      <c r="I1514">
        <v>1</v>
      </c>
      <c r="J1514">
        <v>0</v>
      </c>
      <c r="K1514">
        <v>0</v>
      </c>
      <c r="L1514">
        <v>0</v>
      </c>
      <c r="M1514">
        <v>0</v>
      </c>
      <c r="N1514">
        <v>0</v>
      </c>
      <c r="O1514">
        <v>0</v>
      </c>
      <c r="P1514">
        <v>0</v>
      </c>
      <c r="Q1514">
        <v>0</v>
      </c>
      <c r="R1514">
        <v>0</v>
      </c>
      <c r="S1514">
        <v>0</v>
      </c>
      <c r="T1514">
        <v>0</v>
      </c>
      <c r="U1514">
        <v>0</v>
      </c>
      <c r="V1514">
        <v>0</v>
      </c>
      <c r="W1514">
        <v>0</v>
      </c>
      <c r="X1514">
        <v>0</v>
      </c>
      <c r="Y1514">
        <v>0</v>
      </c>
      <c r="Z1514">
        <v>0</v>
      </c>
      <c r="AA1514">
        <v>0</v>
      </c>
      <c r="AB1514">
        <v>0</v>
      </c>
      <c r="AC1514">
        <v>0</v>
      </c>
      <c r="AD1514">
        <v>0</v>
      </c>
      <c r="AE1514">
        <v>0</v>
      </c>
      <c r="AF1514">
        <v>0</v>
      </c>
      <c r="AG1514">
        <v>0</v>
      </c>
      <c r="AH1514">
        <v>0</v>
      </c>
      <c r="AI1514">
        <v>0</v>
      </c>
      <c r="AJ1514">
        <v>0</v>
      </c>
      <c r="AK1514">
        <v>0</v>
      </c>
      <c r="AL1514">
        <v>1</v>
      </c>
      <c r="AM1514">
        <v>0</v>
      </c>
      <c r="AN1514">
        <v>1</v>
      </c>
    </row>
    <row r="1515" spans="1:40" x14ac:dyDescent="0.3">
      <c r="A1515" t="s">
        <v>447</v>
      </c>
      <c r="B1515" t="s">
        <v>17</v>
      </c>
      <c r="C1515" t="s">
        <v>16</v>
      </c>
      <c r="D1515" t="s">
        <v>14</v>
      </c>
      <c r="E1515">
        <v>202602</v>
      </c>
      <c r="F1515" t="s">
        <v>451</v>
      </c>
      <c r="G1515">
        <v>0</v>
      </c>
      <c r="H1515">
        <v>0</v>
      </c>
      <c r="I1515">
        <v>0</v>
      </c>
      <c r="J1515">
        <v>0</v>
      </c>
      <c r="K1515">
        <v>0</v>
      </c>
      <c r="L1515">
        <v>0</v>
      </c>
      <c r="M1515">
        <v>4</v>
      </c>
      <c r="N1515">
        <v>0</v>
      </c>
      <c r="O1515">
        <v>0</v>
      </c>
      <c r="P1515">
        <v>1</v>
      </c>
      <c r="Q1515">
        <v>0</v>
      </c>
      <c r="R1515">
        <v>0</v>
      </c>
      <c r="S1515">
        <v>0</v>
      </c>
      <c r="T1515">
        <v>0</v>
      </c>
      <c r="U1515">
        <v>0</v>
      </c>
      <c r="V1515">
        <v>0</v>
      </c>
      <c r="W1515">
        <v>0</v>
      </c>
      <c r="X1515">
        <v>0</v>
      </c>
      <c r="Y1515">
        <v>0</v>
      </c>
      <c r="Z1515">
        <v>0</v>
      </c>
      <c r="AA1515">
        <v>0</v>
      </c>
      <c r="AB1515">
        <v>0</v>
      </c>
      <c r="AC1515">
        <v>0</v>
      </c>
      <c r="AD1515">
        <v>0</v>
      </c>
      <c r="AE1515">
        <v>0</v>
      </c>
      <c r="AF1515">
        <v>0</v>
      </c>
      <c r="AG1515">
        <v>0</v>
      </c>
      <c r="AH1515">
        <v>0</v>
      </c>
      <c r="AI1515">
        <v>0</v>
      </c>
      <c r="AJ1515">
        <v>0</v>
      </c>
      <c r="AK1515">
        <v>0</v>
      </c>
      <c r="AL1515">
        <v>5</v>
      </c>
      <c r="AM1515">
        <v>0.33333333333333331</v>
      </c>
      <c r="AN1515">
        <v>9.0417410714286142</v>
      </c>
    </row>
    <row r="1516" spans="1:40" x14ac:dyDescent="0.3">
      <c r="A1516" t="s">
        <v>447</v>
      </c>
      <c r="B1516" t="s">
        <v>49</v>
      </c>
      <c r="C1516" t="s">
        <v>10</v>
      </c>
      <c r="D1516" t="s">
        <v>14</v>
      </c>
      <c r="E1516">
        <v>202602</v>
      </c>
      <c r="F1516" t="s">
        <v>50</v>
      </c>
      <c r="G1516">
        <v>0</v>
      </c>
      <c r="H1516">
        <v>0</v>
      </c>
      <c r="I1516">
        <v>0</v>
      </c>
      <c r="J1516">
        <v>0</v>
      </c>
      <c r="K1516">
        <v>1</v>
      </c>
      <c r="L1516">
        <v>0</v>
      </c>
      <c r="M1516">
        <v>0</v>
      </c>
      <c r="N1516">
        <v>0</v>
      </c>
      <c r="O1516">
        <v>0</v>
      </c>
      <c r="P1516">
        <v>0</v>
      </c>
      <c r="Q1516">
        <v>0</v>
      </c>
      <c r="R1516">
        <v>0</v>
      </c>
      <c r="S1516">
        <v>0</v>
      </c>
      <c r="T1516">
        <v>0</v>
      </c>
      <c r="U1516">
        <v>0</v>
      </c>
      <c r="V1516">
        <v>0</v>
      </c>
      <c r="W1516">
        <v>0</v>
      </c>
      <c r="X1516">
        <v>0</v>
      </c>
      <c r="Y1516">
        <v>0</v>
      </c>
      <c r="Z1516">
        <v>0</v>
      </c>
      <c r="AA1516">
        <v>0</v>
      </c>
      <c r="AB1516">
        <v>0</v>
      </c>
      <c r="AC1516">
        <v>0</v>
      </c>
      <c r="AD1516">
        <v>0</v>
      </c>
      <c r="AE1516">
        <v>0</v>
      </c>
      <c r="AF1516">
        <v>0</v>
      </c>
      <c r="AG1516">
        <v>0</v>
      </c>
      <c r="AH1516">
        <v>0</v>
      </c>
      <c r="AI1516">
        <v>0</v>
      </c>
      <c r="AJ1516">
        <v>0</v>
      </c>
      <c r="AK1516">
        <v>0</v>
      </c>
      <c r="AL1516">
        <v>1</v>
      </c>
      <c r="AM1516">
        <v>0</v>
      </c>
      <c r="AN1516">
        <v>1</v>
      </c>
    </row>
    <row r="1517" spans="1:40" x14ac:dyDescent="0.3">
      <c r="A1517" t="s">
        <v>447</v>
      </c>
      <c r="B1517" t="s">
        <v>49</v>
      </c>
      <c r="C1517" t="s">
        <v>16</v>
      </c>
      <c r="D1517" t="s">
        <v>14</v>
      </c>
      <c r="E1517">
        <v>202602</v>
      </c>
      <c r="F1517" t="s">
        <v>51</v>
      </c>
      <c r="G1517">
        <v>0</v>
      </c>
      <c r="H1517">
        <v>0</v>
      </c>
      <c r="I1517">
        <v>0</v>
      </c>
      <c r="J1517">
        <v>0</v>
      </c>
      <c r="K1517">
        <v>0</v>
      </c>
      <c r="L1517">
        <v>0</v>
      </c>
      <c r="M1517">
        <v>1</v>
      </c>
      <c r="N1517">
        <v>0</v>
      </c>
      <c r="O1517">
        <v>0</v>
      </c>
      <c r="P1517">
        <v>0</v>
      </c>
      <c r="Q1517">
        <v>0</v>
      </c>
      <c r="R1517">
        <v>0</v>
      </c>
      <c r="S1517">
        <v>0</v>
      </c>
      <c r="T1517">
        <v>0</v>
      </c>
      <c r="U1517">
        <v>0</v>
      </c>
      <c r="V1517">
        <v>0</v>
      </c>
      <c r="W1517">
        <v>0</v>
      </c>
      <c r="X1517">
        <v>0</v>
      </c>
      <c r="Y1517">
        <v>0</v>
      </c>
      <c r="Z1517">
        <v>0</v>
      </c>
      <c r="AA1517">
        <v>0</v>
      </c>
      <c r="AB1517">
        <v>0</v>
      </c>
      <c r="AC1517">
        <v>0</v>
      </c>
      <c r="AD1517">
        <v>0</v>
      </c>
      <c r="AE1517">
        <v>0</v>
      </c>
      <c r="AF1517">
        <v>0</v>
      </c>
      <c r="AG1517">
        <v>0</v>
      </c>
      <c r="AH1517">
        <v>0</v>
      </c>
      <c r="AI1517">
        <v>0</v>
      </c>
      <c r="AJ1517">
        <v>0</v>
      </c>
      <c r="AK1517">
        <v>0</v>
      </c>
      <c r="AL1517">
        <v>1</v>
      </c>
      <c r="AM1517">
        <v>0</v>
      </c>
      <c r="AN1517">
        <v>1</v>
      </c>
    </row>
    <row r="1518" spans="1:40" x14ac:dyDescent="0.3">
      <c r="A1518" t="s">
        <v>447</v>
      </c>
      <c r="B1518" t="s">
        <v>54</v>
      </c>
      <c r="C1518" t="s">
        <v>10</v>
      </c>
      <c r="D1518" t="s">
        <v>11</v>
      </c>
      <c r="E1518">
        <v>202602</v>
      </c>
      <c r="F1518" t="s">
        <v>56</v>
      </c>
      <c r="G1518">
        <v>0</v>
      </c>
      <c r="H1518">
        <v>2</v>
      </c>
      <c r="I1518">
        <v>3</v>
      </c>
      <c r="J1518">
        <v>3</v>
      </c>
      <c r="K1518">
        <v>5</v>
      </c>
      <c r="L1518">
        <v>2</v>
      </c>
      <c r="M1518">
        <v>0</v>
      </c>
      <c r="N1518">
        <v>0</v>
      </c>
      <c r="O1518">
        <v>3</v>
      </c>
      <c r="P1518">
        <v>2</v>
      </c>
      <c r="Q1518">
        <v>0</v>
      </c>
      <c r="R1518">
        <v>0</v>
      </c>
      <c r="S1518">
        <v>0</v>
      </c>
      <c r="T1518">
        <v>0</v>
      </c>
      <c r="U1518">
        <v>0</v>
      </c>
      <c r="V1518">
        <v>0</v>
      </c>
      <c r="W1518">
        <v>0</v>
      </c>
      <c r="X1518">
        <v>0</v>
      </c>
      <c r="Y1518">
        <v>0</v>
      </c>
      <c r="Z1518">
        <v>0</v>
      </c>
      <c r="AA1518">
        <v>0</v>
      </c>
      <c r="AB1518">
        <v>0</v>
      </c>
      <c r="AC1518">
        <v>0</v>
      </c>
      <c r="AD1518">
        <v>0</v>
      </c>
      <c r="AE1518">
        <v>0</v>
      </c>
      <c r="AF1518">
        <v>0</v>
      </c>
      <c r="AG1518">
        <v>0</v>
      </c>
      <c r="AH1518">
        <v>0</v>
      </c>
      <c r="AI1518">
        <v>0</v>
      </c>
      <c r="AJ1518">
        <v>0</v>
      </c>
      <c r="AK1518">
        <v>0</v>
      </c>
      <c r="AL1518">
        <v>20</v>
      </c>
      <c r="AM1518">
        <v>1.6666666666666667</v>
      </c>
      <c r="AN1518">
        <v>43.023125699365558</v>
      </c>
    </row>
    <row r="1519" spans="1:40" x14ac:dyDescent="0.3">
      <c r="A1519" t="s">
        <v>447</v>
      </c>
      <c r="B1519" t="s">
        <v>54</v>
      </c>
      <c r="C1519" t="s">
        <v>10</v>
      </c>
      <c r="D1519" t="s">
        <v>11</v>
      </c>
      <c r="E1519">
        <v>202602</v>
      </c>
      <c r="F1519" t="s">
        <v>57</v>
      </c>
      <c r="G1519">
        <v>0</v>
      </c>
      <c r="H1519">
        <v>0</v>
      </c>
      <c r="I1519">
        <v>0</v>
      </c>
      <c r="J1519">
        <v>1</v>
      </c>
      <c r="K1519">
        <v>2</v>
      </c>
      <c r="L1519">
        <v>1</v>
      </c>
      <c r="M1519">
        <v>1</v>
      </c>
      <c r="N1519">
        <v>0</v>
      </c>
      <c r="O1519">
        <v>1</v>
      </c>
      <c r="P1519">
        <v>1</v>
      </c>
      <c r="Q1519">
        <v>0</v>
      </c>
      <c r="R1519">
        <v>0</v>
      </c>
      <c r="S1519">
        <v>0</v>
      </c>
      <c r="T1519">
        <v>0</v>
      </c>
      <c r="U1519">
        <v>0</v>
      </c>
      <c r="V1519">
        <v>0</v>
      </c>
      <c r="W1519">
        <v>0</v>
      </c>
      <c r="X1519">
        <v>0</v>
      </c>
      <c r="Y1519">
        <v>0</v>
      </c>
      <c r="Z1519">
        <v>0</v>
      </c>
      <c r="AA1519">
        <v>0</v>
      </c>
      <c r="AB1519">
        <v>0</v>
      </c>
      <c r="AC1519">
        <v>0</v>
      </c>
      <c r="AD1519">
        <v>0</v>
      </c>
      <c r="AE1519">
        <v>0</v>
      </c>
      <c r="AF1519">
        <v>0</v>
      </c>
      <c r="AG1519">
        <v>0</v>
      </c>
      <c r="AH1519">
        <v>0</v>
      </c>
      <c r="AI1519">
        <v>0</v>
      </c>
      <c r="AJ1519">
        <v>0</v>
      </c>
      <c r="AK1519">
        <v>0</v>
      </c>
      <c r="AL1519">
        <v>7</v>
      </c>
      <c r="AM1519">
        <v>0.66666666666666663</v>
      </c>
      <c r="AN1519">
        <v>16.209250279746222</v>
      </c>
    </row>
    <row r="1520" spans="1:40" x14ac:dyDescent="0.3">
      <c r="A1520" t="s">
        <v>447</v>
      </c>
      <c r="B1520" t="s">
        <v>54</v>
      </c>
      <c r="C1520" t="s">
        <v>10</v>
      </c>
      <c r="D1520" t="s">
        <v>11</v>
      </c>
      <c r="E1520">
        <v>202602</v>
      </c>
      <c r="F1520" t="s">
        <v>58</v>
      </c>
      <c r="G1520">
        <v>0</v>
      </c>
      <c r="H1520">
        <v>0</v>
      </c>
      <c r="I1520">
        <v>0</v>
      </c>
      <c r="J1520">
        <v>0</v>
      </c>
      <c r="K1520">
        <v>0</v>
      </c>
      <c r="L1520">
        <v>1</v>
      </c>
      <c r="M1520">
        <v>0</v>
      </c>
      <c r="N1520">
        <v>0</v>
      </c>
      <c r="O1520">
        <v>0</v>
      </c>
      <c r="P1520">
        <v>0</v>
      </c>
      <c r="Q1520">
        <v>0</v>
      </c>
      <c r="R1520">
        <v>0</v>
      </c>
      <c r="S1520">
        <v>0</v>
      </c>
      <c r="T1520">
        <v>0</v>
      </c>
      <c r="U1520">
        <v>0</v>
      </c>
      <c r="V1520">
        <v>0</v>
      </c>
      <c r="W1520">
        <v>0</v>
      </c>
      <c r="X1520">
        <v>0</v>
      </c>
      <c r="Y1520">
        <v>0</v>
      </c>
      <c r="Z1520">
        <v>0</v>
      </c>
      <c r="AA1520">
        <v>0</v>
      </c>
      <c r="AB1520">
        <v>0</v>
      </c>
      <c r="AC1520">
        <v>0</v>
      </c>
      <c r="AD1520">
        <v>0</v>
      </c>
      <c r="AE1520">
        <v>0</v>
      </c>
      <c r="AF1520">
        <v>0</v>
      </c>
      <c r="AG1520">
        <v>0</v>
      </c>
      <c r="AH1520">
        <v>0</v>
      </c>
      <c r="AI1520">
        <v>0</v>
      </c>
      <c r="AJ1520">
        <v>0</v>
      </c>
      <c r="AK1520">
        <v>0</v>
      </c>
      <c r="AL1520">
        <v>1</v>
      </c>
      <c r="AM1520">
        <v>0</v>
      </c>
      <c r="AN1520">
        <v>1</v>
      </c>
    </row>
    <row r="1521" spans="1:40" x14ac:dyDescent="0.3">
      <c r="A1521" t="s">
        <v>447</v>
      </c>
      <c r="B1521" t="s">
        <v>54</v>
      </c>
      <c r="C1521" t="s">
        <v>10</v>
      </c>
      <c r="D1521" t="s">
        <v>14</v>
      </c>
      <c r="E1521">
        <v>202602</v>
      </c>
      <c r="F1521" t="s">
        <v>55</v>
      </c>
      <c r="G1521">
        <v>0</v>
      </c>
      <c r="H1521">
        <v>0</v>
      </c>
      <c r="I1521">
        <v>0</v>
      </c>
      <c r="J1521">
        <v>0</v>
      </c>
      <c r="K1521">
        <v>0</v>
      </c>
      <c r="L1521">
        <v>0</v>
      </c>
      <c r="M1521">
        <v>0</v>
      </c>
      <c r="N1521">
        <v>0</v>
      </c>
      <c r="O1521">
        <v>0</v>
      </c>
      <c r="P1521">
        <v>2</v>
      </c>
      <c r="Q1521">
        <v>1</v>
      </c>
      <c r="R1521">
        <v>0</v>
      </c>
      <c r="S1521">
        <v>0</v>
      </c>
      <c r="T1521">
        <v>0</v>
      </c>
      <c r="U1521">
        <v>0</v>
      </c>
      <c r="V1521">
        <v>0</v>
      </c>
      <c r="W1521">
        <v>0</v>
      </c>
      <c r="X1521">
        <v>0</v>
      </c>
      <c r="Y1521">
        <v>0</v>
      </c>
      <c r="Z1521">
        <v>0</v>
      </c>
      <c r="AA1521">
        <v>0</v>
      </c>
      <c r="AB1521">
        <v>0</v>
      </c>
      <c r="AC1521">
        <v>0</v>
      </c>
      <c r="AD1521">
        <v>0</v>
      </c>
      <c r="AE1521">
        <v>0</v>
      </c>
      <c r="AF1521">
        <v>0</v>
      </c>
      <c r="AG1521">
        <v>0</v>
      </c>
      <c r="AH1521">
        <v>0</v>
      </c>
      <c r="AI1521">
        <v>0</v>
      </c>
      <c r="AJ1521">
        <v>0</v>
      </c>
      <c r="AK1521">
        <v>0</v>
      </c>
      <c r="AL1521">
        <v>3</v>
      </c>
      <c r="AM1521">
        <v>1</v>
      </c>
      <c r="AN1521">
        <v>15.125223214285839</v>
      </c>
    </row>
    <row r="1522" spans="1:40" x14ac:dyDescent="0.3">
      <c r="A1522" t="s">
        <v>447</v>
      </c>
      <c r="B1522" t="s">
        <v>54</v>
      </c>
      <c r="C1522" t="s">
        <v>10</v>
      </c>
      <c r="D1522" t="s">
        <v>14</v>
      </c>
      <c r="E1522">
        <v>202602</v>
      </c>
      <c r="F1522" t="s">
        <v>56</v>
      </c>
      <c r="G1522">
        <v>1</v>
      </c>
      <c r="H1522">
        <v>4</v>
      </c>
      <c r="I1522">
        <v>7</v>
      </c>
      <c r="J1522">
        <v>3</v>
      </c>
      <c r="K1522">
        <v>3</v>
      </c>
      <c r="L1522">
        <v>3</v>
      </c>
      <c r="M1522">
        <v>0</v>
      </c>
      <c r="N1522">
        <v>1</v>
      </c>
      <c r="O1522">
        <v>1</v>
      </c>
      <c r="P1522">
        <v>9</v>
      </c>
      <c r="Q1522">
        <v>7</v>
      </c>
      <c r="R1522">
        <v>0</v>
      </c>
      <c r="S1522">
        <v>0</v>
      </c>
      <c r="T1522">
        <v>0</v>
      </c>
      <c r="U1522">
        <v>0</v>
      </c>
      <c r="V1522">
        <v>0</v>
      </c>
      <c r="W1522">
        <v>0</v>
      </c>
      <c r="X1522">
        <v>0</v>
      </c>
      <c r="Y1522">
        <v>0</v>
      </c>
      <c r="Z1522">
        <v>0</v>
      </c>
      <c r="AA1522">
        <v>0</v>
      </c>
      <c r="AB1522">
        <v>0</v>
      </c>
      <c r="AC1522">
        <v>0</v>
      </c>
      <c r="AD1522">
        <v>0</v>
      </c>
      <c r="AE1522">
        <v>0</v>
      </c>
      <c r="AF1522">
        <v>0</v>
      </c>
      <c r="AG1522">
        <v>0</v>
      </c>
      <c r="AH1522">
        <v>0</v>
      </c>
      <c r="AI1522">
        <v>0</v>
      </c>
      <c r="AJ1522">
        <v>0</v>
      </c>
      <c r="AK1522">
        <v>0</v>
      </c>
      <c r="AL1522">
        <v>39</v>
      </c>
      <c r="AM1522">
        <v>5.666666666666667</v>
      </c>
      <c r="AN1522">
        <v>107.70959821428642</v>
      </c>
    </row>
    <row r="1523" spans="1:40" x14ac:dyDescent="0.3">
      <c r="A1523" t="s">
        <v>447</v>
      </c>
      <c r="B1523" t="s">
        <v>54</v>
      </c>
      <c r="C1523" t="s">
        <v>10</v>
      </c>
      <c r="D1523" t="s">
        <v>14</v>
      </c>
      <c r="E1523">
        <v>202602</v>
      </c>
      <c r="F1523" t="s">
        <v>57</v>
      </c>
      <c r="G1523">
        <v>0</v>
      </c>
      <c r="H1523">
        <v>1</v>
      </c>
      <c r="I1523">
        <v>3</v>
      </c>
      <c r="J1523">
        <v>3</v>
      </c>
      <c r="K1523">
        <v>2</v>
      </c>
      <c r="L1523">
        <v>0</v>
      </c>
      <c r="M1523">
        <v>1</v>
      </c>
      <c r="N1523">
        <v>0</v>
      </c>
      <c r="O1523">
        <v>1</v>
      </c>
      <c r="P1523">
        <v>2</v>
      </c>
      <c r="Q1523">
        <v>4</v>
      </c>
      <c r="R1523">
        <v>0</v>
      </c>
      <c r="S1523">
        <v>0</v>
      </c>
      <c r="T1523">
        <v>0</v>
      </c>
      <c r="U1523">
        <v>0</v>
      </c>
      <c r="V1523">
        <v>0</v>
      </c>
      <c r="W1523">
        <v>0</v>
      </c>
      <c r="X1523">
        <v>0</v>
      </c>
      <c r="Y1523">
        <v>0</v>
      </c>
      <c r="Z1523">
        <v>0</v>
      </c>
      <c r="AA1523">
        <v>0</v>
      </c>
      <c r="AB1523">
        <v>0</v>
      </c>
      <c r="AC1523">
        <v>0</v>
      </c>
      <c r="AD1523">
        <v>0</v>
      </c>
      <c r="AE1523">
        <v>0</v>
      </c>
      <c r="AF1523">
        <v>0</v>
      </c>
      <c r="AG1523">
        <v>0</v>
      </c>
      <c r="AH1523">
        <v>0</v>
      </c>
      <c r="AI1523">
        <v>0</v>
      </c>
      <c r="AJ1523">
        <v>0</v>
      </c>
      <c r="AK1523">
        <v>0</v>
      </c>
      <c r="AL1523">
        <v>17</v>
      </c>
      <c r="AM1523">
        <v>2.3333333333333335</v>
      </c>
      <c r="AN1523">
        <v>45.292187500000296</v>
      </c>
    </row>
    <row r="1524" spans="1:40" x14ac:dyDescent="0.3">
      <c r="A1524" t="s">
        <v>447</v>
      </c>
      <c r="B1524" t="s">
        <v>54</v>
      </c>
      <c r="C1524" t="s">
        <v>10</v>
      </c>
      <c r="D1524" t="s">
        <v>14</v>
      </c>
      <c r="E1524">
        <v>202602</v>
      </c>
      <c r="F1524" t="s">
        <v>58</v>
      </c>
      <c r="G1524">
        <v>0</v>
      </c>
      <c r="H1524">
        <v>0</v>
      </c>
      <c r="I1524">
        <v>0</v>
      </c>
      <c r="J1524">
        <v>0</v>
      </c>
      <c r="K1524">
        <v>1</v>
      </c>
      <c r="L1524">
        <v>0</v>
      </c>
      <c r="M1524">
        <v>0</v>
      </c>
      <c r="N1524">
        <v>0</v>
      </c>
      <c r="O1524">
        <v>0</v>
      </c>
      <c r="P1524">
        <v>0</v>
      </c>
      <c r="Q1524">
        <v>0</v>
      </c>
      <c r="R1524">
        <v>0</v>
      </c>
      <c r="S1524">
        <v>0</v>
      </c>
      <c r="T1524">
        <v>0</v>
      </c>
      <c r="U1524">
        <v>0</v>
      </c>
      <c r="V1524">
        <v>0</v>
      </c>
      <c r="W1524">
        <v>0</v>
      </c>
      <c r="X1524">
        <v>0</v>
      </c>
      <c r="Y1524">
        <v>0</v>
      </c>
      <c r="Z1524">
        <v>0</v>
      </c>
      <c r="AA1524">
        <v>0</v>
      </c>
      <c r="AB1524">
        <v>0</v>
      </c>
      <c r="AC1524">
        <v>0</v>
      </c>
      <c r="AD1524">
        <v>0</v>
      </c>
      <c r="AE1524">
        <v>0</v>
      </c>
      <c r="AF1524">
        <v>0</v>
      </c>
      <c r="AG1524">
        <v>0</v>
      </c>
      <c r="AH1524">
        <v>0</v>
      </c>
      <c r="AI1524">
        <v>0</v>
      </c>
      <c r="AJ1524">
        <v>0</v>
      </c>
      <c r="AK1524">
        <v>0</v>
      </c>
      <c r="AL1524">
        <v>1</v>
      </c>
      <c r="AM1524">
        <v>0</v>
      </c>
      <c r="AN1524">
        <v>1</v>
      </c>
    </row>
    <row r="1525" spans="1:40" x14ac:dyDescent="0.3">
      <c r="A1525" t="s">
        <v>447</v>
      </c>
      <c r="B1525" t="s">
        <v>59</v>
      </c>
      <c r="C1525" t="s">
        <v>10</v>
      </c>
      <c r="D1525" t="s">
        <v>11</v>
      </c>
      <c r="E1525">
        <v>202602</v>
      </c>
      <c r="F1525" t="s">
        <v>464</v>
      </c>
      <c r="G1525">
        <v>0</v>
      </c>
      <c r="H1525">
        <v>0</v>
      </c>
      <c r="I1525">
        <v>0</v>
      </c>
      <c r="J1525">
        <v>2</v>
      </c>
      <c r="K1525">
        <v>5</v>
      </c>
      <c r="L1525">
        <v>0</v>
      </c>
      <c r="M1525">
        <v>0</v>
      </c>
      <c r="N1525">
        <v>0</v>
      </c>
      <c r="O1525">
        <v>4</v>
      </c>
      <c r="P1525">
        <v>0</v>
      </c>
      <c r="Q1525">
        <v>2</v>
      </c>
      <c r="R1525">
        <v>0</v>
      </c>
      <c r="S1525">
        <v>0</v>
      </c>
      <c r="T1525">
        <v>0</v>
      </c>
      <c r="U1525">
        <v>0</v>
      </c>
      <c r="V1525">
        <v>0</v>
      </c>
      <c r="W1525">
        <v>0</v>
      </c>
      <c r="X1525">
        <v>0</v>
      </c>
      <c r="Y1525">
        <v>0</v>
      </c>
      <c r="Z1525">
        <v>0</v>
      </c>
      <c r="AA1525">
        <v>0</v>
      </c>
      <c r="AB1525">
        <v>0</v>
      </c>
      <c r="AC1525">
        <v>0</v>
      </c>
      <c r="AD1525">
        <v>0</v>
      </c>
      <c r="AE1525">
        <v>0</v>
      </c>
      <c r="AF1525">
        <v>0</v>
      </c>
      <c r="AG1525">
        <v>0</v>
      </c>
      <c r="AH1525">
        <v>0</v>
      </c>
      <c r="AI1525">
        <v>0</v>
      </c>
      <c r="AJ1525">
        <v>0</v>
      </c>
      <c r="AK1525">
        <v>0</v>
      </c>
      <c r="AL1525">
        <v>13</v>
      </c>
      <c r="AM1525">
        <v>2</v>
      </c>
      <c r="AN1525">
        <v>40.627750839238672</v>
      </c>
    </row>
    <row r="1526" spans="1:40" x14ac:dyDescent="0.3">
      <c r="A1526" t="s">
        <v>447</v>
      </c>
      <c r="B1526" t="s">
        <v>59</v>
      </c>
      <c r="C1526" t="s">
        <v>10</v>
      </c>
      <c r="D1526" t="s">
        <v>11</v>
      </c>
      <c r="E1526">
        <v>202602</v>
      </c>
      <c r="F1526" t="s">
        <v>205</v>
      </c>
      <c r="G1526">
        <v>0</v>
      </c>
      <c r="H1526">
        <v>0</v>
      </c>
      <c r="I1526">
        <v>4</v>
      </c>
      <c r="J1526">
        <v>0</v>
      </c>
      <c r="K1526">
        <v>1</v>
      </c>
      <c r="L1526">
        <v>0</v>
      </c>
      <c r="M1526">
        <v>0</v>
      </c>
      <c r="N1526">
        <v>0</v>
      </c>
      <c r="O1526">
        <v>2</v>
      </c>
      <c r="P1526">
        <v>2</v>
      </c>
      <c r="Q1526">
        <v>0</v>
      </c>
      <c r="R1526">
        <v>0</v>
      </c>
      <c r="S1526">
        <v>0</v>
      </c>
      <c r="T1526">
        <v>0</v>
      </c>
      <c r="U1526">
        <v>0</v>
      </c>
      <c r="V1526">
        <v>0</v>
      </c>
      <c r="W1526">
        <v>0</v>
      </c>
      <c r="X1526">
        <v>0</v>
      </c>
      <c r="Y1526">
        <v>0</v>
      </c>
      <c r="Z1526">
        <v>0</v>
      </c>
      <c r="AA1526">
        <v>0</v>
      </c>
      <c r="AB1526">
        <v>0</v>
      </c>
      <c r="AC1526">
        <v>0</v>
      </c>
      <c r="AD1526">
        <v>0</v>
      </c>
      <c r="AE1526">
        <v>0</v>
      </c>
      <c r="AF1526">
        <v>0</v>
      </c>
      <c r="AG1526">
        <v>0</v>
      </c>
      <c r="AH1526">
        <v>0</v>
      </c>
      <c r="AI1526">
        <v>0</v>
      </c>
      <c r="AJ1526">
        <v>0</v>
      </c>
      <c r="AK1526">
        <v>0</v>
      </c>
      <c r="AL1526">
        <v>9</v>
      </c>
      <c r="AM1526">
        <v>1.3333333333333333</v>
      </c>
      <c r="AN1526">
        <v>27.418500559492447</v>
      </c>
    </row>
    <row r="1527" spans="1:40" x14ac:dyDescent="0.3">
      <c r="A1527" t="s">
        <v>447</v>
      </c>
      <c r="B1527" t="s">
        <v>59</v>
      </c>
      <c r="C1527" t="s">
        <v>10</v>
      </c>
      <c r="D1527" t="s">
        <v>11</v>
      </c>
      <c r="E1527">
        <v>202602</v>
      </c>
      <c r="F1527" t="s">
        <v>61</v>
      </c>
      <c r="G1527">
        <v>0</v>
      </c>
      <c r="H1527">
        <v>5</v>
      </c>
      <c r="I1527">
        <v>3</v>
      </c>
      <c r="J1527">
        <v>1</v>
      </c>
      <c r="K1527">
        <v>5</v>
      </c>
      <c r="L1527">
        <v>7</v>
      </c>
      <c r="M1527">
        <v>3</v>
      </c>
      <c r="N1527">
        <v>0</v>
      </c>
      <c r="O1527">
        <v>8</v>
      </c>
      <c r="P1527">
        <v>1</v>
      </c>
      <c r="Q1527">
        <v>2</v>
      </c>
      <c r="R1527">
        <v>0</v>
      </c>
      <c r="S1527">
        <v>0</v>
      </c>
      <c r="T1527">
        <v>0</v>
      </c>
      <c r="U1527">
        <v>0</v>
      </c>
      <c r="V1527">
        <v>0</v>
      </c>
      <c r="W1527">
        <v>0</v>
      </c>
      <c r="X1527">
        <v>0</v>
      </c>
      <c r="Y1527">
        <v>0</v>
      </c>
      <c r="Z1527">
        <v>0</v>
      </c>
      <c r="AA1527">
        <v>0</v>
      </c>
      <c r="AB1527">
        <v>0</v>
      </c>
      <c r="AC1527">
        <v>0</v>
      </c>
      <c r="AD1527">
        <v>0</v>
      </c>
      <c r="AE1527">
        <v>0</v>
      </c>
      <c r="AF1527">
        <v>0</v>
      </c>
      <c r="AG1527">
        <v>0</v>
      </c>
      <c r="AH1527">
        <v>0</v>
      </c>
      <c r="AI1527">
        <v>0</v>
      </c>
      <c r="AJ1527">
        <v>0</v>
      </c>
      <c r="AK1527">
        <v>0</v>
      </c>
      <c r="AL1527">
        <v>35</v>
      </c>
      <c r="AM1527">
        <v>3.6666666666666665</v>
      </c>
      <c r="AN1527">
        <v>85.650876538604223</v>
      </c>
    </row>
    <row r="1528" spans="1:40" x14ac:dyDescent="0.3">
      <c r="A1528" t="s">
        <v>447</v>
      </c>
      <c r="B1528" t="s">
        <v>59</v>
      </c>
      <c r="C1528" t="s">
        <v>10</v>
      </c>
      <c r="D1528" t="s">
        <v>11</v>
      </c>
      <c r="E1528">
        <v>202602</v>
      </c>
      <c r="F1528" t="s">
        <v>62</v>
      </c>
      <c r="G1528">
        <v>0</v>
      </c>
      <c r="H1528">
        <v>0</v>
      </c>
      <c r="I1528">
        <v>2</v>
      </c>
      <c r="J1528">
        <v>3</v>
      </c>
      <c r="K1528">
        <v>1</v>
      </c>
      <c r="L1528">
        <v>0</v>
      </c>
      <c r="M1528">
        <v>0</v>
      </c>
      <c r="N1528">
        <v>0</v>
      </c>
      <c r="O1528">
        <v>1</v>
      </c>
      <c r="P1528">
        <v>0</v>
      </c>
      <c r="Q1528">
        <v>0</v>
      </c>
      <c r="R1528">
        <v>0</v>
      </c>
      <c r="S1528">
        <v>0</v>
      </c>
      <c r="T1528">
        <v>0</v>
      </c>
      <c r="U1528">
        <v>0</v>
      </c>
      <c r="V1528">
        <v>0</v>
      </c>
      <c r="W1528">
        <v>0</v>
      </c>
      <c r="X1528">
        <v>0</v>
      </c>
      <c r="Y1528">
        <v>0</v>
      </c>
      <c r="Z1528">
        <v>0</v>
      </c>
      <c r="AA1528">
        <v>0</v>
      </c>
      <c r="AB1528">
        <v>0</v>
      </c>
      <c r="AC1528">
        <v>0</v>
      </c>
      <c r="AD1528">
        <v>0</v>
      </c>
      <c r="AE1528">
        <v>0</v>
      </c>
      <c r="AF1528">
        <v>0</v>
      </c>
      <c r="AG1528">
        <v>0</v>
      </c>
      <c r="AH1528">
        <v>0</v>
      </c>
      <c r="AI1528">
        <v>0</v>
      </c>
      <c r="AJ1528">
        <v>0</v>
      </c>
      <c r="AK1528">
        <v>0</v>
      </c>
      <c r="AL1528">
        <v>7</v>
      </c>
      <c r="AM1528">
        <v>0.33333333333333331</v>
      </c>
      <c r="AN1528">
        <v>11.604625139873111</v>
      </c>
    </row>
    <row r="1529" spans="1:40" x14ac:dyDescent="0.3">
      <c r="A1529" t="s">
        <v>447</v>
      </c>
      <c r="B1529" t="s">
        <v>59</v>
      </c>
      <c r="C1529" t="s">
        <v>10</v>
      </c>
      <c r="D1529" t="s">
        <v>11</v>
      </c>
      <c r="E1529">
        <v>202602</v>
      </c>
      <c r="F1529" t="s">
        <v>465</v>
      </c>
      <c r="G1529">
        <v>0</v>
      </c>
      <c r="H1529">
        <v>0</v>
      </c>
      <c r="I1529">
        <v>1</v>
      </c>
      <c r="J1529">
        <v>0</v>
      </c>
      <c r="K1529">
        <v>2</v>
      </c>
      <c r="L1529">
        <v>1</v>
      </c>
      <c r="M1529">
        <v>2</v>
      </c>
      <c r="N1529">
        <v>0</v>
      </c>
      <c r="O1529">
        <v>0</v>
      </c>
      <c r="P1529">
        <v>0</v>
      </c>
      <c r="Q1529">
        <v>1</v>
      </c>
      <c r="R1529">
        <v>0</v>
      </c>
      <c r="S1529">
        <v>0</v>
      </c>
      <c r="T1529">
        <v>0</v>
      </c>
      <c r="U1529">
        <v>0</v>
      </c>
      <c r="V1529">
        <v>0</v>
      </c>
      <c r="W1529">
        <v>0</v>
      </c>
      <c r="X1529">
        <v>0</v>
      </c>
      <c r="Y1529">
        <v>0</v>
      </c>
      <c r="Z1529">
        <v>0</v>
      </c>
      <c r="AA1529">
        <v>0</v>
      </c>
      <c r="AB1529">
        <v>0</v>
      </c>
      <c r="AC1529">
        <v>0</v>
      </c>
      <c r="AD1529">
        <v>0</v>
      </c>
      <c r="AE1529">
        <v>0</v>
      </c>
      <c r="AF1529">
        <v>0</v>
      </c>
      <c r="AG1529">
        <v>0</v>
      </c>
      <c r="AH1529">
        <v>0</v>
      </c>
      <c r="AI1529">
        <v>0</v>
      </c>
      <c r="AJ1529">
        <v>0</v>
      </c>
      <c r="AK1529">
        <v>0</v>
      </c>
      <c r="AL1529">
        <v>7</v>
      </c>
      <c r="AM1529">
        <v>0.33333333333333331</v>
      </c>
      <c r="AN1529">
        <v>11.604625139873111</v>
      </c>
    </row>
    <row r="1530" spans="1:40" x14ac:dyDescent="0.3">
      <c r="A1530" t="s">
        <v>447</v>
      </c>
      <c r="B1530" t="s">
        <v>59</v>
      </c>
      <c r="C1530" t="s">
        <v>10</v>
      </c>
      <c r="D1530" t="s">
        <v>11</v>
      </c>
      <c r="E1530">
        <v>202602</v>
      </c>
      <c r="F1530" t="s">
        <v>207</v>
      </c>
      <c r="G1530">
        <v>0</v>
      </c>
      <c r="H1530">
        <v>0</v>
      </c>
      <c r="I1530">
        <v>0</v>
      </c>
      <c r="J1530">
        <v>0</v>
      </c>
      <c r="K1530">
        <v>1</v>
      </c>
      <c r="L1530">
        <v>0</v>
      </c>
      <c r="M1530">
        <v>0</v>
      </c>
      <c r="N1530">
        <v>0</v>
      </c>
      <c r="O1530">
        <v>0</v>
      </c>
      <c r="P1530">
        <v>0</v>
      </c>
      <c r="Q1530">
        <v>0</v>
      </c>
      <c r="R1530">
        <v>0</v>
      </c>
      <c r="S1530">
        <v>0</v>
      </c>
      <c r="T1530">
        <v>0</v>
      </c>
      <c r="U1530">
        <v>0</v>
      </c>
      <c r="V1530">
        <v>0</v>
      </c>
      <c r="W1530">
        <v>0</v>
      </c>
      <c r="X1530">
        <v>0</v>
      </c>
      <c r="Y1530">
        <v>0</v>
      </c>
      <c r="Z1530">
        <v>0</v>
      </c>
      <c r="AA1530">
        <v>0</v>
      </c>
      <c r="AB1530">
        <v>0</v>
      </c>
      <c r="AC1530">
        <v>0</v>
      </c>
      <c r="AD1530">
        <v>0</v>
      </c>
      <c r="AE1530">
        <v>0</v>
      </c>
      <c r="AF1530">
        <v>0</v>
      </c>
      <c r="AG1530">
        <v>0</v>
      </c>
      <c r="AH1530">
        <v>0</v>
      </c>
      <c r="AI1530">
        <v>0</v>
      </c>
      <c r="AJ1530">
        <v>0</v>
      </c>
      <c r="AK1530">
        <v>0</v>
      </c>
      <c r="AL1530">
        <v>1</v>
      </c>
      <c r="AM1530">
        <v>0</v>
      </c>
      <c r="AN1530">
        <v>1</v>
      </c>
    </row>
    <row r="1531" spans="1:40" x14ac:dyDescent="0.3">
      <c r="A1531" t="s">
        <v>447</v>
      </c>
      <c r="B1531" t="s">
        <v>59</v>
      </c>
      <c r="C1531" t="s">
        <v>10</v>
      </c>
      <c r="D1531" t="s">
        <v>11</v>
      </c>
      <c r="E1531">
        <v>202602</v>
      </c>
      <c r="F1531" t="s">
        <v>466</v>
      </c>
      <c r="G1531">
        <v>0</v>
      </c>
      <c r="H1531">
        <v>1</v>
      </c>
      <c r="I1531">
        <v>0</v>
      </c>
      <c r="J1531">
        <v>5</v>
      </c>
      <c r="K1531">
        <v>1</v>
      </c>
      <c r="L1531">
        <v>3</v>
      </c>
      <c r="M1531">
        <v>4</v>
      </c>
      <c r="N1531">
        <v>0</v>
      </c>
      <c r="O1531">
        <v>4</v>
      </c>
      <c r="P1531">
        <v>0</v>
      </c>
      <c r="Q1531">
        <v>3</v>
      </c>
      <c r="R1531">
        <v>0</v>
      </c>
      <c r="S1531">
        <v>0</v>
      </c>
      <c r="T1531">
        <v>0</v>
      </c>
      <c r="U1531">
        <v>0</v>
      </c>
      <c r="V1531">
        <v>0</v>
      </c>
      <c r="W1531">
        <v>0</v>
      </c>
      <c r="X1531">
        <v>0</v>
      </c>
      <c r="Y1531">
        <v>0</v>
      </c>
      <c r="Z1531">
        <v>0</v>
      </c>
      <c r="AA1531">
        <v>0</v>
      </c>
      <c r="AB1531">
        <v>0</v>
      </c>
      <c r="AC1531">
        <v>0</v>
      </c>
      <c r="AD1531">
        <v>0</v>
      </c>
      <c r="AE1531">
        <v>0</v>
      </c>
      <c r="AF1531">
        <v>0</v>
      </c>
      <c r="AG1531">
        <v>0</v>
      </c>
      <c r="AH1531">
        <v>0</v>
      </c>
      <c r="AI1531">
        <v>0</v>
      </c>
      <c r="AJ1531">
        <v>0</v>
      </c>
      <c r="AK1531">
        <v>0</v>
      </c>
      <c r="AL1531">
        <v>21</v>
      </c>
      <c r="AM1531">
        <v>2.3333333333333335</v>
      </c>
      <c r="AN1531">
        <v>53.232375979111779</v>
      </c>
    </row>
    <row r="1532" spans="1:40" x14ac:dyDescent="0.3">
      <c r="A1532" t="s">
        <v>447</v>
      </c>
      <c r="B1532" t="s">
        <v>59</v>
      </c>
      <c r="C1532" t="s">
        <v>10</v>
      </c>
      <c r="D1532" t="s">
        <v>11</v>
      </c>
      <c r="E1532">
        <v>202602</v>
      </c>
      <c r="F1532" t="s">
        <v>467</v>
      </c>
      <c r="G1532">
        <v>0</v>
      </c>
      <c r="H1532">
        <v>0</v>
      </c>
      <c r="I1532">
        <v>5</v>
      </c>
      <c r="J1532">
        <v>1</v>
      </c>
      <c r="K1532">
        <v>1</v>
      </c>
      <c r="L1532">
        <v>2</v>
      </c>
      <c r="M1532">
        <v>3</v>
      </c>
      <c r="N1532">
        <v>0</v>
      </c>
      <c r="O1532">
        <v>1</v>
      </c>
      <c r="P1532">
        <v>1</v>
      </c>
      <c r="Q1532">
        <v>0</v>
      </c>
      <c r="R1532">
        <v>0</v>
      </c>
      <c r="S1532">
        <v>0</v>
      </c>
      <c r="T1532">
        <v>0</v>
      </c>
      <c r="U1532">
        <v>0</v>
      </c>
      <c r="V1532">
        <v>0</v>
      </c>
      <c r="W1532">
        <v>0</v>
      </c>
      <c r="X1532">
        <v>0</v>
      </c>
      <c r="Y1532">
        <v>0</v>
      </c>
      <c r="Z1532">
        <v>0</v>
      </c>
      <c r="AA1532">
        <v>0</v>
      </c>
      <c r="AB1532">
        <v>0</v>
      </c>
      <c r="AC1532">
        <v>0</v>
      </c>
      <c r="AD1532">
        <v>0</v>
      </c>
      <c r="AE1532">
        <v>0</v>
      </c>
      <c r="AF1532">
        <v>0</v>
      </c>
      <c r="AG1532">
        <v>0</v>
      </c>
      <c r="AH1532">
        <v>0</v>
      </c>
      <c r="AI1532">
        <v>0</v>
      </c>
      <c r="AJ1532">
        <v>0</v>
      </c>
      <c r="AK1532">
        <v>0</v>
      </c>
      <c r="AL1532">
        <v>14</v>
      </c>
      <c r="AM1532">
        <v>0.66666666666666663</v>
      </c>
      <c r="AN1532">
        <v>23.209250279746222</v>
      </c>
    </row>
    <row r="1533" spans="1:40" x14ac:dyDescent="0.3">
      <c r="A1533" t="s">
        <v>447</v>
      </c>
      <c r="B1533" t="s">
        <v>59</v>
      </c>
      <c r="C1533" t="s">
        <v>10</v>
      </c>
      <c r="D1533" t="s">
        <v>11</v>
      </c>
      <c r="E1533">
        <v>202602</v>
      </c>
      <c r="F1533" t="s">
        <v>468</v>
      </c>
      <c r="G1533">
        <v>0</v>
      </c>
      <c r="H1533">
        <v>0</v>
      </c>
      <c r="I1533">
        <v>0</v>
      </c>
      <c r="J1533">
        <v>0</v>
      </c>
      <c r="K1533">
        <v>0</v>
      </c>
      <c r="L1533">
        <v>0</v>
      </c>
      <c r="M1533">
        <v>0</v>
      </c>
      <c r="N1533">
        <v>0</v>
      </c>
      <c r="O1533">
        <v>0</v>
      </c>
      <c r="P1533">
        <v>1</v>
      </c>
      <c r="Q1533">
        <v>0</v>
      </c>
      <c r="R1533">
        <v>0</v>
      </c>
      <c r="S1533">
        <v>0</v>
      </c>
      <c r="T1533">
        <v>0</v>
      </c>
      <c r="U1533">
        <v>0</v>
      </c>
      <c r="V1533">
        <v>0</v>
      </c>
      <c r="W1533">
        <v>0</v>
      </c>
      <c r="X1533">
        <v>0</v>
      </c>
      <c r="Y1533">
        <v>0</v>
      </c>
      <c r="Z1533">
        <v>0</v>
      </c>
      <c r="AA1533">
        <v>0</v>
      </c>
      <c r="AB1533">
        <v>0</v>
      </c>
      <c r="AC1533">
        <v>0</v>
      </c>
      <c r="AD1533">
        <v>0</v>
      </c>
      <c r="AE1533">
        <v>0</v>
      </c>
      <c r="AF1533">
        <v>0</v>
      </c>
      <c r="AG1533">
        <v>0</v>
      </c>
      <c r="AH1533">
        <v>0</v>
      </c>
      <c r="AI1533">
        <v>0</v>
      </c>
      <c r="AJ1533">
        <v>0</v>
      </c>
      <c r="AK1533">
        <v>0</v>
      </c>
      <c r="AL1533">
        <v>1</v>
      </c>
      <c r="AM1533">
        <v>0.33333333333333331</v>
      </c>
      <c r="AN1533">
        <v>5.6046251398731117</v>
      </c>
    </row>
    <row r="1534" spans="1:40" x14ac:dyDescent="0.3">
      <c r="A1534" t="s">
        <v>447</v>
      </c>
      <c r="B1534" t="s">
        <v>59</v>
      </c>
      <c r="C1534" t="s">
        <v>10</v>
      </c>
      <c r="D1534" t="s">
        <v>11</v>
      </c>
      <c r="E1534">
        <v>202602</v>
      </c>
      <c r="F1534" t="s">
        <v>469</v>
      </c>
      <c r="G1534">
        <v>0</v>
      </c>
      <c r="H1534">
        <v>0</v>
      </c>
      <c r="I1534">
        <v>1</v>
      </c>
      <c r="J1534">
        <v>1</v>
      </c>
      <c r="K1534">
        <v>0</v>
      </c>
      <c r="L1534">
        <v>0</v>
      </c>
      <c r="M1534">
        <v>0</v>
      </c>
      <c r="N1534">
        <v>0</v>
      </c>
      <c r="O1534">
        <v>0</v>
      </c>
      <c r="P1534">
        <v>0</v>
      </c>
      <c r="Q1534">
        <v>0</v>
      </c>
      <c r="R1534">
        <v>0</v>
      </c>
      <c r="S1534">
        <v>0</v>
      </c>
      <c r="T1534">
        <v>0</v>
      </c>
      <c r="U1534">
        <v>0</v>
      </c>
      <c r="V1534">
        <v>0</v>
      </c>
      <c r="W1534">
        <v>0</v>
      </c>
      <c r="X1534">
        <v>0</v>
      </c>
      <c r="Y1534">
        <v>0</v>
      </c>
      <c r="Z1534">
        <v>0</v>
      </c>
      <c r="AA1534">
        <v>0</v>
      </c>
      <c r="AB1534">
        <v>0</v>
      </c>
      <c r="AC1534">
        <v>0</v>
      </c>
      <c r="AD1534">
        <v>0</v>
      </c>
      <c r="AE1534">
        <v>0</v>
      </c>
      <c r="AF1534">
        <v>0</v>
      </c>
      <c r="AG1534">
        <v>0</v>
      </c>
      <c r="AH1534">
        <v>0</v>
      </c>
      <c r="AI1534">
        <v>0</v>
      </c>
      <c r="AJ1534">
        <v>0</v>
      </c>
      <c r="AK1534">
        <v>0</v>
      </c>
      <c r="AL1534">
        <v>2</v>
      </c>
      <c r="AM1534">
        <v>0</v>
      </c>
      <c r="AN1534">
        <v>2</v>
      </c>
    </row>
    <row r="1535" spans="1:40" x14ac:dyDescent="0.3">
      <c r="A1535" t="s">
        <v>447</v>
      </c>
      <c r="B1535" t="s">
        <v>59</v>
      </c>
      <c r="C1535" t="s">
        <v>10</v>
      </c>
      <c r="D1535" t="s">
        <v>11</v>
      </c>
      <c r="E1535">
        <v>202602</v>
      </c>
      <c r="F1535" t="s">
        <v>470</v>
      </c>
      <c r="G1535">
        <v>0</v>
      </c>
      <c r="H1535">
        <v>0</v>
      </c>
      <c r="I1535">
        <v>0</v>
      </c>
      <c r="J1535">
        <v>1</v>
      </c>
      <c r="K1535">
        <v>0</v>
      </c>
      <c r="L1535">
        <v>0</v>
      </c>
      <c r="M1535">
        <v>0</v>
      </c>
      <c r="N1535">
        <v>0</v>
      </c>
      <c r="O1535">
        <v>2</v>
      </c>
      <c r="P1535">
        <v>0</v>
      </c>
      <c r="Q1535">
        <v>0</v>
      </c>
      <c r="R1535">
        <v>0</v>
      </c>
      <c r="S1535">
        <v>0</v>
      </c>
      <c r="T1535">
        <v>0</v>
      </c>
      <c r="U1535">
        <v>0</v>
      </c>
      <c r="V1535">
        <v>0</v>
      </c>
      <c r="W1535">
        <v>0</v>
      </c>
      <c r="X1535">
        <v>0</v>
      </c>
      <c r="Y1535">
        <v>0</v>
      </c>
      <c r="Z1535">
        <v>0</v>
      </c>
      <c r="AA1535">
        <v>0</v>
      </c>
      <c r="AB1535">
        <v>0</v>
      </c>
      <c r="AC1535">
        <v>0</v>
      </c>
      <c r="AD1535">
        <v>0</v>
      </c>
      <c r="AE1535">
        <v>0</v>
      </c>
      <c r="AF1535">
        <v>0</v>
      </c>
      <c r="AG1535">
        <v>0</v>
      </c>
      <c r="AH1535">
        <v>0</v>
      </c>
      <c r="AI1535">
        <v>0</v>
      </c>
      <c r="AJ1535">
        <v>0</v>
      </c>
      <c r="AK1535">
        <v>0</v>
      </c>
      <c r="AL1535">
        <v>3</v>
      </c>
      <c r="AM1535">
        <v>0.66666666666666663</v>
      </c>
      <c r="AN1535">
        <v>12.209250279746223</v>
      </c>
    </row>
    <row r="1536" spans="1:40" x14ac:dyDescent="0.3">
      <c r="A1536" t="s">
        <v>447</v>
      </c>
      <c r="B1536" t="s">
        <v>59</v>
      </c>
      <c r="C1536" t="s">
        <v>10</v>
      </c>
      <c r="D1536" t="s">
        <v>11</v>
      </c>
      <c r="E1536">
        <v>202602</v>
      </c>
      <c r="F1536" t="s">
        <v>69</v>
      </c>
      <c r="G1536">
        <v>0</v>
      </c>
      <c r="H1536">
        <v>1</v>
      </c>
      <c r="I1536">
        <v>0</v>
      </c>
      <c r="J1536">
        <v>0</v>
      </c>
      <c r="K1536">
        <v>0</v>
      </c>
      <c r="L1536">
        <v>1</v>
      </c>
      <c r="M1536">
        <v>1</v>
      </c>
      <c r="N1536">
        <v>0</v>
      </c>
      <c r="O1536">
        <v>0</v>
      </c>
      <c r="P1536">
        <v>1</v>
      </c>
      <c r="Q1536">
        <v>0</v>
      </c>
      <c r="R1536">
        <v>0</v>
      </c>
      <c r="S1536">
        <v>0</v>
      </c>
      <c r="T1536">
        <v>0</v>
      </c>
      <c r="U1536">
        <v>0</v>
      </c>
      <c r="V1536">
        <v>0</v>
      </c>
      <c r="W1536">
        <v>0</v>
      </c>
      <c r="X1536">
        <v>0</v>
      </c>
      <c r="Y1536">
        <v>0</v>
      </c>
      <c r="Z1536">
        <v>0</v>
      </c>
      <c r="AA1536">
        <v>0</v>
      </c>
      <c r="AB1536">
        <v>0</v>
      </c>
      <c r="AC1536">
        <v>0</v>
      </c>
      <c r="AD1536">
        <v>0</v>
      </c>
      <c r="AE1536">
        <v>0</v>
      </c>
      <c r="AF1536">
        <v>0</v>
      </c>
      <c r="AG1536">
        <v>0</v>
      </c>
      <c r="AH1536">
        <v>0</v>
      </c>
      <c r="AI1536">
        <v>0</v>
      </c>
      <c r="AJ1536">
        <v>0</v>
      </c>
      <c r="AK1536">
        <v>0</v>
      </c>
      <c r="AL1536">
        <v>4</v>
      </c>
      <c r="AM1536">
        <v>0.33333333333333331</v>
      </c>
      <c r="AN1536">
        <v>8.6046251398731108</v>
      </c>
    </row>
    <row r="1537" spans="1:40" x14ac:dyDescent="0.3">
      <c r="A1537" t="s">
        <v>447</v>
      </c>
      <c r="B1537" t="s">
        <v>59</v>
      </c>
      <c r="C1537" t="s">
        <v>10</v>
      </c>
      <c r="D1537" t="s">
        <v>11</v>
      </c>
      <c r="E1537">
        <v>202602</v>
      </c>
      <c r="F1537" t="s">
        <v>471</v>
      </c>
      <c r="G1537">
        <v>0</v>
      </c>
      <c r="H1537">
        <v>0</v>
      </c>
      <c r="I1537">
        <v>0</v>
      </c>
      <c r="J1537">
        <v>1</v>
      </c>
      <c r="K1537">
        <v>0</v>
      </c>
      <c r="L1537">
        <v>0</v>
      </c>
      <c r="M1537">
        <v>0</v>
      </c>
      <c r="N1537">
        <v>0</v>
      </c>
      <c r="O1537">
        <v>0</v>
      </c>
      <c r="P1537">
        <v>1</v>
      </c>
      <c r="Q1537">
        <v>0</v>
      </c>
      <c r="R1537">
        <v>0</v>
      </c>
      <c r="S1537">
        <v>0</v>
      </c>
      <c r="T1537">
        <v>0</v>
      </c>
      <c r="U1537">
        <v>0</v>
      </c>
      <c r="V1537">
        <v>0</v>
      </c>
      <c r="W1537">
        <v>0</v>
      </c>
      <c r="X1537">
        <v>0</v>
      </c>
      <c r="Y1537">
        <v>0</v>
      </c>
      <c r="Z1537">
        <v>0</v>
      </c>
      <c r="AA1537">
        <v>0</v>
      </c>
      <c r="AB1537">
        <v>0</v>
      </c>
      <c r="AC1537">
        <v>0</v>
      </c>
      <c r="AD1537">
        <v>0</v>
      </c>
      <c r="AE1537">
        <v>0</v>
      </c>
      <c r="AF1537">
        <v>0</v>
      </c>
      <c r="AG1537">
        <v>0</v>
      </c>
      <c r="AH1537">
        <v>0</v>
      </c>
      <c r="AI1537">
        <v>0</v>
      </c>
      <c r="AJ1537">
        <v>0</v>
      </c>
      <c r="AK1537">
        <v>0</v>
      </c>
      <c r="AL1537">
        <v>2</v>
      </c>
      <c r="AM1537">
        <v>0.33333333333333331</v>
      </c>
      <c r="AN1537">
        <v>6.6046251398731117</v>
      </c>
    </row>
    <row r="1538" spans="1:40" x14ac:dyDescent="0.3">
      <c r="A1538" t="s">
        <v>447</v>
      </c>
      <c r="B1538" t="s">
        <v>59</v>
      </c>
      <c r="C1538" t="s">
        <v>10</v>
      </c>
      <c r="D1538" t="s">
        <v>11</v>
      </c>
      <c r="E1538">
        <v>202602</v>
      </c>
      <c r="F1538" t="s">
        <v>472</v>
      </c>
      <c r="G1538">
        <v>0</v>
      </c>
      <c r="H1538">
        <v>0</v>
      </c>
      <c r="I1538">
        <v>1</v>
      </c>
      <c r="J1538">
        <v>0</v>
      </c>
      <c r="K1538">
        <v>1</v>
      </c>
      <c r="L1538">
        <v>1</v>
      </c>
      <c r="M1538">
        <v>1</v>
      </c>
      <c r="N1538">
        <v>0</v>
      </c>
      <c r="O1538">
        <v>0</v>
      </c>
      <c r="P1538">
        <v>0</v>
      </c>
      <c r="Q1538">
        <v>0</v>
      </c>
      <c r="R1538">
        <v>0</v>
      </c>
      <c r="S1538">
        <v>0</v>
      </c>
      <c r="T1538">
        <v>0</v>
      </c>
      <c r="U1538">
        <v>0</v>
      </c>
      <c r="V1538">
        <v>0</v>
      </c>
      <c r="W1538">
        <v>0</v>
      </c>
      <c r="X1538">
        <v>0</v>
      </c>
      <c r="Y1538">
        <v>0</v>
      </c>
      <c r="Z1538">
        <v>0</v>
      </c>
      <c r="AA1538">
        <v>0</v>
      </c>
      <c r="AB1538">
        <v>0</v>
      </c>
      <c r="AC1538">
        <v>0</v>
      </c>
      <c r="AD1538">
        <v>0</v>
      </c>
      <c r="AE1538">
        <v>0</v>
      </c>
      <c r="AF1538">
        <v>0</v>
      </c>
      <c r="AG1538">
        <v>0</v>
      </c>
      <c r="AH1538">
        <v>0</v>
      </c>
      <c r="AI1538">
        <v>0</v>
      </c>
      <c r="AJ1538">
        <v>0</v>
      </c>
      <c r="AK1538">
        <v>0</v>
      </c>
      <c r="AL1538">
        <v>4</v>
      </c>
      <c r="AM1538">
        <v>0</v>
      </c>
      <c r="AN1538">
        <v>4</v>
      </c>
    </row>
    <row r="1539" spans="1:40" x14ac:dyDescent="0.3">
      <c r="A1539" t="s">
        <v>447</v>
      </c>
      <c r="B1539" t="s">
        <v>59</v>
      </c>
      <c r="C1539" t="s">
        <v>10</v>
      </c>
      <c r="D1539" t="s">
        <v>11</v>
      </c>
      <c r="E1539">
        <v>202602</v>
      </c>
      <c r="F1539" t="s">
        <v>473</v>
      </c>
      <c r="G1539">
        <v>0</v>
      </c>
      <c r="H1539">
        <v>0</v>
      </c>
      <c r="I1539">
        <v>0</v>
      </c>
      <c r="J1539">
        <v>0</v>
      </c>
      <c r="K1539">
        <v>0</v>
      </c>
      <c r="L1539">
        <v>1</v>
      </c>
      <c r="M1539">
        <v>0</v>
      </c>
      <c r="N1539">
        <v>0</v>
      </c>
      <c r="O1539">
        <v>0</v>
      </c>
      <c r="P1539">
        <v>0</v>
      </c>
      <c r="Q1539">
        <v>1</v>
      </c>
      <c r="R1539">
        <v>0</v>
      </c>
      <c r="S1539">
        <v>0</v>
      </c>
      <c r="T1539">
        <v>0</v>
      </c>
      <c r="U1539">
        <v>0</v>
      </c>
      <c r="V1539">
        <v>0</v>
      </c>
      <c r="W1539">
        <v>0</v>
      </c>
      <c r="X1539">
        <v>0</v>
      </c>
      <c r="Y1539">
        <v>0</v>
      </c>
      <c r="Z1539">
        <v>0</v>
      </c>
      <c r="AA1539">
        <v>0</v>
      </c>
      <c r="AB1539">
        <v>0</v>
      </c>
      <c r="AC1539">
        <v>0</v>
      </c>
      <c r="AD1539">
        <v>0</v>
      </c>
      <c r="AE1539">
        <v>0</v>
      </c>
      <c r="AF1539">
        <v>0</v>
      </c>
      <c r="AG1539">
        <v>0</v>
      </c>
      <c r="AH1539">
        <v>0</v>
      </c>
      <c r="AI1539">
        <v>0</v>
      </c>
      <c r="AJ1539">
        <v>0</v>
      </c>
      <c r="AK1539">
        <v>0</v>
      </c>
      <c r="AL1539">
        <v>2</v>
      </c>
      <c r="AM1539">
        <v>0.33333333333333331</v>
      </c>
      <c r="AN1539">
        <v>6.6046251398731117</v>
      </c>
    </row>
    <row r="1540" spans="1:40" x14ac:dyDescent="0.3">
      <c r="A1540" t="s">
        <v>447</v>
      </c>
      <c r="B1540" t="s">
        <v>59</v>
      </c>
      <c r="C1540" t="s">
        <v>10</v>
      </c>
      <c r="D1540" t="s">
        <v>11</v>
      </c>
      <c r="E1540">
        <v>202602</v>
      </c>
      <c r="F1540" t="s">
        <v>474</v>
      </c>
      <c r="G1540">
        <v>0</v>
      </c>
      <c r="H1540">
        <v>2</v>
      </c>
      <c r="I1540">
        <v>1</v>
      </c>
      <c r="J1540">
        <v>2</v>
      </c>
      <c r="K1540">
        <v>4</v>
      </c>
      <c r="L1540">
        <v>4</v>
      </c>
      <c r="M1540">
        <v>5</v>
      </c>
      <c r="N1540">
        <v>0</v>
      </c>
      <c r="O1540">
        <v>1</v>
      </c>
      <c r="P1540">
        <v>3</v>
      </c>
      <c r="Q1540">
        <v>1</v>
      </c>
      <c r="R1540">
        <v>0</v>
      </c>
      <c r="S1540">
        <v>0</v>
      </c>
      <c r="T1540">
        <v>0</v>
      </c>
      <c r="U1540">
        <v>0</v>
      </c>
      <c r="V1540">
        <v>0</v>
      </c>
      <c r="W1540">
        <v>0</v>
      </c>
      <c r="X1540">
        <v>0</v>
      </c>
      <c r="Y1540">
        <v>0</v>
      </c>
      <c r="Z1540">
        <v>0</v>
      </c>
      <c r="AA1540">
        <v>0</v>
      </c>
      <c r="AB1540">
        <v>0</v>
      </c>
      <c r="AC1540">
        <v>0</v>
      </c>
      <c r="AD1540">
        <v>0</v>
      </c>
      <c r="AE1540">
        <v>0</v>
      </c>
      <c r="AF1540">
        <v>0</v>
      </c>
      <c r="AG1540">
        <v>0</v>
      </c>
      <c r="AH1540">
        <v>0</v>
      </c>
      <c r="AI1540">
        <v>0</v>
      </c>
      <c r="AJ1540">
        <v>0</v>
      </c>
      <c r="AK1540">
        <v>0</v>
      </c>
      <c r="AL1540">
        <v>23</v>
      </c>
      <c r="AM1540">
        <v>1.6666666666666667</v>
      </c>
      <c r="AN1540">
        <v>46.023125699365558</v>
      </c>
    </row>
    <row r="1541" spans="1:40" x14ac:dyDescent="0.3">
      <c r="A1541" t="s">
        <v>447</v>
      </c>
      <c r="B1541" t="s">
        <v>59</v>
      </c>
      <c r="C1541" t="s">
        <v>10</v>
      </c>
      <c r="D1541" t="s">
        <v>11</v>
      </c>
      <c r="E1541">
        <v>202602</v>
      </c>
      <c r="F1541" t="s">
        <v>477</v>
      </c>
      <c r="G1541">
        <v>0</v>
      </c>
      <c r="H1541">
        <v>0</v>
      </c>
      <c r="I1541">
        <v>0</v>
      </c>
      <c r="J1541">
        <v>0</v>
      </c>
      <c r="K1541">
        <v>0</v>
      </c>
      <c r="L1541">
        <v>0</v>
      </c>
      <c r="M1541">
        <v>0</v>
      </c>
      <c r="N1541">
        <v>0</v>
      </c>
      <c r="O1541">
        <v>0</v>
      </c>
      <c r="P1541">
        <v>0</v>
      </c>
      <c r="Q1541">
        <v>2</v>
      </c>
      <c r="R1541">
        <v>0</v>
      </c>
      <c r="S1541">
        <v>0</v>
      </c>
      <c r="T1541">
        <v>0</v>
      </c>
      <c r="U1541">
        <v>0</v>
      </c>
      <c r="V1541">
        <v>0</v>
      </c>
      <c r="W1541">
        <v>0</v>
      </c>
      <c r="X1541">
        <v>0</v>
      </c>
      <c r="Y1541">
        <v>0</v>
      </c>
      <c r="Z1541">
        <v>0</v>
      </c>
      <c r="AA1541">
        <v>0</v>
      </c>
      <c r="AB1541">
        <v>0</v>
      </c>
      <c r="AC1541">
        <v>0</v>
      </c>
      <c r="AD1541">
        <v>0</v>
      </c>
      <c r="AE1541">
        <v>0</v>
      </c>
      <c r="AF1541">
        <v>0</v>
      </c>
      <c r="AG1541">
        <v>0</v>
      </c>
      <c r="AH1541">
        <v>0</v>
      </c>
      <c r="AI1541">
        <v>0</v>
      </c>
      <c r="AJ1541">
        <v>0</v>
      </c>
      <c r="AK1541">
        <v>0</v>
      </c>
      <c r="AL1541">
        <v>2</v>
      </c>
      <c r="AM1541">
        <v>0.66666666666666663</v>
      </c>
      <c r="AN1541">
        <v>11.209250279746223</v>
      </c>
    </row>
    <row r="1542" spans="1:40" x14ac:dyDescent="0.3">
      <c r="A1542" t="s">
        <v>447</v>
      </c>
      <c r="B1542" t="s">
        <v>59</v>
      </c>
      <c r="C1542" t="s">
        <v>10</v>
      </c>
      <c r="D1542" t="s">
        <v>11</v>
      </c>
      <c r="E1542">
        <v>202602</v>
      </c>
      <c r="F1542" t="s">
        <v>475</v>
      </c>
      <c r="G1542">
        <v>0</v>
      </c>
      <c r="H1542">
        <v>1</v>
      </c>
      <c r="I1542">
        <v>0</v>
      </c>
      <c r="J1542">
        <v>2</v>
      </c>
      <c r="K1542">
        <v>0</v>
      </c>
      <c r="L1542">
        <v>0</v>
      </c>
      <c r="M1542">
        <v>0</v>
      </c>
      <c r="N1542">
        <v>0</v>
      </c>
      <c r="O1542">
        <v>0</v>
      </c>
      <c r="P1542">
        <v>0</v>
      </c>
      <c r="Q1542">
        <v>0</v>
      </c>
      <c r="R1542">
        <v>0</v>
      </c>
      <c r="S1542">
        <v>0</v>
      </c>
      <c r="T1542">
        <v>0</v>
      </c>
      <c r="U1542">
        <v>0</v>
      </c>
      <c r="V1542">
        <v>0</v>
      </c>
      <c r="W1542">
        <v>0</v>
      </c>
      <c r="X1542">
        <v>0</v>
      </c>
      <c r="Y1542">
        <v>0</v>
      </c>
      <c r="Z1542">
        <v>0</v>
      </c>
      <c r="AA1542">
        <v>0</v>
      </c>
      <c r="AB1542">
        <v>0</v>
      </c>
      <c r="AC1542">
        <v>0</v>
      </c>
      <c r="AD1542">
        <v>0</v>
      </c>
      <c r="AE1542">
        <v>0</v>
      </c>
      <c r="AF1542">
        <v>0</v>
      </c>
      <c r="AG1542">
        <v>0</v>
      </c>
      <c r="AH1542">
        <v>0</v>
      </c>
      <c r="AI1542">
        <v>0</v>
      </c>
      <c r="AJ1542">
        <v>0</v>
      </c>
      <c r="AK1542">
        <v>0</v>
      </c>
      <c r="AL1542">
        <v>3</v>
      </c>
      <c r="AM1542">
        <v>0</v>
      </c>
      <c r="AN1542">
        <v>3</v>
      </c>
    </row>
    <row r="1543" spans="1:40" x14ac:dyDescent="0.3">
      <c r="A1543" t="s">
        <v>447</v>
      </c>
      <c r="B1543" t="s">
        <v>59</v>
      </c>
      <c r="C1543" t="s">
        <v>10</v>
      </c>
      <c r="D1543" t="s">
        <v>11</v>
      </c>
      <c r="E1543">
        <v>202602</v>
      </c>
      <c r="F1543" t="s">
        <v>476</v>
      </c>
      <c r="G1543">
        <v>0</v>
      </c>
      <c r="H1543">
        <v>0</v>
      </c>
      <c r="I1543">
        <v>0</v>
      </c>
      <c r="J1543">
        <v>0</v>
      </c>
      <c r="K1543">
        <v>0</v>
      </c>
      <c r="L1543">
        <v>2</v>
      </c>
      <c r="M1543">
        <v>1</v>
      </c>
      <c r="N1543">
        <v>0</v>
      </c>
      <c r="O1543">
        <v>1</v>
      </c>
      <c r="P1543">
        <v>0</v>
      </c>
      <c r="Q1543">
        <v>0</v>
      </c>
      <c r="R1543">
        <v>0</v>
      </c>
      <c r="S1543">
        <v>0</v>
      </c>
      <c r="T1543">
        <v>0</v>
      </c>
      <c r="U1543">
        <v>0</v>
      </c>
      <c r="V1543">
        <v>0</v>
      </c>
      <c r="W1543">
        <v>0</v>
      </c>
      <c r="X1543">
        <v>0</v>
      </c>
      <c r="Y1543">
        <v>0</v>
      </c>
      <c r="Z1543">
        <v>0</v>
      </c>
      <c r="AA1543">
        <v>0</v>
      </c>
      <c r="AB1543">
        <v>0</v>
      </c>
      <c r="AC1543">
        <v>0</v>
      </c>
      <c r="AD1543">
        <v>0</v>
      </c>
      <c r="AE1543">
        <v>0</v>
      </c>
      <c r="AF1543">
        <v>0</v>
      </c>
      <c r="AG1543">
        <v>0</v>
      </c>
      <c r="AH1543">
        <v>0</v>
      </c>
      <c r="AI1543">
        <v>0</v>
      </c>
      <c r="AJ1543">
        <v>0</v>
      </c>
      <c r="AK1543">
        <v>0</v>
      </c>
      <c r="AL1543">
        <v>4</v>
      </c>
      <c r="AM1543">
        <v>0.33333333333333331</v>
      </c>
      <c r="AN1543">
        <v>8.6046251398731108</v>
      </c>
    </row>
    <row r="1544" spans="1:40" x14ac:dyDescent="0.3">
      <c r="A1544" t="s">
        <v>447</v>
      </c>
      <c r="B1544" t="s">
        <v>59</v>
      </c>
      <c r="C1544" t="s">
        <v>10</v>
      </c>
      <c r="D1544" t="s">
        <v>14</v>
      </c>
      <c r="E1544">
        <v>202602</v>
      </c>
      <c r="F1544" t="s">
        <v>464</v>
      </c>
      <c r="G1544">
        <v>0</v>
      </c>
      <c r="H1544">
        <v>3</v>
      </c>
      <c r="I1544">
        <v>5</v>
      </c>
      <c r="J1544">
        <v>0</v>
      </c>
      <c r="K1544">
        <v>4</v>
      </c>
      <c r="L1544">
        <v>1</v>
      </c>
      <c r="M1544">
        <v>0</v>
      </c>
      <c r="N1544">
        <v>0</v>
      </c>
      <c r="O1544">
        <v>4</v>
      </c>
      <c r="P1544">
        <v>0</v>
      </c>
      <c r="Q1544">
        <v>3</v>
      </c>
      <c r="R1544">
        <v>0</v>
      </c>
      <c r="S1544">
        <v>0</v>
      </c>
      <c r="T1544">
        <v>0</v>
      </c>
      <c r="U1544">
        <v>0</v>
      </c>
      <c r="V1544">
        <v>0</v>
      </c>
      <c r="W1544">
        <v>0</v>
      </c>
      <c r="X1544">
        <v>0</v>
      </c>
      <c r="Y1544">
        <v>0</v>
      </c>
      <c r="Z1544">
        <v>0</v>
      </c>
      <c r="AA1544">
        <v>0</v>
      </c>
      <c r="AB1544">
        <v>0</v>
      </c>
      <c r="AC1544">
        <v>0</v>
      </c>
      <c r="AD1544">
        <v>0</v>
      </c>
      <c r="AE1544">
        <v>0</v>
      </c>
      <c r="AF1544">
        <v>0</v>
      </c>
      <c r="AG1544">
        <v>0</v>
      </c>
      <c r="AH1544">
        <v>0</v>
      </c>
      <c r="AI1544">
        <v>0</v>
      </c>
      <c r="AJ1544">
        <v>0</v>
      </c>
      <c r="AK1544">
        <v>0</v>
      </c>
      <c r="AL1544">
        <v>20</v>
      </c>
      <c r="AM1544">
        <v>2.3333333333333335</v>
      </c>
      <c r="AN1544">
        <v>48.292187500000296</v>
      </c>
    </row>
    <row r="1545" spans="1:40" x14ac:dyDescent="0.3">
      <c r="A1545" t="s">
        <v>447</v>
      </c>
      <c r="B1545" t="s">
        <v>59</v>
      </c>
      <c r="C1545" t="s">
        <v>10</v>
      </c>
      <c r="D1545" t="s">
        <v>14</v>
      </c>
      <c r="E1545">
        <v>202602</v>
      </c>
      <c r="F1545" t="s">
        <v>205</v>
      </c>
      <c r="G1545">
        <v>0</v>
      </c>
      <c r="H1545">
        <v>0</v>
      </c>
      <c r="I1545">
        <v>2</v>
      </c>
      <c r="J1545">
        <v>1</v>
      </c>
      <c r="K1545">
        <v>2</v>
      </c>
      <c r="L1545">
        <v>2</v>
      </c>
      <c r="M1545">
        <v>0</v>
      </c>
      <c r="N1545">
        <v>0</v>
      </c>
      <c r="O1545">
        <v>2</v>
      </c>
      <c r="P1545">
        <v>3</v>
      </c>
      <c r="Q1545">
        <v>4</v>
      </c>
      <c r="R1545">
        <v>0</v>
      </c>
      <c r="S1545">
        <v>0</v>
      </c>
      <c r="T1545">
        <v>0</v>
      </c>
      <c r="U1545">
        <v>0</v>
      </c>
      <c r="V1545">
        <v>0</v>
      </c>
      <c r="W1545">
        <v>0</v>
      </c>
      <c r="X1545">
        <v>0</v>
      </c>
      <c r="Y1545">
        <v>0</v>
      </c>
      <c r="Z1545">
        <v>0</v>
      </c>
      <c r="AA1545">
        <v>0</v>
      </c>
      <c r="AB1545">
        <v>0</v>
      </c>
      <c r="AC1545">
        <v>0</v>
      </c>
      <c r="AD1545">
        <v>0</v>
      </c>
      <c r="AE1545">
        <v>0</v>
      </c>
      <c r="AF1545">
        <v>0</v>
      </c>
      <c r="AG1545">
        <v>0</v>
      </c>
      <c r="AH1545">
        <v>0</v>
      </c>
      <c r="AI1545">
        <v>0</v>
      </c>
      <c r="AJ1545">
        <v>0</v>
      </c>
      <c r="AK1545">
        <v>0</v>
      </c>
      <c r="AL1545">
        <v>16</v>
      </c>
      <c r="AM1545">
        <v>3</v>
      </c>
      <c r="AN1545">
        <v>52.375669642857517</v>
      </c>
    </row>
    <row r="1546" spans="1:40" x14ac:dyDescent="0.3">
      <c r="A1546" t="s">
        <v>447</v>
      </c>
      <c r="B1546" t="s">
        <v>59</v>
      </c>
      <c r="C1546" t="s">
        <v>10</v>
      </c>
      <c r="D1546" t="s">
        <v>14</v>
      </c>
      <c r="E1546">
        <v>202602</v>
      </c>
      <c r="F1546" t="s">
        <v>61</v>
      </c>
      <c r="G1546">
        <v>0</v>
      </c>
      <c r="H1546">
        <v>4</v>
      </c>
      <c r="I1546">
        <v>5</v>
      </c>
      <c r="J1546">
        <v>9</v>
      </c>
      <c r="K1546">
        <v>4</v>
      </c>
      <c r="L1546">
        <v>9</v>
      </c>
      <c r="M1546">
        <v>0</v>
      </c>
      <c r="N1546">
        <v>0</v>
      </c>
      <c r="O1546">
        <v>3</v>
      </c>
      <c r="P1546">
        <v>9</v>
      </c>
      <c r="Q1546">
        <v>6</v>
      </c>
      <c r="R1546">
        <v>0</v>
      </c>
      <c r="S1546">
        <v>0</v>
      </c>
      <c r="T1546">
        <v>0</v>
      </c>
      <c r="U1546">
        <v>0</v>
      </c>
      <c r="V1546">
        <v>0</v>
      </c>
      <c r="W1546">
        <v>0</v>
      </c>
      <c r="X1546">
        <v>0</v>
      </c>
      <c r="Y1546">
        <v>0</v>
      </c>
      <c r="Z1546">
        <v>0</v>
      </c>
      <c r="AA1546">
        <v>0</v>
      </c>
      <c r="AB1546">
        <v>0</v>
      </c>
      <c r="AC1546">
        <v>0</v>
      </c>
      <c r="AD1546">
        <v>0</v>
      </c>
      <c r="AE1546">
        <v>0</v>
      </c>
      <c r="AF1546">
        <v>0</v>
      </c>
      <c r="AG1546">
        <v>0</v>
      </c>
      <c r="AH1546">
        <v>0</v>
      </c>
      <c r="AI1546">
        <v>0</v>
      </c>
      <c r="AJ1546">
        <v>0</v>
      </c>
      <c r="AK1546">
        <v>0</v>
      </c>
      <c r="AL1546">
        <v>49</v>
      </c>
      <c r="AM1546">
        <v>6</v>
      </c>
      <c r="AN1546">
        <v>121.75133928571503</v>
      </c>
    </row>
    <row r="1547" spans="1:40" x14ac:dyDescent="0.3">
      <c r="A1547" t="s">
        <v>447</v>
      </c>
      <c r="B1547" t="s">
        <v>59</v>
      </c>
      <c r="C1547" t="s">
        <v>10</v>
      </c>
      <c r="D1547" t="s">
        <v>14</v>
      </c>
      <c r="E1547">
        <v>202602</v>
      </c>
      <c r="F1547" t="s">
        <v>62</v>
      </c>
      <c r="G1547">
        <v>0</v>
      </c>
      <c r="H1547">
        <v>2</v>
      </c>
      <c r="I1547">
        <v>2</v>
      </c>
      <c r="J1547">
        <v>0</v>
      </c>
      <c r="K1547">
        <v>0</v>
      </c>
      <c r="L1547">
        <v>0</v>
      </c>
      <c r="M1547">
        <v>0</v>
      </c>
      <c r="N1547">
        <v>0</v>
      </c>
      <c r="O1547">
        <v>1</v>
      </c>
      <c r="P1547">
        <v>0</v>
      </c>
      <c r="Q1547">
        <v>1</v>
      </c>
      <c r="R1547">
        <v>0</v>
      </c>
      <c r="S1547">
        <v>0</v>
      </c>
      <c r="T1547">
        <v>0</v>
      </c>
      <c r="U1547">
        <v>0</v>
      </c>
      <c r="V1547">
        <v>0</v>
      </c>
      <c r="W1547">
        <v>0</v>
      </c>
      <c r="X1547">
        <v>0</v>
      </c>
      <c r="Y1547">
        <v>0</v>
      </c>
      <c r="Z1547">
        <v>0</v>
      </c>
      <c r="AA1547">
        <v>0</v>
      </c>
      <c r="AB1547">
        <v>0</v>
      </c>
      <c r="AC1547">
        <v>0</v>
      </c>
      <c r="AD1547">
        <v>0</v>
      </c>
      <c r="AE1547">
        <v>0</v>
      </c>
      <c r="AF1547">
        <v>0</v>
      </c>
      <c r="AG1547">
        <v>0</v>
      </c>
      <c r="AH1547">
        <v>0</v>
      </c>
      <c r="AI1547">
        <v>0</v>
      </c>
      <c r="AJ1547">
        <v>0</v>
      </c>
      <c r="AK1547">
        <v>0</v>
      </c>
      <c r="AL1547">
        <v>6</v>
      </c>
      <c r="AM1547">
        <v>0.66666666666666663</v>
      </c>
      <c r="AN1547">
        <v>14.083482142857227</v>
      </c>
    </row>
    <row r="1548" spans="1:40" x14ac:dyDescent="0.3">
      <c r="A1548" t="s">
        <v>447</v>
      </c>
      <c r="B1548" t="s">
        <v>59</v>
      </c>
      <c r="C1548" t="s">
        <v>10</v>
      </c>
      <c r="D1548" t="s">
        <v>14</v>
      </c>
      <c r="E1548">
        <v>202602</v>
      </c>
      <c r="F1548" t="s">
        <v>465</v>
      </c>
      <c r="G1548">
        <v>0</v>
      </c>
      <c r="H1548">
        <v>2</v>
      </c>
      <c r="I1548">
        <v>0</v>
      </c>
      <c r="J1548">
        <v>4</v>
      </c>
      <c r="K1548">
        <v>2</v>
      </c>
      <c r="L1548">
        <v>0</v>
      </c>
      <c r="M1548">
        <v>0</v>
      </c>
      <c r="N1548">
        <v>0</v>
      </c>
      <c r="O1548">
        <v>0</v>
      </c>
      <c r="P1548">
        <v>1</v>
      </c>
      <c r="Q1548">
        <v>3</v>
      </c>
      <c r="R1548">
        <v>0</v>
      </c>
      <c r="S1548">
        <v>0</v>
      </c>
      <c r="T1548">
        <v>0</v>
      </c>
      <c r="U1548">
        <v>0</v>
      </c>
      <c r="V1548">
        <v>0</v>
      </c>
      <c r="W1548">
        <v>0</v>
      </c>
      <c r="X1548">
        <v>0</v>
      </c>
      <c r="Y1548">
        <v>0</v>
      </c>
      <c r="Z1548">
        <v>0</v>
      </c>
      <c r="AA1548">
        <v>0</v>
      </c>
      <c r="AB1548">
        <v>0</v>
      </c>
      <c r="AC1548">
        <v>0</v>
      </c>
      <c r="AD1548">
        <v>0</v>
      </c>
      <c r="AE1548">
        <v>0</v>
      </c>
      <c r="AF1548">
        <v>0</v>
      </c>
      <c r="AG1548">
        <v>0</v>
      </c>
      <c r="AH1548">
        <v>0</v>
      </c>
      <c r="AI1548">
        <v>0</v>
      </c>
      <c r="AJ1548">
        <v>0</v>
      </c>
      <c r="AK1548">
        <v>0</v>
      </c>
      <c r="AL1548">
        <v>12</v>
      </c>
      <c r="AM1548">
        <v>1.3333333333333333</v>
      </c>
      <c r="AN1548">
        <v>28.166964285714453</v>
      </c>
    </row>
    <row r="1549" spans="1:40" x14ac:dyDescent="0.3">
      <c r="A1549" t="s">
        <v>447</v>
      </c>
      <c r="B1549" t="s">
        <v>59</v>
      </c>
      <c r="C1549" t="s">
        <v>10</v>
      </c>
      <c r="D1549" t="s">
        <v>14</v>
      </c>
      <c r="E1549">
        <v>202602</v>
      </c>
      <c r="F1549" t="s">
        <v>207</v>
      </c>
      <c r="G1549">
        <v>0</v>
      </c>
      <c r="H1549">
        <v>0</v>
      </c>
      <c r="I1549">
        <v>1</v>
      </c>
      <c r="J1549">
        <v>0</v>
      </c>
      <c r="K1549">
        <v>0</v>
      </c>
      <c r="L1549">
        <v>0</v>
      </c>
      <c r="M1549">
        <v>0</v>
      </c>
      <c r="N1549">
        <v>0</v>
      </c>
      <c r="O1549">
        <v>0</v>
      </c>
      <c r="P1549">
        <v>0</v>
      </c>
      <c r="Q1549">
        <v>0</v>
      </c>
      <c r="R1549">
        <v>0</v>
      </c>
      <c r="S1549">
        <v>0</v>
      </c>
      <c r="T1549">
        <v>0</v>
      </c>
      <c r="U1549">
        <v>0</v>
      </c>
      <c r="V1549">
        <v>0</v>
      </c>
      <c r="W1549">
        <v>0</v>
      </c>
      <c r="X1549">
        <v>0</v>
      </c>
      <c r="Y1549">
        <v>0</v>
      </c>
      <c r="Z1549">
        <v>0</v>
      </c>
      <c r="AA1549">
        <v>0</v>
      </c>
      <c r="AB1549">
        <v>0</v>
      </c>
      <c r="AC1549">
        <v>0</v>
      </c>
      <c r="AD1549">
        <v>0</v>
      </c>
      <c r="AE1549">
        <v>0</v>
      </c>
      <c r="AF1549">
        <v>0</v>
      </c>
      <c r="AG1549">
        <v>0</v>
      </c>
      <c r="AH1549">
        <v>0</v>
      </c>
      <c r="AI1549">
        <v>0</v>
      </c>
      <c r="AJ1549">
        <v>0</v>
      </c>
      <c r="AK1549">
        <v>0</v>
      </c>
      <c r="AL1549">
        <v>1</v>
      </c>
      <c r="AM1549">
        <v>0</v>
      </c>
      <c r="AN1549">
        <v>1</v>
      </c>
    </row>
    <row r="1550" spans="1:40" x14ac:dyDescent="0.3">
      <c r="A1550" t="s">
        <v>447</v>
      </c>
      <c r="B1550" t="s">
        <v>59</v>
      </c>
      <c r="C1550" t="s">
        <v>10</v>
      </c>
      <c r="D1550" t="s">
        <v>14</v>
      </c>
      <c r="E1550">
        <v>202602</v>
      </c>
      <c r="F1550" t="s">
        <v>466</v>
      </c>
      <c r="G1550">
        <v>0</v>
      </c>
      <c r="H1550">
        <v>8</v>
      </c>
      <c r="I1550">
        <v>5</v>
      </c>
      <c r="J1550">
        <v>6</v>
      </c>
      <c r="K1550">
        <v>6</v>
      </c>
      <c r="L1550">
        <v>4</v>
      </c>
      <c r="M1550">
        <v>3</v>
      </c>
      <c r="N1550">
        <v>0</v>
      </c>
      <c r="O1550">
        <v>3</v>
      </c>
      <c r="P1550">
        <v>4</v>
      </c>
      <c r="Q1550">
        <v>4</v>
      </c>
      <c r="R1550">
        <v>0</v>
      </c>
      <c r="S1550">
        <v>0</v>
      </c>
      <c r="T1550">
        <v>0</v>
      </c>
      <c r="U1550">
        <v>0</v>
      </c>
      <c r="V1550">
        <v>0</v>
      </c>
      <c r="W1550">
        <v>0</v>
      </c>
      <c r="X1550">
        <v>0</v>
      </c>
      <c r="Y1550">
        <v>0</v>
      </c>
      <c r="Z1550">
        <v>0</v>
      </c>
      <c r="AA1550">
        <v>0</v>
      </c>
      <c r="AB1550">
        <v>0</v>
      </c>
      <c r="AC1550">
        <v>0</v>
      </c>
      <c r="AD1550">
        <v>0</v>
      </c>
      <c r="AE1550">
        <v>0</v>
      </c>
      <c r="AF1550">
        <v>0</v>
      </c>
      <c r="AG1550">
        <v>0</v>
      </c>
      <c r="AH1550">
        <v>0</v>
      </c>
      <c r="AI1550">
        <v>0</v>
      </c>
      <c r="AJ1550">
        <v>0</v>
      </c>
      <c r="AK1550">
        <v>0</v>
      </c>
      <c r="AL1550">
        <v>43</v>
      </c>
      <c r="AM1550">
        <v>3.6666666666666665</v>
      </c>
      <c r="AN1550">
        <v>87.459151785714738</v>
      </c>
    </row>
    <row r="1551" spans="1:40" x14ac:dyDescent="0.3">
      <c r="A1551" t="s">
        <v>447</v>
      </c>
      <c r="B1551" t="s">
        <v>59</v>
      </c>
      <c r="C1551" t="s">
        <v>10</v>
      </c>
      <c r="D1551" t="s">
        <v>14</v>
      </c>
      <c r="E1551">
        <v>202602</v>
      </c>
      <c r="F1551" t="s">
        <v>467</v>
      </c>
      <c r="G1551">
        <v>0</v>
      </c>
      <c r="H1551">
        <v>7</v>
      </c>
      <c r="I1551">
        <v>4</v>
      </c>
      <c r="J1551">
        <v>0</v>
      </c>
      <c r="K1551">
        <v>2</v>
      </c>
      <c r="L1551">
        <v>1</v>
      </c>
      <c r="M1551">
        <v>0</v>
      </c>
      <c r="N1551">
        <v>0</v>
      </c>
      <c r="O1551">
        <v>0</v>
      </c>
      <c r="P1551">
        <v>4</v>
      </c>
      <c r="Q1551">
        <v>8</v>
      </c>
      <c r="R1551">
        <v>0</v>
      </c>
      <c r="S1551">
        <v>0</v>
      </c>
      <c r="T1551">
        <v>0</v>
      </c>
      <c r="U1551">
        <v>0</v>
      </c>
      <c r="V1551">
        <v>0</v>
      </c>
      <c r="W1551">
        <v>0</v>
      </c>
      <c r="X1551">
        <v>0</v>
      </c>
      <c r="Y1551">
        <v>0</v>
      </c>
      <c r="Z1551">
        <v>0</v>
      </c>
      <c r="AA1551">
        <v>0</v>
      </c>
      <c r="AB1551">
        <v>0</v>
      </c>
      <c r="AC1551">
        <v>0</v>
      </c>
      <c r="AD1551">
        <v>0</v>
      </c>
      <c r="AE1551">
        <v>0</v>
      </c>
      <c r="AF1551">
        <v>0</v>
      </c>
      <c r="AG1551">
        <v>0</v>
      </c>
      <c r="AH1551">
        <v>0</v>
      </c>
      <c r="AI1551">
        <v>0</v>
      </c>
      <c r="AJ1551">
        <v>0</v>
      </c>
      <c r="AK1551">
        <v>0</v>
      </c>
      <c r="AL1551">
        <v>26</v>
      </c>
      <c r="AM1551">
        <v>4</v>
      </c>
      <c r="AN1551">
        <v>74.500892857143356</v>
      </c>
    </row>
    <row r="1552" spans="1:40" x14ac:dyDescent="0.3">
      <c r="A1552" t="s">
        <v>447</v>
      </c>
      <c r="B1552" t="s">
        <v>59</v>
      </c>
      <c r="C1552" t="s">
        <v>10</v>
      </c>
      <c r="D1552" t="s">
        <v>14</v>
      </c>
      <c r="E1552">
        <v>202602</v>
      </c>
      <c r="F1552" t="s">
        <v>468</v>
      </c>
      <c r="G1552">
        <v>0</v>
      </c>
      <c r="H1552">
        <v>0</v>
      </c>
      <c r="I1552">
        <v>0</v>
      </c>
      <c r="J1552">
        <v>0</v>
      </c>
      <c r="K1552">
        <v>0</v>
      </c>
      <c r="L1552">
        <v>0</v>
      </c>
      <c r="M1552">
        <v>1</v>
      </c>
      <c r="N1552">
        <v>0</v>
      </c>
      <c r="O1552">
        <v>2</v>
      </c>
      <c r="P1552">
        <v>3</v>
      </c>
      <c r="Q1552">
        <v>2</v>
      </c>
      <c r="R1552">
        <v>0</v>
      </c>
      <c r="S1552">
        <v>0</v>
      </c>
      <c r="T1552">
        <v>0</v>
      </c>
      <c r="U1552">
        <v>0</v>
      </c>
      <c r="V1552">
        <v>0</v>
      </c>
      <c r="W1552">
        <v>0</v>
      </c>
      <c r="X1552">
        <v>0</v>
      </c>
      <c r="Y1552">
        <v>0</v>
      </c>
      <c r="Z1552">
        <v>0</v>
      </c>
      <c r="AA1552">
        <v>0</v>
      </c>
      <c r="AB1552">
        <v>0</v>
      </c>
      <c r="AC1552">
        <v>0</v>
      </c>
      <c r="AD1552">
        <v>0</v>
      </c>
      <c r="AE1552">
        <v>0</v>
      </c>
      <c r="AF1552">
        <v>0</v>
      </c>
      <c r="AG1552">
        <v>0</v>
      </c>
      <c r="AH1552">
        <v>0</v>
      </c>
      <c r="AI1552">
        <v>0</v>
      </c>
      <c r="AJ1552">
        <v>0</v>
      </c>
      <c r="AK1552">
        <v>0</v>
      </c>
      <c r="AL1552">
        <v>8</v>
      </c>
      <c r="AM1552">
        <v>2.3333333333333335</v>
      </c>
      <c r="AN1552">
        <v>36.292187500000296</v>
      </c>
    </row>
    <row r="1553" spans="1:40" x14ac:dyDescent="0.3">
      <c r="A1553" t="s">
        <v>447</v>
      </c>
      <c r="B1553" t="s">
        <v>59</v>
      </c>
      <c r="C1553" t="s">
        <v>10</v>
      </c>
      <c r="D1553" t="s">
        <v>14</v>
      </c>
      <c r="E1553">
        <v>202602</v>
      </c>
      <c r="F1553" t="s">
        <v>469</v>
      </c>
      <c r="G1553">
        <v>0</v>
      </c>
      <c r="H1553">
        <v>1</v>
      </c>
      <c r="I1553">
        <v>0</v>
      </c>
      <c r="J1553">
        <v>1</v>
      </c>
      <c r="K1553">
        <v>0</v>
      </c>
      <c r="L1553">
        <v>1</v>
      </c>
      <c r="M1553">
        <v>0</v>
      </c>
      <c r="N1553">
        <v>0</v>
      </c>
      <c r="O1553">
        <v>0</v>
      </c>
      <c r="P1553">
        <v>0</v>
      </c>
      <c r="Q1553">
        <v>0</v>
      </c>
      <c r="R1553">
        <v>0</v>
      </c>
      <c r="S1553">
        <v>0</v>
      </c>
      <c r="T1553">
        <v>0</v>
      </c>
      <c r="U1553">
        <v>0</v>
      </c>
      <c r="V1553">
        <v>0</v>
      </c>
      <c r="W1553">
        <v>0</v>
      </c>
      <c r="X1553">
        <v>0</v>
      </c>
      <c r="Y1553">
        <v>0</v>
      </c>
      <c r="Z1553">
        <v>0</v>
      </c>
      <c r="AA1553">
        <v>0</v>
      </c>
      <c r="AB1553">
        <v>0</v>
      </c>
      <c r="AC1553">
        <v>0</v>
      </c>
      <c r="AD1553">
        <v>0</v>
      </c>
      <c r="AE1553">
        <v>0</v>
      </c>
      <c r="AF1553">
        <v>0</v>
      </c>
      <c r="AG1553">
        <v>0</v>
      </c>
      <c r="AH1553">
        <v>0</v>
      </c>
      <c r="AI1553">
        <v>0</v>
      </c>
      <c r="AJ1553">
        <v>0</v>
      </c>
      <c r="AK1553">
        <v>0</v>
      </c>
      <c r="AL1553">
        <v>3</v>
      </c>
      <c r="AM1553">
        <v>0</v>
      </c>
      <c r="AN1553">
        <v>3</v>
      </c>
    </row>
    <row r="1554" spans="1:40" x14ac:dyDescent="0.3">
      <c r="A1554" t="s">
        <v>447</v>
      </c>
      <c r="B1554" t="s">
        <v>59</v>
      </c>
      <c r="C1554" t="s">
        <v>10</v>
      </c>
      <c r="D1554" t="s">
        <v>14</v>
      </c>
      <c r="E1554">
        <v>202602</v>
      </c>
      <c r="F1554" t="s">
        <v>470</v>
      </c>
      <c r="G1554">
        <v>0</v>
      </c>
      <c r="H1554">
        <v>0</v>
      </c>
      <c r="I1554">
        <v>0</v>
      </c>
      <c r="J1554">
        <v>2</v>
      </c>
      <c r="K1554">
        <v>2</v>
      </c>
      <c r="L1554">
        <v>0</v>
      </c>
      <c r="M1554">
        <v>0</v>
      </c>
      <c r="N1554">
        <v>0</v>
      </c>
      <c r="O1554">
        <v>0</v>
      </c>
      <c r="P1554">
        <v>0</v>
      </c>
      <c r="Q1554">
        <v>1</v>
      </c>
      <c r="R1554">
        <v>0</v>
      </c>
      <c r="S1554">
        <v>0</v>
      </c>
      <c r="T1554">
        <v>0</v>
      </c>
      <c r="U1554">
        <v>0</v>
      </c>
      <c r="V1554">
        <v>0</v>
      </c>
      <c r="W1554">
        <v>0</v>
      </c>
      <c r="X1554">
        <v>0</v>
      </c>
      <c r="Y1554">
        <v>0</v>
      </c>
      <c r="Z1554">
        <v>0</v>
      </c>
      <c r="AA1554">
        <v>0</v>
      </c>
      <c r="AB1554">
        <v>0</v>
      </c>
      <c r="AC1554">
        <v>0</v>
      </c>
      <c r="AD1554">
        <v>0</v>
      </c>
      <c r="AE1554">
        <v>0</v>
      </c>
      <c r="AF1554">
        <v>0</v>
      </c>
      <c r="AG1554">
        <v>0</v>
      </c>
      <c r="AH1554">
        <v>0</v>
      </c>
      <c r="AI1554">
        <v>0</v>
      </c>
      <c r="AJ1554">
        <v>0</v>
      </c>
      <c r="AK1554">
        <v>0</v>
      </c>
      <c r="AL1554">
        <v>5</v>
      </c>
      <c r="AM1554">
        <v>0.33333333333333331</v>
      </c>
      <c r="AN1554">
        <v>9.0417410714286142</v>
      </c>
    </row>
    <row r="1555" spans="1:40" x14ac:dyDescent="0.3">
      <c r="A1555" t="s">
        <v>447</v>
      </c>
      <c r="B1555" t="s">
        <v>59</v>
      </c>
      <c r="C1555" t="s">
        <v>10</v>
      </c>
      <c r="D1555" t="s">
        <v>14</v>
      </c>
      <c r="E1555">
        <v>202602</v>
      </c>
      <c r="F1555" t="s">
        <v>68</v>
      </c>
      <c r="G1555">
        <v>0</v>
      </c>
      <c r="H1555">
        <v>0</v>
      </c>
      <c r="I1555">
        <v>0</v>
      </c>
      <c r="J1555">
        <v>0</v>
      </c>
      <c r="K1555">
        <v>0</v>
      </c>
      <c r="L1555">
        <v>1</v>
      </c>
      <c r="M1555">
        <v>0</v>
      </c>
      <c r="N1555">
        <v>0</v>
      </c>
      <c r="O1555">
        <v>0</v>
      </c>
      <c r="P1555">
        <v>1</v>
      </c>
      <c r="Q1555">
        <v>0</v>
      </c>
      <c r="R1555">
        <v>0</v>
      </c>
      <c r="S1555">
        <v>0</v>
      </c>
      <c r="T1555">
        <v>0</v>
      </c>
      <c r="U1555">
        <v>0</v>
      </c>
      <c r="V1555">
        <v>0</v>
      </c>
      <c r="W1555">
        <v>0</v>
      </c>
      <c r="X1555">
        <v>0</v>
      </c>
      <c r="Y1555">
        <v>0</v>
      </c>
      <c r="Z1555">
        <v>0</v>
      </c>
      <c r="AA1555">
        <v>0</v>
      </c>
      <c r="AB1555">
        <v>0</v>
      </c>
      <c r="AC1555">
        <v>0</v>
      </c>
      <c r="AD1555">
        <v>0</v>
      </c>
      <c r="AE1555">
        <v>0</v>
      </c>
      <c r="AF1555">
        <v>0</v>
      </c>
      <c r="AG1555">
        <v>0</v>
      </c>
      <c r="AH1555">
        <v>0</v>
      </c>
      <c r="AI1555">
        <v>0</v>
      </c>
      <c r="AJ1555">
        <v>0</v>
      </c>
      <c r="AK1555">
        <v>0</v>
      </c>
      <c r="AL1555">
        <v>2</v>
      </c>
      <c r="AM1555">
        <v>0.33333333333333331</v>
      </c>
      <c r="AN1555">
        <v>6.0417410714286133</v>
      </c>
    </row>
    <row r="1556" spans="1:40" x14ac:dyDescent="0.3">
      <c r="A1556" t="s">
        <v>447</v>
      </c>
      <c r="B1556" t="s">
        <v>59</v>
      </c>
      <c r="C1556" t="s">
        <v>10</v>
      </c>
      <c r="D1556" t="s">
        <v>14</v>
      </c>
      <c r="E1556">
        <v>202602</v>
      </c>
      <c r="F1556" t="s">
        <v>69</v>
      </c>
      <c r="G1556">
        <v>0</v>
      </c>
      <c r="H1556">
        <v>0</v>
      </c>
      <c r="I1556">
        <v>1</v>
      </c>
      <c r="J1556">
        <v>0</v>
      </c>
      <c r="K1556">
        <v>0</v>
      </c>
      <c r="L1556">
        <v>1</v>
      </c>
      <c r="M1556">
        <v>0</v>
      </c>
      <c r="N1556">
        <v>0</v>
      </c>
      <c r="O1556">
        <v>1</v>
      </c>
      <c r="P1556">
        <v>0</v>
      </c>
      <c r="Q1556">
        <v>0</v>
      </c>
      <c r="R1556">
        <v>0</v>
      </c>
      <c r="S1556">
        <v>0</v>
      </c>
      <c r="T1556">
        <v>0</v>
      </c>
      <c r="U1556">
        <v>0</v>
      </c>
      <c r="V1556">
        <v>0</v>
      </c>
      <c r="W1556">
        <v>0</v>
      </c>
      <c r="X1556">
        <v>0</v>
      </c>
      <c r="Y1556">
        <v>0</v>
      </c>
      <c r="Z1556">
        <v>0</v>
      </c>
      <c r="AA1556">
        <v>0</v>
      </c>
      <c r="AB1556">
        <v>0</v>
      </c>
      <c r="AC1556">
        <v>0</v>
      </c>
      <c r="AD1556">
        <v>0</v>
      </c>
      <c r="AE1556">
        <v>0</v>
      </c>
      <c r="AF1556">
        <v>0</v>
      </c>
      <c r="AG1556">
        <v>0</v>
      </c>
      <c r="AH1556">
        <v>0</v>
      </c>
      <c r="AI1556">
        <v>0</v>
      </c>
      <c r="AJ1556">
        <v>0</v>
      </c>
      <c r="AK1556">
        <v>0</v>
      </c>
      <c r="AL1556">
        <v>3</v>
      </c>
      <c r="AM1556">
        <v>0.33333333333333331</v>
      </c>
      <c r="AN1556">
        <v>7.0417410714286133</v>
      </c>
    </row>
    <row r="1557" spans="1:40" x14ac:dyDescent="0.3">
      <c r="A1557" t="s">
        <v>447</v>
      </c>
      <c r="B1557" t="s">
        <v>59</v>
      </c>
      <c r="C1557" t="s">
        <v>10</v>
      </c>
      <c r="D1557" t="s">
        <v>14</v>
      </c>
      <c r="E1557">
        <v>202602</v>
      </c>
      <c r="F1557" t="s">
        <v>471</v>
      </c>
      <c r="G1557">
        <v>0</v>
      </c>
      <c r="H1557">
        <v>0</v>
      </c>
      <c r="I1557">
        <v>1</v>
      </c>
      <c r="J1557">
        <v>0</v>
      </c>
      <c r="K1557">
        <v>0</v>
      </c>
      <c r="L1557">
        <v>0</v>
      </c>
      <c r="M1557">
        <v>1</v>
      </c>
      <c r="N1557">
        <v>0</v>
      </c>
      <c r="O1557">
        <v>0</v>
      </c>
      <c r="P1557">
        <v>0</v>
      </c>
      <c r="Q1557">
        <v>1</v>
      </c>
      <c r="R1557">
        <v>0</v>
      </c>
      <c r="S1557">
        <v>0</v>
      </c>
      <c r="T1557">
        <v>0</v>
      </c>
      <c r="U1557">
        <v>0</v>
      </c>
      <c r="V1557">
        <v>0</v>
      </c>
      <c r="W1557">
        <v>0</v>
      </c>
      <c r="X1557">
        <v>0</v>
      </c>
      <c r="Y1557">
        <v>0</v>
      </c>
      <c r="Z1557">
        <v>0</v>
      </c>
      <c r="AA1557">
        <v>0</v>
      </c>
      <c r="AB1557">
        <v>0</v>
      </c>
      <c r="AC1557">
        <v>0</v>
      </c>
      <c r="AD1557">
        <v>0</v>
      </c>
      <c r="AE1557">
        <v>0</v>
      </c>
      <c r="AF1557">
        <v>0</v>
      </c>
      <c r="AG1557">
        <v>0</v>
      </c>
      <c r="AH1557">
        <v>0</v>
      </c>
      <c r="AI1557">
        <v>0</v>
      </c>
      <c r="AJ1557">
        <v>0</v>
      </c>
      <c r="AK1557">
        <v>0</v>
      </c>
      <c r="AL1557">
        <v>3</v>
      </c>
      <c r="AM1557">
        <v>0.33333333333333331</v>
      </c>
      <c r="AN1557">
        <v>7.0417410714286133</v>
      </c>
    </row>
    <row r="1558" spans="1:40" x14ac:dyDescent="0.3">
      <c r="A1558" t="s">
        <v>447</v>
      </c>
      <c r="B1558" t="s">
        <v>59</v>
      </c>
      <c r="C1558" t="s">
        <v>10</v>
      </c>
      <c r="D1558" t="s">
        <v>14</v>
      </c>
      <c r="E1558">
        <v>202602</v>
      </c>
      <c r="F1558" t="s">
        <v>472</v>
      </c>
      <c r="G1558">
        <v>0</v>
      </c>
      <c r="H1558">
        <v>1</v>
      </c>
      <c r="I1558">
        <v>0</v>
      </c>
      <c r="J1558">
        <v>1</v>
      </c>
      <c r="K1558">
        <v>1</v>
      </c>
      <c r="L1558">
        <v>1</v>
      </c>
      <c r="M1558">
        <v>0</v>
      </c>
      <c r="N1558">
        <v>0</v>
      </c>
      <c r="O1558">
        <v>0</v>
      </c>
      <c r="P1558">
        <v>0</v>
      </c>
      <c r="Q1558">
        <v>1</v>
      </c>
      <c r="R1558">
        <v>0</v>
      </c>
      <c r="S1558">
        <v>0</v>
      </c>
      <c r="T1558">
        <v>0</v>
      </c>
      <c r="U1558">
        <v>0</v>
      </c>
      <c r="V1558">
        <v>0</v>
      </c>
      <c r="W1558">
        <v>0</v>
      </c>
      <c r="X1558">
        <v>0</v>
      </c>
      <c r="Y1558">
        <v>0</v>
      </c>
      <c r="Z1558">
        <v>0</v>
      </c>
      <c r="AA1558">
        <v>0</v>
      </c>
      <c r="AB1558">
        <v>0</v>
      </c>
      <c r="AC1558">
        <v>0</v>
      </c>
      <c r="AD1558">
        <v>0</v>
      </c>
      <c r="AE1558">
        <v>0</v>
      </c>
      <c r="AF1558">
        <v>0</v>
      </c>
      <c r="AG1558">
        <v>0</v>
      </c>
      <c r="AH1558">
        <v>0</v>
      </c>
      <c r="AI1558">
        <v>0</v>
      </c>
      <c r="AJ1558">
        <v>0</v>
      </c>
      <c r="AK1558">
        <v>0</v>
      </c>
      <c r="AL1558">
        <v>5</v>
      </c>
      <c r="AM1558">
        <v>0.33333333333333331</v>
      </c>
      <c r="AN1558">
        <v>9.0417410714286142</v>
      </c>
    </row>
    <row r="1559" spans="1:40" x14ac:dyDescent="0.3">
      <c r="A1559" t="s">
        <v>447</v>
      </c>
      <c r="B1559" t="s">
        <v>59</v>
      </c>
      <c r="C1559" t="s">
        <v>10</v>
      </c>
      <c r="D1559" t="s">
        <v>14</v>
      </c>
      <c r="E1559">
        <v>202602</v>
      </c>
      <c r="F1559" t="s">
        <v>211</v>
      </c>
      <c r="G1559">
        <v>0</v>
      </c>
      <c r="H1559">
        <v>0</v>
      </c>
      <c r="I1559">
        <v>0</v>
      </c>
      <c r="J1559">
        <v>0</v>
      </c>
      <c r="K1559">
        <v>0</v>
      </c>
      <c r="L1559">
        <v>0</v>
      </c>
      <c r="M1559">
        <v>0</v>
      </c>
      <c r="N1559">
        <v>0</v>
      </c>
      <c r="O1559">
        <v>1</v>
      </c>
      <c r="P1559">
        <v>0</v>
      </c>
      <c r="Q1559">
        <v>0</v>
      </c>
      <c r="R1559">
        <v>0</v>
      </c>
      <c r="S1559">
        <v>0</v>
      </c>
      <c r="T1559">
        <v>0</v>
      </c>
      <c r="U1559">
        <v>0</v>
      </c>
      <c r="V1559">
        <v>0</v>
      </c>
      <c r="W1559">
        <v>0</v>
      </c>
      <c r="X1559">
        <v>0</v>
      </c>
      <c r="Y1559">
        <v>0</v>
      </c>
      <c r="Z1559">
        <v>0</v>
      </c>
      <c r="AA1559">
        <v>0</v>
      </c>
      <c r="AB1559">
        <v>0</v>
      </c>
      <c r="AC1559">
        <v>0</v>
      </c>
      <c r="AD1559">
        <v>0</v>
      </c>
      <c r="AE1559">
        <v>0</v>
      </c>
      <c r="AF1559">
        <v>0</v>
      </c>
      <c r="AG1559">
        <v>0</v>
      </c>
      <c r="AH1559">
        <v>0</v>
      </c>
      <c r="AI1559">
        <v>0</v>
      </c>
      <c r="AJ1559">
        <v>0</v>
      </c>
      <c r="AK1559">
        <v>0</v>
      </c>
      <c r="AL1559">
        <v>1</v>
      </c>
      <c r="AM1559">
        <v>0.33333333333333331</v>
      </c>
      <c r="AN1559">
        <v>5.0417410714286133</v>
      </c>
    </row>
    <row r="1560" spans="1:40" x14ac:dyDescent="0.3">
      <c r="A1560" t="s">
        <v>447</v>
      </c>
      <c r="B1560" t="s">
        <v>59</v>
      </c>
      <c r="C1560" t="s">
        <v>10</v>
      </c>
      <c r="D1560" t="s">
        <v>14</v>
      </c>
      <c r="E1560">
        <v>202602</v>
      </c>
      <c r="F1560" t="s">
        <v>473</v>
      </c>
      <c r="G1560">
        <v>0</v>
      </c>
      <c r="H1560">
        <v>0</v>
      </c>
      <c r="I1560">
        <v>3</v>
      </c>
      <c r="J1560">
        <v>1</v>
      </c>
      <c r="K1560">
        <v>0</v>
      </c>
      <c r="L1560">
        <v>0</v>
      </c>
      <c r="M1560">
        <v>0</v>
      </c>
      <c r="N1560">
        <v>0</v>
      </c>
      <c r="O1560">
        <v>2</v>
      </c>
      <c r="P1560">
        <v>0</v>
      </c>
      <c r="Q1560">
        <v>3</v>
      </c>
      <c r="R1560">
        <v>0</v>
      </c>
      <c r="S1560">
        <v>0</v>
      </c>
      <c r="T1560">
        <v>0</v>
      </c>
      <c r="U1560">
        <v>0</v>
      </c>
      <c r="V1560">
        <v>0</v>
      </c>
      <c r="W1560">
        <v>0</v>
      </c>
      <c r="X1560">
        <v>0</v>
      </c>
      <c r="Y1560">
        <v>0</v>
      </c>
      <c r="Z1560">
        <v>0</v>
      </c>
      <c r="AA1560">
        <v>0</v>
      </c>
      <c r="AB1560">
        <v>0</v>
      </c>
      <c r="AC1560">
        <v>0</v>
      </c>
      <c r="AD1560">
        <v>0</v>
      </c>
      <c r="AE1560">
        <v>0</v>
      </c>
      <c r="AF1560">
        <v>0</v>
      </c>
      <c r="AG1560">
        <v>0</v>
      </c>
      <c r="AH1560">
        <v>0</v>
      </c>
      <c r="AI1560">
        <v>0</v>
      </c>
      <c r="AJ1560">
        <v>0</v>
      </c>
      <c r="AK1560">
        <v>0</v>
      </c>
      <c r="AL1560">
        <v>9</v>
      </c>
      <c r="AM1560">
        <v>1.6666666666666667</v>
      </c>
      <c r="AN1560">
        <v>29.208705357143064</v>
      </c>
    </row>
    <row r="1561" spans="1:40" x14ac:dyDescent="0.3">
      <c r="A1561" t="s">
        <v>447</v>
      </c>
      <c r="B1561" t="s">
        <v>59</v>
      </c>
      <c r="C1561" t="s">
        <v>10</v>
      </c>
      <c r="D1561" t="s">
        <v>14</v>
      </c>
      <c r="E1561">
        <v>202602</v>
      </c>
      <c r="F1561" t="s">
        <v>474</v>
      </c>
      <c r="G1561">
        <v>0</v>
      </c>
      <c r="H1561">
        <v>4</v>
      </c>
      <c r="I1561">
        <v>6</v>
      </c>
      <c r="J1561">
        <v>5</v>
      </c>
      <c r="K1561">
        <v>7</v>
      </c>
      <c r="L1561">
        <v>4</v>
      </c>
      <c r="M1561">
        <v>0</v>
      </c>
      <c r="N1561">
        <v>0</v>
      </c>
      <c r="O1561">
        <v>7</v>
      </c>
      <c r="P1561">
        <v>5</v>
      </c>
      <c r="Q1561">
        <v>4</v>
      </c>
      <c r="R1561">
        <v>0</v>
      </c>
      <c r="S1561">
        <v>0</v>
      </c>
      <c r="T1561">
        <v>0</v>
      </c>
      <c r="U1561">
        <v>0</v>
      </c>
      <c r="V1561">
        <v>0</v>
      </c>
      <c r="W1561">
        <v>0</v>
      </c>
      <c r="X1561">
        <v>0</v>
      </c>
      <c r="Y1561">
        <v>0</v>
      </c>
      <c r="Z1561">
        <v>0</v>
      </c>
      <c r="AA1561">
        <v>0</v>
      </c>
      <c r="AB1561">
        <v>0</v>
      </c>
      <c r="AC1561">
        <v>0</v>
      </c>
      <c r="AD1561">
        <v>0</v>
      </c>
      <c r="AE1561">
        <v>0</v>
      </c>
      <c r="AF1561">
        <v>0</v>
      </c>
      <c r="AG1561">
        <v>0</v>
      </c>
      <c r="AH1561">
        <v>0</v>
      </c>
      <c r="AI1561">
        <v>0</v>
      </c>
      <c r="AJ1561">
        <v>0</v>
      </c>
      <c r="AK1561">
        <v>0</v>
      </c>
      <c r="AL1561">
        <v>42</v>
      </c>
      <c r="AM1561">
        <v>5.333333333333333</v>
      </c>
      <c r="AN1561">
        <v>106.66785714285781</v>
      </c>
    </row>
    <row r="1562" spans="1:40" x14ac:dyDescent="0.3">
      <c r="A1562" t="s">
        <v>447</v>
      </c>
      <c r="B1562" t="s">
        <v>59</v>
      </c>
      <c r="C1562" t="s">
        <v>10</v>
      </c>
      <c r="D1562" t="s">
        <v>14</v>
      </c>
      <c r="E1562">
        <v>202602</v>
      </c>
      <c r="F1562" t="s">
        <v>477</v>
      </c>
      <c r="G1562">
        <v>0</v>
      </c>
      <c r="H1562">
        <v>0</v>
      </c>
      <c r="I1562">
        <v>0</v>
      </c>
      <c r="J1562">
        <v>1</v>
      </c>
      <c r="K1562">
        <v>0</v>
      </c>
      <c r="L1562">
        <v>0</v>
      </c>
      <c r="M1562">
        <v>0</v>
      </c>
      <c r="N1562">
        <v>0</v>
      </c>
      <c r="O1562">
        <v>1</v>
      </c>
      <c r="P1562">
        <v>1</v>
      </c>
      <c r="Q1562">
        <v>0</v>
      </c>
      <c r="R1562">
        <v>0</v>
      </c>
      <c r="S1562">
        <v>0</v>
      </c>
      <c r="T1562">
        <v>0</v>
      </c>
      <c r="U1562">
        <v>0</v>
      </c>
      <c r="V1562">
        <v>0</v>
      </c>
      <c r="W1562">
        <v>0</v>
      </c>
      <c r="X1562">
        <v>0</v>
      </c>
      <c r="Y1562">
        <v>0</v>
      </c>
      <c r="Z1562">
        <v>0</v>
      </c>
      <c r="AA1562">
        <v>0</v>
      </c>
      <c r="AB1562">
        <v>0</v>
      </c>
      <c r="AC1562">
        <v>0</v>
      </c>
      <c r="AD1562">
        <v>0</v>
      </c>
      <c r="AE1562">
        <v>0</v>
      </c>
      <c r="AF1562">
        <v>0</v>
      </c>
      <c r="AG1562">
        <v>0</v>
      </c>
      <c r="AH1562">
        <v>0</v>
      </c>
      <c r="AI1562">
        <v>0</v>
      </c>
      <c r="AJ1562">
        <v>0</v>
      </c>
      <c r="AK1562">
        <v>0</v>
      </c>
      <c r="AL1562">
        <v>3</v>
      </c>
      <c r="AM1562">
        <v>0.66666666666666663</v>
      </c>
      <c r="AN1562">
        <v>11.083482142857227</v>
      </c>
    </row>
    <row r="1563" spans="1:40" x14ac:dyDescent="0.3">
      <c r="A1563" t="s">
        <v>447</v>
      </c>
      <c r="B1563" t="s">
        <v>59</v>
      </c>
      <c r="C1563" t="s">
        <v>10</v>
      </c>
      <c r="D1563" t="s">
        <v>14</v>
      </c>
      <c r="E1563">
        <v>202602</v>
      </c>
      <c r="F1563" t="s">
        <v>475</v>
      </c>
      <c r="G1563">
        <v>0</v>
      </c>
      <c r="H1563">
        <v>1</v>
      </c>
      <c r="I1563">
        <v>0</v>
      </c>
      <c r="J1563">
        <v>0</v>
      </c>
      <c r="K1563">
        <v>0</v>
      </c>
      <c r="L1563">
        <v>1</v>
      </c>
      <c r="M1563">
        <v>0</v>
      </c>
      <c r="N1563">
        <v>0</v>
      </c>
      <c r="O1563">
        <v>1</v>
      </c>
      <c r="P1563">
        <v>1</v>
      </c>
      <c r="Q1563">
        <v>1</v>
      </c>
      <c r="R1563">
        <v>0</v>
      </c>
      <c r="S1563">
        <v>0</v>
      </c>
      <c r="T1563">
        <v>0</v>
      </c>
      <c r="U1563">
        <v>0</v>
      </c>
      <c r="V1563">
        <v>0</v>
      </c>
      <c r="W1563">
        <v>0</v>
      </c>
      <c r="X1563">
        <v>0</v>
      </c>
      <c r="Y1563">
        <v>0</v>
      </c>
      <c r="Z1563">
        <v>0</v>
      </c>
      <c r="AA1563">
        <v>0</v>
      </c>
      <c r="AB1563">
        <v>0</v>
      </c>
      <c r="AC1563">
        <v>0</v>
      </c>
      <c r="AD1563">
        <v>0</v>
      </c>
      <c r="AE1563">
        <v>0</v>
      </c>
      <c r="AF1563">
        <v>0</v>
      </c>
      <c r="AG1563">
        <v>0</v>
      </c>
      <c r="AH1563">
        <v>0</v>
      </c>
      <c r="AI1563">
        <v>0</v>
      </c>
      <c r="AJ1563">
        <v>0</v>
      </c>
      <c r="AK1563">
        <v>0</v>
      </c>
      <c r="AL1563">
        <v>5</v>
      </c>
      <c r="AM1563">
        <v>1</v>
      </c>
      <c r="AN1563">
        <v>17.125223214285839</v>
      </c>
    </row>
    <row r="1564" spans="1:40" x14ac:dyDescent="0.3">
      <c r="A1564" t="s">
        <v>447</v>
      </c>
      <c r="B1564" t="s">
        <v>59</v>
      </c>
      <c r="C1564" t="s">
        <v>10</v>
      </c>
      <c r="D1564" t="s">
        <v>14</v>
      </c>
      <c r="E1564">
        <v>202602</v>
      </c>
      <c r="F1564" t="s">
        <v>476</v>
      </c>
      <c r="G1564">
        <v>0</v>
      </c>
      <c r="H1564">
        <v>0</v>
      </c>
      <c r="I1564">
        <v>1</v>
      </c>
      <c r="J1564">
        <v>0</v>
      </c>
      <c r="K1564">
        <v>4</v>
      </c>
      <c r="L1564">
        <v>0</v>
      </c>
      <c r="M1564">
        <v>0</v>
      </c>
      <c r="N1564">
        <v>0</v>
      </c>
      <c r="O1564">
        <v>0</v>
      </c>
      <c r="P1564">
        <v>0</v>
      </c>
      <c r="Q1564">
        <v>0</v>
      </c>
      <c r="R1564">
        <v>0</v>
      </c>
      <c r="S1564">
        <v>0</v>
      </c>
      <c r="T1564">
        <v>0</v>
      </c>
      <c r="U1564">
        <v>0</v>
      </c>
      <c r="V1564">
        <v>0</v>
      </c>
      <c r="W1564">
        <v>0</v>
      </c>
      <c r="X1564">
        <v>0</v>
      </c>
      <c r="Y1564">
        <v>0</v>
      </c>
      <c r="Z1564">
        <v>0</v>
      </c>
      <c r="AA1564">
        <v>0</v>
      </c>
      <c r="AB1564">
        <v>0</v>
      </c>
      <c r="AC1564">
        <v>0</v>
      </c>
      <c r="AD1564">
        <v>0</v>
      </c>
      <c r="AE1564">
        <v>0</v>
      </c>
      <c r="AF1564">
        <v>0</v>
      </c>
      <c r="AG1564">
        <v>0</v>
      </c>
      <c r="AH1564">
        <v>0</v>
      </c>
      <c r="AI1564">
        <v>0</v>
      </c>
      <c r="AJ1564">
        <v>0</v>
      </c>
      <c r="AK1564">
        <v>0</v>
      </c>
      <c r="AL1564">
        <v>5</v>
      </c>
      <c r="AM1564">
        <v>0</v>
      </c>
      <c r="AN1564">
        <v>5</v>
      </c>
    </row>
    <row r="1565" spans="1:40" x14ac:dyDescent="0.3">
      <c r="A1565" t="s">
        <v>447</v>
      </c>
      <c r="B1565" t="s">
        <v>81</v>
      </c>
      <c r="C1565" t="s">
        <v>10</v>
      </c>
      <c r="D1565" t="s">
        <v>11</v>
      </c>
      <c r="E1565">
        <v>202602</v>
      </c>
      <c r="F1565" t="s">
        <v>478</v>
      </c>
      <c r="G1565">
        <v>0</v>
      </c>
      <c r="H1565">
        <v>0</v>
      </c>
      <c r="I1565">
        <v>0</v>
      </c>
      <c r="J1565">
        <v>0</v>
      </c>
      <c r="K1565">
        <v>0</v>
      </c>
      <c r="L1565">
        <v>1</v>
      </c>
      <c r="M1565">
        <v>0</v>
      </c>
      <c r="N1565">
        <v>0</v>
      </c>
      <c r="O1565">
        <v>3</v>
      </c>
      <c r="P1565">
        <v>1</v>
      </c>
      <c r="Q1565">
        <v>2</v>
      </c>
      <c r="R1565">
        <v>0</v>
      </c>
      <c r="S1565">
        <v>0</v>
      </c>
      <c r="T1565">
        <v>0</v>
      </c>
      <c r="U1565">
        <v>0</v>
      </c>
      <c r="V1565">
        <v>0</v>
      </c>
      <c r="W1565">
        <v>0</v>
      </c>
      <c r="X1565">
        <v>0</v>
      </c>
      <c r="Y1565">
        <v>0</v>
      </c>
      <c r="Z1565">
        <v>0</v>
      </c>
      <c r="AA1565">
        <v>0</v>
      </c>
      <c r="AB1565">
        <v>0</v>
      </c>
      <c r="AC1565">
        <v>0</v>
      </c>
      <c r="AD1565">
        <v>0</v>
      </c>
      <c r="AE1565">
        <v>0</v>
      </c>
      <c r="AF1565">
        <v>0</v>
      </c>
      <c r="AG1565">
        <v>0</v>
      </c>
      <c r="AH1565">
        <v>0</v>
      </c>
      <c r="AI1565">
        <v>0</v>
      </c>
      <c r="AJ1565">
        <v>0</v>
      </c>
      <c r="AK1565">
        <v>0</v>
      </c>
      <c r="AL1565">
        <v>7</v>
      </c>
      <c r="AM1565">
        <v>2</v>
      </c>
      <c r="AN1565">
        <v>34.627750839238672</v>
      </c>
    </row>
    <row r="1566" spans="1:40" x14ac:dyDescent="0.3">
      <c r="A1566" t="s">
        <v>447</v>
      </c>
      <c r="B1566" t="s">
        <v>81</v>
      </c>
      <c r="C1566" t="s">
        <v>10</v>
      </c>
      <c r="D1566" t="s">
        <v>11</v>
      </c>
      <c r="E1566">
        <v>202602</v>
      </c>
      <c r="F1566" t="s">
        <v>479</v>
      </c>
      <c r="G1566">
        <v>0</v>
      </c>
      <c r="H1566">
        <v>1</v>
      </c>
      <c r="I1566">
        <v>1</v>
      </c>
      <c r="J1566">
        <v>0</v>
      </c>
      <c r="K1566">
        <v>0</v>
      </c>
      <c r="L1566">
        <v>0</v>
      </c>
      <c r="M1566">
        <v>2</v>
      </c>
      <c r="N1566">
        <v>0</v>
      </c>
      <c r="O1566">
        <v>1</v>
      </c>
      <c r="P1566">
        <v>0</v>
      </c>
      <c r="Q1566">
        <v>2</v>
      </c>
      <c r="R1566">
        <v>0</v>
      </c>
      <c r="S1566">
        <v>0</v>
      </c>
      <c r="T1566">
        <v>0</v>
      </c>
      <c r="U1566">
        <v>0</v>
      </c>
      <c r="V1566">
        <v>0</v>
      </c>
      <c r="W1566">
        <v>0</v>
      </c>
      <c r="X1566">
        <v>0</v>
      </c>
      <c r="Y1566">
        <v>0</v>
      </c>
      <c r="Z1566">
        <v>0</v>
      </c>
      <c r="AA1566">
        <v>0</v>
      </c>
      <c r="AB1566">
        <v>0</v>
      </c>
      <c r="AC1566">
        <v>0</v>
      </c>
      <c r="AD1566">
        <v>0</v>
      </c>
      <c r="AE1566">
        <v>0</v>
      </c>
      <c r="AF1566">
        <v>0</v>
      </c>
      <c r="AG1566">
        <v>0</v>
      </c>
      <c r="AH1566">
        <v>0</v>
      </c>
      <c r="AI1566">
        <v>0</v>
      </c>
      <c r="AJ1566">
        <v>0</v>
      </c>
      <c r="AK1566">
        <v>0</v>
      </c>
      <c r="AL1566">
        <v>7</v>
      </c>
      <c r="AM1566">
        <v>1</v>
      </c>
      <c r="AN1566">
        <v>20.813875419619336</v>
      </c>
    </row>
    <row r="1567" spans="1:40" x14ac:dyDescent="0.3">
      <c r="A1567" t="s">
        <v>447</v>
      </c>
      <c r="B1567" t="s">
        <v>81</v>
      </c>
      <c r="C1567" t="s">
        <v>10</v>
      </c>
      <c r="D1567" t="s">
        <v>11</v>
      </c>
      <c r="E1567">
        <v>202602</v>
      </c>
      <c r="F1567" t="s">
        <v>480</v>
      </c>
      <c r="G1567">
        <v>0</v>
      </c>
      <c r="H1567">
        <v>5</v>
      </c>
      <c r="I1567">
        <v>1</v>
      </c>
      <c r="J1567">
        <v>3</v>
      </c>
      <c r="K1567">
        <v>9</v>
      </c>
      <c r="L1567">
        <v>4</v>
      </c>
      <c r="M1567">
        <v>3</v>
      </c>
      <c r="N1567">
        <v>0</v>
      </c>
      <c r="O1567">
        <v>5</v>
      </c>
      <c r="P1567">
        <v>7</v>
      </c>
      <c r="Q1567">
        <v>6</v>
      </c>
      <c r="R1567">
        <v>0</v>
      </c>
      <c r="S1567">
        <v>0</v>
      </c>
      <c r="T1567">
        <v>0</v>
      </c>
      <c r="U1567">
        <v>0</v>
      </c>
      <c r="V1567">
        <v>0</v>
      </c>
      <c r="W1567">
        <v>0</v>
      </c>
      <c r="X1567">
        <v>0</v>
      </c>
      <c r="Y1567">
        <v>0</v>
      </c>
      <c r="Z1567">
        <v>0</v>
      </c>
      <c r="AA1567">
        <v>0</v>
      </c>
      <c r="AB1567">
        <v>0</v>
      </c>
      <c r="AC1567">
        <v>0</v>
      </c>
      <c r="AD1567">
        <v>0</v>
      </c>
      <c r="AE1567">
        <v>0</v>
      </c>
      <c r="AF1567">
        <v>0</v>
      </c>
      <c r="AG1567">
        <v>0</v>
      </c>
      <c r="AH1567">
        <v>0</v>
      </c>
      <c r="AI1567">
        <v>0</v>
      </c>
      <c r="AJ1567">
        <v>0</v>
      </c>
      <c r="AK1567">
        <v>0</v>
      </c>
      <c r="AL1567">
        <v>43</v>
      </c>
      <c r="AM1567">
        <v>6</v>
      </c>
      <c r="AN1567">
        <v>125.883252517716</v>
      </c>
    </row>
    <row r="1568" spans="1:40" x14ac:dyDescent="0.3">
      <c r="A1568" t="s">
        <v>447</v>
      </c>
      <c r="B1568" t="s">
        <v>81</v>
      </c>
      <c r="C1568" t="s">
        <v>10</v>
      </c>
      <c r="D1568" t="s">
        <v>11</v>
      </c>
      <c r="E1568">
        <v>202602</v>
      </c>
      <c r="F1568" t="s">
        <v>494</v>
      </c>
      <c r="G1568">
        <v>0</v>
      </c>
      <c r="H1568">
        <v>0</v>
      </c>
      <c r="I1568">
        <v>0</v>
      </c>
      <c r="J1568">
        <v>0</v>
      </c>
      <c r="K1568">
        <v>0</v>
      </c>
      <c r="L1568">
        <v>0</v>
      </c>
      <c r="M1568">
        <v>0</v>
      </c>
      <c r="N1568">
        <v>0</v>
      </c>
      <c r="O1568">
        <v>0</v>
      </c>
      <c r="P1568">
        <v>0</v>
      </c>
      <c r="Q1568">
        <v>1</v>
      </c>
      <c r="R1568">
        <v>0</v>
      </c>
      <c r="S1568">
        <v>0</v>
      </c>
      <c r="T1568">
        <v>0</v>
      </c>
      <c r="U1568">
        <v>0</v>
      </c>
      <c r="V1568">
        <v>0</v>
      </c>
      <c r="W1568">
        <v>0</v>
      </c>
      <c r="X1568">
        <v>0</v>
      </c>
      <c r="Y1568">
        <v>0</v>
      </c>
      <c r="Z1568">
        <v>0</v>
      </c>
      <c r="AA1568">
        <v>0</v>
      </c>
      <c r="AB1568">
        <v>0</v>
      </c>
      <c r="AC1568">
        <v>0</v>
      </c>
      <c r="AD1568">
        <v>0</v>
      </c>
      <c r="AE1568">
        <v>0</v>
      </c>
      <c r="AF1568">
        <v>0</v>
      </c>
      <c r="AG1568">
        <v>0</v>
      </c>
      <c r="AH1568">
        <v>0</v>
      </c>
      <c r="AI1568">
        <v>0</v>
      </c>
      <c r="AJ1568">
        <v>0</v>
      </c>
      <c r="AK1568">
        <v>0</v>
      </c>
      <c r="AL1568">
        <v>1</v>
      </c>
      <c r="AM1568">
        <v>0.33333333333333331</v>
      </c>
      <c r="AN1568">
        <v>5.6046251398731117</v>
      </c>
    </row>
    <row r="1569" spans="1:40" x14ac:dyDescent="0.3">
      <c r="A1569" t="s">
        <v>447</v>
      </c>
      <c r="B1569" t="s">
        <v>81</v>
      </c>
      <c r="C1569" t="s">
        <v>10</v>
      </c>
      <c r="D1569" t="s">
        <v>11</v>
      </c>
      <c r="E1569">
        <v>202602</v>
      </c>
      <c r="F1569" t="s">
        <v>481</v>
      </c>
      <c r="G1569">
        <v>0</v>
      </c>
      <c r="H1569">
        <v>0</v>
      </c>
      <c r="I1569">
        <v>1</v>
      </c>
      <c r="J1569">
        <v>0</v>
      </c>
      <c r="K1569">
        <v>0</v>
      </c>
      <c r="L1569">
        <v>2</v>
      </c>
      <c r="M1569">
        <v>0</v>
      </c>
      <c r="N1569">
        <v>0</v>
      </c>
      <c r="O1569">
        <v>1</v>
      </c>
      <c r="P1569">
        <v>0</v>
      </c>
      <c r="Q1569">
        <v>2</v>
      </c>
      <c r="R1569">
        <v>0</v>
      </c>
      <c r="S1569">
        <v>0</v>
      </c>
      <c r="T1569">
        <v>0</v>
      </c>
      <c r="U1569">
        <v>0</v>
      </c>
      <c r="V1569">
        <v>0</v>
      </c>
      <c r="W1569">
        <v>0</v>
      </c>
      <c r="X1569">
        <v>0</v>
      </c>
      <c r="Y1569">
        <v>0</v>
      </c>
      <c r="Z1569">
        <v>0</v>
      </c>
      <c r="AA1569">
        <v>0</v>
      </c>
      <c r="AB1569">
        <v>0</v>
      </c>
      <c r="AC1569">
        <v>0</v>
      </c>
      <c r="AD1569">
        <v>0</v>
      </c>
      <c r="AE1569">
        <v>0</v>
      </c>
      <c r="AF1569">
        <v>0</v>
      </c>
      <c r="AG1569">
        <v>0</v>
      </c>
      <c r="AH1569">
        <v>0</v>
      </c>
      <c r="AI1569">
        <v>0</v>
      </c>
      <c r="AJ1569">
        <v>0</v>
      </c>
      <c r="AK1569">
        <v>0</v>
      </c>
      <c r="AL1569">
        <v>6</v>
      </c>
      <c r="AM1569">
        <v>1</v>
      </c>
      <c r="AN1569">
        <v>19.813875419619336</v>
      </c>
    </row>
    <row r="1570" spans="1:40" x14ac:dyDescent="0.3">
      <c r="A1570" t="s">
        <v>447</v>
      </c>
      <c r="B1570" t="s">
        <v>81</v>
      </c>
      <c r="C1570" t="s">
        <v>10</v>
      </c>
      <c r="D1570" t="s">
        <v>11</v>
      </c>
      <c r="E1570">
        <v>202602</v>
      </c>
      <c r="F1570" t="s">
        <v>83</v>
      </c>
      <c r="G1570">
        <v>0</v>
      </c>
      <c r="H1570">
        <v>0</v>
      </c>
      <c r="I1570">
        <v>0</v>
      </c>
      <c r="J1570">
        <v>1</v>
      </c>
      <c r="K1570">
        <v>1</v>
      </c>
      <c r="L1570">
        <v>0</v>
      </c>
      <c r="M1570">
        <v>0</v>
      </c>
      <c r="N1570">
        <v>0</v>
      </c>
      <c r="O1570">
        <v>1</v>
      </c>
      <c r="P1570">
        <v>0</v>
      </c>
      <c r="Q1570">
        <v>0</v>
      </c>
      <c r="R1570">
        <v>0</v>
      </c>
      <c r="S1570">
        <v>0</v>
      </c>
      <c r="T1570">
        <v>0</v>
      </c>
      <c r="U1570">
        <v>0</v>
      </c>
      <c r="V1570">
        <v>0</v>
      </c>
      <c r="W1570">
        <v>0</v>
      </c>
      <c r="X1570">
        <v>0</v>
      </c>
      <c r="Y1570">
        <v>0</v>
      </c>
      <c r="Z1570">
        <v>0</v>
      </c>
      <c r="AA1570">
        <v>0</v>
      </c>
      <c r="AB1570">
        <v>0</v>
      </c>
      <c r="AC1570">
        <v>0</v>
      </c>
      <c r="AD1570">
        <v>0</v>
      </c>
      <c r="AE1570">
        <v>0</v>
      </c>
      <c r="AF1570">
        <v>0</v>
      </c>
      <c r="AG1570">
        <v>0</v>
      </c>
      <c r="AH1570">
        <v>0</v>
      </c>
      <c r="AI1570">
        <v>0</v>
      </c>
      <c r="AJ1570">
        <v>0</v>
      </c>
      <c r="AK1570">
        <v>0</v>
      </c>
      <c r="AL1570">
        <v>3</v>
      </c>
      <c r="AM1570">
        <v>0.33333333333333331</v>
      </c>
      <c r="AN1570">
        <v>7.6046251398731117</v>
      </c>
    </row>
    <row r="1571" spans="1:40" x14ac:dyDescent="0.3">
      <c r="A1571" t="s">
        <v>447</v>
      </c>
      <c r="B1571" t="s">
        <v>81</v>
      </c>
      <c r="C1571" t="s">
        <v>10</v>
      </c>
      <c r="D1571" t="s">
        <v>11</v>
      </c>
      <c r="E1571">
        <v>202602</v>
      </c>
      <c r="F1571" t="s">
        <v>482</v>
      </c>
      <c r="G1571">
        <v>0</v>
      </c>
      <c r="H1571">
        <v>0</v>
      </c>
      <c r="I1571">
        <v>2</v>
      </c>
      <c r="J1571">
        <v>1</v>
      </c>
      <c r="K1571">
        <v>4</v>
      </c>
      <c r="L1571">
        <v>4</v>
      </c>
      <c r="M1571">
        <v>0</v>
      </c>
      <c r="N1571">
        <v>0</v>
      </c>
      <c r="O1571">
        <v>0</v>
      </c>
      <c r="P1571">
        <v>1</v>
      </c>
      <c r="Q1571">
        <v>1</v>
      </c>
      <c r="R1571">
        <v>0</v>
      </c>
      <c r="S1571">
        <v>0</v>
      </c>
      <c r="T1571">
        <v>0</v>
      </c>
      <c r="U1571">
        <v>0</v>
      </c>
      <c r="V1571">
        <v>0</v>
      </c>
      <c r="W1571">
        <v>0</v>
      </c>
      <c r="X1571">
        <v>0</v>
      </c>
      <c r="Y1571">
        <v>0</v>
      </c>
      <c r="Z1571">
        <v>0</v>
      </c>
      <c r="AA1571">
        <v>0</v>
      </c>
      <c r="AB1571">
        <v>0</v>
      </c>
      <c r="AC1571">
        <v>0</v>
      </c>
      <c r="AD1571">
        <v>0</v>
      </c>
      <c r="AE1571">
        <v>0</v>
      </c>
      <c r="AF1571">
        <v>0</v>
      </c>
      <c r="AG1571">
        <v>0</v>
      </c>
      <c r="AH1571">
        <v>0</v>
      </c>
      <c r="AI1571">
        <v>0</v>
      </c>
      <c r="AJ1571">
        <v>0</v>
      </c>
      <c r="AK1571">
        <v>0</v>
      </c>
      <c r="AL1571">
        <v>13</v>
      </c>
      <c r="AM1571">
        <v>0.66666666666666663</v>
      </c>
      <c r="AN1571">
        <v>22.209250279746222</v>
      </c>
    </row>
    <row r="1572" spans="1:40" x14ac:dyDescent="0.3">
      <c r="A1572" t="s">
        <v>447</v>
      </c>
      <c r="B1572" t="s">
        <v>81</v>
      </c>
      <c r="C1572" t="s">
        <v>10</v>
      </c>
      <c r="D1572" t="s">
        <v>11</v>
      </c>
      <c r="E1572">
        <v>202602</v>
      </c>
      <c r="F1572" t="s">
        <v>483</v>
      </c>
      <c r="G1572">
        <v>0</v>
      </c>
      <c r="H1572">
        <v>1</v>
      </c>
      <c r="I1572">
        <v>0</v>
      </c>
      <c r="J1572">
        <v>1</v>
      </c>
      <c r="K1572">
        <v>1</v>
      </c>
      <c r="L1572">
        <v>0</v>
      </c>
      <c r="M1572">
        <v>0</v>
      </c>
      <c r="N1572">
        <v>0</v>
      </c>
      <c r="O1572">
        <v>1</v>
      </c>
      <c r="P1572">
        <v>0</v>
      </c>
      <c r="Q1572">
        <v>0</v>
      </c>
      <c r="R1572">
        <v>0</v>
      </c>
      <c r="S1572">
        <v>0</v>
      </c>
      <c r="T1572">
        <v>0</v>
      </c>
      <c r="U1572">
        <v>0</v>
      </c>
      <c r="V1572">
        <v>0</v>
      </c>
      <c r="W1572">
        <v>0</v>
      </c>
      <c r="X1572">
        <v>0</v>
      </c>
      <c r="Y1572">
        <v>0</v>
      </c>
      <c r="Z1572">
        <v>0</v>
      </c>
      <c r="AA1572">
        <v>0</v>
      </c>
      <c r="AB1572">
        <v>0</v>
      </c>
      <c r="AC1572">
        <v>0</v>
      </c>
      <c r="AD1572">
        <v>0</v>
      </c>
      <c r="AE1572">
        <v>0</v>
      </c>
      <c r="AF1572">
        <v>0</v>
      </c>
      <c r="AG1572">
        <v>0</v>
      </c>
      <c r="AH1572">
        <v>0</v>
      </c>
      <c r="AI1572">
        <v>0</v>
      </c>
      <c r="AJ1572">
        <v>0</v>
      </c>
      <c r="AK1572">
        <v>0</v>
      </c>
      <c r="AL1572">
        <v>4</v>
      </c>
      <c r="AM1572">
        <v>0.33333333333333331</v>
      </c>
      <c r="AN1572">
        <v>8.6046251398731108</v>
      </c>
    </row>
    <row r="1573" spans="1:40" x14ac:dyDescent="0.3">
      <c r="A1573" t="s">
        <v>447</v>
      </c>
      <c r="B1573" t="s">
        <v>81</v>
      </c>
      <c r="C1573" t="s">
        <v>10</v>
      </c>
      <c r="D1573" t="s">
        <v>11</v>
      </c>
      <c r="E1573">
        <v>202602</v>
      </c>
      <c r="F1573" t="s">
        <v>484</v>
      </c>
      <c r="G1573">
        <v>0</v>
      </c>
      <c r="H1573">
        <v>0</v>
      </c>
      <c r="I1573">
        <v>1</v>
      </c>
      <c r="J1573">
        <v>0</v>
      </c>
      <c r="K1573">
        <v>0</v>
      </c>
      <c r="L1573">
        <v>0</v>
      </c>
      <c r="M1573">
        <v>0</v>
      </c>
      <c r="N1573">
        <v>0</v>
      </c>
      <c r="O1573">
        <v>0</v>
      </c>
      <c r="P1573">
        <v>0</v>
      </c>
      <c r="Q1573">
        <v>0</v>
      </c>
      <c r="R1573">
        <v>0</v>
      </c>
      <c r="S1573">
        <v>0</v>
      </c>
      <c r="T1573">
        <v>0</v>
      </c>
      <c r="U1573">
        <v>0</v>
      </c>
      <c r="V1573">
        <v>0</v>
      </c>
      <c r="W1573">
        <v>0</v>
      </c>
      <c r="X1573">
        <v>0</v>
      </c>
      <c r="Y1573">
        <v>0</v>
      </c>
      <c r="Z1573">
        <v>0</v>
      </c>
      <c r="AA1573">
        <v>0</v>
      </c>
      <c r="AB1573">
        <v>0</v>
      </c>
      <c r="AC1573">
        <v>0</v>
      </c>
      <c r="AD1573">
        <v>0</v>
      </c>
      <c r="AE1573">
        <v>0</v>
      </c>
      <c r="AF1573">
        <v>0</v>
      </c>
      <c r="AG1573">
        <v>0</v>
      </c>
      <c r="AH1573">
        <v>0</v>
      </c>
      <c r="AI1573">
        <v>0</v>
      </c>
      <c r="AJ1573">
        <v>0</v>
      </c>
      <c r="AK1573">
        <v>0</v>
      </c>
      <c r="AL1573">
        <v>1</v>
      </c>
      <c r="AM1573">
        <v>0</v>
      </c>
      <c r="AN1573">
        <v>1</v>
      </c>
    </row>
    <row r="1574" spans="1:40" x14ac:dyDescent="0.3">
      <c r="A1574" t="s">
        <v>447</v>
      </c>
      <c r="B1574" t="s">
        <v>81</v>
      </c>
      <c r="C1574" t="s">
        <v>10</v>
      </c>
      <c r="D1574" t="s">
        <v>11</v>
      </c>
      <c r="E1574">
        <v>202602</v>
      </c>
      <c r="F1574" t="s">
        <v>485</v>
      </c>
      <c r="G1574">
        <v>0</v>
      </c>
      <c r="H1574">
        <v>0</v>
      </c>
      <c r="I1574">
        <v>1</v>
      </c>
      <c r="J1574">
        <v>2</v>
      </c>
      <c r="K1574">
        <v>1</v>
      </c>
      <c r="L1574">
        <v>0</v>
      </c>
      <c r="M1574">
        <v>1</v>
      </c>
      <c r="N1574">
        <v>0</v>
      </c>
      <c r="O1574">
        <v>3</v>
      </c>
      <c r="P1574">
        <v>1</v>
      </c>
      <c r="Q1574">
        <v>0</v>
      </c>
      <c r="R1574">
        <v>0</v>
      </c>
      <c r="S1574">
        <v>0</v>
      </c>
      <c r="T1574">
        <v>0</v>
      </c>
      <c r="U1574">
        <v>0</v>
      </c>
      <c r="V1574">
        <v>0</v>
      </c>
      <c r="W1574">
        <v>0</v>
      </c>
      <c r="X1574">
        <v>0</v>
      </c>
      <c r="Y1574">
        <v>0</v>
      </c>
      <c r="Z1574">
        <v>0</v>
      </c>
      <c r="AA1574">
        <v>0</v>
      </c>
      <c r="AB1574">
        <v>0</v>
      </c>
      <c r="AC1574">
        <v>0</v>
      </c>
      <c r="AD1574">
        <v>0</v>
      </c>
      <c r="AE1574">
        <v>0</v>
      </c>
      <c r="AF1574">
        <v>0</v>
      </c>
      <c r="AG1574">
        <v>0</v>
      </c>
      <c r="AH1574">
        <v>0</v>
      </c>
      <c r="AI1574">
        <v>0</v>
      </c>
      <c r="AJ1574">
        <v>0</v>
      </c>
      <c r="AK1574">
        <v>0</v>
      </c>
      <c r="AL1574">
        <v>9</v>
      </c>
      <c r="AM1574">
        <v>1.3333333333333333</v>
      </c>
      <c r="AN1574">
        <v>27.418500559492447</v>
      </c>
    </row>
    <row r="1575" spans="1:40" x14ac:dyDescent="0.3">
      <c r="A1575" t="s">
        <v>447</v>
      </c>
      <c r="B1575" t="s">
        <v>81</v>
      </c>
      <c r="C1575" t="s">
        <v>10</v>
      </c>
      <c r="D1575" t="s">
        <v>11</v>
      </c>
      <c r="E1575">
        <v>202602</v>
      </c>
      <c r="F1575" t="s">
        <v>486</v>
      </c>
      <c r="G1575">
        <v>0</v>
      </c>
      <c r="H1575">
        <v>0</v>
      </c>
      <c r="I1575">
        <v>0</v>
      </c>
      <c r="J1575">
        <v>1</v>
      </c>
      <c r="K1575">
        <v>0</v>
      </c>
      <c r="L1575">
        <v>0</v>
      </c>
      <c r="M1575">
        <v>0</v>
      </c>
      <c r="N1575">
        <v>0</v>
      </c>
      <c r="O1575">
        <v>0</v>
      </c>
      <c r="P1575">
        <v>0</v>
      </c>
      <c r="Q1575">
        <v>0</v>
      </c>
      <c r="R1575">
        <v>0</v>
      </c>
      <c r="S1575">
        <v>0</v>
      </c>
      <c r="T1575">
        <v>0</v>
      </c>
      <c r="U1575">
        <v>0</v>
      </c>
      <c r="V1575">
        <v>0</v>
      </c>
      <c r="W1575">
        <v>0</v>
      </c>
      <c r="X1575">
        <v>0</v>
      </c>
      <c r="Y1575">
        <v>0</v>
      </c>
      <c r="Z1575">
        <v>0</v>
      </c>
      <c r="AA1575">
        <v>0</v>
      </c>
      <c r="AB1575">
        <v>0</v>
      </c>
      <c r="AC1575">
        <v>0</v>
      </c>
      <c r="AD1575">
        <v>0</v>
      </c>
      <c r="AE1575">
        <v>0</v>
      </c>
      <c r="AF1575">
        <v>0</v>
      </c>
      <c r="AG1575">
        <v>0</v>
      </c>
      <c r="AH1575">
        <v>0</v>
      </c>
      <c r="AI1575">
        <v>0</v>
      </c>
      <c r="AJ1575">
        <v>0</v>
      </c>
      <c r="AK1575">
        <v>0</v>
      </c>
      <c r="AL1575">
        <v>1</v>
      </c>
      <c r="AM1575">
        <v>0</v>
      </c>
      <c r="AN1575">
        <v>1</v>
      </c>
    </row>
    <row r="1576" spans="1:40" x14ac:dyDescent="0.3">
      <c r="A1576" t="s">
        <v>447</v>
      </c>
      <c r="B1576" t="s">
        <v>81</v>
      </c>
      <c r="C1576" t="s">
        <v>10</v>
      </c>
      <c r="D1576" t="s">
        <v>11</v>
      </c>
      <c r="E1576">
        <v>202602</v>
      </c>
      <c r="F1576" t="s">
        <v>487</v>
      </c>
      <c r="G1576">
        <v>0</v>
      </c>
      <c r="H1576">
        <v>0</v>
      </c>
      <c r="I1576">
        <v>1</v>
      </c>
      <c r="J1576">
        <v>1</v>
      </c>
      <c r="K1576">
        <v>0</v>
      </c>
      <c r="L1576">
        <v>1</v>
      </c>
      <c r="M1576">
        <v>1</v>
      </c>
      <c r="N1576">
        <v>0</v>
      </c>
      <c r="O1576">
        <v>0</v>
      </c>
      <c r="P1576">
        <v>0</v>
      </c>
      <c r="Q1576">
        <v>0</v>
      </c>
      <c r="R1576">
        <v>0</v>
      </c>
      <c r="S1576">
        <v>0</v>
      </c>
      <c r="T1576">
        <v>0</v>
      </c>
      <c r="U1576">
        <v>0</v>
      </c>
      <c r="V1576">
        <v>0</v>
      </c>
      <c r="W1576">
        <v>0</v>
      </c>
      <c r="X1576">
        <v>0</v>
      </c>
      <c r="Y1576">
        <v>0</v>
      </c>
      <c r="Z1576">
        <v>0</v>
      </c>
      <c r="AA1576">
        <v>0</v>
      </c>
      <c r="AB1576">
        <v>0</v>
      </c>
      <c r="AC1576">
        <v>0</v>
      </c>
      <c r="AD1576">
        <v>0</v>
      </c>
      <c r="AE1576">
        <v>0</v>
      </c>
      <c r="AF1576">
        <v>0</v>
      </c>
      <c r="AG1576">
        <v>0</v>
      </c>
      <c r="AH1576">
        <v>0</v>
      </c>
      <c r="AI1576">
        <v>0</v>
      </c>
      <c r="AJ1576">
        <v>0</v>
      </c>
      <c r="AK1576">
        <v>0</v>
      </c>
      <c r="AL1576">
        <v>4</v>
      </c>
      <c r="AM1576">
        <v>0</v>
      </c>
      <c r="AN1576">
        <v>4</v>
      </c>
    </row>
    <row r="1577" spans="1:40" x14ac:dyDescent="0.3">
      <c r="A1577" t="s">
        <v>447</v>
      </c>
      <c r="B1577" t="s">
        <v>81</v>
      </c>
      <c r="C1577" t="s">
        <v>10</v>
      </c>
      <c r="D1577" t="s">
        <v>11</v>
      </c>
      <c r="E1577">
        <v>202602</v>
      </c>
      <c r="F1577" t="s">
        <v>488</v>
      </c>
      <c r="G1577">
        <v>0</v>
      </c>
      <c r="H1577">
        <v>0</v>
      </c>
      <c r="I1577">
        <v>1</v>
      </c>
      <c r="J1577">
        <v>2</v>
      </c>
      <c r="K1577">
        <v>1</v>
      </c>
      <c r="L1577">
        <v>1</v>
      </c>
      <c r="M1577">
        <v>0</v>
      </c>
      <c r="N1577">
        <v>0</v>
      </c>
      <c r="O1577">
        <v>1</v>
      </c>
      <c r="P1577">
        <v>0</v>
      </c>
      <c r="Q1577">
        <v>0</v>
      </c>
      <c r="R1577">
        <v>0</v>
      </c>
      <c r="S1577">
        <v>0</v>
      </c>
      <c r="T1577">
        <v>0</v>
      </c>
      <c r="U1577">
        <v>0</v>
      </c>
      <c r="V1577">
        <v>0</v>
      </c>
      <c r="W1577">
        <v>0</v>
      </c>
      <c r="X1577">
        <v>0</v>
      </c>
      <c r="Y1577">
        <v>0</v>
      </c>
      <c r="Z1577">
        <v>0</v>
      </c>
      <c r="AA1577">
        <v>0</v>
      </c>
      <c r="AB1577">
        <v>0</v>
      </c>
      <c r="AC1577">
        <v>0</v>
      </c>
      <c r="AD1577">
        <v>0</v>
      </c>
      <c r="AE1577">
        <v>0</v>
      </c>
      <c r="AF1577">
        <v>0</v>
      </c>
      <c r="AG1577">
        <v>0</v>
      </c>
      <c r="AH1577">
        <v>0</v>
      </c>
      <c r="AI1577">
        <v>0</v>
      </c>
      <c r="AJ1577">
        <v>0</v>
      </c>
      <c r="AK1577">
        <v>0</v>
      </c>
      <c r="AL1577">
        <v>6</v>
      </c>
      <c r="AM1577">
        <v>0.33333333333333331</v>
      </c>
      <c r="AN1577">
        <v>10.604625139873111</v>
      </c>
    </row>
    <row r="1578" spans="1:40" x14ac:dyDescent="0.3">
      <c r="A1578" t="s">
        <v>447</v>
      </c>
      <c r="B1578" t="s">
        <v>81</v>
      </c>
      <c r="C1578" t="s">
        <v>10</v>
      </c>
      <c r="D1578" t="s">
        <v>11</v>
      </c>
      <c r="E1578">
        <v>202602</v>
      </c>
      <c r="F1578" t="s">
        <v>489</v>
      </c>
      <c r="G1578">
        <v>0</v>
      </c>
      <c r="H1578">
        <v>0</v>
      </c>
      <c r="I1578">
        <v>1</v>
      </c>
      <c r="J1578">
        <v>0</v>
      </c>
      <c r="K1578">
        <v>0</v>
      </c>
      <c r="L1578">
        <v>0</v>
      </c>
      <c r="M1578">
        <v>0</v>
      </c>
      <c r="N1578">
        <v>0</v>
      </c>
      <c r="O1578">
        <v>0</v>
      </c>
      <c r="P1578">
        <v>0</v>
      </c>
      <c r="Q1578">
        <v>0</v>
      </c>
      <c r="R1578">
        <v>0</v>
      </c>
      <c r="S1578">
        <v>0</v>
      </c>
      <c r="T1578">
        <v>0</v>
      </c>
      <c r="U1578">
        <v>0</v>
      </c>
      <c r="V1578">
        <v>0</v>
      </c>
      <c r="W1578">
        <v>0</v>
      </c>
      <c r="X1578">
        <v>0</v>
      </c>
      <c r="Y1578">
        <v>0</v>
      </c>
      <c r="Z1578">
        <v>0</v>
      </c>
      <c r="AA1578">
        <v>0</v>
      </c>
      <c r="AB1578">
        <v>0</v>
      </c>
      <c r="AC1578">
        <v>0</v>
      </c>
      <c r="AD1578">
        <v>0</v>
      </c>
      <c r="AE1578">
        <v>0</v>
      </c>
      <c r="AF1578">
        <v>0</v>
      </c>
      <c r="AG1578">
        <v>0</v>
      </c>
      <c r="AH1578">
        <v>0</v>
      </c>
      <c r="AI1578">
        <v>0</v>
      </c>
      <c r="AJ1578">
        <v>0</v>
      </c>
      <c r="AK1578">
        <v>0</v>
      </c>
      <c r="AL1578">
        <v>1</v>
      </c>
      <c r="AM1578">
        <v>0</v>
      </c>
      <c r="AN1578">
        <v>1</v>
      </c>
    </row>
    <row r="1579" spans="1:40" x14ac:dyDescent="0.3">
      <c r="A1579" t="s">
        <v>447</v>
      </c>
      <c r="B1579" t="s">
        <v>81</v>
      </c>
      <c r="C1579" t="s">
        <v>10</v>
      </c>
      <c r="D1579" t="s">
        <v>11</v>
      </c>
      <c r="E1579">
        <v>202602</v>
      </c>
      <c r="F1579" t="s">
        <v>490</v>
      </c>
      <c r="G1579">
        <v>0</v>
      </c>
      <c r="H1579">
        <v>0</v>
      </c>
      <c r="I1579">
        <v>1</v>
      </c>
      <c r="J1579">
        <v>0</v>
      </c>
      <c r="K1579">
        <v>0</v>
      </c>
      <c r="L1579">
        <v>0</v>
      </c>
      <c r="M1579">
        <v>0</v>
      </c>
      <c r="N1579">
        <v>0</v>
      </c>
      <c r="O1579">
        <v>1</v>
      </c>
      <c r="P1579">
        <v>2</v>
      </c>
      <c r="Q1579">
        <v>0</v>
      </c>
      <c r="R1579">
        <v>0</v>
      </c>
      <c r="S1579">
        <v>0</v>
      </c>
      <c r="T1579">
        <v>0</v>
      </c>
      <c r="U1579">
        <v>0</v>
      </c>
      <c r="V1579">
        <v>0</v>
      </c>
      <c r="W1579">
        <v>0</v>
      </c>
      <c r="X1579">
        <v>0</v>
      </c>
      <c r="Y1579">
        <v>0</v>
      </c>
      <c r="Z1579">
        <v>0</v>
      </c>
      <c r="AA1579">
        <v>0</v>
      </c>
      <c r="AB1579">
        <v>0</v>
      </c>
      <c r="AC1579">
        <v>0</v>
      </c>
      <c r="AD1579">
        <v>0</v>
      </c>
      <c r="AE1579">
        <v>0</v>
      </c>
      <c r="AF1579">
        <v>0</v>
      </c>
      <c r="AG1579">
        <v>0</v>
      </c>
      <c r="AH1579">
        <v>0</v>
      </c>
      <c r="AI1579">
        <v>0</v>
      </c>
      <c r="AJ1579">
        <v>0</v>
      </c>
      <c r="AK1579">
        <v>0</v>
      </c>
      <c r="AL1579">
        <v>4</v>
      </c>
      <c r="AM1579">
        <v>1</v>
      </c>
      <c r="AN1579">
        <v>17.813875419619336</v>
      </c>
    </row>
    <row r="1580" spans="1:40" x14ac:dyDescent="0.3">
      <c r="A1580" t="s">
        <v>447</v>
      </c>
      <c r="B1580" t="s">
        <v>81</v>
      </c>
      <c r="C1580" t="s">
        <v>10</v>
      </c>
      <c r="D1580" t="s">
        <v>11</v>
      </c>
      <c r="E1580">
        <v>202602</v>
      </c>
      <c r="F1580" t="s">
        <v>491</v>
      </c>
      <c r="G1580">
        <v>0</v>
      </c>
      <c r="H1580">
        <v>0</v>
      </c>
      <c r="I1580">
        <v>0</v>
      </c>
      <c r="J1580">
        <v>2</v>
      </c>
      <c r="K1580">
        <v>0</v>
      </c>
      <c r="L1580">
        <v>3</v>
      </c>
      <c r="M1580">
        <v>1</v>
      </c>
      <c r="N1580">
        <v>0</v>
      </c>
      <c r="O1580">
        <v>0</v>
      </c>
      <c r="P1580">
        <v>0</v>
      </c>
      <c r="Q1580">
        <v>1</v>
      </c>
      <c r="R1580">
        <v>0</v>
      </c>
      <c r="S1580">
        <v>0</v>
      </c>
      <c r="T1580">
        <v>0</v>
      </c>
      <c r="U1580">
        <v>0</v>
      </c>
      <c r="V1580">
        <v>0</v>
      </c>
      <c r="W1580">
        <v>0</v>
      </c>
      <c r="X1580">
        <v>0</v>
      </c>
      <c r="Y1580">
        <v>0</v>
      </c>
      <c r="Z1580">
        <v>0</v>
      </c>
      <c r="AA1580">
        <v>0</v>
      </c>
      <c r="AB1580">
        <v>0</v>
      </c>
      <c r="AC1580">
        <v>0</v>
      </c>
      <c r="AD1580">
        <v>0</v>
      </c>
      <c r="AE1580">
        <v>0</v>
      </c>
      <c r="AF1580">
        <v>0</v>
      </c>
      <c r="AG1580">
        <v>0</v>
      </c>
      <c r="AH1580">
        <v>0</v>
      </c>
      <c r="AI1580">
        <v>0</v>
      </c>
      <c r="AJ1580">
        <v>0</v>
      </c>
      <c r="AK1580">
        <v>0</v>
      </c>
      <c r="AL1580">
        <v>7</v>
      </c>
      <c r="AM1580">
        <v>0.33333333333333331</v>
      </c>
      <c r="AN1580">
        <v>11.604625139873111</v>
      </c>
    </row>
    <row r="1581" spans="1:40" x14ac:dyDescent="0.3">
      <c r="A1581" t="s">
        <v>447</v>
      </c>
      <c r="B1581" t="s">
        <v>81</v>
      </c>
      <c r="C1581" t="s">
        <v>10</v>
      </c>
      <c r="D1581" t="s">
        <v>11</v>
      </c>
      <c r="E1581">
        <v>202602</v>
      </c>
      <c r="F1581" t="s">
        <v>492</v>
      </c>
      <c r="G1581">
        <v>0</v>
      </c>
      <c r="H1581">
        <v>0</v>
      </c>
      <c r="I1581">
        <v>0</v>
      </c>
      <c r="J1581">
        <v>1</v>
      </c>
      <c r="K1581">
        <v>1</v>
      </c>
      <c r="L1581">
        <v>1</v>
      </c>
      <c r="M1581">
        <v>0</v>
      </c>
      <c r="N1581">
        <v>0</v>
      </c>
      <c r="O1581">
        <v>0</v>
      </c>
      <c r="P1581">
        <v>0</v>
      </c>
      <c r="Q1581">
        <v>0</v>
      </c>
      <c r="R1581">
        <v>0</v>
      </c>
      <c r="S1581">
        <v>0</v>
      </c>
      <c r="T1581">
        <v>0</v>
      </c>
      <c r="U1581">
        <v>0</v>
      </c>
      <c r="V1581">
        <v>0</v>
      </c>
      <c r="W1581">
        <v>0</v>
      </c>
      <c r="X1581">
        <v>0</v>
      </c>
      <c r="Y1581">
        <v>0</v>
      </c>
      <c r="Z1581">
        <v>0</v>
      </c>
      <c r="AA1581">
        <v>0</v>
      </c>
      <c r="AB1581">
        <v>0</v>
      </c>
      <c r="AC1581">
        <v>0</v>
      </c>
      <c r="AD1581">
        <v>0</v>
      </c>
      <c r="AE1581">
        <v>0</v>
      </c>
      <c r="AF1581">
        <v>0</v>
      </c>
      <c r="AG1581">
        <v>0</v>
      </c>
      <c r="AH1581">
        <v>0</v>
      </c>
      <c r="AI1581">
        <v>0</v>
      </c>
      <c r="AJ1581">
        <v>0</v>
      </c>
      <c r="AK1581">
        <v>0</v>
      </c>
      <c r="AL1581">
        <v>3</v>
      </c>
      <c r="AM1581">
        <v>0</v>
      </c>
      <c r="AN1581">
        <v>3</v>
      </c>
    </row>
    <row r="1582" spans="1:40" x14ac:dyDescent="0.3">
      <c r="A1582" t="s">
        <v>447</v>
      </c>
      <c r="B1582" t="s">
        <v>81</v>
      </c>
      <c r="C1582" t="s">
        <v>10</v>
      </c>
      <c r="D1582" t="s">
        <v>11</v>
      </c>
      <c r="E1582">
        <v>202602</v>
      </c>
      <c r="F1582" t="s">
        <v>493</v>
      </c>
      <c r="G1582">
        <v>0</v>
      </c>
      <c r="H1582">
        <v>0</v>
      </c>
      <c r="I1582">
        <v>1</v>
      </c>
      <c r="J1582">
        <v>1</v>
      </c>
      <c r="K1582">
        <v>0</v>
      </c>
      <c r="L1582">
        <v>0</v>
      </c>
      <c r="M1582">
        <v>0</v>
      </c>
      <c r="N1582">
        <v>0</v>
      </c>
      <c r="O1582">
        <v>0</v>
      </c>
      <c r="P1582">
        <v>0</v>
      </c>
      <c r="Q1582">
        <v>0</v>
      </c>
      <c r="R1582">
        <v>0</v>
      </c>
      <c r="S1582">
        <v>0</v>
      </c>
      <c r="T1582">
        <v>0</v>
      </c>
      <c r="U1582">
        <v>0</v>
      </c>
      <c r="V1582">
        <v>0</v>
      </c>
      <c r="W1582">
        <v>0</v>
      </c>
      <c r="X1582">
        <v>0</v>
      </c>
      <c r="Y1582">
        <v>0</v>
      </c>
      <c r="Z1582">
        <v>0</v>
      </c>
      <c r="AA1582">
        <v>0</v>
      </c>
      <c r="AB1582">
        <v>0</v>
      </c>
      <c r="AC1582">
        <v>0</v>
      </c>
      <c r="AD1582">
        <v>0</v>
      </c>
      <c r="AE1582">
        <v>0</v>
      </c>
      <c r="AF1582">
        <v>0</v>
      </c>
      <c r="AG1582">
        <v>0</v>
      </c>
      <c r="AH1582">
        <v>0</v>
      </c>
      <c r="AI1582">
        <v>0</v>
      </c>
      <c r="AJ1582">
        <v>0</v>
      </c>
      <c r="AK1582">
        <v>0</v>
      </c>
      <c r="AL1582">
        <v>2</v>
      </c>
      <c r="AM1582">
        <v>0</v>
      </c>
      <c r="AN1582">
        <v>2</v>
      </c>
    </row>
    <row r="1583" spans="1:40" x14ac:dyDescent="0.3">
      <c r="A1583" t="s">
        <v>447</v>
      </c>
      <c r="B1583" t="s">
        <v>81</v>
      </c>
      <c r="C1583" t="s">
        <v>10</v>
      </c>
      <c r="D1583" t="s">
        <v>14</v>
      </c>
      <c r="E1583">
        <v>202602</v>
      </c>
      <c r="F1583" t="s">
        <v>478</v>
      </c>
      <c r="G1583">
        <v>0</v>
      </c>
      <c r="H1583">
        <v>0</v>
      </c>
      <c r="I1583">
        <v>0</v>
      </c>
      <c r="J1583">
        <v>0</v>
      </c>
      <c r="K1583">
        <v>3</v>
      </c>
      <c r="L1583">
        <v>4</v>
      </c>
      <c r="M1583">
        <v>2</v>
      </c>
      <c r="N1583">
        <v>0</v>
      </c>
      <c r="O1583">
        <v>1</v>
      </c>
      <c r="P1583">
        <v>6</v>
      </c>
      <c r="Q1583">
        <v>1</v>
      </c>
      <c r="R1583">
        <v>0</v>
      </c>
      <c r="S1583">
        <v>0</v>
      </c>
      <c r="T1583">
        <v>0</v>
      </c>
      <c r="U1583">
        <v>0</v>
      </c>
      <c r="V1583">
        <v>0</v>
      </c>
      <c r="W1583">
        <v>0</v>
      </c>
      <c r="X1583">
        <v>0</v>
      </c>
      <c r="Y1583">
        <v>0</v>
      </c>
      <c r="Z1583">
        <v>0</v>
      </c>
      <c r="AA1583">
        <v>0</v>
      </c>
      <c r="AB1583">
        <v>0</v>
      </c>
      <c r="AC1583">
        <v>0</v>
      </c>
      <c r="AD1583">
        <v>0</v>
      </c>
      <c r="AE1583">
        <v>0</v>
      </c>
      <c r="AF1583">
        <v>0</v>
      </c>
      <c r="AG1583">
        <v>0</v>
      </c>
      <c r="AH1583">
        <v>0</v>
      </c>
      <c r="AI1583">
        <v>0</v>
      </c>
      <c r="AJ1583">
        <v>0</v>
      </c>
      <c r="AK1583">
        <v>0</v>
      </c>
      <c r="AL1583">
        <v>17</v>
      </c>
      <c r="AM1583">
        <v>2.6666666666666665</v>
      </c>
      <c r="AN1583">
        <v>49.333928571428906</v>
      </c>
    </row>
    <row r="1584" spans="1:40" x14ac:dyDescent="0.3">
      <c r="A1584" t="s">
        <v>447</v>
      </c>
      <c r="B1584" t="s">
        <v>81</v>
      </c>
      <c r="C1584" t="s">
        <v>10</v>
      </c>
      <c r="D1584" t="s">
        <v>14</v>
      </c>
      <c r="E1584">
        <v>202602</v>
      </c>
      <c r="F1584" t="s">
        <v>479</v>
      </c>
      <c r="G1584">
        <v>0</v>
      </c>
      <c r="H1584">
        <v>1</v>
      </c>
      <c r="I1584">
        <v>1</v>
      </c>
      <c r="J1584">
        <v>0</v>
      </c>
      <c r="K1584">
        <v>3</v>
      </c>
      <c r="L1584">
        <v>1</v>
      </c>
      <c r="M1584">
        <v>0</v>
      </c>
      <c r="N1584">
        <v>0</v>
      </c>
      <c r="O1584">
        <v>0</v>
      </c>
      <c r="P1584">
        <v>2</v>
      </c>
      <c r="Q1584">
        <v>2</v>
      </c>
      <c r="R1584">
        <v>0</v>
      </c>
      <c r="S1584">
        <v>0</v>
      </c>
      <c r="T1584">
        <v>0</v>
      </c>
      <c r="U1584">
        <v>0</v>
      </c>
      <c r="V1584">
        <v>0</v>
      </c>
      <c r="W1584">
        <v>0</v>
      </c>
      <c r="X1584">
        <v>0</v>
      </c>
      <c r="Y1584">
        <v>0</v>
      </c>
      <c r="Z1584">
        <v>0</v>
      </c>
      <c r="AA1584">
        <v>0</v>
      </c>
      <c r="AB1584">
        <v>0</v>
      </c>
      <c r="AC1584">
        <v>0</v>
      </c>
      <c r="AD1584">
        <v>0</v>
      </c>
      <c r="AE1584">
        <v>0</v>
      </c>
      <c r="AF1584">
        <v>0</v>
      </c>
      <c r="AG1584">
        <v>0</v>
      </c>
      <c r="AH1584">
        <v>0</v>
      </c>
      <c r="AI1584">
        <v>0</v>
      </c>
      <c r="AJ1584">
        <v>0</v>
      </c>
      <c r="AK1584">
        <v>0</v>
      </c>
      <c r="AL1584">
        <v>10</v>
      </c>
      <c r="AM1584">
        <v>1.3333333333333333</v>
      </c>
      <c r="AN1584">
        <v>26.166964285714453</v>
      </c>
    </row>
    <row r="1585" spans="1:40" x14ac:dyDescent="0.3">
      <c r="A1585" t="s">
        <v>447</v>
      </c>
      <c r="B1585" t="s">
        <v>81</v>
      </c>
      <c r="C1585" t="s">
        <v>10</v>
      </c>
      <c r="D1585" t="s">
        <v>14</v>
      </c>
      <c r="E1585">
        <v>202602</v>
      </c>
      <c r="F1585" t="s">
        <v>480</v>
      </c>
      <c r="G1585">
        <v>0</v>
      </c>
      <c r="H1585">
        <v>3</v>
      </c>
      <c r="I1585">
        <v>5</v>
      </c>
      <c r="J1585">
        <v>14</v>
      </c>
      <c r="K1585">
        <v>7</v>
      </c>
      <c r="L1585">
        <v>8</v>
      </c>
      <c r="M1585">
        <v>7</v>
      </c>
      <c r="N1585">
        <v>0</v>
      </c>
      <c r="O1585">
        <v>7</v>
      </c>
      <c r="P1585">
        <v>7</v>
      </c>
      <c r="Q1585">
        <v>6</v>
      </c>
      <c r="R1585">
        <v>0</v>
      </c>
      <c r="S1585">
        <v>0</v>
      </c>
      <c r="T1585">
        <v>0</v>
      </c>
      <c r="U1585">
        <v>0</v>
      </c>
      <c r="V1585">
        <v>0</v>
      </c>
      <c r="W1585">
        <v>0</v>
      </c>
      <c r="X1585">
        <v>0</v>
      </c>
      <c r="Y1585">
        <v>0</v>
      </c>
      <c r="Z1585">
        <v>0</v>
      </c>
      <c r="AA1585">
        <v>0</v>
      </c>
      <c r="AB1585">
        <v>0</v>
      </c>
      <c r="AC1585">
        <v>0</v>
      </c>
      <c r="AD1585">
        <v>0</v>
      </c>
      <c r="AE1585">
        <v>0</v>
      </c>
      <c r="AF1585">
        <v>0</v>
      </c>
      <c r="AG1585">
        <v>0</v>
      </c>
      <c r="AH1585">
        <v>0</v>
      </c>
      <c r="AI1585">
        <v>0</v>
      </c>
      <c r="AJ1585">
        <v>0</v>
      </c>
      <c r="AK1585">
        <v>0</v>
      </c>
      <c r="AL1585">
        <v>64</v>
      </c>
      <c r="AM1585">
        <v>6.666666666666667</v>
      </c>
      <c r="AN1585">
        <v>144.83482142857224</v>
      </c>
    </row>
    <row r="1586" spans="1:40" x14ac:dyDescent="0.3">
      <c r="A1586" t="s">
        <v>447</v>
      </c>
      <c r="B1586" t="s">
        <v>81</v>
      </c>
      <c r="C1586" t="s">
        <v>10</v>
      </c>
      <c r="D1586" t="s">
        <v>14</v>
      </c>
      <c r="E1586">
        <v>202602</v>
      </c>
      <c r="F1586" t="s">
        <v>494</v>
      </c>
      <c r="G1586">
        <v>0</v>
      </c>
      <c r="H1586">
        <v>0</v>
      </c>
      <c r="I1586">
        <v>0</v>
      </c>
      <c r="J1586">
        <v>0</v>
      </c>
      <c r="K1586">
        <v>0</v>
      </c>
      <c r="L1586">
        <v>0</v>
      </c>
      <c r="M1586">
        <v>0</v>
      </c>
      <c r="N1586">
        <v>0</v>
      </c>
      <c r="O1586">
        <v>0</v>
      </c>
      <c r="P1586">
        <v>1</v>
      </c>
      <c r="Q1586">
        <v>0</v>
      </c>
      <c r="R1586">
        <v>0</v>
      </c>
      <c r="S1586">
        <v>0</v>
      </c>
      <c r="T1586">
        <v>0</v>
      </c>
      <c r="U1586">
        <v>0</v>
      </c>
      <c r="V1586">
        <v>0</v>
      </c>
      <c r="W1586">
        <v>0</v>
      </c>
      <c r="X1586">
        <v>0</v>
      </c>
      <c r="Y1586">
        <v>0</v>
      </c>
      <c r="Z1586">
        <v>0</v>
      </c>
      <c r="AA1586">
        <v>0</v>
      </c>
      <c r="AB1586">
        <v>0</v>
      </c>
      <c r="AC1586">
        <v>0</v>
      </c>
      <c r="AD1586">
        <v>0</v>
      </c>
      <c r="AE1586">
        <v>0</v>
      </c>
      <c r="AF1586">
        <v>0</v>
      </c>
      <c r="AG1586">
        <v>0</v>
      </c>
      <c r="AH1586">
        <v>0</v>
      </c>
      <c r="AI1586">
        <v>0</v>
      </c>
      <c r="AJ1586">
        <v>0</v>
      </c>
      <c r="AK1586">
        <v>0</v>
      </c>
      <c r="AL1586">
        <v>1</v>
      </c>
      <c r="AM1586">
        <v>0.33333333333333331</v>
      </c>
      <c r="AN1586">
        <v>5.0417410714286133</v>
      </c>
    </row>
    <row r="1587" spans="1:40" x14ac:dyDescent="0.3">
      <c r="A1587" t="s">
        <v>447</v>
      </c>
      <c r="B1587" t="s">
        <v>81</v>
      </c>
      <c r="C1587" t="s">
        <v>10</v>
      </c>
      <c r="D1587" t="s">
        <v>14</v>
      </c>
      <c r="E1587">
        <v>202602</v>
      </c>
      <c r="F1587" t="s">
        <v>481</v>
      </c>
      <c r="G1587">
        <v>0</v>
      </c>
      <c r="H1587">
        <v>1</v>
      </c>
      <c r="I1587">
        <v>0</v>
      </c>
      <c r="J1587">
        <v>0</v>
      </c>
      <c r="K1587">
        <v>3</v>
      </c>
      <c r="L1587">
        <v>1</v>
      </c>
      <c r="M1587">
        <v>0</v>
      </c>
      <c r="N1587">
        <v>0</v>
      </c>
      <c r="O1587">
        <v>2</v>
      </c>
      <c r="P1587">
        <v>1</v>
      </c>
      <c r="Q1587">
        <v>1</v>
      </c>
      <c r="R1587">
        <v>0</v>
      </c>
      <c r="S1587">
        <v>0</v>
      </c>
      <c r="T1587">
        <v>0</v>
      </c>
      <c r="U1587">
        <v>0</v>
      </c>
      <c r="V1587">
        <v>0</v>
      </c>
      <c r="W1587">
        <v>0</v>
      </c>
      <c r="X1587">
        <v>0</v>
      </c>
      <c r="Y1587">
        <v>0</v>
      </c>
      <c r="Z1587">
        <v>0</v>
      </c>
      <c r="AA1587">
        <v>0</v>
      </c>
      <c r="AB1587">
        <v>0</v>
      </c>
      <c r="AC1587">
        <v>0</v>
      </c>
      <c r="AD1587">
        <v>0</v>
      </c>
      <c r="AE1587">
        <v>0</v>
      </c>
      <c r="AF1587">
        <v>0</v>
      </c>
      <c r="AG1587">
        <v>0</v>
      </c>
      <c r="AH1587">
        <v>0</v>
      </c>
      <c r="AI1587">
        <v>0</v>
      </c>
      <c r="AJ1587">
        <v>0</v>
      </c>
      <c r="AK1587">
        <v>0</v>
      </c>
      <c r="AL1587">
        <v>9</v>
      </c>
      <c r="AM1587">
        <v>1.3333333333333333</v>
      </c>
      <c r="AN1587">
        <v>25.166964285714453</v>
      </c>
    </row>
    <row r="1588" spans="1:40" x14ac:dyDescent="0.3">
      <c r="A1588" t="s">
        <v>447</v>
      </c>
      <c r="B1588" t="s">
        <v>81</v>
      </c>
      <c r="C1588" t="s">
        <v>10</v>
      </c>
      <c r="D1588" t="s">
        <v>14</v>
      </c>
      <c r="E1588">
        <v>202602</v>
      </c>
      <c r="F1588" t="s">
        <v>83</v>
      </c>
      <c r="G1588">
        <v>0</v>
      </c>
      <c r="H1588">
        <v>0</v>
      </c>
      <c r="I1588">
        <v>1</v>
      </c>
      <c r="J1588">
        <v>1</v>
      </c>
      <c r="K1588">
        <v>0</v>
      </c>
      <c r="L1588">
        <v>1</v>
      </c>
      <c r="M1588">
        <v>0</v>
      </c>
      <c r="N1588">
        <v>0</v>
      </c>
      <c r="O1588">
        <v>2</v>
      </c>
      <c r="P1588">
        <v>3</v>
      </c>
      <c r="Q1588">
        <v>1</v>
      </c>
      <c r="R1588">
        <v>0</v>
      </c>
      <c r="S1588">
        <v>0</v>
      </c>
      <c r="T1588">
        <v>0</v>
      </c>
      <c r="U1588">
        <v>0</v>
      </c>
      <c r="V1588">
        <v>0</v>
      </c>
      <c r="W1588">
        <v>0</v>
      </c>
      <c r="X1588">
        <v>0</v>
      </c>
      <c r="Y1588">
        <v>0</v>
      </c>
      <c r="Z1588">
        <v>0</v>
      </c>
      <c r="AA1588">
        <v>0</v>
      </c>
      <c r="AB1588">
        <v>0</v>
      </c>
      <c r="AC1588">
        <v>0</v>
      </c>
      <c r="AD1588">
        <v>0</v>
      </c>
      <c r="AE1588">
        <v>0</v>
      </c>
      <c r="AF1588">
        <v>0</v>
      </c>
      <c r="AG1588">
        <v>0</v>
      </c>
      <c r="AH1588">
        <v>0</v>
      </c>
      <c r="AI1588">
        <v>0</v>
      </c>
      <c r="AJ1588">
        <v>0</v>
      </c>
      <c r="AK1588">
        <v>0</v>
      </c>
      <c r="AL1588">
        <v>9</v>
      </c>
      <c r="AM1588">
        <v>2</v>
      </c>
      <c r="AN1588">
        <v>33.250446428571678</v>
      </c>
    </row>
    <row r="1589" spans="1:40" x14ac:dyDescent="0.3">
      <c r="A1589" t="s">
        <v>447</v>
      </c>
      <c r="B1589" t="s">
        <v>81</v>
      </c>
      <c r="C1589" t="s">
        <v>10</v>
      </c>
      <c r="D1589" t="s">
        <v>14</v>
      </c>
      <c r="E1589">
        <v>202602</v>
      </c>
      <c r="F1589" t="s">
        <v>482</v>
      </c>
      <c r="G1589">
        <v>0</v>
      </c>
      <c r="H1589">
        <v>3</v>
      </c>
      <c r="I1589">
        <v>2</v>
      </c>
      <c r="J1589">
        <v>5</v>
      </c>
      <c r="K1589">
        <v>1</v>
      </c>
      <c r="L1589">
        <v>3</v>
      </c>
      <c r="M1589">
        <v>0</v>
      </c>
      <c r="N1589">
        <v>0</v>
      </c>
      <c r="O1589">
        <v>1</v>
      </c>
      <c r="P1589">
        <v>0</v>
      </c>
      <c r="Q1589">
        <v>1</v>
      </c>
      <c r="R1589">
        <v>0</v>
      </c>
      <c r="S1589">
        <v>0</v>
      </c>
      <c r="T1589">
        <v>0</v>
      </c>
      <c r="U1589">
        <v>0</v>
      </c>
      <c r="V1589">
        <v>0</v>
      </c>
      <c r="W1589">
        <v>0</v>
      </c>
      <c r="X1589">
        <v>0</v>
      </c>
      <c r="Y1589">
        <v>0</v>
      </c>
      <c r="Z1589">
        <v>0</v>
      </c>
      <c r="AA1589">
        <v>0</v>
      </c>
      <c r="AB1589">
        <v>0</v>
      </c>
      <c r="AC1589">
        <v>0</v>
      </c>
      <c r="AD1589">
        <v>0</v>
      </c>
      <c r="AE1589">
        <v>0</v>
      </c>
      <c r="AF1589">
        <v>0</v>
      </c>
      <c r="AG1589">
        <v>0</v>
      </c>
      <c r="AH1589">
        <v>0</v>
      </c>
      <c r="AI1589">
        <v>0</v>
      </c>
      <c r="AJ1589">
        <v>0</v>
      </c>
      <c r="AK1589">
        <v>0</v>
      </c>
      <c r="AL1589">
        <v>16</v>
      </c>
      <c r="AM1589">
        <v>0.66666666666666663</v>
      </c>
      <c r="AN1589">
        <v>24.083482142857228</v>
      </c>
    </row>
    <row r="1590" spans="1:40" x14ac:dyDescent="0.3">
      <c r="A1590" t="s">
        <v>447</v>
      </c>
      <c r="B1590" t="s">
        <v>81</v>
      </c>
      <c r="C1590" t="s">
        <v>10</v>
      </c>
      <c r="D1590" t="s">
        <v>14</v>
      </c>
      <c r="E1590">
        <v>202602</v>
      </c>
      <c r="F1590" t="s">
        <v>483</v>
      </c>
      <c r="G1590">
        <v>0</v>
      </c>
      <c r="H1590">
        <v>0</v>
      </c>
      <c r="I1590">
        <v>1</v>
      </c>
      <c r="J1590">
        <v>2</v>
      </c>
      <c r="K1590">
        <v>1</v>
      </c>
      <c r="L1590">
        <v>1</v>
      </c>
      <c r="M1590">
        <v>0</v>
      </c>
      <c r="N1590">
        <v>0</v>
      </c>
      <c r="O1590">
        <v>0</v>
      </c>
      <c r="P1590">
        <v>0</v>
      </c>
      <c r="Q1590">
        <v>0</v>
      </c>
      <c r="R1590">
        <v>0</v>
      </c>
      <c r="S1590">
        <v>0</v>
      </c>
      <c r="T1590">
        <v>0</v>
      </c>
      <c r="U1590">
        <v>0</v>
      </c>
      <c r="V1590">
        <v>0</v>
      </c>
      <c r="W1590">
        <v>0</v>
      </c>
      <c r="X1590">
        <v>0</v>
      </c>
      <c r="Y1590">
        <v>0</v>
      </c>
      <c r="Z1590">
        <v>0</v>
      </c>
      <c r="AA1590">
        <v>0</v>
      </c>
      <c r="AB1590">
        <v>0</v>
      </c>
      <c r="AC1590">
        <v>0</v>
      </c>
      <c r="AD1590">
        <v>0</v>
      </c>
      <c r="AE1590">
        <v>0</v>
      </c>
      <c r="AF1590">
        <v>0</v>
      </c>
      <c r="AG1590">
        <v>0</v>
      </c>
      <c r="AH1590">
        <v>0</v>
      </c>
      <c r="AI1590">
        <v>0</v>
      </c>
      <c r="AJ1590">
        <v>0</v>
      </c>
      <c r="AK1590">
        <v>0</v>
      </c>
      <c r="AL1590">
        <v>5</v>
      </c>
      <c r="AM1590">
        <v>0</v>
      </c>
      <c r="AN1590">
        <v>5</v>
      </c>
    </row>
    <row r="1591" spans="1:40" x14ac:dyDescent="0.3">
      <c r="A1591" t="s">
        <v>447</v>
      </c>
      <c r="B1591" t="s">
        <v>81</v>
      </c>
      <c r="C1591" t="s">
        <v>10</v>
      </c>
      <c r="D1591" t="s">
        <v>14</v>
      </c>
      <c r="E1591">
        <v>202602</v>
      </c>
      <c r="F1591" t="s">
        <v>495</v>
      </c>
      <c r="G1591">
        <v>0</v>
      </c>
      <c r="H1591">
        <v>0</v>
      </c>
      <c r="I1591">
        <v>0</v>
      </c>
      <c r="J1591">
        <v>0</v>
      </c>
      <c r="K1591">
        <v>1</v>
      </c>
      <c r="L1591">
        <v>0</v>
      </c>
      <c r="M1591">
        <v>0</v>
      </c>
      <c r="N1591">
        <v>0</v>
      </c>
      <c r="O1591">
        <v>2</v>
      </c>
      <c r="P1591">
        <v>0</v>
      </c>
      <c r="Q1591">
        <v>0</v>
      </c>
      <c r="R1591">
        <v>0</v>
      </c>
      <c r="S1591">
        <v>0</v>
      </c>
      <c r="T1591">
        <v>0</v>
      </c>
      <c r="U1591">
        <v>0</v>
      </c>
      <c r="V1591">
        <v>0</v>
      </c>
      <c r="W1591">
        <v>0</v>
      </c>
      <c r="X1591">
        <v>0</v>
      </c>
      <c r="Y1591">
        <v>0</v>
      </c>
      <c r="Z1591">
        <v>0</v>
      </c>
      <c r="AA1591">
        <v>0</v>
      </c>
      <c r="AB1591">
        <v>0</v>
      </c>
      <c r="AC1591">
        <v>0</v>
      </c>
      <c r="AD1591">
        <v>0</v>
      </c>
      <c r="AE1591">
        <v>0</v>
      </c>
      <c r="AF1591">
        <v>0</v>
      </c>
      <c r="AG1591">
        <v>0</v>
      </c>
      <c r="AH1591">
        <v>0</v>
      </c>
      <c r="AI1591">
        <v>0</v>
      </c>
      <c r="AJ1591">
        <v>0</v>
      </c>
      <c r="AK1591">
        <v>0</v>
      </c>
      <c r="AL1591">
        <v>3</v>
      </c>
      <c r="AM1591">
        <v>0.66666666666666663</v>
      </c>
      <c r="AN1591">
        <v>11.083482142857227</v>
      </c>
    </row>
    <row r="1592" spans="1:40" x14ac:dyDescent="0.3">
      <c r="A1592" t="s">
        <v>447</v>
      </c>
      <c r="B1592" t="s">
        <v>81</v>
      </c>
      <c r="C1592" t="s">
        <v>10</v>
      </c>
      <c r="D1592" t="s">
        <v>14</v>
      </c>
      <c r="E1592">
        <v>202602</v>
      </c>
      <c r="F1592" t="s">
        <v>485</v>
      </c>
      <c r="G1592">
        <v>0</v>
      </c>
      <c r="H1592">
        <v>3</v>
      </c>
      <c r="I1592">
        <v>1</v>
      </c>
      <c r="J1592">
        <v>3</v>
      </c>
      <c r="K1592">
        <v>2</v>
      </c>
      <c r="L1592">
        <v>3</v>
      </c>
      <c r="M1592">
        <v>1</v>
      </c>
      <c r="N1592">
        <v>0</v>
      </c>
      <c r="O1592">
        <v>0</v>
      </c>
      <c r="P1592">
        <v>1</v>
      </c>
      <c r="Q1592">
        <v>2</v>
      </c>
      <c r="R1592">
        <v>0</v>
      </c>
      <c r="S1592">
        <v>0</v>
      </c>
      <c r="T1592">
        <v>0</v>
      </c>
      <c r="U1592">
        <v>0</v>
      </c>
      <c r="V1592">
        <v>0</v>
      </c>
      <c r="W1592">
        <v>0</v>
      </c>
      <c r="X1592">
        <v>0</v>
      </c>
      <c r="Y1592">
        <v>0</v>
      </c>
      <c r="Z1592">
        <v>0</v>
      </c>
      <c r="AA1592">
        <v>0</v>
      </c>
      <c r="AB1592">
        <v>0</v>
      </c>
      <c r="AC1592">
        <v>0</v>
      </c>
      <c r="AD1592">
        <v>0</v>
      </c>
      <c r="AE1592">
        <v>0</v>
      </c>
      <c r="AF1592">
        <v>0</v>
      </c>
      <c r="AG1592">
        <v>0</v>
      </c>
      <c r="AH1592">
        <v>0</v>
      </c>
      <c r="AI1592">
        <v>0</v>
      </c>
      <c r="AJ1592">
        <v>0</v>
      </c>
      <c r="AK1592">
        <v>0</v>
      </c>
      <c r="AL1592">
        <v>16</v>
      </c>
      <c r="AM1592">
        <v>1</v>
      </c>
      <c r="AN1592">
        <v>28.125223214285839</v>
      </c>
    </row>
    <row r="1593" spans="1:40" x14ac:dyDescent="0.3">
      <c r="A1593" t="s">
        <v>447</v>
      </c>
      <c r="B1593" t="s">
        <v>81</v>
      </c>
      <c r="C1593" t="s">
        <v>10</v>
      </c>
      <c r="D1593" t="s">
        <v>14</v>
      </c>
      <c r="E1593">
        <v>202602</v>
      </c>
      <c r="F1593" t="s">
        <v>486</v>
      </c>
      <c r="G1593">
        <v>0</v>
      </c>
      <c r="H1593">
        <v>0</v>
      </c>
      <c r="I1593">
        <v>1</v>
      </c>
      <c r="J1593">
        <v>0</v>
      </c>
      <c r="K1593">
        <v>0</v>
      </c>
      <c r="L1593">
        <v>0</v>
      </c>
      <c r="M1593">
        <v>0</v>
      </c>
      <c r="N1593">
        <v>0</v>
      </c>
      <c r="O1593">
        <v>0</v>
      </c>
      <c r="P1593">
        <v>0</v>
      </c>
      <c r="Q1593">
        <v>0</v>
      </c>
      <c r="R1593">
        <v>0</v>
      </c>
      <c r="S1593">
        <v>0</v>
      </c>
      <c r="T1593">
        <v>0</v>
      </c>
      <c r="U1593">
        <v>0</v>
      </c>
      <c r="V1593">
        <v>0</v>
      </c>
      <c r="W1593">
        <v>0</v>
      </c>
      <c r="X1593">
        <v>0</v>
      </c>
      <c r="Y1593">
        <v>0</v>
      </c>
      <c r="Z1593">
        <v>0</v>
      </c>
      <c r="AA1593">
        <v>0</v>
      </c>
      <c r="AB1593">
        <v>0</v>
      </c>
      <c r="AC1593">
        <v>0</v>
      </c>
      <c r="AD1593">
        <v>0</v>
      </c>
      <c r="AE1593">
        <v>0</v>
      </c>
      <c r="AF1593">
        <v>0</v>
      </c>
      <c r="AG1593">
        <v>0</v>
      </c>
      <c r="AH1593">
        <v>0</v>
      </c>
      <c r="AI1593">
        <v>0</v>
      </c>
      <c r="AJ1593">
        <v>0</v>
      </c>
      <c r="AK1593">
        <v>0</v>
      </c>
      <c r="AL1593">
        <v>1</v>
      </c>
      <c r="AM1593">
        <v>0</v>
      </c>
      <c r="AN1593">
        <v>1</v>
      </c>
    </row>
    <row r="1594" spans="1:40" x14ac:dyDescent="0.3">
      <c r="A1594" t="s">
        <v>447</v>
      </c>
      <c r="B1594" t="s">
        <v>81</v>
      </c>
      <c r="C1594" t="s">
        <v>10</v>
      </c>
      <c r="D1594" t="s">
        <v>14</v>
      </c>
      <c r="E1594">
        <v>202602</v>
      </c>
      <c r="F1594" t="s">
        <v>487</v>
      </c>
      <c r="G1594">
        <v>0</v>
      </c>
      <c r="H1594">
        <v>0</v>
      </c>
      <c r="I1594">
        <v>2</v>
      </c>
      <c r="J1594">
        <v>0</v>
      </c>
      <c r="K1594">
        <v>1</v>
      </c>
      <c r="L1594">
        <v>1</v>
      </c>
      <c r="M1594">
        <v>0</v>
      </c>
      <c r="N1594">
        <v>0</v>
      </c>
      <c r="O1594">
        <v>0</v>
      </c>
      <c r="P1594">
        <v>0</v>
      </c>
      <c r="Q1594">
        <v>0</v>
      </c>
      <c r="R1594">
        <v>0</v>
      </c>
      <c r="S1594">
        <v>0</v>
      </c>
      <c r="T1594">
        <v>0</v>
      </c>
      <c r="U1594">
        <v>0</v>
      </c>
      <c r="V1594">
        <v>0</v>
      </c>
      <c r="W1594">
        <v>0</v>
      </c>
      <c r="X1594">
        <v>0</v>
      </c>
      <c r="Y1594">
        <v>0</v>
      </c>
      <c r="Z1594">
        <v>0</v>
      </c>
      <c r="AA1594">
        <v>0</v>
      </c>
      <c r="AB1594">
        <v>0</v>
      </c>
      <c r="AC1594">
        <v>0</v>
      </c>
      <c r="AD1594">
        <v>0</v>
      </c>
      <c r="AE1594">
        <v>0</v>
      </c>
      <c r="AF1594">
        <v>0</v>
      </c>
      <c r="AG1594">
        <v>0</v>
      </c>
      <c r="AH1594">
        <v>0</v>
      </c>
      <c r="AI1594">
        <v>0</v>
      </c>
      <c r="AJ1594">
        <v>0</v>
      </c>
      <c r="AK1594">
        <v>0</v>
      </c>
      <c r="AL1594">
        <v>4</v>
      </c>
      <c r="AM1594">
        <v>0</v>
      </c>
      <c r="AN1594">
        <v>4</v>
      </c>
    </row>
    <row r="1595" spans="1:40" x14ac:dyDescent="0.3">
      <c r="A1595" t="s">
        <v>447</v>
      </c>
      <c r="B1595" t="s">
        <v>81</v>
      </c>
      <c r="C1595" t="s">
        <v>10</v>
      </c>
      <c r="D1595" t="s">
        <v>14</v>
      </c>
      <c r="E1595">
        <v>202602</v>
      </c>
      <c r="F1595" t="s">
        <v>488</v>
      </c>
      <c r="G1595">
        <v>0</v>
      </c>
      <c r="H1595">
        <v>1</v>
      </c>
      <c r="I1595">
        <v>3</v>
      </c>
      <c r="J1595">
        <v>1</v>
      </c>
      <c r="K1595">
        <v>1</v>
      </c>
      <c r="L1595">
        <v>0</v>
      </c>
      <c r="M1595">
        <v>0</v>
      </c>
      <c r="N1595">
        <v>0</v>
      </c>
      <c r="O1595">
        <v>3</v>
      </c>
      <c r="P1595">
        <v>1</v>
      </c>
      <c r="Q1595">
        <v>0</v>
      </c>
      <c r="R1595">
        <v>0</v>
      </c>
      <c r="S1595">
        <v>0</v>
      </c>
      <c r="T1595">
        <v>0</v>
      </c>
      <c r="U1595">
        <v>0</v>
      </c>
      <c r="V1595">
        <v>0</v>
      </c>
      <c r="W1595">
        <v>0</v>
      </c>
      <c r="X1595">
        <v>0</v>
      </c>
      <c r="Y1595">
        <v>0</v>
      </c>
      <c r="Z1595">
        <v>0</v>
      </c>
      <c r="AA1595">
        <v>0</v>
      </c>
      <c r="AB1595">
        <v>0</v>
      </c>
      <c r="AC1595">
        <v>0</v>
      </c>
      <c r="AD1595">
        <v>0</v>
      </c>
      <c r="AE1595">
        <v>0</v>
      </c>
      <c r="AF1595">
        <v>0</v>
      </c>
      <c r="AG1595">
        <v>0</v>
      </c>
      <c r="AH1595">
        <v>0</v>
      </c>
      <c r="AI1595">
        <v>0</v>
      </c>
      <c r="AJ1595">
        <v>0</v>
      </c>
      <c r="AK1595">
        <v>0</v>
      </c>
      <c r="AL1595">
        <v>10</v>
      </c>
      <c r="AM1595">
        <v>1.3333333333333333</v>
      </c>
      <c r="AN1595">
        <v>26.166964285714453</v>
      </c>
    </row>
    <row r="1596" spans="1:40" x14ac:dyDescent="0.3">
      <c r="A1596" t="s">
        <v>447</v>
      </c>
      <c r="B1596" t="s">
        <v>81</v>
      </c>
      <c r="C1596" t="s">
        <v>10</v>
      </c>
      <c r="D1596" t="s">
        <v>14</v>
      </c>
      <c r="E1596">
        <v>202602</v>
      </c>
      <c r="F1596" t="s">
        <v>489</v>
      </c>
      <c r="G1596">
        <v>0</v>
      </c>
      <c r="H1596">
        <v>1</v>
      </c>
      <c r="I1596">
        <v>0</v>
      </c>
      <c r="J1596">
        <v>0</v>
      </c>
      <c r="K1596">
        <v>0</v>
      </c>
      <c r="L1596">
        <v>0</v>
      </c>
      <c r="M1596">
        <v>0</v>
      </c>
      <c r="N1596">
        <v>0</v>
      </c>
      <c r="O1596">
        <v>0</v>
      </c>
      <c r="P1596">
        <v>0</v>
      </c>
      <c r="Q1596">
        <v>0</v>
      </c>
      <c r="R1596">
        <v>0</v>
      </c>
      <c r="S1596">
        <v>0</v>
      </c>
      <c r="T1596">
        <v>0</v>
      </c>
      <c r="U1596">
        <v>0</v>
      </c>
      <c r="V1596">
        <v>0</v>
      </c>
      <c r="W1596">
        <v>0</v>
      </c>
      <c r="X1596">
        <v>0</v>
      </c>
      <c r="Y1596">
        <v>0</v>
      </c>
      <c r="Z1596">
        <v>0</v>
      </c>
      <c r="AA1596">
        <v>0</v>
      </c>
      <c r="AB1596">
        <v>0</v>
      </c>
      <c r="AC1596">
        <v>0</v>
      </c>
      <c r="AD1596">
        <v>0</v>
      </c>
      <c r="AE1596">
        <v>0</v>
      </c>
      <c r="AF1596">
        <v>0</v>
      </c>
      <c r="AG1596">
        <v>0</v>
      </c>
      <c r="AH1596">
        <v>0</v>
      </c>
      <c r="AI1596">
        <v>0</v>
      </c>
      <c r="AJ1596">
        <v>0</v>
      </c>
      <c r="AK1596">
        <v>0</v>
      </c>
      <c r="AL1596">
        <v>1</v>
      </c>
      <c r="AM1596">
        <v>0</v>
      </c>
      <c r="AN1596">
        <v>1</v>
      </c>
    </row>
    <row r="1597" spans="1:40" x14ac:dyDescent="0.3">
      <c r="A1597" t="s">
        <v>447</v>
      </c>
      <c r="B1597" t="s">
        <v>81</v>
      </c>
      <c r="C1597" t="s">
        <v>10</v>
      </c>
      <c r="D1597" t="s">
        <v>14</v>
      </c>
      <c r="E1597">
        <v>202602</v>
      </c>
      <c r="F1597" t="s">
        <v>490</v>
      </c>
      <c r="G1597">
        <v>0</v>
      </c>
      <c r="H1597">
        <v>1</v>
      </c>
      <c r="I1597">
        <v>0</v>
      </c>
      <c r="J1597">
        <v>0</v>
      </c>
      <c r="K1597">
        <v>0</v>
      </c>
      <c r="L1597">
        <v>1</v>
      </c>
      <c r="M1597">
        <v>0</v>
      </c>
      <c r="N1597">
        <v>0</v>
      </c>
      <c r="O1597">
        <v>2</v>
      </c>
      <c r="P1597">
        <v>0</v>
      </c>
      <c r="Q1597">
        <v>1</v>
      </c>
      <c r="R1597">
        <v>0</v>
      </c>
      <c r="S1597">
        <v>0</v>
      </c>
      <c r="T1597">
        <v>0</v>
      </c>
      <c r="U1597">
        <v>0</v>
      </c>
      <c r="V1597">
        <v>0</v>
      </c>
      <c r="W1597">
        <v>0</v>
      </c>
      <c r="X1597">
        <v>0</v>
      </c>
      <c r="Y1597">
        <v>0</v>
      </c>
      <c r="Z1597">
        <v>0</v>
      </c>
      <c r="AA1597">
        <v>0</v>
      </c>
      <c r="AB1597">
        <v>0</v>
      </c>
      <c r="AC1597">
        <v>0</v>
      </c>
      <c r="AD1597">
        <v>0</v>
      </c>
      <c r="AE1597">
        <v>0</v>
      </c>
      <c r="AF1597">
        <v>0</v>
      </c>
      <c r="AG1597">
        <v>0</v>
      </c>
      <c r="AH1597">
        <v>0</v>
      </c>
      <c r="AI1597">
        <v>0</v>
      </c>
      <c r="AJ1597">
        <v>0</v>
      </c>
      <c r="AK1597">
        <v>0</v>
      </c>
      <c r="AL1597">
        <v>5</v>
      </c>
      <c r="AM1597">
        <v>1</v>
      </c>
      <c r="AN1597">
        <v>17.125223214285839</v>
      </c>
    </row>
    <row r="1598" spans="1:40" x14ac:dyDescent="0.3">
      <c r="A1598" t="s">
        <v>447</v>
      </c>
      <c r="B1598" t="s">
        <v>81</v>
      </c>
      <c r="C1598" t="s">
        <v>10</v>
      </c>
      <c r="D1598" t="s">
        <v>14</v>
      </c>
      <c r="E1598">
        <v>202602</v>
      </c>
      <c r="F1598" t="s">
        <v>491</v>
      </c>
      <c r="G1598">
        <v>0</v>
      </c>
      <c r="H1598">
        <v>0</v>
      </c>
      <c r="I1598">
        <v>2</v>
      </c>
      <c r="J1598">
        <v>0</v>
      </c>
      <c r="K1598">
        <v>4</v>
      </c>
      <c r="L1598">
        <v>1</v>
      </c>
      <c r="M1598">
        <v>0</v>
      </c>
      <c r="N1598">
        <v>0</v>
      </c>
      <c r="O1598">
        <v>0</v>
      </c>
      <c r="P1598">
        <v>1</v>
      </c>
      <c r="Q1598">
        <v>1</v>
      </c>
      <c r="R1598">
        <v>0</v>
      </c>
      <c r="S1598">
        <v>0</v>
      </c>
      <c r="T1598">
        <v>0</v>
      </c>
      <c r="U1598">
        <v>0</v>
      </c>
      <c r="V1598">
        <v>0</v>
      </c>
      <c r="W1598">
        <v>0</v>
      </c>
      <c r="X1598">
        <v>0</v>
      </c>
      <c r="Y1598">
        <v>0</v>
      </c>
      <c r="Z1598">
        <v>0</v>
      </c>
      <c r="AA1598">
        <v>0</v>
      </c>
      <c r="AB1598">
        <v>0</v>
      </c>
      <c r="AC1598">
        <v>0</v>
      </c>
      <c r="AD1598">
        <v>0</v>
      </c>
      <c r="AE1598">
        <v>0</v>
      </c>
      <c r="AF1598">
        <v>0</v>
      </c>
      <c r="AG1598">
        <v>0</v>
      </c>
      <c r="AH1598">
        <v>0</v>
      </c>
      <c r="AI1598">
        <v>0</v>
      </c>
      <c r="AJ1598">
        <v>0</v>
      </c>
      <c r="AK1598">
        <v>0</v>
      </c>
      <c r="AL1598">
        <v>9</v>
      </c>
      <c r="AM1598">
        <v>0.66666666666666663</v>
      </c>
      <c r="AN1598">
        <v>17.083482142857228</v>
      </c>
    </row>
    <row r="1599" spans="1:40" x14ac:dyDescent="0.3">
      <c r="A1599" t="s">
        <v>447</v>
      </c>
      <c r="B1599" t="s">
        <v>81</v>
      </c>
      <c r="C1599" t="s">
        <v>10</v>
      </c>
      <c r="D1599" t="s">
        <v>14</v>
      </c>
      <c r="E1599">
        <v>202602</v>
      </c>
      <c r="F1599" t="s">
        <v>496</v>
      </c>
      <c r="G1599">
        <v>0</v>
      </c>
      <c r="H1599">
        <v>0</v>
      </c>
      <c r="I1599">
        <v>0</v>
      </c>
      <c r="J1599">
        <v>0</v>
      </c>
      <c r="K1599">
        <v>0</v>
      </c>
      <c r="L1599">
        <v>0</v>
      </c>
      <c r="M1599">
        <v>0</v>
      </c>
      <c r="N1599">
        <v>0</v>
      </c>
      <c r="O1599">
        <v>0</v>
      </c>
      <c r="P1599">
        <v>1</v>
      </c>
      <c r="Q1599">
        <v>0</v>
      </c>
      <c r="R1599">
        <v>0</v>
      </c>
      <c r="S1599">
        <v>0</v>
      </c>
      <c r="T1599">
        <v>0</v>
      </c>
      <c r="U1599">
        <v>0</v>
      </c>
      <c r="V1599">
        <v>0</v>
      </c>
      <c r="W1599">
        <v>0</v>
      </c>
      <c r="X1599">
        <v>0</v>
      </c>
      <c r="Y1599">
        <v>0</v>
      </c>
      <c r="Z1599">
        <v>0</v>
      </c>
      <c r="AA1599">
        <v>0</v>
      </c>
      <c r="AB1599">
        <v>0</v>
      </c>
      <c r="AC1599">
        <v>0</v>
      </c>
      <c r="AD1599">
        <v>0</v>
      </c>
      <c r="AE1599">
        <v>0</v>
      </c>
      <c r="AF1599">
        <v>0</v>
      </c>
      <c r="AG1599">
        <v>0</v>
      </c>
      <c r="AH1599">
        <v>0</v>
      </c>
      <c r="AI1599">
        <v>0</v>
      </c>
      <c r="AJ1599">
        <v>0</v>
      </c>
      <c r="AK1599">
        <v>0</v>
      </c>
      <c r="AL1599">
        <v>1</v>
      </c>
      <c r="AM1599">
        <v>0.33333333333333331</v>
      </c>
      <c r="AN1599">
        <v>5.0417410714286133</v>
      </c>
    </row>
    <row r="1600" spans="1:40" x14ac:dyDescent="0.3">
      <c r="A1600" t="s">
        <v>447</v>
      </c>
      <c r="B1600" t="s">
        <v>81</v>
      </c>
      <c r="C1600" t="s">
        <v>10</v>
      </c>
      <c r="D1600" t="s">
        <v>14</v>
      </c>
      <c r="E1600">
        <v>202602</v>
      </c>
      <c r="F1600" t="s">
        <v>492</v>
      </c>
      <c r="G1600">
        <v>0</v>
      </c>
      <c r="H1600">
        <v>1</v>
      </c>
      <c r="I1600">
        <v>0</v>
      </c>
      <c r="J1600">
        <v>2</v>
      </c>
      <c r="K1600">
        <v>0</v>
      </c>
      <c r="L1600">
        <v>0</v>
      </c>
      <c r="M1600">
        <v>0</v>
      </c>
      <c r="N1600">
        <v>0</v>
      </c>
      <c r="O1600">
        <v>0</v>
      </c>
      <c r="P1600">
        <v>1</v>
      </c>
      <c r="Q1600">
        <v>0</v>
      </c>
      <c r="R1600">
        <v>0</v>
      </c>
      <c r="S1600">
        <v>0</v>
      </c>
      <c r="T1600">
        <v>0</v>
      </c>
      <c r="U1600">
        <v>0</v>
      </c>
      <c r="V1600">
        <v>0</v>
      </c>
      <c r="W1600">
        <v>0</v>
      </c>
      <c r="X1600">
        <v>0</v>
      </c>
      <c r="Y1600">
        <v>0</v>
      </c>
      <c r="Z1600">
        <v>0</v>
      </c>
      <c r="AA1600">
        <v>0</v>
      </c>
      <c r="AB1600">
        <v>0</v>
      </c>
      <c r="AC1600">
        <v>0</v>
      </c>
      <c r="AD1600">
        <v>0</v>
      </c>
      <c r="AE1600">
        <v>0</v>
      </c>
      <c r="AF1600">
        <v>0</v>
      </c>
      <c r="AG1600">
        <v>0</v>
      </c>
      <c r="AH1600">
        <v>0</v>
      </c>
      <c r="AI1600">
        <v>0</v>
      </c>
      <c r="AJ1600">
        <v>0</v>
      </c>
      <c r="AK1600">
        <v>0</v>
      </c>
      <c r="AL1600">
        <v>4</v>
      </c>
      <c r="AM1600">
        <v>0.33333333333333331</v>
      </c>
      <c r="AN1600">
        <v>8.0417410714286142</v>
      </c>
    </row>
    <row r="1601" spans="1:40" x14ac:dyDescent="0.3">
      <c r="A1601" t="s">
        <v>447</v>
      </c>
      <c r="B1601" t="s">
        <v>81</v>
      </c>
      <c r="C1601" t="s">
        <v>10</v>
      </c>
      <c r="D1601" t="s">
        <v>14</v>
      </c>
      <c r="E1601">
        <v>202602</v>
      </c>
      <c r="F1601" t="s">
        <v>493</v>
      </c>
      <c r="G1601">
        <v>0</v>
      </c>
      <c r="H1601">
        <v>0</v>
      </c>
      <c r="I1601">
        <v>2</v>
      </c>
      <c r="J1601">
        <v>0</v>
      </c>
      <c r="K1601">
        <v>0</v>
      </c>
      <c r="L1601">
        <v>0</v>
      </c>
      <c r="M1601">
        <v>0</v>
      </c>
      <c r="N1601">
        <v>0</v>
      </c>
      <c r="O1601">
        <v>0</v>
      </c>
      <c r="P1601">
        <v>0</v>
      </c>
      <c r="Q1601">
        <v>0</v>
      </c>
      <c r="R1601">
        <v>0</v>
      </c>
      <c r="S1601">
        <v>0</v>
      </c>
      <c r="T1601">
        <v>0</v>
      </c>
      <c r="U1601">
        <v>0</v>
      </c>
      <c r="V1601">
        <v>0</v>
      </c>
      <c r="W1601">
        <v>0</v>
      </c>
      <c r="X1601">
        <v>0</v>
      </c>
      <c r="Y1601">
        <v>0</v>
      </c>
      <c r="Z1601">
        <v>0</v>
      </c>
      <c r="AA1601">
        <v>0</v>
      </c>
      <c r="AB1601">
        <v>0</v>
      </c>
      <c r="AC1601">
        <v>0</v>
      </c>
      <c r="AD1601">
        <v>0</v>
      </c>
      <c r="AE1601">
        <v>0</v>
      </c>
      <c r="AF1601">
        <v>0</v>
      </c>
      <c r="AG1601">
        <v>0</v>
      </c>
      <c r="AH1601">
        <v>0</v>
      </c>
      <c r="AI1601">
        <v>0</v>
      </c>
      <c r="AJ1601">
        <v>0</v>
      </c>
      <c r="AK1601">
        <v>0</v>
      </c>
      <c r="AL1601">
        <v>2</v>
      </c>
      <c r="AM1601">
        <v>0</v>
      </c>
      <c r="AN1601">
        <v>2</v>
      </c>
    </row>
    <row r="1602" spans="1:40" x14ac:dyDescent="0.3">
      <c r="A1602" t="s">
        <v>447</v>
      </c>
      <c r="B1602" t="s">
        <v>81</v>
      </c>
      <c r="C1602" t="s">
        <v>16</v>
      </c>
      <c r="D1602" t="s">
        <v>11</v>
      </c>
      <c r="E1602">
        <v>202602</v>
      </c>
      <c r="F1602" t="s">
        <v>478</v>
      </c>
      <c r="G1602">
        <v>0</v>
      </c>
      <c r="H1602">
        <v>0</v>
      </c>
      <c r="I1602">
        <v>0</v>
      </c>
      <c r="J1602">
        <v>0</v>
      </c>
      <c r="K1602">
        <v>0</v>
      </c>
      <c r="L1602">
        <v>0</v>
      </c>
      <c r="M1602">
        <v>0</v>
      </c>
      <c r="N1602">
        <v>0</v>
      </c>
      <c r="O1602">
        <v>0</v>
      </c>
      <c r="P1602">
        <v>0</v>
      </c>
      <c r="Q1602">
        <v>1</v>
      </c>
      <c r="R1602">
        <v>0</v>
      </c>
      <c r="S1602">
        <v>0</v>
      </c>
      <c r="T1602">
        <v>0</v>
      </c>
      <c r="U1602">
        <v>0</v>
      </c>
      <c r="V1602">
        <v>0</v>
      </c>
      <c r="W1602">
        <v>0</v>
      </c>
      <c r="X1602">
        <v>0</v>
      </c>
      <c r="Y1602">
        <v>0</v>
      </c>
      <c r="Z1602">
        <v>0</v>
      </c>
      <c r="AA1602">
        <v>0</v>
      </c>
      <c r="AB1602">
        <v>0</v>
      </c>
      <c r="AC1602">
        <v>0</v>
      </c>
      <c r="AD1602">
        <v>0</v>
      </c>
      <c r="AE1602">
        <v>0</v>
      </c>
      <c r="AF1602">
        <v>0</v>
      </c>
      <c r="AG1602">
        <v>0</v>
      </c>
      <c r="AH1602">
        <v>0</v>
      </c>
      <c r="AI1602">
        <v>0</v>
      </c>
      <c r="AJ1602">
        <v>0</v>
      </c>
      <c r="AK1602">
        <v>0</v>
      </c>
      <c r="AL1602">
        <v>1</v>
      </c>
      <c r="AM1602">
        <v>0.33333333333333331</v>
      </c>
      <c r="AN1602">
        <v>5.6046251398731117</v>
      </c>
    </row>
    <row r="1603" spans="1:40" x14ac:dyDescent="0.3">
      <c r="A1603" t="s">
        <v>447</v>
      </c>
      <c r="B1603" t="s">
        <v>81</v>
      </c>
      <c r="C1603" t="s">
        <v>16</v>
      </c>
      <c r="D1603" t="s">
        <v>11</v>
      </c>
      <c r="E1603">
        <v>202602</v>
      </c>
      <c r="F1603" t="s">
        <v>483</v>
      </c>
      <c r="G1603">
        <v>0</v>
      </c>
      <c r="H1603">
        <v>0</v>
      </c>
      <c r="I1603">
        <v>0</v>
      </c>
      <c r="J1603">
        <v>0</v>
      </c>
      <c r="K1603">
        <v>0</v>
      </c>
      <c r="L1603">
        <v>0</v>
      </c>
      <c r="M1603">
        <v>0</v>
      </c>
      <c r="N1603">
        <v>0</v>
      </c>
      <c r="O1603">
        <v>1</v>
      </c>
      <c r="P1603">
        <v>0</v>
      </c>
      <c r="Q1603">
        <v>0</v>
      </c>
      <c r="R1603">
        <v>0</v>
      </c>
      <c r="S1603">
        <v>0</v>
      </c>
      <c r="T1603">
        <v>0</v>
      </c>
      <c r="U1603">
        <v>0</v>
      </c>
      <c r="V1603">
        <v>0</v>
      </c>
      <c r="W1603">
        <v>0</v>
      </c>
      <c r="X1603">
        <v>0</v>
      </c>
      <c r="Y1603">
        <v>0</v>
      </c>
      <c r="Z1603">
        <v>0</v>
      </c>
      <c r="AA1603">
        <v>0</v>
      </c>
      <c r="AB1603">
        <v>0</v>
      </c>
      <c r="AC1603">
        <v>0</v>
      </c>
      <c r="AD1603">
        <v>0</v>
      </c>
      <c r="AE1603">
        <v>0</v>
      </c>
      <c r="AF1603">
        <v>0</v>
      </c>
      <c r="AG1603">
        <v>0</v>
      </c>
      <c r="AH1603">
        <v>0</v>
      </c>
      <c r="AI1603">
        <v>0</v>
      </c>
      <c r="AJ1603">
        <v>0</v>
      </c>
      <c r="AK1603">
        <v>0</v>
      </c>
      <c r="AL1603">
        <v>1</v>
      </c>
      <c r="AM1603">
        <v>0.33333333333333331</v>
      </c>
      <c r="AN1603">
        <v>5.6046251398731117</v>
      </c>
    </row>
    <row r="1604" spans="1:40" x14ac:dyDescent="0.3">
      <c r="A1604" t="s">
        <v>447</v>
      </c>
      <c r="B1604" t="s">
        <v>81</v>
      </c>
      <c r="C1604" t="s">
        <v>16</v>
      </c>
      <c r="D1604" t="s">
        <v>14</v>
      </c>
      <c r="E1604">
        <v>202602</v>
      </c>
      <c r="F1604" t="s">
        <v>478</v>
      </c>
      <c r="G1604">
        <v>0</v>
      </c>
      <c r="H1604">
        <v>0</v>
      </c>
      <c r="I1604">
        <v>0</v>
      </c>
      <c r="J1604">
        <v>0</v>
      </c>
      <c r="K1604">
        <v>0</v>
      </c>
      <c r="L1604">
        <v>1</v>
      </c>
      <c r="M1604">
        <v>0</v>
      </c>
      <c r="N1604">
        <v>0</v>
      </c>
      <c r="O1604">
        <v>0</v>
      </c>
      <c r="P1604">
        <v>0</v>
      </c>
      <c r="Q1604">
        <v>0</v>
      </c>
      <c r="R1604">
        <v>0</v>
      </c>
      <c r="S1604">
        <v>0</v>
      </c>
      <c r="T1604">
        <v>0</v>
      </c>
      <c r="U1604">
        <v>0</v>
      </c>
      <c r="V1604">
        <v>0</v>
      </c>
      <c r="W1604">
        <v>0</v>
      </c>
      <c r="X1604">
        <v>0</v>
      </c>
      <c r="Y1604">
        <v>0</v>
      </c>
      <c r="Z1604">
        <v>0</v>
      </c>
      <c r="AA1604">
        <v>0</v>
      </c>
      <c r="AB1604">
        <v>0</v>
      </c>
      <c r="AC1604">
        <v>0</v>
      </c>
      <c r="AD1604">
        <v>0</v>
      </c>
      <c r="AE1604">
        <v>0</v>
      </c>
      <c r="AF1604">
        <v>0</v>
      </c>
      <c r="AG1604">
        <v>0</v>
      </c>
      <c r="AH1604">
        <v>0</v>
      </c>
      <c r="AI1604">
        <v>0</v>
      </c>
      <c r="AJ1604">
        <v>0</v>
      </c>
      <c r="AK1604">
        <v>0</v>
      </c>
      <c r="AL1604">
        <v>1</v>
      </c>
      <c r="AM1604">
        <v>0</v>
      </c>
      <c r="AN1604">
        <v>1</v>
      </c>
    </row>
    <row r="1605" spans="1:40" x14ac:dyDescent="0.3">
      <c r="A1605" t="s">
        <v>447</v>
      </c>
      <c r="B1605" t="s">
        <v>81</v>
      </c>
      <c r="C1605" t="s">
        <v>16</v>
      </c>
      <c r="D1605" t="s">
        <v>14</v>
      </c>
      <c r="E1605">
        <v>202602</v>
      </c>
      <c r="F1605" t="s">
        <v>497</v>
      </c>
      <c r="G1605">
        <v>0</v>
      </c>
      <c r="H1605">
        <v>0</v>
      </c>
      <c r="I1605">
        <v>0</v>
      </c>
      <c r="J1605">
        <v>0</v>
      </c>
      <c r="K1605">
        <v>1</v>
      </c>
      <c r="L1605">
        <v>0</v>
      </c>
      <c r="M1605">
        <v>0</v>
      </c>
      <c r="N1605">
        <v>0</v>
      </c>
      <c r="O1605">
        <v>0</v>
      </c>
      <c r="P1605">
        <v>0</v>
      </c>
      <c r="Q1605">
        <v>0</v>
      </c>
      <c r="R1605">
        <v>0</v>
      </c>
      <c r="S1605">
        <v>0</v>
      </c>
      <c r="T1605">
        <v>0</v>
      </c>
      <c r="U1605">
        <v>0</v>
      </c>
      <c r="V1605">
        <v>0</v>
      </c>
      <c r="W1605">
        <v>0</v>
      </c>
      <c r="X1605">
        <v>0</v>
      </c>
      <c r="Y1605">
        <v>0</v>
      </c>
      <c r="Z1605">
        <v>0</v>
      </c>
      <c r="AA1605">
        <v>0</v>
      </c>
      <c r="AB1605">
        <v>0</v>
      </c>
      <c r="AC1605">
        <v>0</v>
      </c>
      <c r="AD1605">
        <v>0</v>
      </c>
      <c r="AE1605">
        <v>0</v>
      </c>
      <c r="AF1605">
        <v>0</v>
      </c>
      <c r="AG1605">
        <v>0</v>
      </c>
      <c r="AH1605">
        <v>0</v>
      </c>
      <c r="AI1605">
        <v>0</v>
      </c>
      <c r="AJ1605">
        <v>0</v>
      </c>
      <c r="AK1605">
        <v>0</v>
      </c>
      <c r="AL1605">
        <v>1</v>
      </c>
      <c r="AM1605">
        <v>0</v>
      </c>
      <c r="AN1605">
        <v>1</v>
      </c>
    </row>
    <row r="1606" spans="1:40" x14ac:dyDescent="0.3">
      <c r="A1606" t="s">
        <v>447</v>
      </c>
      <c r="B1606" t="s">
        <v>81</v>
      </c>
      <c r="C1606" t="s">
        <v>16</v>
      </c>
      <c r="D1606" t="s">
        <v>14</v>
      </c>
      <c r="E1606">
        <v>202602</v>
      </c>
      <c r="F1606" t="s">
        <v>482</v>
      </c>
      <c r="G1606">
        <v>0</v>
      </c>
      <c r="H1606">
        <v>0</v>
      </c>
      <c r="I1606">
        <v>0</v>
      </c>
      <c r="J1606">
        <v>0</v>
      </c>
      <c r="K1606">
        <v>1</v>
      </c>
      <c r="L1606">
        <v>0</v>
      </c>
      <c r="M1606">
        <v>0</v>
      </c>
      <c r="N1606">
        <v>0</v>
      </c>
      <c r="O1606">
        <v>0</v>
      </c>
      <c r="P1606">
        <v>0</v>
      </c>
      <c r="Q1606">
        <v>0</v>
      </c>
      <c r="R1606">
        <v>0</v>
      </c>
      <c r="S1606">
        <v>0</v>
      </c>
      <c r="T1606">
        <v>0</v>
      </c>
      <c r="U1606">
        <v>0</v>
      </c>
      <c r="V1606">
        <v>0</v>
      </c>
      <c r="W1606">
        <v>0</v>
      </c>
      <c r="X1606">
        <v>0</v>
      </c>
      <c r="Y1606">
        <v>0</v>
      </c>
      <c r="Z1606">
        <v>0</v>
      </c>
      <c r="AA1606">
        <v>0</v>
      </c>
      <c r="AB1606">
        <v>0</v>
      </c>
      <c r="AC1606">
        <v>0</v>
      </c>
      <c r="AD1606">
        <v>0</v>
      </c>
      <c r="AE1606">
        <v>0</v>
      </c>
      <c r="AF1606">
        <v>0</v>
      </c>
      <c r="AG1606">
        <v>0</v>
      </c>
      <c r="AH1606">
        <v>0</v>
      </c>
      <c r="AI1606">
        <v>0</v>
      </c>
      <c r="AJ1606">
        <v>0</v>
      </c>
      <c r="AK1606">
        <v>0</v>
      </c>
      <c r="AL1606">
        <v>1</v>
      </c>
      <c r="AM1606">
        <v>0</v>
      </c>
      <c r="AN1606">
        <v>1</v>
      </c>
    </row>
    <row r="1607" spans="1:40" x14ac:dyDescent="0.3">
      <c r="A1607" t="s">
        <v>447</v>
      </c>
      <c r="B1607" t="s">
        <v>81</v>
      </c>
      <c r="C1607" t="s">
        <v>16</v>
      </c>
      <c r="D1607" t="s">
        <v>14</v>
      </c>
      <c r="E1607">
        <v>202602</v>
      </c>
      <c r="F1607" t="s">
        <v>483</v>
      </c>
      <c r="G1607">
        <v>0</v>
      </c>
      <c r="H1607">
        <v>0</v>
      </c>
      <c r="I1607">
        <v>0</v>
      </c>
      <c r="J1607">
        <v>0</v>
      </c>
      <c r="K1607">
        <v>0</v>
      </c>
      <c r="L1607">
        <v>1</v>
      </c>
      <c r="M1607">
        <v>0</v>
      </c>
      <c r="N1607">
        <v>0</v>
      </c>
      <c r="O1607">
        <v>0</v>
      </c>
      <c r="P1607">
        <v>0</v>
      </c>
      <c r="Q1607">
        <v>0</v>
      </c>
      <c r="R1607">
        <v>0</v>
      </c>
      <c r="S1607">
        <v>0</v>
      </c>
      <c r="T1607">
        <v>0</v>
      </c>
      <c r="U1607">
        <v>0</v>
      </c>
      <c r="V1607">
        <v>0</v>
      </c>
      <c r="W1607">
        <v>0</v>
      </c>
      <c r="X1607">
        <v>0</v>
      </c>
      <c r="Y1607">
        <v>0</v>
      </c>
      <c r="Z1607">
        <v>0</v>
      </c>
      <c r="AA1607">
        <v>0</v>
      </c>
      <c r="AB1607">
        <v>0</v>
      </c>
      <c r="AC1607">
        <v>0</v>
      </c>
      <c r="AD1607">
        <v>0</v>
      </c>
      <c r="AE1607">
        <v>0</v>
      </c>
      <c r="AF1607">
        <v>0</v>
      </c>
      <c r="AG1607">
        <v>0</v>
      </c>
      <c r="AH1607">
        <v>0</v>
      </c>
      <c r="AI1607">
        <v>0</v>
      </c>
      <c r="AJ1607">
        <v>0</v>
      </c>
      <c r="AK1607">
        <v>0</v>
      </c>
      <c r="AL1607">
        <v>1</v>
      </c>
      <c r="AM1607">
        <v>0</v>
      </c>
      <c r="AN1607">
        <v>1</v>
      </c>
    </row>
    <row r="1608" spans="1:40" x14ac:dyDescent="0.3">
      <c r="A1608" t="s">
        <v>447</v>
      </c>
      <c r="B1608" t="s">
        <v>100</v>
      </c>
      <c r="C1608" t="s">
        <v>10</v>
      </c>
      <c r="D1608" t="s">
        <v>11</v>
      </c>
      <c r="E1608">
        <v>202602</v>
      </c>
      <c r="F1608" t="s">
        <v>42</v>
      </c>
      <c r="G1608">
        <v>0</v>
      </c>
      <c r="H1608">
        <v>2</v>
      </c>
      <c r="I1608">
        <v>3</v>
      </c>
      <c r="J1608">
        <v>5</v>
      </c>
      <c r="K1608">
        <v>2</v>
      </c>
      <c r="L1608">
        <v>4</v>
      </c>
      <c r="M1608">
        <v>4</v>
      </c>
      <c r="N1608">
        <v>0</v>
      </c>
      <c r="O1608">
        <v>7</v>
      </c>
      <c r="P1608">
        <v>4</v>
      </c>
      <c r="Q1608">
        <v>8</v>
      </c>
      <c r="R1608">
        <v>0</v>
      </c>
      <c r="S1608">
        <v>0</v>
      </c>
      <c r="T1608">
        <v>0</v>
      </c>
      <c r="U1608">
        <v>0</v>
      </c>
      <c r="V1608">
        <v>0</v>
      </c>
      <c r="W1608">
        <v>0</v>
      </c>
      <c r="X1608">
        <v>0</v>
      </c>
      <c r="Y1608">
        <v>0</v>
      </c>
      <c r="Z1608">
        <v>0</v>
      </c>
      <c r="AA1608">
        <v>0</v>
      </c>
      <c r="AB1608">
        <v>0</v>
      </c>
      <c r="AC1608">
        <v>0</v>
      </c>
      <c r="AD1608">
        <v>0</v>
      </c>
      <c r="AE1608">
        <v>0</v>
      </c>
      <c r="AF1608">
        <v>0</v>
      </c>
      <c r="AG1608">
        <v>0</v>
      </c>
      <c r="AH1608">
        <v>0</v>
      </c>
      <c r="AI1608">
        <v>0</v>
      </c>
      <c r="AJ1608">
        <v>0</v>
      </c>
      <c r="AK1608">
        <v>0</v>
      </c>
      <c r="AL1608">
        <v>39</v>
      </c>
      <c r="AM1608">
        <v>6.333333333333333</v>
      </c>
      <c r="AN1608">
        <v>126.48787765758911</v>
      </c>
    </row>
    <row r="1609" spans="1:40" x14ac:dyDescent="0.3">
      <c r="A1609" t="s">
        <v>447</v>
      </c>
      <c r="B1609" t="s">
        <v>100</v>
      </c>
      <c r="C1609" t="s">
        <v>10</v>
      </c>
      <c r="D1609" t="s">
        <v>11</v>
      </c>
      <c r="E1609">
        <v>202602</v>
      </c>
      <c r="F1609" t="s">
        <v>101</v>
      </c>
      <c r="G1609">
        <v>0</v>
      </c>
      <c r="H1609">
        <v>0</v>
      </c>
      <c r="I1609">
        <v>0</v>
      </c>
      <c r="J1609">
        <v>0</v>
      </c>
      <c r="K1609">
        <v>0</v>
      </c>
      <c r="L1609">
        <v>0</v>
      </c>
      <c r="M1609">
        <v>0</v>
      </c>
      <c r="N1609">
        <v>0</v>
      </c>
      <c r="O1609">
        <v>1</v>
      </c>
      <c r="P1609">
        <v>0</v>
      </c>
      <c r="Q1609">
        <v>0</v>
      </c>
      <c r="R1609">
        <v>0</v>
      </c>
      <c r="S1609">
        <v>0</v>
      </c>
      <c r="T1609">
        <v>0</v>
      </c>
      <c r="U1609">
        <v>0</v>
      </c>
      <c r="V1609">
        <v>0</v>
      </c>
      <c r="W1609">
        <v>0</v>
      </c>
      <c r="X1609">
        <v>0</v>
      </c>
      <c r="Y1609">
        <v>0</v>
      </c>
      <c r="Z1609">
        <v>0</v>
      </c>
      <c r="AA1609">
        <v>0</v>
      </c>
      <c r="AB1609">
        <v>0</v>
      </c>
      <c r="AC1609">
        <v>0</v>
      </c>
      <c r="AD1609">
        <v>0</v>
      </c>
      <c r="AE1609">
        <v>0</v>
      </c>
      <c r="AF1609">
        <v>0</v>
      </c>
      <c r="AG1609">
        <v>0</v>
      </c>
      <c r="AH1609">
        <v>0</v>
      </c>
      <c r="AI1609">
        <v>0</v>
      </c>
      <c r="AJ1609">
        <v>0</v>
      </c>
      <c r="AK1609">
        <v>0</v>
      </c>
      <c r="AL1609">
        <v>1</v>
      </c>
      <c r="AM1609">
        <v>0.33333333333333331</v>
      </c>
      <c r="AN1609">
        <v>5.6046251398731117</v>
      </c>
    </row>
    <row r="1610" spans="1:40" x14ac:dyDescent="0.3">
      <c r="A1610" t="s">
        <v>447</v>
      </c>
      <c r="B1610" t="s">
        <v>100</v>
      </c>
      <c r="C1610" t="s">
        <v>10</v>
      </c>
      <c r="D1610" t="s">
        <v>14</v>
      </c>
      <c r="E1610">
        <v>202602</v>
      </c>
      <c r="F1610" t="s">
        <v>42</v>
      </c>
      <c r="G1610">
        <v>0</v>
      </c>
      <c r="H1610">
        <v>4</v>
      </c>
      <c r="I1610">
        <v>11</v>
      </c>
      <c r="J1610">
        <v>9</v>
      </c>
      <c r="K1610">
        <v>3</v>
      </c>
      <c r="L1610">
        <v>7</v>
      </c>
      <c r="M1610">
        <v>5</v>
      </c>
      <c r="N1610">
        <v>0</v>
      </c>
      <c r="O1610">
        <v>12</v>
      </c>
      <c r="P1610">
        <v>8</v>
      </c>
      <c r="Q1610">
        <v>8</v>
      </c>
      <c r="R1610">
        <v>0</v>
      </c>
      <c r="S1610">
        <v>0</v>
      </c>
      <c r="T1610">
        <v>0</v>
      </c>
      <c r="U1610">
        <v>0</v>
      </c>
      <c r="V1610">
        <v>0</v>
      </c>
      <c r="W1610">
        <v>0</v>
      </c>
      <c r="X1610">
        <v>0</v>
      </c>
      <c r="Y1610">
        <v>0</v>
      </c>
      <c r="Z1610">
        <v>0</v>
      </c>
      <c r="AA1610">
        <v>0</v>
      </c>
      <c r="AB1610">
        <v>0</v>
      </c>
      <c r="AC1610">
        <v>0</v>
      </c>
      <c r="AD1610">
        <v>0</v>
      </c>
      <c r="AE1610">
        <v>0</v>
      </c>
      <c r="AF1610">
        <v>0</v>
      </c>
      <c r="AG1610">
        <v>0</v>
      </c>
      <c r="AH1610">
        <v>0</v>
      </c>
      <c r="AI1610">
        <v>0</v>
      </c>
      <c r="AJ1610">
        <v>0</v>
      </c>
      <c r="AK1610">
        <v>0</v>
      </c>
      <c r="AL1610">
        <v>67</v>
      </c>
      <c r="AM1610">
        <v>9.3333333333333339</v>
      </c>
      <c r="AN1610">
        <v>180.16875000000118</v>
      </c>
    </row>
    <row r="1611" spans="1:40" x14ac:dyDescent="0.3">
      <c r="A1611" t="s">
        <v>447</v>
      </c>
      <c r="B1611" t="s">
        <v>100</v>
      </c>
      <c r="C1611" t="s">
        <v>10</v>
      </c>
      <c r="D1611" t="s">
        <v>14</v>
      </c>
      <c r="E1611">
        <v>202602</v>
      </c>
      <c r="F1611" t="s">
        <v>101</v>
      </c>
      <c r="G1611">
        <v>0</v>
      </c>
      <c r="H1611">
        <v>0</v>
      </c>
      <c r="I1611">
        <v>0</v>
      </c>
      <c r="J1611">
        <v>0</v>
      </c>
      <c r="K1611">
        <v>1</v>
      </c>
      <c r="L1611">
        <v>0</v>
      </c>
      <c r="M1611">
        <v>0</v>
      </c>
      <c r="N1611">
        <v>0</v>
      </c>
      <c r="O1611">
        <v>0</v>
      </c>
      <c r="P1611">
        <v>0</v>
      </c>
      <c r="Q1611">
        <v>0</v>
      </c>
      <c r="R1611">
        <v>0</v>
      </c>
      <c r="S1611">
        <v>0</v>
      </c>
      <c r="T1611">
        <v>0</v>
      </c>
      <c r="U1611">
        <v>0</v>
      </c>
      <c r="V1611">
        <v>0</v>
      </c>
      <c r="W1611">
        <v>0</v>
      </c>
      <c r="X1611">
        <v>0</v>
      </c>
      <c r="Y1611">
        <v>0</v>
      </c>
      <c r="Z1611">
        <v>0</v>
      </c>
      <c r="AA1611">
        <v>0</v>
      </c>
      <c r="AB1611">
        <v>0</v>
      </c>
      <c r="AC1611">
        <v>0</v>
      </c>
      <c r="AD1611">
        <v>0</v>
      </c>
      <c r="AE1611">
        <v>0</v>
      </c>
      <c r="AF1611">
        <v>0</v>
      </c>
      <c r="AG1611">
        <v>0</v>
      </c>
      <c r="AH1611">
        <v>0</v>
      </c>
      <c r="AI1611">
        <v>0</v>
      </c>
      <c r="AJ1611">
        <v>0</v>
      </c>
      <c r="AK1611">
        <v>0</v>
      </c>
      <c r="AL1611">
        <v>1</v>
      </c>
      <c r="AM1611">
        <v>0</v>
      </c>
      <c r="AN1611">
        <v>1</v>
      </c>
    </row>
    <row r="1612" spans="1:40" x14ac:dyDescent="0.3">
      <c r="A1612" t="s">
        <v>447</v>
      </c>
      <c r="B1612" t="s">
        <v>100</v>
      </c>
      <c r="C1612" t="s">
        <v>16</v>
      </c>
      <c r="D1612" t="s">
        <v>11</v>
      </c>
      <c r="E1612">
        <v>202602</v>
      </c>
      <c r="F1612" t="s">
        <v>42</v>
      </c>
      <c r="G1612">
        <v>0</v>
      </c>
      <c r="H1612">
        <v>1</v>
      </c>
      <c r="I1612">
        <v>0</v>
      </c>
      <c r="J1612">
        <v>0</v>
      </c>
      <c r="K1612">
        <v>0</v>
      </c>
      <c r="L1612">
        <v>1</v>
      </c>
      <c r="M1612">
        <v>0</v>
      </c>
      <c r="N1612">
        <v>0</v>
      </c>
      <c r="O1612">
        <v>0</v>
      </c>
      <c r="P1612">
        <v>0</v>
      </c>
      <c r="Q1612">
        <v>1</v>
      </c>
      <c r="R1612">
        <v>0</v>
      </c>
      <c r="S1612">
        <v>0</v>
      </c>
      <c r="T1612">
        <v>0</v>
      </c>
      <c r="U1612">
        <v>0</v>
      </c>
      <c r="V1612">
        <v>0</v>
      </c>
      <c r="W1612">
        <v>0</v>
      </c>
      <c r="X1612">
        <v>0</v>
      </c>
      <c r="Y1612">
        <v>0</v>
      </c>
      <c r="Z1612">
        <v>0</v>
      </c>
      <c r="AA1612">
        <v>0</v>
      </c>
      <c r="AB1612">
        <v>0</v>
      </c>
      <c r="AC1612">
        <v>0</v>
      </c>
      <c r="AD1612">
        <v>0</v>
      </c>
      <c r="AE1612">
        <v>0</v>
      </c>
      <c r="AF1612">
        <v>0</v>
      </c>
      <c r="AG1612">
        <v>0</v>
      </c>
      <c r="AH1612">
        <v>0</v>
      </c>
      <c r="AI1612">
        <v>0</v>
      </c>
      <c r="AJ1612">
        <v>0</v>
      </c>
      <c r="AK1612">
        <v>0</v>
      </c>
      <c r="AL1612">
        <v>3</v>
      </c>
      <c r="AM1612">
        <v>0.33333333333333331</v>
      </c>
      <c r="AN1612">
        <v>7.6046251398731117</v>
      </c>
    </row>
    <row r="1613" spans="1:40" x14ac:dyDescent="0.3">
      <c r="A1613" t="s">
        <v>447</v>
      </c>
      <c r="B1613" t="s">
        <v>100</v>
      </c>
      <c r="C1613" t="s">
        <v>16</v>
      </c>
      <c r="D1613" t="s">
        <v>14</v>
      </c>
      <c r="E1613">
        <v>202602</v>
      </c>
      <c r="F1613" t="s">
        <v>42</v>
      </c>
      <c r="G1613">
        <v>0</v>
      </c>
      <c r="H1613">
        <v>0</v>
      </c>
      <c r="I1613">
        <v>0</v>
      </c>
      <c r="J1613">
        <v>0</v>
      </c>
      <c r="K1613">
        <v>1</v>
      </c>
      <c r="L1613">
        <v>0</v>
      </c>
      <c r="M1613">
        <v>0</v>
      </c>
      <c r="N1613">
        <v>0</v>
      </c>
      <c r="O1613">
        <v>1</v>
      </c>
      <c r="P1613">
        <v>0</v>
      </c>
      <c r="Q1613">
        <v>0</v>
      </c>
      <c r="R1613">
        <v>0</v>
      </c>
      <c r="S1613">
        <v>0</v>
      </c>
      <c r="T1613">
        <v>0</v>
      </c>
      <c r="U1613">
        <v>0</v>
      </c>
      <c r="V1613">
        <v>0</v>
      </c>
      <c r="W1613">
        <v>0</v>
      </c>
      <c r="X1613">
        <v>0</v>
      </c>
      <c r="Y1613">
        <v>0</v>
      </c>
      <c r="Z1613">
        <v>0</v>
      </c>
      <c r="AA1613">
        <v>0</v>
      </c>
      <c r="AB1613">
        <v>0</v>
      </c>
      <c r="AC1613">
        <v>0</v>
      </c>
      <c r="AD1613">
        <v>0</v>
      </c>
      <c r="AE1613">
        <v>0</v>
      </c>
      <c r="AF1613">
        <v>0</v>
      </c>
      <c r="AG1613">
        <v>0</v>
      </c>
      <c r="AH1613">
        <v>0</v>
      </c>
      <c r="AI1613">
        <v>0</v>
      </c>
      <c r="AJ1613">
        <v>0</v>
      </c>
      <c r="AK1613">
        <v>0</v>
      </c>
      <c r="AL1613">
        <v>2</v>
      </c>
      <c r="AM1613">
        <v>0.33333333333333331</v>
      </c>
      <c r="AN1613">
        <v>6.0417410714286133</v>
      </c>
    </row>
    <row r="1614" spans="1:40" x14ac:dyDescent="0.3">
      <c r="A1614" t="s">
        <v>447</v>
      </c>
      <c r="B1614" t="s">
        <v>103</v>
      </c>
      <c r="C1614" t="s">
        <v>10</v>
      </c>
      <c r="D1614" t="s">
        <v>11</v>
      </c>
      <c r="E1614">
        <v>202602</v>
      </c>
      <c r="F1614" t="s">
        <v>498</v>
      </c>
      <c r="G1614">
        <v>0</v>
      </c>
      <c r="H1614">
        <v>0</v>
      </c>
      <c r="I1614">
        <v>0</v>
      </c>
      <c r="J1614">
        <v>0</v>
      </c>
      <c r="K1614">
        <v>1</v>
      </c>
      <c r="L1614">
        <v>1</v>
      </c>
      <c r="M1614">
        <v>0</v>
      </c>
      <c r="N1614">
        <v>0</v>
      </c>
      <c r="O1614">
        <v>0</v>
      </c>
      <c r="P1614">
        <v>0</v>
      </c>
      <c r="Q1614">
        <v>0</v>
      </c>
      <c r="R1614">
        <v>0</v>
      </c>
      <c r="S1614">
        <v>0</v>
      </c>
      <c r="T1614">
        <v>0</v>
      </c>
      <c r="U1614">
        <v>0</v>
      </c>
      <c r="V1614">
        <v>0</v>
      </c>
      <c r="W1614">
        <v>0</v>
      </c>
      <c r="X1614">
        <v>0</v>
      </c>
      <c r="Y1614">
        <v>0</v>
      </c>
      <c r="Z1614">
        <v>0</v>
      </c>
      <c r="AA1614">
        <v>0</v>
      </c>
      <c r="AB1614">
        <v>0</v>
      </c>
      <c r="AC1614">
        <v>0</v>
      </c>
      <c r="AD1614">
        <v>0</v>
      </c>
      <c r="AE1614">
        <v>0</v>
      </c>
      <c r="AF1614">
        <v>0</v>
      </c>
      <c r="AG1614">
        <v>0</v>
      </c>
      <c r="AH1614">
        <v>0</v>
      </c>
      <c r="AI1614">
        <v>0</v>
      </c>
      <c r="AJ1614">
        <v>0</v>
      </c>
      <c r="AK1614">
        <v>0</v>
      </c>
      <c r="AL1614">
        <v>2</v>
      </c>
      <c r="AM1614">
        <v>0</v>
      </c>
      <c r="AN1614">
        <v>2</v>
      </c>
    </row>
    <row r="1615" spans="1:40" x14ac:dyDescent="0.3">
      <c r="A1615" t="s">
        <v>447</v>
      </c>
      <c r="B1615" t="s">
        <v>103</v>
      </c>
      <c r="C1615" t="s">
        <v>10</v>
      </c>
      <c r="D1615" t="s">
        <v>14</v>
      </c>
      <c r="E1615">
        <v>202602</v>
      </c>
      <c r="F1615" t="s">
        <v>498</v>
      </c>
      <c r="G1615">
        <v>0</v>
      </c>
      <c r="H1615">
        <v>0</v>
      </c>
      <c r="I1615">
        <v>1</v>
      </c>
      <c r="J1615">
        <v>0</v>
      </c>
      <c r="K1615">
        <v>1</v>
      </c>
      <c r="L1615">
        <v>0</v>
      </c>
      <c r="M1615">
        <v>0</v>
      </c>
      <c r="N1615">
        <v>0</v>
      </c>
      <c r="O1615">
        <v>0</v>
      </c>
      <c r="P1615">
        <v>1</v>
      </c>
      <c r="Q1615">
        <v>0</v>
      </c>
      <c r="R1615">
        <v>0</v>
      </c>
      <c r="S1615">
        <v>0</v>
      </c>
      <c r="T1615">
        <v>0</v>
      </c>
      <c r="U1615">
        <v>0</v>
      </c>
      <c r="V1615">
        <v>0</v>
      </c>
      <c r="W1615">
        <v>0</v>
      </c>
      <c r="X1615">
        <v>0</v>
      </c>
      <c r="Y1615">
        <v>0</v>
      </c>
      <c r="Z1615">
        <v>0</v>
      </c>
      <c r="AA1615">
        <v>0</v>
      </c>
      <c r="AB1615">
        <v>0</v>
      </c>
      <c r="AC1615">
        <v>0</v>
      </c>
      <c r="AD1615">
        <v>0</v>
      </c>
      <c r="AE1615">
        <v>0</v>
      </c>
      <c r="AF1615">
        <v>0</v>
      </c>
      <c r="AG1615">
        <v>0</v>
      </c>
      <c r="AH1615">
        <v>0</v>
      </c>
      <c r="AI1615">
        <v>0</v>
      </c>
      <c r="AJ1615">
        <v>0</v>
      </c>
      <c r="AK1615">
        <v>0</v>
      </c>
      <c r="AL1615">
        <v>3</v>
      </c>
      <c r="AM1615">
        <v>0.33333333333333331</v>
      </c>
      <c r="AN1615">
        <v>7.0417410714286133</v>
      </c>
    </row>
    <row r="1616" spans="1:40" x14ac:dyDescent="0.3">
      <c r="A1616" t="s">
        <v>447</v>
      </c>
      <c r="B1616" t="s">
        <v>644</v>
      </c>
      <c r="C1616" t="s">
        <v>10</v>
      </c>
      <c r="D1616" t="s">
        <v>11</v>
      </c>
      <c r="E1616">
        <v>202602</v>
      </c>
      <c r="F1616" t="s">
        <v>56</v>
      </c>
      <c r="G1616">
        <v>0</v>
      </c>
      <c r="H1616">
        <v>0</v>
      </c>
      <c r="I1616">
        <v>1</v>
      </c>
      <c r="J1616">
        <v>0</v>
      </c>
      <c r="K1616">
        <v>0</v>
      </c>
      <c r="L1616">
        <v>0</v>
      </c>
      <c r="M1616">
        <v>0</v>
      </c>
      <c r="N1616">
        <v>0</v>
      </c>
      <c r="O1616">
        <v>0</v>
      </c>
      <c r="P1616">
        <v>0</v>
      </c>
      <c r="Q1616">
        <v>0</v>
      </c>
      <c r="R1616">
        <v>0</v>
      </c>
      <c r="S1616">
        <v>0</v>
      </c>
      <c r="T1616">
        <v>0</v>
      </c>
      <c r="U1616">
        <v>0</v>
      </c>
      <c r="V1616">
        <v>0</v>
      </c>
      <c r="W1616">
        <v>0</v>
      </c>
      <c r="X1616">
        <v>0</v>
      </c>
      <c r="Y1616">
        <v>0</v>
      </c>
      <c r="Z1616">
        <v>0</v>
      </c>
      <c r="AA1616">
        <v>0</v>
      </c>
      <c r="AB1616">
        <v>0</v>
      </c>
      <c r="AC1616">
        <v>0</v>
      </c>
      <c r="AD1616">
        <v>0</v>
      </c>
      <c r="AE1616">
        <v>0</v>
      </c>
      <c r="AF1616">
        <v>0</v>
      </c>
      <c r="AG1616">
        <v>0</v>
      </c>
      <c r="AH1616">
        <v>0</v>
      </c>
      <c r="AI1616">
        <v>0</v>
      </c>
      <c r="AJ1616">
        <v>0</v>
      </c>
      <c r="AK1616">
        <v>0</v>
      </c>
      <c r="AL1616">
        <v>1</v>
      </c>
      <c r="AM1616">
        <v>0</v>
      </c>
      <c r="AN1616">
        <v>1</v>
      </c>
    </row>
    <row r="1617" spans="1:40" x14ac:dyDescent="0.3">
      <c r="A1617" t="s">
        <v>447</v>
      </c>
      <c r="B1617" t="s">
        <v>644</v>
      </c>
      <c r="C1617" t="s">
        <v>10</v>
      </c>
      <c r="D1617" t="s">
        <v>11</v>
      </c>
      <c r="E1617">
        <v>202602</v>
      </c>
      <c r="F1617" t="s">
        <v>110</v>
      </c>
      <c r="G1617">
        <v>0</v>
      </c>
      <c r="H1617">
        <v>0</v>
      </c>
      <c r="I1617">
        <v>0</v>
      </c>
      <c r="J1617">
        <v>0</v>
      </c>
      <c r="K1617">
        <v>0</v>
      </c>
      <c r="L1617">
        <v>0</v>
      </c>
      <c r="M1617">
        <v>1</v>
      </c>
      <c r="N1617">
        <v>0</v>
      </c>
      <c r="O1617">
        <v>0</v>
      </c>
      <c r="P1617">
        <v>0</v>
      </c>
      <c r="Q1617">
        <v>0</v>
      </c>
      <c r="R1617">
        <v>0</v>
      </c>
      <c r="S1617">
        <v>0</v>
      </c>
      <c r="T1617">
        <v>0</v>
      </c>
      <c r="U1617">
        <v>0</v>
      </c>
      <c r="V1617">
        <v>0</v>
      </c>
      <c r="W1617">
        <v>0</v>
      </c>
      <c r="X1617">
        <v>0</v>
      </c>
      <c r="Y1617">
        <v>0</v>
      </c>
      <c r="Z1617">
        <v>0</v>
      </c>
      <c r="AA1617">
        <v>0</v>
      </c>
      <c r="AB1617">
        <v>0</v>
      </c>
      <c r="AC1617">
        <v>0</v>
      </c>
      <c r="AD1617">
        <v>0</v>
      </c>
      <c r="AE1617">
        <v>0</v>
      </c>
      <c r="AF1617">
        <v>0</v>
      </c>
      <c r="AG1617">
        <v>0</v>
      </c>
      <c r="AH1617">
        <v>0</v>
      </c>
      <c r="AI1617">
        <v>0</v>
      </c>
      <c r="AJ1617">
        <v>0</v>
      </c>
      <c r="AK1617">
        <v>0</v>
      </c>
      <c r="AL1617">
        <v>1</v>
      </c>
      <c r="AM1617">
        <v>0</v>
      </c>
      <c r="AN1617">
        <v>1</v>
      </c>
    </row>
    <row r="1618" spans="1:40" x14ac:dyDescent="0.3">
      <c r="A1618" t="s">
        <v>447</v>
      </c>
      <c r="B1618" t="s">
        <v>644</v>
      </c>
      <c r="C1618" t="s">
        <v>10</v>
      </c>
      <c r="D1618" t="s">
        <v>11</v>
      </c>
      <c r="E1618">
        <v>202602</v>
      </c>
      <c r="F1618" t="s">
        <v>61</v>
      </c>
      <c r="G1618">
        <v>0</v>
      </c>
      <c r="H1618">
        <v>0</v>
      </c>
      <c r="I1618">
        <v>0</v>
      </c>
      <c r="J1618">
        <v>0</v>
      </c>
      <c r="K1618">
        <v>0</v>
      </c>
      <c r="L1618">
        <v>0</v>
      </c>
      <c r="M1618">
        <v>0</v>
      </c>
      <c r="N1618">
        <v>0</v>
      </c>
      <c r="O1618">
        <v>0</v>
      </c>
      <c r="P1618">
        <v>1</v>
      </c>
      <c r="Q1618">
        <v>0</v>
      </c>
      <c r="R1618">
        <v>0</v>
      </c>
      <c r="S1618">
        <v>0</v>
      </c>
      <c r="T1618">
        <v>0</v>
      </c>
      <c r="U1618">
        <v>0</v>
      </c>
      <c r="V1618">
        <v>0</v>
      </c>
      <c r="W1618">
        <v>0</v>
      </c>
      <c r="X1618">
        <v>0</v>
      </c>
      <c r="Y1618">
        <v>0</v>
      </c>
      <c r="Z1618">
        <v>0</v>
      </c>
      <c r="AA1618">
        <v>0</v>
      </c>
      <c r="AB1618">
        <v>0</v>
      </c>
      <c r="AC1618">
        <v>0</v>
      </c>
      <c r="AD1618">
        <v>0</v>
      </c>
      <c r="AE1618">
        <v>0</v>
      </c>
      <c r="AF1618">
        <v>0</v>
      </c>
      <c r="AG1618">
        <v>0</v>
      </c>
      <c r="AH1618">
        <v>0</v>
      </c>
      <c r="AI1618">
        <v>0</v>
      </c>
      <c r="AJ1618">
        <v>0</v>
      </c>
      <c r="AK1618">
        <v>0</v>
      </c>
      <c r="AL1618">
        <v>1</v>
      </c>
      <c r="AM1618">
        <v>0.33333333333333331</v>
      </c>
      <c r="AN1618">
        <v>5.6046251398731117</v>
      </c>
    </row>
    <row r="1619" spans="1:40" x14ac:dyDescent="0.3">
      <c r="A1619" t="s">
        <v>447</v>
      </c>
      <c r="B1619" t="s">
        <v>644</v>
      </c>
      <c r="C1619" t="s">
        <v>10</v>
      </c>
      <c r="D1619" t="s">
        <v>11</v>
      </c>
      <c r="E1619">
        <v>202602</v>
      </c>
      <c r="F1619" t="s">
        <v>112</v>
      </c>
      <c r="G1619">
        <v>0</v>
      </c>
      <c r="H1619">
        <v>0</v>
      </c>
      <c r="I1619">
        <v>1</v>
      </c>
      <c r="J1619">
        <v>0</v>
      </c>
      <c r="K1619">
        <v>0</v>
      </c>
      <c r="L1619">
        <v>0</v>
      </c>
      <c r="M1619">
        <v>1</v>
      </c>
      <c r="N1619">
        <v>0</v>
      </c>
      <c r="O1619">
        <v>0</v>
      </c>
      <c r="P1619">
        <v>0</v>
      </c>
      <c r="Q1619">
        <v>0</v>
      </c>
      <c r="R1619">
        <v>0</v>
      </c>
      <c r="S1619">
        <v>0</v>
      </c>
      <c r="T1619">
        <v>0</v>
      </c>
      <c r="U1619">
        <v>0</v>
      </c>
      <c r="V1619">
        <v>0</v>
      </c>
      <c r="W1619">
        <v>0</v>
      </c>
      <c r="X1619">
        <v>0</v>
      </c>
      <c r="Y1619">
        <v>0</v>
      </c>
      <c r="Z1619">
        <v>0</v>
      </c>
      <c r="AA1619">
        <v>0</v>
      </c>
      <c r="AB1619">
        <v>0</v>
      </c>
      <c r="AC1619">
        <v>0</v>
      </c>
      <c r="AD1619">
        <v>0</v>
      </c>
      <c r="AE1619">
        <v>0</v>
      </c>
      <c r="AF1619">
        <v>0</v>
      </c>
      <c r="AG1619">
        <v>0</v>
      </c>
      <c r="AH1619">
        <v>0</v>
      </c>
      <c r="AI1619">
        <v>0</v>
      </c>
      <c r="AJ1619">
        <v>0</v>
      </c>
      <c r="AK1619">
        <v>0</v>
      </c>
      <c r="AL1619">
        <v>2</v>
      </c>
      <c r="AM1619">
        <v>0</v>
      </c>
      <c r="AN1619">
        <v>2</v>
      </c>
    </row>
    <row r="1620" spans="1:40" x14ac:dyDescent="0.3">
      <c r="A1620" t="s">
        <v>447</v>
      </c>
      <c r="B1620" t="s">
        <v>644</v>
      </c>
      <c r="C1620" t="s">
        <v>10</v>
      </c>
      <c r="D1620" t="s">
        <v>11</v>
      </c>
      <c r="E1620">
        <v>202602</v>
      </c>
      <c r="F1620" t="s">
        <v>114</v>
      </c>
      <c r="G1620">
        <v>0</v>
      </c>
      <c r="H1620">
        <v>1</v>
      </c>
      <c r="I1620">
        <v>0</v>
      </c>
      <c r="J1620">
        <v>0</v>
      </c>
      <c r="K1620">
        <v>1</v>
      </c>
      <c r="L1620">
        <v>1</v>
      </c>
      <c r="M1620">
        <v>1</v>
      </c>
      <c r="N1620">
        <v>0</v>
      </c>
      <c r="O1620">
        <v>3</v>
      </c>
      <c r="P1620">
        <v>0</v>
      </c>
      <c r="Q1620">
        <v>0</v>
      </c>
      <c r="R1620">
        <v>0</v>
      </c>
      <c r="S1620">
        <v>0</v>
      </c>
      <c r="T1620">
        <v>0</v>
      </c>
      <c r="U1620">
        <v>0</v>
      </c>
      <c r="V1620">
        <v>0</v>
      </c>
      <c r="W1620">
        <v>0</v>
      </c>
      <c r="X1620">
        <v>0</v>
      </c>
      <c r="Y1620">
        <v>0</v>
      </c>
      <c r="Z1620">
        <v>0</v>
      </c>
      <c r="AA1620">
        <v>0</v>
      </c>
      <c r="AB1620">
        <v>0</v>
      </c>
      <c r="AC1620">
        <v>0</v>
      </c>
      <c r="AD1620">
        <v>0</v>
      </c>
      <c r="AE1620">
        <v>0</v>
      </c>
      <c r="AF1620">
        <v>0</v>
      </c>
      <c r="AG1620">
        <v>0</v>
      </c>
      <c r="AH1620">
        <v>0</v>
      </c>
      <c r="AI1620">
        <v>0</v>
      </c>
      <c r="AJ1620">
        <v>0</v>
      </c>
      <c r="AK1620">
        <v>0</v>
      </c>
      <c r="AL1620">
        <v>7</v>
      </c>
      <c r="AM1620">
        <v>1</v>
      </c>
      <c r="AN1620">
        <v>20.813875419619336</v>
      </c>
    </row>
    <row r="1621" spans="1:40" x14ac:dyDescent="0.3">
      <c r="A1621" t="s">
        <v>447</v>
      </c>
      <c r="B1621" t="s">
        <v>644</v>
      </c>
      <c r="C1621" t="s">
        <v>10</v>
      </c>
      <c r="D1621" t="s">
        <v>11</v>
      </c>
      <c r="E1621">
        <v>202602</v>
      </c>
      <c r="F1621" t="s">
        <v>115</v>
      </c>
      <c r="G1621">
        <v>0</v>
      </c>
      <c r="H1621">
        <v>0</v>
      </c>
      <c r="I1621">
        <v>0</v>
      </c>
      <c r="J1621">
        <v>0</v>
      </c>
      <c r="K1621">
        <v>0</v>
      </c>
      <c r="L1621">
        <v>0</v>
      </c>
      <c r="M1621">
        <v>0</v>
      </c>
      <c r="N1621">
        <v>0</v>
      </c>
      <c r="O1621">
        <v>0</v>
      </c>
      <c r="P1621">
        <v>1</v>
      </c>
      <c r="Q1621">
        <v>0</v>
      </c>
      <c r="R1621">
        <v>0</v>
      </c>
      <c r="S1621">
        <v>0</v>
      </c>
      <c r="T1621">
        <v>0</v>
      </c>
      <c r="U1621">
        <v>0</v>
      </c>
      <c r="V1621">
        <v>0</v>
      </c>
      <c r="W1621">
        <v>0</v>
      </c>
      <c r="X1621">
        <v>0</v>
      </c>
      <c r="Y1621">
        <v>0</v>
      </c>
      <c r="Z1621">
        <v>0</v>
      </c>
      <c r="AA1621">
        <v>0</v>
      </c>
      <c r="AB1621">
        <v>0</v>
      </c>
      <c r="AC1621">
        <v>0</v>
      </c>
      <c r="AD1621">
        <v>0</v>
      </c>
      <c r="AE1621">
        <v>0</v>
      </c>
      <c r="AF1621">
        <v>0</v>
      </c>
      <c r="AG1621">
        <v>0</v>
      </c>
      <c r="AH1621">
        <v>0</v>
      </c>
      <c r="AI1621">
        <v>0</v>
      </c>
      <c r="AJ1621">
        <v>0</v>
      </c>
      <c r="AK1621">
        <v>0</v>
      </c>
      <c r="AL1621">
        <v>1</v>
      </c>
      <c r="AM1621">
        <v>0.33333333333333331</v>
      </c>
      <c r="AN1621">
        <v>5.6046251398731117</v>
      </c>
    </row>
    <row r="1622" spans="1:40" x14ac:dyDescent="0.3">
      <c r="A1622" t="s">
        <v>447</v>
      </c>
      <c r="B1622" t="s">
        <v>644</v>
      </c>
      <c r="C1622" t="s">
        <v>10</v>
      </c>
      <c r="D1622" t="s">
        <v>11</v>
      </c>
      <c r="E1622">
        <v>202602</v>
      </c>
      <c r="F1622" t="s">
        <v>116</v>
      </c>
      <c r="G1622">
        <v>0</v>
      </c>
      <c r="H1622">
        <v>0</v>
      </c>
      <c r="I1622">
        <v>0</v>
      </c>
      <c r="J1622">
        <v>1</v>
      </c>
      <c r="K1622">
        <v>0</v>
      </c>
      <c r="L1622">
        <v>0</v>
      </c>
      <c r="M1622">
        <v>0</v>
      </c>
      <c r="N1622">
        <v>0</v>
      </c>
      <c r="O1622">
        <v>0</v>
      </c>
      <c r="P1622">
        <v>0</v>
      </c>
      <c r="Q1622">
        <v>0</v>
      </c>
      <c r="R1622">
        <v>0</v>
      </c>
      <c r="S1622">
        <v>0</v>
      </c>
      <c r="T1622">
        <v>0</v>
      </c>
      <c r="U1622">
        <v>0</v>
      </c>
      <c r="V1622">
        <v>0</v>
      </c>
      <c r="W1622">
        <v>0</v>
      </c>
      <c r="X1622">
        <v>0</v>
      </c>
      <c r="Y1622">
        <v>0</v>
      </c>
      <c r="Z1622">
        <v>0</v>
      </c>
      <c r="AA1622">
        <v>0</v>
      </c>
      <c r="AB1622">
        <v>0</v>
      </c>
      <c r="AC1622">
        <v>0</v>
      </c>
      <c r="AD1622">
        <v>0</v>
      </c>
      <c r="AE1622">
        <v>0</v>
      </c>
      <c r="AF1622">
        <v>0</v>
      </c>
      <c r="AG1622">
        <v>0</v>
      </c>
      <c r="AH1622">
        <v>0</v>
      </c>
      <c r="AI1622">
        <v>0</v>
      </c>
      <c r="AJ1622">
        <v>0</v>
      </c>
      <c r="AK1622">
        <v>0</v>
      </c>
      <c r="AL1622">
        <v>1</v>
      </c>
      <c r="AM1622">
        <v>0</v>
      </c>
      <c r="AN1622">
        <v>1</v>
      </c>
    </row>
    <row r="1623" spans="1:40" x14ac:dyDescent="0.3">
      <c r="A1623" t="s">
        <v>447</v>
      </c>
      <c r="B1623" t="s">
        <v>644</v>
      </c>
      <c r="C1623" t="s">
        <v>10</v>
      </c>
      <c r="D1623" t="s">
        <v>11</v>
      </c>
      <c r="E1623">
        <v>202602</v>
      </c>
      <c r="F1623" t="s">
        <v>130</v>
      </c>
      <c r="G1623">
        <v>0</v>
      </c>
      <c r="H1623">
        <v>0</v>
      </c>
      <c r="I1623">
        <v>0</v>
      </c>
      <c r="J1623">
        <v>0</v>
      </c>
      <c r="K1623">
        <v>0</v>
      </c>
      <c r="L1623">
        <v>0</v>
      </c>
      <c r="M1623">
        <v>0</v>
      </c>
      <c r="N1623">
        <v>0</v>
      </c>
      <c r="O1623">
        <v>1</v>
      </c>
      <c r="P1623">
        <v>1</v>
      </c>
      <c r="Q1623">
        <v>0</v>
      </c>
      <c r="R1623">
        <v>0</v>
      </c>
      <c r="S1623">
        <v>0</v>
      </c>
      <c r="T1623">
        <v>0</v>
      </c>
      <c r="U1623">
        <v>0</v>
      </c>
      <c r="V1623">
        <v>0</v>
      </c>
      <c r="W1623">
        <v>0</v>
      </c>
      <c r="X1623">
        <v>0</v>
      </c>
      <c r="Y1623">
        <v>0</v>
      </c>
      <c r="Z1623">
        <v>0</v>
      </c>
      <c r="AA1623">
        <v>0</v>
      </c>
      <c r="AB1623">
        <v>0</v>
      </c>
      <c r="AC1623">
        <v>0</v>
      </c>
      <c r="AD1623">
        <v>0</v>
      </c>
      <c r="AE1623">
        <v>0</v>
      </c>
      <c r="AF1623">
        <v>0</v>
      </c>
      <c r="AG1623">
        <v>0</v>
      </c>
      <c r="AH1623">
        <v>0</v>
      </c>
      <c r="AI1623">
        <v>0</v>
      </c>
      <c r="AJ1623">
        <v>0</v>
      </c>
      <c r="AK1623">
        <v>0</v>
      </c>
      <c r="AL1623">
        <v>2</v>
      </c>
      <c r="AM1623">
        <v>0.66666666666666663</v>
      </c>
      <c r="AN1623">
        <v>11.209250279746223</v>
      </c>
    </row>
    <row r="1624" spans="1:40" x14ac:dyDescent="0.3">
      <c r="A1624" t="s">
        <v>447</v>
      </c>
      <c r="B1624" t="s">
        <v>644</v>
      </c>
      <c r="C1624" t="s">
        <v>10</v>
      </c>
      <c r="D1624" t="s">
        <v>11</v>
      </c>
      <c r="E1624">
        <v>202602</v>
      </c>
      <c r="F1624" t="s">
        <v>117</v>
      </c>
      <c r="G1624">
        <v>0</v>
      </c>
      <c r="H1624">
        <v>0</v>
      </c>
      <c r="I1624">
        <v>0</v>
      </c>
      <c r="J1624">
        <v>0</v>
      </c>
      <c r="K1624">
        <v>0</v>
      </c>
      <c r="L1624">
        <v>1</v>
      </c>
      <c r="M1624">
        <v>0</v>
      </c>
      <c r="N1624">
        <v>0</v>
      </c>
      <c r="O1624">
        <v>0</v>
      </c>
      <c r="P1624">
        <v>0</v>
      </c>
      <c r="Q1624">
        <v>0</v>
      </c>
      <c r="R1624">
        <v>0</v>
      </c>
      <c r="S1624">
        <v>0</v>
      </c>
      <c r="T1624">
        <v>0</v>
      </c>
      <c r="U1624">
        <v>0</v>
      </c>
      <c r="V1624">
        <v>0</v>
      </c>
      <c r="W1624">
        <v>0</v>
      </c>
      <c r="X1624">
        <v>0</v>
      </c>
      <c r="Y1624">
        <v>0</v>
      </c>
      <c r="Z1624">
        <v>0</v>
      </c>
      <c r="AA1624">
        <v>0</v>
      </c>
      <c r="AB1624">
        <v>0</v>
      </c>
      <c r="AC1624">
        <v>0</v>
      </c>
      <c r="AD1624">
        <v>0</v>
      </c>
      <c r="AE1624">
        <v>0</v>
      </c>
      <c r="AF1624">
        <v>0</v>
      </c>
      <c r="AG1624">
        <v>0</v>
      </c>
      <c r="AH1624">
        <v>0</v>
      </c>
      <c r="AI1624">
        <v>0</v>
      </c>
      <c r="AJ1624">
        <v>0</v>
      </c>
      <c r="AK1624">
        <v>0</v>
      </c>
      <c r="AL1624">
        <v>1</v>
      </c>
      <c r="AM1624">
        <v>0</v>
      </c>
      <c r="AN1624">
        <v>1</v>
      </c>
    </row>
    <row r="1625" spans="1:40" x14ac:dyDescent="0.3">
      <c r="A1625" t="s">
        <v>447</v>
      </c>
      <c r="B1625" t="s">
        <v>644</v>
      </c>
      <c r="C1625" t="s">
        <v>10</v>
      </c>
      <c r="D1625" t="s">
        <v>11</v>
      </c>
      <c r="E1625">
        <v>202602</v>
      </c>
      <c r="F1625" t="s">
        <v>118</v>
      </c>
      <c r="G1625">
        <v>0</v>
      </c>
      <c r="H1625">
        <v>0</v>
      </c>
      <c r="I1625">
        <v>0</v>
      </c>
      <c r="J1625">
        <v>2</v>
      </c>
      <c r="K1625">
        <v>1</v>
      </c>
      <c r="L1625">
        <v>0</v>
      </c>
      <c r="M1625">
        <v>0</v>
      </c>
      <c r="N1625">
        <v>0</v>
      </c>
      <c r="O1625">
        <v>0</v>
      </c>
      <c r="P1625">
        <v>0</v>
      </c>
      <c r="Q1625">
        <v>1</v>
      </c>
      <c r="R1625">
        <v>0</v>
      </c>
      <c r="S1625">
        <v>0</v>
      </c>
      <c r="T1625">
        <v>0</v>
      </c>
      <c r="U1625">
        <v>0</v>
      </c>
      <c r="V1625">
        <v>0</v>
      </c>
      <c r="W1625">
        <v>0</v>
      </c>
      <c r="X1625">
        <v>0</v>
      </c>
      <c r="Y1625">
        <v>0</v>
      </c>
      <c r="Z1625">
        <v>0</v>
      </c>
      <c r="AA1625">
        <v>0</v>
      </c>
      <c r="AB1625">
        <v>0</v>
      </c>
      <c r="AC1625">
        <v>0</v>
      </c>
      <c r="AD1625">
        <v>0</v>
      </c>
      <c r="AE1625">
        <v>0</v>
      </c>
      <c r="AF1625">
        <v>0</v>
      </c>
      <c r="AG1625">
        <v>0</v>
      </c>
      <c r="AH1625">
        <v>0</v>
      </c>
      <c r="AI1625">
        <v>0</v>
      </c>
      <c r="AJ1625">
        <v>0</v>
      </c>
      <c r="AK1625">
        <v>0</v>
      </c>
      <c r="AL1625">
        <v>4</v>
      </c>
      <c r="AM1625">
        <v>0.33333333333333331</v>
      </c>
      <c r="AN1625">
        <v>8.6046251398731108</v>
      </c>
    </row>
    <row r="1626" spans="1:40" x14ac:dyDescent="0.3">
      <c r="A1626" t="s">
        <v>447</v>
      </c>
      <c r="B1626" t="s">
        <v>644</v>
      </c>
      <c r="C1626" t="s">
        <v>10</v>
      </c>
      <c r="D1626" t="s">
        <v>11</v>
      </c>
      <c r="E1626">
        <v>202602</v>
      </c>
      <c r="F1626" t="s">
        <v>132</v>
      </c>
      <c r="G1626">
        <v>0</v>
      </c>
      <c r="H1626">
        <v>0</v>
      </c>
      <c r="I1626">
        <v>0</v>
      </c>
      <c r="J1626">
        <v>0</v>
      </c>
      <c r="K1626">
        <v>1</v>
      </c>
      <c r="L1626">
        <v>0</v>
      </c>
      <c r="M1626">
        <v>0</v>
      </c>
      <c r="N1626">
        <v>0</v>
      </c>
      <c r="O1626">
        <v>0</v>
      </c>
      <c r="P1626">
        <v>0</v>
      </c>
      <c r="Q1626">
        <v>0</v>
      </c>
      <c r="R1626">
        <v>0</v>
      </c>
      <c r="S1626">
        <v>0</v>
      </c>
      <c r="T1626">
        <v>0</v>
      </c>
      <c r="U1626">
        <v>0</v>
      </c>
      <c r="V1626">
        <v>0</v>
      </c>
      <c r="W1626">
        <v>0</v>
      </c>
      <c r="X1626">
        <v>0</v>
      </c>
      <c r="Y1626">
        <v>0</v>
      </c>
      <c r="Z1626">
        <v>0</v>
      </c>
      <c r="AA1626">
        <v>0</v>
      </c>
      <c r="AB1626">
        <v>0</v>
      </c>
      <c r="AC1626">
        <v>0</v>
      </c>
      <c r="AD1626">
        <v>0</v>
      </c>
      <c r="AE1626">
        <v>0</v>
      </c>
      <c r="AF1626">
        <v>0</v>
      </c>
      <c r="AG1626">
        <v>0</v>
      </c>
      <c r="AH1626">
        <v>0</v>
      </c>
      <c r="AI1626">
        <v>0</v>
      </c>
      <c r="AJ1626">
        <v>0</v>
      </c>
      <c r="AK1626">
        <v>0</v>
      </c>
      <c r="AL1626">
        <v>1</v>
      </c>
      <c r="AM1626">
        <v>0</v>
      </c>
      <c r="AN1626">
        <v>1</v>
      </c>
    </row>
    <row r="1627" spans="1:40" x14ac:dyDescent="0.3">
      <c r="A1627" t="s">
        <v>447</v>
      </c>
      <c r="B1627" t="s">
        <v>644</v>
      </c>
      <c r="C1627" t="s">
        <v>10</v>
      </c>
      <c r="D1627" t="s">
        <v>11</v>
      </c>
      <c r="E1627">
        <v>202602</v>
      </c>
      <c r="F1627" t="s">
        <v>121</v>
      </c>
      <c r="G1627">
        <v>0</v>
      </c>
      <c r="H1627">
        <v>0</v>
      </c>
      <c r="I1627">
        <v>0</v>
      </c>
      <c r="J1627">
        <v>1</v>
      </c>
      <c r="K1627">
        <v>0</v>
      </c>
      <c r="L1627">
        <v>0</v>
      </c>
      <c r="M1627">
        <v>0</v>
      </c>
      <c r="N1627">
        <v>0</v>
      </c>
      <c r="O1627">
        <v>0</v>
      </c>
      <c r="P1627">
        <v>0</v>
      </c>
      <c r="Q1627">
        <v>0</v>
      </c>
      <c r="R1627">
        <v>0</v>
      </c>
      <c r="S1627">
        <v>0</v>
      </c>
      <c r="T1627">
        <v>0</v>
      </c>
      <c r="U1627">
        <v>0</v>
      </c>
      <c r="V1627">
        <v>0</v>
      </c>
      <c r="W1627">
        <v>0</v>
      </c>
      <c r="X1627">
        <v>0</v>
      </c>
      <c r="Y1627">
        <v>0</v>
      </c>
      <c r="Z1627">
        <v>0</v>
      </c>
      <c r="AA1627">
        <v>0</v>
      </c>
      <c r="AB1627">
        <v>0</v>
      </c>
      <c r="AC1627">
        <v>0</v>
      </c>
      <c r="AD1627">
        <v>0</v>
      </c>
      <c r="AE1627">
        <v>0</v>
      </c>
      <c r="AF1627">
        <v>0</v>
      </c>
      <c r="AG1627">
        <v>0</v>
      </c>
      <c r="AH1627">
        <v>0</v>
      </c>
      <c r="AI1627">
        <v>0</v>
      </c>
      <c r="AJ1627">
        <v>0</v>
      </c>
      <c r="AK1627">
        <v>0</v>
      </c>
      <c r="AL1627">
        <v>1</v>
      </c>
      <c r="AM1627">
        <v>0</v>
      </c>
      <c r="AN1627">
        <v>1</v>
      </c>
    </row>
    <row r="1628" spans="1:40" x14ac:dyDescent="0.3">
      <c r="A1628" t="s">
        <v>447</v>
      </c>
      <c r="B1628" t="s">
        <v>644</v>
      </c>
      <c r="C1628" t="s">
        <v>10</v>
      </c>
      <c r="D1628" t="s">
        <v>11</v>
      </c>
      <c r="E1628">
        <v>202602</v>
      </c>
      <c r="F1628" t="s">
        <v>320</v>
      </c>
      <c r="G1628">
        <v>0</v>
      </c>
      <c r="H1628">
        <v>0</v>
      </c>
      <c r="I1628">
        <v>0</v>
      </c>
      <c r="J1628">
        <v>0</v>
      </c>
      <c r="K1628">
        <v>0</v>
      </c>
      <c r="L1628">
        <v>0</v>
      </c>
      <c r="M1628">
        <v>0</v>
      </c>
      <c r="N1628">
        <v>0</v>
      </c>
      <c r="O1628">
        <v>1</v>
      </c>
      <c r="P1628">
        <v>0</v>
      </c>
      <c r="Q1628">
        <v>0</v>
      </c>
      <c r="R1628">
        <v>0</v>
      </c>
      <c r="S1628">
        <v>0</v>
      </c>
      <c r="T1628">
        <v>0</v>
      </c>
      <c r="U1628">
        <v>0</v>
      </c>
      <c r="V1628">
        <v>0</v>
      </c>
      <c r="W1628">
        <v>0</v>
      </c>
      <c r="X1628">
        <v>0</v>
      </c>
      <c r="Y1628">
        <v>0</v>
      </c>
      <c r="Z1628">
        <v>0</v>
      </c>
      <c r="AA1628">
        <v>0</v>
      </c>
      <c r="AB1628">
        <v>0</v>
      </c>
      <c r="AC1628">
        <v>0</v>
      </c>
      <c r="AD1628">
        <v>0</v>
      </c>
      <c r="AE1628">
        <v>0</v>
      </c>
      <c r="AF1628">
        <v>0</v>
      </c>
      <c r="AG1628">
        <v>0</v>
      </c>
      <c r="AH1628">
        <v>0</v>
      </c>
      <c r="AI1628">
        <v>0</v>
      </c>
      <c r="AJ1628">
        <v>0</v>
      </c>
      <c r="AK1628">
        <v>0</v>
      </c>
      <c r="AL1628">
        <v>1</v>
      </c>
      <c r="AM1628">
        <v>0.33333333333333331</v>
      </c>
      <c r="AN1628">
        <v>5.6046251398731117</v>
      </c>
    </row>
    <row r="1629" spans="1:40" x14ac:dyDescent="0.3">
      <c r="A1629" t="s">
        <v>447</v>
      </c>
      <c r="B1629" t="s">
        <v>644</v>
      </c>
      <c r="C1629" t="s">
        <v>10</v>
      </c>
      <c r="D1629" t="s">
        <v>14</v>
      </c>
      <c r="E1629">
        <v>202602</v>
      </c>
      <c r="F1629" t="s">
        <v>110</v>
      </c>
      <c r="G1629">
        <v>0</v>
      </c>
      <c r="H1629">
        <v>0</v>
      </c>
      <c r="I1629">
        <v>0</v>
      </c>
      <c r="J1629">
        <v>0</v>
      </c>
      <c r="K1629">
        <v>1</v>
      </c>
      <c r="L1629">
        <v>0</v>
      </c>
      <c r="M1629">
        <v>0</v>
      </c>
      <c r="N1629">
        <v>0</v>
      </c>
      <c r="O1629">
        <v>0</v>
      </c>
      <c r="P1629">
        <v>0</v>
      </c>
      <c r="Q1629">
        <v>0</v>
      </c>
      <c r="R1629">
        <v>0</v>
      </c>
      <c r="S1629">
        <v>0</v>
      </c>
      <c r="T1629">
        <v>0</v>
      </c>
      <c r="U1629">
        <v>0</v>
      </c>
      <c r="V1629">
        <v>0</v>
      </c>
      <c r="W1629">
        <v>0</v>
      </c>
      <c r="X1629">
        <v>0</v>
      </c>
      <c r="Y1629">
        <v>0</v>
      </c>
      <c r="Z1629">
        <v>0</v>
      </c>
      <c r="AA1629">
        <v>0</v>
      </c>
      <c r="AB1629">
        <v>0</v>
      </c>
      <c r="AC1629">
        <v>0</v>
      </c>
      <c r="AD1629">
        <v>0</v>
      </c>
      <c r="AE1629">
        <v>0</v>
      </c>
      <c r="AF1629">
        <v>0</v>
      </c>
      <c r="AG1629">
        <v>0</v>
      </c>
      <c r="AH1629">
        <v>0</v>
      </c>
      <c r="AI1629">
        <v>0</v>
      </c>
      <c r="AJ1629">
        <v>0</v>
      </c>
      <c r="AK1629">
        <v>0</v>
      </c>
      <c r="AL1629">
        <v>1</v>
      </c>
      <c r="AM1629">
        <v>0</v>
      </c>
      <c r="AN1629">
        <v>1</v>
      </c>
    </row>
    <row r="1630" spans="1:40" x14ac:dyDescent="0.3">
      <c r="A1630" t="s">
        <v>447</v>
      </c>
      <c r="B1630" t="s">
        <v>644</v>
      </c>
      <c r="C1630" t="s">
        <v>10</v>
      </c>
      <c r="D1630" t="s">
        <v>14</v>
      </c>
      <c r="E1630">
        <v>202602</v>
      </c>
      <c r="F1630" t="s">
        <v>61</v>
      </c>
      <c r="G1630">
        <v>0</v>
      </c>
      <c r="H1630">
        <v>0</v>
      </c>
      <c r="I1630">
        <v>0</v>
      </c>
      <c r="J1630">
        <v>0</v>
      </c>
      <c r="K1630">
        <v>0</v>
      </c>
      <c r="L1630">
        <v>1</v>
      </c>
      <c r="M1630">
        <v>0</v>
      </c>
      <c r="N1630">
        <v>0</v>
      </c>
      <c r="O1630">
        <v>0</v>
      </c>
      <c r="P1630">
        <v>0</v>
      </c>
      <c r="Q1630">
        <v>0</v>
      </c>
      <c r="R1630">
        <v>0</v>
      </c>
      <c r="S1630">
        <v>0</v>
      </c>
      <c r="T1630">
        <v>0</v>
      </c>
      <c r="U1630">
        <v>0</v>
      </c>
      <c r="V1630">
        <v>0</v>
      </c>
      <c r="W1630">
        <v>0</v>
      </c>
      <c r="X1630">
        <v>0</v>
      </c>
      <c r="Y1630">
        <v>0</v>
      </c>
      <c r="Z1630">
        <v>0</v>
      </c>
      <c r="AA1630">
        <v>0</v>
      </c>
      <c r="AB1630">
        <v>0</v>
      </c>
      <c r="AC1630">
        <v>0</v>
      </c>
      <c r="AD1630">
        <v>0</v>
      </c>
      <c r="AE1630">
        <v>0</v>
      </c>
      <c r="AF1630">
        <v>0</v>
      </c>
      <c r="AG1630">
        <v>0</v>
      </c>
      <c r="AH1630">
        <v>0</v>
      </c>
      <c r="AI1630">
        <v>0</v>
      </c>
      <c r="AJ1630">
        <v>0</v>
      </c>
      <c r="AK1630">
        <v>0</v>
      </c>
      <c r="AL1630">
        <v>1</v>
      </c>
      <c r="AM1630">
        <v>0</v>
      </c>
      <c r="AN1630">
        <v>1</v>
      </c>
    </row>
    <row r="1631" spans="1:40" x14ac:dyDescent="0.3">
      <c r="A1631" t="s">
        <v>447</v>
      </c>
      <c r="B1631" t="s">
        <v>644</v>
      </c>
      <c r="C1631" t="s">
        <v>10</v>
      </c>
      <c r="D1631" t="s">
        <v>14</v>
      </c>
      <c r="E1631">
        <v>202602</v>
      </c>
      <c r="F1631" t="s">
        <v>112</v>
      </c>
      <c r="G1631">
        <v>0</v>
      </c>
      <c r="H1631">
        <v>1</v>
      </c>
      <c r="I1631">
        <v>0</v>
      </c>
      <c r="J1631">
        <v>0</v>
      </c>
      <c r="K1631">
        <v>0</v>
      </c>
      <c r="L1631">
        <v>1</v>
      </c>
      <c r="M1631">
        <v>0</v>
      </c>
      <c r="N1631">
        <v>0</v>
      </c>
      <c r="O1631">
        <v>0</v>
      </c>
      <c r="P1631">
        <v>0</v>
      </c>
      <c r="Q1631">
        <v>1</v>
      </c>
      <c r="R1631">
        <v>0</v>
      </c>
      <c r="S1631">
        <v>0</v>
      </c>
      <c r="T1631">
        <v>0</v>
      </c>
      <c r="U1631">
        <v>0</v>
      </c>
      <c r="V1631">
        <v>0</v>
      </c>
      <c r="W1631">
        <v>0</v>
      </c>
      <c r="X1631">
        <v>0</v>
      </c>
      <c r="Y1631">
        <v>0</v>
      </c>
      <c r="Z1631">
        <v>0</v>
      </c>
      <c r="AA1631">
        <v>0</v>
      </c>
      <c r="AB1631">
        <v>0</v>
      </c>
      <c r="AC1631">
        <v>0</v>
      </c>
      <c r="AD1631">
        <v>0</v>
      </c>
      <c r="AE1631">
        <v>0</v>
      </c>
      <c r="AF1631">
        <v>0</v>
      </c>
      <c r="AG1631">
        <v>0</v>
      </c>
      <c r="AH1631">
        <v>0</v>
      </c>
      <c r="AI1631">
        <v>0</v>
      </c>
      <c r="AJ1631">
        <v>0</v>
      </c>
      <c r="AK1631">
        <v>0</v>
      </c>
      <c r="AL1631">
        <v>3</v>
      </c>
      <c r="AM1631">
        <v>0.33333333333333331</v>
      </c>
      <c r="AN1631">
        <v>7.0417410714286133</v>
      </c>
    </row>
    <row r="1632" spans="1:40" x14ac:dyDescent="0.3">
      <c r="A1632" t="s">
        <v>447</v>
      </c>
      <c r="B1632" t="s">
        <v>644</v>
      </c>
      <c r="C1632" t="s">
        <v>10</v>
      </c>
      <c r="D1632" t="s">
        <v>14</v>
      </c>
      <c r="E1632">
        <v>202602</v>
      </c>
      <c r="F1632" t="s">
        <v>114</v>
      </c>
      <c r="G1632">
        <v>0</v>
      </c>
      <c r="H1632">
        <v>1</v>
      </c>
      <c r="I1632">
        <v>0</v>
      </c>
      <c r="J1632">
        <v>2</v>
      </c>
      <c r="K1632">
        <v>3</v>
      </c>
      <c r="L1632">
        <v>2</v>
      </c>
      <c r="M1632">
        <v>0</v>
      </c>
      <c r="N1632">
        <v>0</v>
      </c>
      <c r="O1632">
        <v>3</v>
      </c>
      <c r="P1632">
        <v>0</v>
      </c>
      <c r="Q1632">
        <v>3</v>
      </c>
      <c r="R1632">
        <v>0</v>
      </c>
      <c r="S1632">
        <v>0</v>
      </c>
      <c r="T1632">
        <v>0</v>
      </c>
      <c r="U1632">
        <v>0</v>
      </c>
      <c r="V1632">
        <v>0</v>
      </c>
      <c r="W1632">
        <v>0</v>
      </c>
      <c r="X1632">
        <v>0</v>
      </c>
      <c r="Y1632">
        <v>0</v>
      </c>
      <c r="Z1632">
        <v>0</v>
      </c>
      <c r="AA1632">
        <v>0</v>
      </c>
      <c r="AB1632">
        <v>0</v>
      </c>
      <c r="AC1632">
        <v>0</v>
      </c>
      <c r="AD1632">
        <v>0</v>
      </c>
      <c r="AE1632">
        <v>0</v>
      </c>
      <c r="AF1632">
        <v>0</v>
      </c>
      <c r="AG1632">
        <v>0</v>
      </c>
      <c r="AH1632">
        <v>0</v>
      </c>
      <c r="AI1632">
        <v>0</v>
      </c>
      <c r="AJ1632">
        <v>0</v>
      </c>
      <c r="AK1632">
        <v>0</v>
      </c>
      <c r="AL1632">
        <v>14</v>
      </c>
      <c r="AM1632">
        <v>2</v>
      </c>
      <c r="AN1632">
        <v>38.250446428571678</v>
      </c>
    </row>
    <row r="1633" spans="1:40" x14ac:dyDescent="0.3">
      <c r="A1633" t="s">
        <v>447</v>
      </c>
      <c r="B1633" t="s">
        <v>644</v>
      </c>
      <c r="C1633" t="s">
        <v>10</v>
      </c>
      <c r="D1633" t="s">
        <v>14</v>
      </c>
      <c r="E1633">
        <v>202602</v>
      </c>
      <c r="F1633" t="s">
        <v>115</v>
      </c>
      <c r="G1633">
        <v>0</v>
      </c>
      <c r="H1633">
        <v>0</v>
      </c>
      <c r="I1633">
        <v>1</v>
      </c>
      <c r="J1633">
        <v>0</v>
      </c>
      <c r="K1633">
        <v>0</v>
      </c>
      <c r="L1633">
        <v>1</v>
      </c>
      <c r="M1633">
        <v>0</v>
      </c>
      <c r="N1633">
        <v>0</v>
      </c>
      <c r="O1633">
        <v>0</v>
      </c>
      <c r="P1633">
        <v>0</v>
      </c>
      <c r="Q1633">
        <v>0</v>
      </c>
      <c r="R1633">
        <v>0</v>
      </c>
      <c r="S1633">
        <v>0</v>
      </c>
      <c r="T1633">
        <v>0</v>
      </c>
      <c r="U1633">
        <v>0</v>
      </c>
      <c r="V1633">
        <v>0</v>
      </c>
      <c r="W1633">
        <v>0</v>
      </c>
      <c r="X1633">
        <v>0</v>
      </c>
      <c r="Y1633">
        <v>0</v>
      </c>
      <c r="Z1633">
        <v>0</v>
      </c>
      <c r="AA1633">
        <v>0</v>
      </c>
      <c r="AB1633">
        <v>0</v>
      </c>
      <c r="AC1633">
        <v>0</v>
      </c>
      <c r="AD1633">
        <v>0</v>
      </c>
      <c r="AE1633">
        <v>0</v>
      </c>
      <c r="AF1633">
        <v>0</v>
      </c>
      <c r="AG1633">
        <v>0</v>
      </c>
      <c r="AH1633">
        <v>0</v>
      </c>
      <c r="AI1633">
        <v>0</v>
      </c>
      <c r="AJ1633">
        <v>0</v>
      </c>
      <c r="AK1633">
        <v>0</v>
      </c>
      <c r="AL1633">
        <v>2</v>
      </c>
      <c r="AM1633">
        <v>0</v>
      </c>
      <c r="AN1633">
        <v>2</v>
      </c>
    </row>
    <row r="1634" spans="1:40" x14ac:dyDescent="0.3">
      <c r="A1634" t="s">
        <v>447</v>
      </c>
      <c r="B1634" t="s">
        <v>644</v>
      </c>
      <c r="C1634" t="s">
        <v>10</v>
      </c>
      <c r="D1634" t="s">
        <v>14</v>
      </c>
      <c r="E1634">
        <v>202602</v>
      </c>
      <c r="F1634" t="s">
        <v>116</v>
      </c>
      <c r="G1634">
        <v>0</v>
      </c>
      <c r="H1634">
        <v>0</v>
      </c>
      <c r="I1634">
        <v>1</v>
      </c>
      <c r="J1634">
        <v>0</v>
      </c>
      <c r="K1634">
        <v>0</v>
      </c>
      <c r="L1634">
        <v>0</v>
      </c>
      <c r="M1634">
        <v>0</v>
      </c>
      <c r="N1634">
        <v>0</v>
      </c>
      <c r="O1634">
        <v>0</v>
      </c>
      <c r="P1634">
        <v>0</v>
      </c>
      <c r="Q1634">
        <v>0</v>
      </c>
      <c r="R1634">
        <v>0</v>
      </c>
      <c r="S1634">
        <v>0</v>
      </c>
      <c r="T1634">
        <v>0</v>
      </c>
      <c r="U1634">
        <v>0</v>
      </c>
      <c r="V1634">
        <v>0</v>
      </c>
      <c r="W1634">
        <v>0</v>
      </c>
      <c r="X1634">
        <v>0</v>
      </c>
      <c r="Y1634">
        <v>0</v>
      </c>
      <c r="Z1634">
        <v>0</v>
      </c>
      <c r="AA1634">
        <v>0</v>
      </c>
      <c r="AB1634">
        <v>0</v>
      </c>
      <c r="AC1634">
        <v>0</v>
      </c>
      <c r="AD1634">
        <v>0</v>
      </c>
      <c r="AE1634">
        <v>0</v>
      </c>
      <c r="AF1634">
        <v>0</v>
      </c>
      <c r="AG1634">
        <v>0</v>
      </c>
      <c r="AH1634">
        <v>0</v>
      </c>
      <c r="AI1634">
        <v>0</v>
      </c>
      <c r="AJ1634">
        <v>0</v>
      </c>
      <c r="AK1634">
        <v>0</v>
      </c>
      <c r="AL1634">
        <v>1</v>
      </c>
      <c r="AM1634">
        <v>0</v>
      </c>
      <c r="AN1634">
        <v>1</v>
      </c>
    </row>
    <row r="1635" spans="1:40" x14ac:dyDescent="0.3">
      <c r="A1635" t="s">
        <v>447</v>
      </c>
      <c r="B1635" t="s">
        <v>644</v>
      </c>
      <c r="C1635" t="s">
        <v>10</v>
      </c>
      <c r="D1635" t="s">
        <v>14</v>
      </c>
      <c r="E1635">
        <v>202602</v>
      </c>
      <c r="F1635" t="s">
        <v>130</v>
      </c>
      <c r="G1635">
        <v>0</v>
      </c>
      <c r="H1635">
        <v>0</v>
      </c>
      <c r="I1635">
        <v>1</v>
      </c>
      <c r="J1635">
        <v>2</v>
      </c>
      <c r="K1635">
        <v>1</v>
      </c>
      <c r="L1635">
        <v>0</v>
      </c>
      <c r="M1635">
        <v>2</v>
      </c>
      <c r="N1635">
        <v>0</v>
      </c>
      <c r="O1635">
        <v>1</v>
      </c>
      <c r="P1635">
        <v>0</v>
      </c>
      <c r="Q1635">
        <v>1</v>
      </c>
      <c r="R1635">
        <v>0</v>
      </c>
      <c r="S1635">
        <v>0</v>
      </c>
      <c r="T1635">
        <v>0</v>
      </c>
      <c r="U1635">
        <v>0</v>
      </c>
      <c r="V1635">
        <v>0</v>
      </c>
      <c r="W1635">
        <v>0</v>
      </c>
      <c r="X1635">
        <v>0</v>
      </c>
      <c r="Y1635">
        <v>0</v>
      </c>
      <c r="Z1635">
        <v>0</v>
      </c>
      <c r="AA1635">
        <v>0</v>
      </c>
      <c r="AB1635">
        <v>0</v>
      </c>
      <c r="AC1635">
        <v>0</v>
      </c>
      <c r="AD1635">
        <v>0</v>
      </c>
      <c r="AE1635">
        <v>0</v>
      </c>
      <c r="AF1635">
        <v>0</v>
      </c>
      <c r="AG1635">
        <v>0</v>
      </c>
      <c r="AH1635">
        <v>0</v>
      </c>
      <c r="AI1635">
        <v>0</v>
      </c>
      <c r="AJ1635">
        <v>0</v>
      </c>
      <c r="AK1635">
        <v>0</v>
      </c>
      <c r="AL1635">
        <v>8</v>
      </c>
      <c r="AM1635">
        <v>0.66666666666666663</v>
      </c>
      <c r="AN1635">
        <v>16.083482142857228</v>
      </c>
    </row>
    <row r="1636" spans="1:40" x14ac:dyDescent="0.3">
      <c r="A1636" t="s">
        <v>447</v>
      </c>
      <c r="B1636" t="s">
        <v>644</v>
      </c>
      <c r="C1636" t="s">
        <v>10</v>
      </c>
      <c r="D1636" t="s">
        <v>14</v>
      </c>
      <c r="E1636">
        <v>202602</v>
      </c>
      <c r="F1636" t="s">
        <v>318</v>
      </c>
      <c r="G1636">
        <v>0</v>
      </c>
      <c r="H1636">
        <v>0</v>
      </c>
      <c r="I1636">
        <v>0</v>
      </c>
      <c r="J1636">
        <v>0</v>
      </c>
      <c r="K1636">
        <v>0</v>
      </c>
      <c r="L1636">
        <v>0</v>
      </c>
      <c r="M1636">
        <v>0</v>
      </c>
      <c r="N1636">
        <v>0</v>
      </c>
      <c r="O1636">
        <v>0</v>
      </c>
      <c r="P1636">
        <v>0</v>
      </c>
      <c r="Q1636">
        <v>1</v>
      </c>
      <c r="R1636">
        <v>0</v>
      </c>
      <c r="S1636">
        <v>0</v>
      </c>
      <c r="T1636">
        <v>0</v>
      </c>
      <c r="U1636">
        <v>0</v>
      </c>
      <c r="V1636">
        <v>0</v>
      </c>
      <c r="W1636">
        <v>0</v>
      </c>
      <c r="X1636">
        <v>0</v>
      </c>
      <c r="Y1636">
        <v>0</v>
      </c>
      <c r="Z1636">
        <v>0</v>
      </c>
      <c r="AA1636">
        <v>0</v>
      </c>
      <c r="AB1636">
        <v>0</v>
      </c>
      <c r="AC1636">
        <v>0</v>
      </c>
      <c r="AD1636">
        <v>0</v>
      </c>
      <c r="AE1636">
        <v>0</v>
      </c>
      <c r="AF1636">
        <v>0</v>
      </c>
      <c r="AG1636">
        <v>0</v>
      </c>
      <c r="AH1636">
        <v>0</v>
      </c>
      <c r="AI1636">
        <v>0</v>
      </c>
      <c r="AJ1636">
        <v>0</v>
      </c>
      <c r="AK1636">
        <v>0</v>
      </c>
      <c r="AL1636">
        <v>1</v>
      </c>
      <c r="AM1636">
        <v>0.33333333333333331</v>
      </c>
      <c r="AN1636">
        <v>5.0417410714286133</v>
      </c>
    </row>
    <row r="1637" spans="1:40" x14ac:dyDescent="0.3">
      <c r="A1637" t="s">
        <v>447</v>
      </c>
      <c r="B1637" t="s">
        <v>644</v>
      </c>
      <c r="C1637" t="s">
        <v>10</v>
      </c>
      <c r="D1637" t="s">
        <v>14</v>
      </c>
      <c r="E1637">
        <v>202602</v>
      </c>
      <c r="F1637" t="s">
        <v>117</v>
      </c>
      <c r="G1637">
        <v>0</v>
      </c>
      <c r="H1637">
        <v>0</v>
      </c>
      <c r="I1637">
        <v>0</v>
      </c>
      <c r="J1637">
        <v>0</v>
      </c>
      <c r="K1637">
        <v>1</v>
      </c>
      <c r="L1637">
        <v>0</v>
      </c>
      <c r="M1637">
        <v>0</v>
      </c>
      <c r="N1637">
        <v>0</v>
      </c>
      <c r="O1637">
        <v>0</v>
      </c>
      <c r="P1637">
        <v>0</v>
      </c>
      <c r="Q1637">
        <v>0</v>
      </c>
      <c r="R1637">
        <v>0</v>
      </c>
      <c r="S1637">
        <v>0</v>
      </c>
      <c r="T1637">
        <v>0</v>
      </c>
      <c r="U1637">
        <v>0</v>
      </c>
      <c r="V1637">
        <v>0</v>
      </c>
      <c r="W1637">
        <v>0</v>
      </c>
      <c r="X1637">
        <v>0</v>
      </c>
      <c r="Y1637">
        <v>0</v>
      </c>
      <c r="Z1637">
        <v>0</v>
      </c>
      <c r="AA1637">
        <v>0</v>
      </c>
      <c r="AB1637">
        <v>0</v>
      </c>
      <c r="AC1637">
        <v>0</v>
      </c>
      <c r="AD1637">
        <v>0</v>
      </c>
      <c r="AE1637">
        <v>0</v>
      </c>
      <c r="AF1637">
        <v>0</v>
      </c>
      <c r="AG1637">
        <v>0</v>
      </c>
      <c r="AH1637">
        <v>0</v>
      </c>
      <c r="AI1637">
        <v>0</v>
      </c>
      <c r="AJ1637">
        <v>0</v>
      </c>
      <c r="AK1637">
        <v>0</v>
      </c>
      <c r="AL1637">
        <v>1</v>
      </c>
      <c r="AM1637">
        <v>0</v>
      </c>
      <c r="AN1637">
        <v>1</v>
      </c>
    </row>
    <row r="1638" spans="1:40" x14ac:dyDescent="0.3">
      <c r="A1638" t="s">
        <v>447</v>
      </c>
      <c r="B1638" t="s">
        <v>644</v>
      </c>
      <c r="C1638" t="s">
        <v>10</v>
      </c>
      <c r="D1638" t="s">
        <v>14</v>
      </c>
      <c r="E1638">
        <v>202602</v>
      </c>
      <c r="F1638" t="s">
        <v>118</v>
      </c>
      <c r="G1638">
        <v>0</v>
      </c>
      <c r="H1638">
        <v>1</v>
      </c>
      <c r="I1638">
        <v>2</v>
      </c>
      <c r="J1638">
        <v>0</v>
      </c>
      <c r="K1638">
        <v>0</v>
      </c>
      <c r="L1638">
        <v>0</v>
      </c>
      <c r="M1638">
        <v>0</v>
      </c>
      <c r="N1638">
        <v>0</v>
      </c>
      <c r="O1638">
        <v>1</v>
      </c>
      <c r="P1638">
        <v>0</v>
      </c>
      <c r="Q1638">
        <v>2</v>
      </c>
      <c r="R1638">
        <v>0</v>
      </c>
      <c r="S1638">
        <v>0</v>
      </c>
      <c r="T1638">
        <v>0</v>
      </c>
      <c r="U1638">
        <v>0</v>
      </c>
      <c r="V1638">
        <v>0</v>
      </c>
      <c r="W1638">
        <v>0</v>
      </c>
      <c r="X1638">
        <v>0</v>
      </c>
      <c r="Y1638">
        <v>0</v>
      </c>
      <c r="Z1638">
        <v>0</v>
      </c>
      <c r="AA1638">
        <v>0</v>
      </c>
      <c r="AB1638">
        <v>0</v>
      </c>
      <c r="AC1638">
        <v>0</v>
      </c>
      <c r="AD1638">
        <v>0</v>
      </c>
      <c r="AE1638">
        <v>0</v>
      </c>
      <c r="AF1638">
        <v>0</v>
      </c>
      <c r="AG1638">
        <v>0</v>
      </c>
      <c r="AH1638">
        <v>0</v>
      </c>
      <c r="AI1638">
        <v>0</v>
      </c>
      <c r="AJ1638">
        <v>0</v>
      </c>
      <c r="AK1638">
        <v>0</v>
      </c>
      <c r="AL1638">
        <v>6</v>
      </c>
      <c r="AM1638">
        <v>1</v>
      </c>
      <c r="AN1638">
        <v>18.125223214285839</v>
      </c>
    </row>
    <row r="1639" spans="1:40" x14ac:dyDescent="0.3">
      <c r="A1639" t="s">
        <v>447</v>
      </c>
      <c r="B1639" t="s">
        <v>644</v>
      </c>
      <c r="C1639" t="s">
        <v>10</v>
      </c>
      <c r="D1639" t="s">
        <v>14</v>
      </c>
      <c r="E1639">
        <v>202602</v>
      </c>
      <c r="F1639" t="s">
        <v>132</v>
      </c>
      <c r="G1639">
        <v>0</v>
      </c>
      <c r="H1639">
        <v>0</v>
      </c>
      <c r="I1639">
        <v>0</v>
      </c>
      <c r="J1639">
        <v>1</v>
      </c>
      <c r="K1639">
        <v>0</v>
      </c>
      <c r="L1639">
        <v>0</v>
      </c>
      <c r="M1639">
        <v>0</v>
      </c>
      <c r="N1639">
        <v>0</v>
      </c>
      <c r="O1639">
        <v>0</v>
      </c>
      <c r="P1639">
        <v>0</v>
      </c>
      <c r="Q1639">
        <v>0</v>
      </c>
      <c r="R1639">
        <v>0</v>
      </c>
      <c r="S1639">
        <v>0</v>
      </c>
      <c r="T1639">
        <v>0</v>
      </c>
      <c r="U1639">
        <v>0</v>
      </c>
      <c r="V1639">
        <v>0</v>
      </c>
      <c r="W1639">
        <v>0</v>
      </c>
      <c r="X1639">
        <v>0</v>
      </c>
      <c r="Y1639">
        <v>0</v>
      </c>
      <c r="Z1639">
        <v>0</v>
      </c>
      <c r="AA1639">
        <v>0</v>
      </c>
      <c r="AB1639">
        <v>0</v>
      </c>
      <c r="AC1639">
        <v>0</v>
      </c>
      <c r="AD1639">
        <v>0</v>
      </c>
      <c r="AE1639">
        <v>0</v>
      </c>
      <c r="AF1639">
        <v>0</v>
      </c>
      <c r="AG1639">
        <v>0</v>
      </c>
      <c r="AH1639">
        <v>0</v>
      </c>
      <c r="AI1639">
        <v>0</v>
      </c>
      <c r="AJ1639">
        <v>0</v>
      </c>
      <c r="AK1639">
        <v>0</v>
      </c>
      <c r="AL1639">
        <v>1</v>
      </c>
      <c r="AM1639">
        <v>0</v>
      </c>
      <c r="AN1639">
        <v>1</v>
      </c>
    </row>
    <row r="1640" spans="1:40" x14ac:dyDescent="0.3">
      <c r="A1640" t="s">
        <v>447</v>
      </c>
      <c r="B1640" t="s">
        <v>644</v>
      </c>
      <c r="C1640" t="s">
        <v>10</v>
      </c>
      <c r="D1640" t="s">
        <v>14</v>
      </c>
      <c r="E1640">
        <v>202602</v>
      </c>
      <c r="F1640" t="s">
        <v>280</v>
      </c>
      <c r="G1640">
        <v>0</v>
      </c>
      <c r="H1640">
        <v>0</v>
      </c>
      <c r="I1640">
        <v>0</v>
      </c>
      <c r="J1640">
        <v>0</v>
      </c>
      <c r="K1640">
        <v>0</v>
      </c>
      <c r="L1640">
        <v>0</v>
      </c>
      <c r="M1640">
        <v>0</v>
      </c>
      <c r="N1640">
        <v>0</v>
      </c>
      <c r="O1640">
        <v>0</v>
      </c>
      <c r="P1640">
        <v>0</v>
      </c>
      <c r="Q1640">
        <v>1</v>
      </c>
      <c r="R1640">
        <v>0</v>
      </c>
      <c r="S1640">
        <v>0</v>
      </c>
      <c r="T1640">
        <v>0</v>
      </c>
      <c r="U1640">
        <v>0</v>
      </c>
      <c r="V1640">
        <v>0</v>
      </c>
      <c r="W1640">
        <v>0</v>
      </c>
      <c r="X1640">
        <v>0</v>
      </c>
      <c r="Y1640">
        <v>0</v>
      </c>
      <c r="Z1640">
        <v>0</v>
      </c>
      <c r="AA1640">
        <v>0</v>
      </c>
      <c r="AB1640">
        <v>0</v>
      </c>
      <c r="AC1640">
        <v>0</v>
      </c>
      <c r="AD1640">
        <v>0</v>
      </c>
      <c r="AE1640">
        <v>0</v>
      </c>
      <c r="AF1640">
        <v>0</v>
      </c>
      <c r="AG1640">
        <v>0</v>
      </c>
      <c r="AH1640">
        <v>0</v>
      </c>
      <c r="AI1640">
        <v>0</v>
      </c>
      <c r="AJ1640">
        <v>0</v>
      </c>
      <c r="AK1640">
        <v>0</v>
      </c>
      <c r="AL1640">
        <v>1</v>
      </c>
      <c r="AM1640">
        <v>0.33333333333333331</v>
      </c>
      <c r="AN1640">
        <v>5.0417410714286133</v>
      </c>
    </row>
    <row r="1641" spans="1:40" x14ac:dyDescent="0.3">
      <c r="A1641" t="s">
        <v>447</v>
      </c>
      <c r="B1641" t="s">
        <v>644</v>
      </c>
      <c r="C1641" t="s">
        <v>10</v>
      </c>
      <c r="D1641" t="s">
        <v>14</v>
      </c>
      <c r="E1641">
        <v>202602</v>
      </c>
      <c r="F1641" t="s">
        <v>320</v>
      </c>
      <c r="G1641">
        <v>0</v>
      </c>
      <c r="H1641">
        <v>0</v>
      </c>
      <c r="I1641">
        <v>0</v>
      </c>
      <c r="J1641">
        <v>0</v>
      </c>
      <c r="K1641">
        <v>0</v>
      </c>
      <c r="L1641">
        <v>1</v>
      </c>
      <c r="M1641">
        <v>0</v>
      </c>
      <c r="N1641">
        <v>0</v>
      </c>
      <c r="O1641">
        <v>0</v>
      </c>
      <c r="P1641">
        <v>0</v>
      </c>
      <c r="Q1641">
        <v>0</v>
      </c>
      <c r="R1641">
        <v>0</v>
      </c>
      <c r="S1641">
        <v>0</v>
      </c>
      <c r="T1641">
        <v>0</v>
      </c>
      <c r="U1641">
        <v>0</v>
      </c>
      <c r="V1641">
        <v>0</v>
      </c>
      <c r="W1641">
        <v>0</v>
      </c>
      <c r="X1641">
        <v>0</v>
      </c>
      <c r="Y1641">
        <v>0</v>
      </c>
      <c r="Z1641">
        <v>0</v>
      </c>
      <c r="AA1641">
        <v>0</v>
      </c>
      <c r="AB1641">
        <v>0</v>
      </c>
      <c r="AC1641">
        <v>0</v>
      </c>
      <c r="AD1641">
        <v>0</v>
      </c>
      <c r="AE1641">
        <v>0</v>
      </c>
      <c r="AF1641">
        <v>0</v>
      </c>
      <c r="AG1641">
        <v>0</v>
      </c>
      <c r="AH1641">
        <v>0</v>
      </c>
      <c r="AI1641">
        <v>0</v>
      </c>
      <c r="AJ1641">
        <v>0</v>
      </c>
      <c r="AK1641">
        <v>0</v>
      </c>
      <c r="AL1641">
        <v>1</v>
      </c>
      <c r="AM1641">
        <v>0</v>
      </c>
      <c r="AN1641">
        <v>1</v>
      </c>
    </row>
    <row r="1642" spans="1:40" x14ac:dyDescent="0.3">
      <c r="A1642" t="s">
        <v>447</v>
      </c>
      <c r="B1642" t="s">
        <v>136</v>
      </c>
      <c r="C1642" t="s">
        <v>10</v>
      </c>
      <c r="D1642" t="s">
        <v>11</v>
      </c>
      <c r="E1642">
        <v>202602</v>
      </c>
      <c r="F1642" t="s">
        <v>42</v>
      </c>
      <c r="G1642">
        <v>0</v>
      </c>
      <c r="H1642">
        <v>1</v>
      </c>
      <c r="I1642">
        <v>2</v>
      </c>
      <c r="J1642">
        <v>4</v>
      </c>
      <c r="K1642">
        <v>2</v>
      </c>
      <c r="L1642">
        <v>1</v>
      </c>
      <c r="M1642">
        <v>3</v>
      </c>
      <c r="N1642">
        <v>0</v>
      </c>
      <c r="O1642">
        <v>2</v>
      </c>
      <c r="P1642">
        <v>0</v>
      </c>
      <c r="Q1642">
        <v>0</v>
      </c>
      <c r="R1642">
        <v>0</v>
      </c>
      <c r="S1642">
        <v>0</v>
      </c>
      <c r="T1642">
        <v>0</v>
      </c>
      <c r="U1642">
        <v>0</v>
      </c>
      <c r="V1642">
        <v>0</v>
      </c>
      <c r="W1642">
        <v>0</v>
      </c>
      <c r="X1642">
        <v>0</v>
      </c>
      <c r="Y1642">
        <v>0</v>
      </c>
      <c r="Z1642">
        <v>0</v>
      </c>
      <c r="AA1642">
        <v>0</v>
      </c>
      <c r="AB1642">
        <v>0</v>
      </c>
      <c r="AC1642">
        <v>0</v>
      </c>
      <c r="AD1642">
        <v>0</v>
      </c>
      <c r="AE1642">
        <v>0</v>
      </c>
      <c r="AF1642">
        <v>0</v>
      </c>
      <c r="AG1642">
        <v>0</v>
      </c>
      <c r="AH1642">
        <v>0</v>
      </c>
      <c r="AI1642">
        <v>0</v>
      </c>
      <c r="AJ1642">
        <v>0</v>
      </c>
      <c r="AK1642">
        <v>0</v>
      </c>
      <c r="AL1642">
        <v>15</v>
      </c>
      <c r="AM1642">
        <v>0.66666666666666663</v>
      </c>
      <c r="AN1642">
        <v>24.209250279746222</v>
      </c>
    </row>
    <row r="1643" spans="1:40" x14ac:dyDescent="0.3">
      <c r="A1643" t="s">
        <v>447</v>
      </c>
      <c r="B1643" t="s">
        <v>136</v>
      </c>
      <c r="C1643" t="s">
        <v>10</v>
      </c>
      <c r="D1643" t="s">
        <v>14</v>
      </c>
      <c r="E1643">
        <v>202602</v>
      </c>
      <c r="F1643" t="s">
        <v>42</v>
      </c>
      <c r="G1643">
        <v>0</v>
      </c>
      <c r="H1643">
        <v>2</v>
      </c>
      <c r="I1643">
        <v>3</v>
      </c>
      <c r="J1643">
        <v>2</v>
      </c>
      <c r="K1643">
        <v>2</v>
      </c>
      <c r="L1643">
        <v>3</v>
      </c>
      <c r="M1643">
        <v>0</v>
      </c>
      <c r="N1643">
        <v>0</v>
      </c>
      <c r="O1643">
        <v>0</v>
      </c>
      <c r="P1643">
        <v>2</v>
      </c>
      <c r="Q1643">
        <v>1</v>
      </c>
      <c r="R1643">
        <v>0</v>
      </c>
      <c r="S1643">
        <v>0</v>
      </c>
      <c r="T1643">
        <v>0</v>
      </c>
      <c r="U1643">
        <v>0</v>
      </c>
      <c r="V1643">
        <v>0</v>
      </c>
      <c r="W1643">
        <v>0</v>
      </c>
      <c r="X1643">
        <v>0</v>
      </c>
      <c r="Y1643">
        <v>0</v>
      </c>
      <c r="Z1643">
        <v>0</v>
      </c>
      <c r="AA1643">
        <v>0</v>
      </c>
      <c r="AB1643">
        <v>0</v>
      </c>
      <c r="AC1643">
        <v>0</v>
      </c>
      <c r="AD1643">
        <v>0</v>
      </c>
      <c r="AE1643">
        <v>0</v>
      </c>
      <c r="AF1643">
        <v>0</v>
      </c>
      <c r="AG1643">
        <v>0</v>
      </c>
      <c r="AH1643">
        <v>0</v>
      </c>
      <c r="AI1643">
        <v>0</v>
      </c>
      <c r="AJ1643">
        <v>0</v>
      </c>
      <c r="AK1643">
        <v>0</v>
      </c>
      <c r="AL1643">
        <v>15</v>
      </c>
      <c r="AM1643">
        <v>1</v>
      </c>
      <c r="AN1643">
        <v>27.125223214285839</v>
      </c>
    </row>
    <row r="1644" spans="1:40" x14ac:dyDescent="0.3">
      <c r="A1644" t="s">
        <v>447</v>
      </c>
      <c r="B1644" t="s">
        <v>684</v>
      </c>
      <c r="C1644" t="s">
        <v>10</v>
      </c>
      <c r="D1644" t="s">
        <v>11</v>
      </c>
      <c r="E1644">
        <v>202602</v>
      </c>
      <c r="F1644" t="s">
        <v>138</v>
      </c>
      <c r="G1644">
        <v>0</v>
      </c>
      <c r="H1644">
        <v>0</v>
      </c>
      <c r="I1644">
        <v>0</v>
      </c>
      <c r="J1644">
        <v>0</v>
      </c>
      <c r="K1644">
        <v>1</v>
      </c>
      <c r="L1644">
        <v>0</v>
      </c>
      <c r="M1644">
        <v>0</v>
      </c>
      <c r="N1644">
        <v>0</v>
      </c>
      <c r="O1644">
        <v>0</v>
      </c>
      <c r="P1644">
        <v>0</v>
      </c>
      <c r="Q1644">
        <v>0</v>
      </c>
      <c r="R1644">
        <v>0</v>
      </c>
      <c r="S1644">
        <v>0</v>
      </c>
      <c r="T1644">
        <v>0</v>
      </c>
      <c r="U1644">
        <v>0</v>
      </c>
      <c r="V1644">
        <v>0</v>
      </c>
      <c r="W1644">
        <v>0</v>
      </c>
      <c r="X1644">
        <v>0</v>
      </c>
      <c r="Y1644">
        <v>0</v>
      </c>
      <c r="Z1644">
        <v>0</v>
      </c>
      <c r="AA1644">
        <v>0</v>
      </c>
      <c r="AB1644">
        <v>0</v>
      </c>
      <c r="AC1644">
        <v>0</v>
      </c>
      <c r="AD1644">
        <v>0</v>
      </c>
      <c r="AE1644">
        <v>0</v>
      </c>
      <c r="AF1644">
        <v>0</v>
      </c>
      <c r="AG1644">
        <v>0</v>
      </c>
      <c r="AH1644">
        <v>0</v>
      </c>
      <c r="AI1644">
        <v>0</v>
      </c>
      <c r="AJ1644">
        <v>0</v>
      </c>
      <c r="AK1644">
        <v>0</v>
      </c>
      <c r="AL1644">
        <v>1</v>
      </c>
      <c r="AM1644">
        <v>0</v>
      </c>
      <c r="AN1644">
        <v>1</v>
      </c>
    </row>
    <row r="1645" spans="1:40" x14ac:dyDescent="0.3">
      <c r="A1645" t="s">
        <v>447</v>
      </c>
      <c r="B1645" t="s">
        <v>684</v>
      </c>
      <c r="C1645" t="s">
        <v>10</v>
      </c>
      <c r="D1645" t="s">
        <v>14</v>
      </c>
      <c r="E1645">
        <v>202602</v>
      </c>
      <c r="F1645" t="s">
        <v>101</v>
      </c>
      <c r="G1645">
        <v>0</v>
      </c>
      <c r="H1645">
        <v>0</v>
      </c>
      <c r="I1645">
        <v>0</v>
      </c>
      <c r="J1645">
        <v>0</v>
      </c>
      <c r="K1645">
        <v>0</v>
      </c>
      <c r="L1645">
        <v>0</v>
      </c>
      <c r="M1645">
        <v>0</v>
      </c>
      <c r="N1645">
        <v>0</v>
      </c>
      <c r="O1645">
        <v>1</v>
      </c>
      <c r="P1645">
        <v>0</v>
      </c>
      <c r="Q1645">
        <v>0</v>
      </c>
      <c r="R1645">
        <v>0</v>
      </c>
      <c r="S1645">
        <v>0</v>
      </c>
      <c r="T1645">
        <v>0</v>
      </c>
      <c r="U1645">
        <v>0</v>
      </c>
      <c r="V1645">
        <v>0</v>
      </c>
      <c r="W1645">
        <v>0</v>
      </c>
      <c r="X1645">
        <v>0</v>
      </c>
      <c r="Y1645">
        <v>0</v>
      </c>
      <c r="Z1645">
        <v>0</v>
      </c>
      <c r="AA1645">
        <v>0</v>
      </c>
      <c r="AB1645">
        <v>0</v>
      </c>
      <c r="AC1645">
        <v>0</v>
      </c>
      <c r="AD1645">
        <v>0</v>
      </c>
      <c r="AE1645">
        <v>0</v>
      </c>
      <c r="AF1645">
        <v>0</v>
      </c>
      <c r="AG1645">
        <v>0</v>
      </c>
      <c r="AH1645">
        <v>0</v>
      </c>
      <c r="AI1645">
        <v>0</v>
      </c>
      <c r="AJ1645">
        <v>0</v>
      </c>
      <c r="AK1645">
        <v>0</v>
      </c>
      <c r="AL1645">
        <v>1</v>
      </c>
      <c r="AM1645">
        <v>0.33333333333333331</v>
      </c>
      <c r="AN1645">
        <v>5.0417410714286133</v>
      </c>
    </row>
    <row r="1646" spans="1:40" x14ac:dyDescent="0.3">
      <c r="A1646" t="s">
        <v>447</v>
      </c>
      <c r="B1646" t="s">
        <v>684</v>
      </c>
      <c r="C1646" t="s">
        <v>10</v>
      </c>
      <c r="D1646" t="s">
        <v>14</v>
      </c>
      <c r="E1646">
        <v>202602</v>
      </c>
      <c r="F1646" t="s">
        <v>138</v>
      </c>
      <c r="G1646">
        <v>0</v>
      </c>
      <c r="H1646">
        <v>0</v>
      </c>
      <c r="I1646">
        <v>0</v>
      </c>
      <c r="J1646">
        <v>1</v>
      </c>
      <c r="K1646">
        <v>0</v>
      </c>
      <c r="L1646">
        <v>0</v>
      </c>
      <c r="M1646">
        <v>0</v>
      </c>
      <c r="N1646">
        <v>0</v>
      </c>
      <c r="O1646">
        <v>0</v>
      </c>
      <c r="P1646">
        <v>0</v>
      </c>
      <c r="Q1646">
        <v>0</v>
      </c>
      <c r="R1646">
        <v>0</v>
      </c>
      <c r="S1646">
        <v>0</v>
      </c>
      <c r="T1646">
        <v>0</v>
      </c>
      <c r="U1646">
        <v>0</v>
      </c>
      <c r="V1646">
        <v>0</v>
      </c>
      <c r="W1646">
        <v>0</v>
      </c>
      <c r="X1646">
        <v>0</v>
      </c>
      <c r="Y1646">
        <v>0</v>
      </c>
      <c r="Z1646">
        <v>0</v>
      </c>
      <c r="AA1646">
        <v>0</v>
      </c>
      <c r="AB1646">
        <v>0</v>
      </c>
      <c r="AC1646">
        <v>0</v>
      </c>
      <c r="AD1646">
        <v>0</v>
      </c>
      <c r="AE1646">
        <v>0</v>
      </c>
      <c r="AF1646">
        <v>0</v>
      </c>
      <c r="AG1646">
        <v>0</v>
      </c>
      <c r="AH1646">
        <v>0</v>
      </c>
      <c r="AI1646">
        <v>0</v>
      </c>
      <c r="AJ1646">
        <v>0</v>
      </c>
      <c r="AK1646">
        <v>0</v>
      </c>
      <c r="AL1646">
        <v>1</v>
      </c>
      <c r="AM1646">
        <v>0</v>
      </c>
      <c r="AN1646">
        <v>1</v>
      </c>
    </row>
    <row r="1647" spans="1:40" x14ac:dyDescent="0.3">
      <c r="A1647" t="s">
        <v>447</v>
      </c>
      <c r="B1647" t="s">
        <v>139</v>
      </c>
      <c r="C1647" t="s">
        <v>10</v>
      </c>
      <c r="D1647" t="s">
        <v>11</v>
      </c>
      <c r="E1647">
        <v>202602</v>
      </c>
      <c r="F1647" t="s">
        <v>499</v>
      </c>
      <c r="G1647">
        <v>0</v>
      </c>
      <c r="H1647">
        <v>1</v>
      </c>
      <c r="I1647">
        <v>0</v>
      </c>
      <c r="J1647">
        <v>0</v>
      </c>
      <c r="K1647">
        <v>0</v>
      </c>
      <c r="L1647">
        <v>0</v>
      </c>
      <c r="M1647">
        <v>0</v>
      </c>
      <c r="N1647">
        <v>0</v>
      </c>
      <c r="O1647">
        <v>0</v>
      </c>
      <c r="P1647">
        <v>1</v>
      </c>
      <c r="Q1647">
        <v>1</v>
      </c>
      <c r="R1647">
        <v>0</v>
      </c>
      <c r="S1647">
        <v>0</v>
      </c>
      <c r="T1647">
        <v>0</v>
      </c>
      <c r="U1647">
        <v>0</v>
      </c>
      <c r="V1647">
        <v>0</v>
      </c>
      <c r="W1647">
        <v>0</v>
      </c>
      <c r="X1647">
        <v>0</v>
      </c>
      <c r="Y1647">
        <v>0</v>
      </c>
      <c r="Z1647">
        <v>0</v>
      </c>
      <c r="AA1647">
        <v>0</v>
      </c>
      <c r="AB1647">
        <v>0</v>
      </c>
      <c r="AC1647">
        <v>0</v>
      </c>
      <c r="AD1647">
        <v>0</v>
      </c>
      <c r="AE1647">
        <v>0</v>
      </c>
      <c r="AF1647">
        <v>0</v>
      </c>
      <c r="AG1647">
        <v>0</v>
      </c>
      <c r="AH1647">
        <v>0</v>
      </c>
      <c r="AI1647">
        <v>0</v>
      </c>
      <c r="AJ1647">
        <v>0</v>
      </c>
      <c r="AK1647">
        <v>0</v>
      </c>
      <c r="AL1647">
        <v>3</v>
      </c>
      <c r="AM1647">
        <v>0.66666666666666663</v>
      </c>
      <c r="AN1647">
        <v>12.209250279746223</v>
      </c>
    </row>
    <row r="1648" spans="1:40" x14ac:dyDescent="0.3">
      <c r="A1648" t="s">
        <v>447</v>
      </c>
      <c r="B1648" t="s">
        <v>139</v>
      </c>
      <c r="C1648" t="s">
        <v>10</v>
      </c>
      <c r="D1648" t="s">
        <v>11</v>
      </c>
      <c r="E1648">
        <v>202602</v>
      </c>
      <c r="F1648" t="s">
        <v>500</v>
      </c>
      <c r="G1648">
        <v>0</v>
      </c>
      <c r="H1648">
        <v>1</v>
      </c>
      <c r="I1648">
        <v>0</v>
      </c>
      <c r="J1648">
        <v>1</v>
      </c>
      <c r="K1648">
        <v>0</v>
      </c>
      <c r="L1648">
        <v>0</v>
      </c>
      <c r="M1648">
        <v>0</v>
      </c>
      <c r="N1648">
        <v>0</v>
      </c>
      <c r="O1648">
        <v>0</v>
      </c>
      <c r="P1648">
        <v>0</v>
      </c>
      <c r="Q1648">
        <v>0</v>
      </c>
      <c r="R1648">
        <v>0</v>
      </c>
      <c r="S1648">
        <v>0</v>
      </c>
      <c r="T1648">
        <v>0</v>
      </c>
      <c r="U1648">
        <v>0</v>
      </c>
      <c r="V1648">
        <v>0</v>
      </c>
      <c r="W1648">
        <v>0</v>
      </c>
      <c r="X1648">
        <v>0</v>
      </c>
      <c r="Y1648">
        <v>0</v>
      </c>
      <c r="Z1648">
        <v>0</v>
      </c>
      <c r="AA1648">
        <v>0</v>
      </c>
      <c r="AB1648">
        <v>0</v>
      </c>
      <c r="AC1648">
        <v>0</v>
      </c>
      <c r="AD1648">
        <v>0</v>
      </c>
      <c r="AE1648">
        <v>0</v>
      </c>
      <c r="AF1648">
        <v>0</v>
      </c>
      <c r="AG1648">
        <v>0</v>
      </c>
      <c r="AH1648">
        <v>0</v>
      </c>
      <c r="AI1648">
        <v>0</v>
      </c>
      <c r="AJ1648">
        <v>0</v>
      </c>
      <c r="AK1648">
        <v>0</v>
      </c>
      <c r="AL1648">
        <v>2</v>
      </c>
      <c r="AM1648">
        <v>0</v>
      </c>
      <c r="AN1648">
        <v>2</v>
      </c>
    </row>
    <row r="1649" spans="1:40" x14ac:dyDescent="0.3">
      <c r="A1649" t="s">
        <v>447</v>
      </c>
      <c r="B1649" t="s">
        <v>139</v>
      </c>
      <c r="C1649" t="s">
        <v>10</v>
      </c>
      <c r="D1649" t="s">
        <v>11</v>
      </c>
      <c r="E1649">
        <v>202602</v>
      </c>
      <c r="F1649" t="s">
        <v>501</v>
      </c>
      <c r="G1649">
        <v>0</v>
      </c>
      <c r="H1649">
        <v>1</v>
      </c>
      <c r="I1649">
        <v>0</v>
      </c>
      <c r="J1649">
        <v>0</v>
      </c>
      <c r="K1649">
        <v>1</v>
      </c>
      <c r="L1649">
        <v>0</v>
      </c>
      <c r="M1649">
        <v>0</v>
      </c>
      <c r="N1649">
        <v>0</v>
      </c>
      <c r="O1649">
        <v>0</v>
      </c>
      <c r="P1649">
        <v>1</v>
      </c>
      <c r="Q1649">
        <v>0</v>
      </c>
      <c r="R1649">
        <v>0</v>
      </c>
      <c r="S1649">
        <v>0</v>
      </c>
      <c r="T1649">
        <v>0</v>
      </c>
      <c r="U1649">
        <v>0</v>
      </c>
      <c r="V1649">
        <v>0</v>
      </c>
      <c r="W1649">
        <v>0</v>
      </c>
      <c r="X1649">
        <v>0</v>
      </c>
      <c r="Y1649">
        <v>0</v>
      </c>
      <c r="Z1649">
        <v>0</v>
      </c>
      <c r="AA1649">
        <v>0</v>
      </c>
      <c r="AB1649">
        <v>0</v>
      </c>
      <c r="AC1649">
        <v>0</v>
      </c>
      <c r="AD1649">
        <v>0</v>
      </c>
      <c r="AE1649">
        <v>0</v>
      </c>
      <c r="AF1649">
        <v>0</v>
      </c>
      <c r="AG1649">
        <v>0</v>
      </c>
      <c r="AH1649">
        <v>0</v>
      </c>
      <c r="AI1649">
        <v>0</v>
      </c>
      <c r="AJ1649">
        <v>0</v>
      </c>
      <c r="AK1649">
        <v>0</v>
      </c>
      <c r="AL1649">
        <v>3</v>
      </c>
      <c r="AM1649">
        <v>0.33333333333333331</v>
      </c>
      <c r="AN1649">
        <v>7.6046251398731117</v>
      </c>
    </row>
    <row r="1650" spans="1:40" x14ac:dyDescent="0.3">
      <c r="A1650" t="s">
        <v>447</v>
      </c>
      <c r="B1650" t="s">
        <v>139</v>
      </c>
      <c r="C1650" t="s">
        <v>10</v>
      </c>
      <c r="D1650" t="s">
        <v>11</v>
      </c>
      <c r="E1650">
        <v>202602</v>
      </c>
      <c r="F1650" t="s">
        <v>512</v>
      </c>
      <c r="G1650">
        <v>0</v>
      </c>
      <c r="H1650">
        <v>0</v>
      </c>
      <c r="I1650">
        <v>0</v>
      </c>
      <c r="J1650">
        <v>0</v>
      </c>
      <c r="K1650">
        <v>0</v>
      </c>
      <c r="L1650">
        <v>0</v>
      </c>
      <c r="M1650">
        <v>0</v>
      </c>
      <c r="N1650">
        <v>0</v>
      </c>
      <c r="O1650">
        <v>0</v>
      </c>
      <c r="P1650">
        <v>0</v>
      </c>
      <c r="Q1650">
        <v>1</v>
      </c>
      <c r="R1650">
        <v>0</v>
      </c>
      <c r="S1650">
        <v>0</v>
      </c>
      <c r="T1650">
        <v>0</v>
      </c>
      <c r="U1650">
        <v>0</v>
      </c>
      <c r="V1650">
        <v>0</v>
      </c>
      <c r="W1650">
        <v>0</v>
      </c>
      <c r="X1650">
        <v>0</v>
      </c>
      <c r="Y1650">
        <v>0</v>
      </c>
      <c r="Z1650">
        <v>0</v>
      </c>
      <c r="AA1650">
        <v>0</v>
      </c>
      <c r="AB1650">
        <v>0</v>
      </c>
      <c r="AC1650">
        <v>0</v>
      </c>
      <c r="AD1650">
        <v>0</v>
      </c>
      <c r="AE1650">
        <v>0</v>
      </c>
      <c r="AF1650">
        <v>0</v>
      </c>
      <c r="AG1650">
        <v>0</v>
      </c>
      <c r="AH1650">
        <v>0</v>
      </c>
      <c r="AI1650">
        <v>0</v>
      </c>
      <c r="AJ1650">
        <v>0</v>
      </c>
      <c r="AK1650">
        <v>0</v>
      </c>
      <c r="AL1650">
        <v>1</v>
      </c>
      <c r="AM1650">
        <v>0.33333333333333331</v>
      </c>
      <c r="AN1650">
        <v>5.6046251398731117</v>
      </c>
    </row>
    <row r="1651" spans="1:40" x14ac:dyDescent="0.3">
      <c r="A1651" t="s">
        <v>447</v>
      </c>
      <c r="B1651" t="s">
        <v>139</v>
      </c>
      <c r="C1651" t="s">
        <v>10</v>
      </c>
      <c r="D1651" t="s">
        <v>11</v>
      </c>
      <c r="E1651">
        <v>202602</v>
      </c>
      <c r="F1651" t="s">
        <v>502</v>
      </c>
      <c r="G1651">
        <v>0</v>
      </c>
      <c r="H1651">
        <v>0</v>
      </c>
      <c r="I1651">
        <v>0</v>
      </c>
      <c r="J1651">
        <v>0</v>
      </c>
      <c r="K1651">
        <v>0</v>
      </c>
      <c r="L1651">
        <v>0</v>
      </c>
      <c r="M1651">
        <v>1</v>
      </c>
      <c r="N1651">
        <v>0</v>
      </c>
      <c r="O1651">
        <v>0</v>
      </c>
      <c r="P1651">
        <v>0</v>
      </c>
      <c r="Q1651">
        <v>0</v>
      </c>
      <c r="R1651">
        <v>0</v>
      </c>
      <c r="S1651">
        <v>0</v>
      </c>
      <c r="T1651">
        <v>0</v>
      </c>
      <c r="U1651">
        <v>0</v>
      </c>
      <c r="V1651">
        <v>0</v>
      </c>
      <c r="W1651">
        <v>0</v>
      </c>
      <c r="X1651">
        <v>0</v>
      </c>
      <c r="Y1651">
        <v>0</v>
      </c>
      <c r="Z1651">
        <v>0</v>
      </c>
      <c r="AA1651">
        <v>0</v>
      </c>
      <c r="AB1651">
        <v>0</v>
      </c>
      <c r="AC1651">
        <v>0</v>
      </c>
      <c r="AD1651">
        <v>0</v>
      </c>
      <c r="AE1651">
        <v>0</v>
      </c>
      <c r="AF1651">
        <v>0</v>
      </c>
      <c r="AG1651">
        <v>0</v>
      </c>
      <c r="AH1651">
        <v>0</v>
      </c>
      <c r="AI1651">
        <v>0</v>
      </c>
      <c r="AJ1651">
        <v>0</v>
      </c>
      <c r="AK1651">
        <v>0</v>
      </c>
      <c r="AL1651">
        <v>1</v>
      </c>
      <c r="AM1651">
        <v>0</v>
      </c>
      <c r="AN1651">
        <v>1</v>
      </c>
    </row>
    <row r="1652" spans="1:40" x14ac:dyDescent="0.3">
      <c r="A1652" t="s">
        <v>447</v>
      </c>
      <c r="B1652" t="s">
        <v>139</v>
      </c>
      <c r="C1652" t="s">
        <v>10</v>
      </c>
      <c r="D1652" t="s">
        <v>11</v>
      </c>
      <c r="E1652">
        <v>202602</v>
      </c>
      <c r="F1652" t="s">
        <v>503</v>
      </c>
      <c r="G1652">
        <v>0</v>
      </c>
      <c r="H1652">
        <v>0</v>
      </c>
      <c r="I1652">
        <v>1</v>
      </c>
      <c r="J1652">
        <v>0</v>
      </c>
      <c r="K1652">
        <v>0</v>
      </c>
      <c r="L1652">
        <v>0</v>
      </c>
      <c r="M1652">
        <v>0</v>
      </c>
      <c r="N1652">
        <v>0</v>
      </c>
      <c r="O1652">
        <v>0</v>
      </c>
      <c r="P1652">
        <v>0</v>
      </c>
      <c r="Q1652">
        <v>0</v>
      </c>
      <c r="R1652">
        <v>0</v>
      </c>
      <c r="S1652">
        <v>0</v>
      </c>
      <c r="T1652">
        <v>0</v>
      </c>
      <c r="U1652">
        <v>0</v>
      </c>
      <c r="V1652">
        <v>0</v>
      </c>
      <c r="W1652">
        <v>0</v>
      </c>
      <c r="X1652">
        <v>0</v>
      </c>
      <c r="Y1652">
        <v>0</v>
      </c>
      <c r="Z1652">
        <v>0</v>
      </c>
      <c r="AA1652">
        <v>0</v>
      </c>
      <c r="AB1652">
        <v>0</v>
      </c>
      <c r="AC1652">
        <v>0</v>
      </c>
      <c r="AD1652">
        <v>0</v>
      </c>
      <c r="AE1652">
        <v>0</v>
      </c>
      <c r="AF1652">
        <v>0</v>
      </c>
      <c r="AG1652">
        <v>0</v>
      </c>
      <c r="AH1652">
        <v>0</v>
      </c>
      <c r="AI1652">
        <v>0</v>
      </c>
      <c r="AJ1652">
        <v>0</v>
      </c>
      <c r="AK1652">
        <v>0</v>
      </c>
      <c r="AL1652">
        <v>1</v>
      </c>
      <c r="AM1652">
        <v>0</v>
      </c>
      <c r="AN1652">
        <v>1</v>
      </c>
    </row>
    <row r="1653" spans="1:40" x14ac:dyDescent="0.3">
      <c r="A1653" t="s">
        <v>447</v>
      </c>
      <c r="B1653" t="s">
        <v>139</v>
      </c>
      <c r="C1653" t="s">
        <v>10</v>
      </c>
      <c r="D1653" t="s">
        <v>11</v>
      </c>
      <c r="E1653">
        <v>202602</v>
      </c>
      <c r="F1653" t="s">
        <v>504</v>
      </c>
      <c r="G1653">
        <v>0</v>
      </c>
      <c r="H1653">
        <v>2</v>
      </c>
      <c r="I1653">
        <v>0</v>
      </c>
      <c r="J1653">
        <v>0</v>
      </c>
      <c r="K1653">
        <v>0</v>
      </c>
      <c r="L1653">
        <v>0</v>
      </c>
      <c r="M1653">
        <v>0</v>
      </c>
      <c r="N1653">
        <v>0</v>
      </c>
      <c r="O1653">
        <v>0</v>
      </c>
      <c r="P1653">
        <v>0</v>
      </c>
      <c r="Q1653">
        <v>0</v>
      </c>
      <c r="R1653">
        <v>0</v>
      </c>
      <c r="S1653">
        <v>0</v>
      </c>
      <c r="T1653">
        <v>0</v>
      </c>
      <c r="U1653">
        <v>0</v>
      </c>
      <c r="V1653">
        <v>0</v>
      </c>
      <c r="W1653">
        <v>0</v>
      </c>
      <c r="X1653">
        <v>0</v>
      </c>
      <c r="Y1653">
        <v>0</v>
      </c>
      <c r="Z1653">
        <v>0</v>
      </c>
      <c r="AA1653">
        <v>0</v>
      </c>
      <c r="AB1653">
        <v>0</v>
      </c>
      <c r="AC1653">
        <v>0</v>
      </c>
      <c r="AD1653">
        <v>0</v>
      </c>
      <c r="AE1653">
        <v>0</v>
      </c>
      <c r="AF1653">
        <v>0</v>
      </c>
      <c r="AG1653">
        <v>0</v>
      </c>
      <c r="AH1653">
        <v>0</v>
      </c>
      <c r="AI1653">
        <v>0</v>
      </c>
      <c r="AJ1653">
        <v>0</v>
      </c>
      <c r="AK1653">
        <v>0</v>
      </c>
      <c r="AL1653">
        <v>2</v>
      </c>
      <c r="AM1653">
        <v>0</v>
      </c>
      <c r="AN1653">
        <v>2</v>
      </c>
    </row>
    <row r="1654" spans="1:40" x14ac:dyDescent="0.3">
      <c r="A1654" t="s">
        <v>447</v>
      </c>
      <c r="B1654" t="s">
        <v>139</v>
      </c>
      <c r="C1654" t="s">
        <v>10</v>
      </c>
      <c r="D1654" t="s">
        <v>11</v>
      </c>
      <c r="E1654">
        <v>202602</v>
      </c>
      <c r="F1654" t="s">
        <v>505</v>
      </c>
      <c r="G1654">
        <v>0</v>
      </c>
      <c r="H1654">
        <v>0</v>
      </c>
      <c r="I1654">
        <v>0</v>
      </c>
      <c r="J1654">
        <v>0</v>
      </c>
      <c r="K1654">
        <v>0</v>
      </c>
      <c r="L1654">
        <v>0</v>
      </c>
      <c r="M1654">
        <v>1</v>
      </c>
      <c r="N1654">
        <v>0</v>
      </c>
      <c r="O1654">
        <v>0</v>
      </c>
      <c r="P1654">
        <v>0</v>
      </c>
      <c r="Q1654">
        <v>0</v>
      </c>
      <c r="R1654">
        <v>0</v>
      </c>
      <c r="S1654">
        <v>0</v>
      </c>
      <c r="T1654">
        <v>0</v>
      </c>
      <c r="U1654">
        <v>0</v>
      </c>
      <c r="V1654">
        <v>0</v>
      </c>
      <c r="W1654">
        <v>0</v>
      </c>
      <c r="X1654">
        <v>0</v>
      </c>
      <c r="Y1654">
        <v>0</v>
      </c>
      <c r="Z1654">
        <v>0</v>
      </c>
      <c r="AA1654">
        <v>0</v>
      </c>
      <c r="AB1654">
        <v>0</v>
      </c>
      <c r="AC1654">
        <v>0</v>
      </c>
      <c r="AD1654">
        <v>0</v>
      </c>
      <c r="AE1654">
        <v>0</v>
      </c>
      <c r="AF1654">
        <v>0</v>
      </c>
      <c r="AG1654">
        <v>0</v>
      </c>
      <c r="AH1654">
        <v>0</v>
      </c>
      <c r="AI1654">
        <v>0</v>
      </c>
      <c r="AJ1654">
        <v>0</v>
      </c>
      <c r="AK1654">
        <v>0</v>
      </c>
      <c r="AL1654">
        <v>1</v>
      </c>
      <c r="AM1654">
        <v>0</v>
      </c>
      <c r="AN1654">
        <v>1</v>
      </c>
    </row>
    <row r="1655" spans="1:40" x14ac:dyDescent="0.3">
      <c r="A1655" t="s">
        <v>447</v>
      </c>
      <c r="B1655" t="s">
        <v>139</v>
      </c>
      <c r="C1655" t="s">
        <v>10</v>
      </c>
      <c r="D1655" t="s">
        <v>11</v>
      </c>
      <c r="E1655">
        <v>202602</v>
      </c>
      <c r="F1655" t="s">
        <v>506</v>
      </c>
      <c r="G1655">
        <v>0</v>
      </c>
      <c r="H1655">
        <v>0</v>
      </c>
      <c r="I1655">
        <v>0</v>
      </c>
      <c r="J1655">
        <v>0</v>
      </c>
      <c r="K1655">
        <v>0</v>
      </c>
      <c r="L1655">
        <v>0</v>
      </c>
      <c r="M1655">
        <v>0</v>
      </c>
      <c r="N1655">
        <v>0</v>
      </c>
      <c r="O1655">
        <v>0</v>
      </c>
      <c r="P1655">
        <v>1</v>
      </c>
      <c r="Q1655">
        <v>0</v>
      </c>
      <c r="R1655">
        <v>0</v>
      </c>
      <c r="S1655">
        <v>0</v>
      </c>
      <c r="T1655">
        <v>0</v>
      </c>
      <c r="U1655">
        <v>0</v>
      </c>
      <c r="V1655">
        <v>0</v>
      </c>
      <c r="W1655">
        <v>0</v>
      </c>
      <c r="X1655">
        <v>0</v>
      </c>
      <c r="Y1655">
        <v>0</v>
      </c>
      <c r="Z1655">
        <v>0</v>
      </c>
      <c r="AA1655">
        <v>0</v>
      </c>
      <c r="AB1655">
        <v>0</v>
      </c>
      <c r="AC1655">
        <v>0</v>
      </c>
      <c r="AD1655">
        <v>0</v>
      </c>
      <c r="AE1655">
        <v>0</v>
      </c>
      <c r="AF1655">
        <v>0</v>
      </c>
      <c r="AG1655">
        <v>0</v>
      </c>
      <c r="AH1655">
        <v>0</v>
      </c>
      <c r="AI1655">
        <v>0</v>
      </c>
      <c r="AJ1655">
        <v>0</v>
      </c>
      <c r="AK1655">
        <v>0</v>
      </c>
      <c r="AL1655">
        <v>1</v>
      </c>
      <c r="AM1655">
        <v>0.33333333333333331</v>
      </c>
      <c r="AN1655">
        <v>5.6046251398731117</v>
      </c>
    </row>
    <row r="1656" spans="1:40" x14ac:dyDescent="0.3">
      <c r="A1656" t="s">
        <v>447</v>
      </c>
      <c r="B1656" t="s">
        <v>139</v>
      </c>
      <c r="C1656" t="s">
        <v>10</v>
      </c>
      <c r="D1656" t="s">
        <v>11</v>
      </c>
      <c r="E1656">
        <v>202602</v>
      </c>
      <c r="F1656" t="s">
        <v>507</v>
      </c>
      <c r="G1656">
        <v>0</v>
      </c>
      <c r="H1656">
        <v>0</v>
      </c>
      <c r="I1656">
        <v>0</v>
      </c>
      <c r="J1656">
        <v>0</v>
      </c>
      <c r="K1656">
        <v>0</v>
      </c>
      <c r="L1656">
        <v>0</v>
      </c>
      <c r="M1656">
        <v>1</v>
      </c>
      <c r="N1656">
        <v>0</v>
      </c>
      <c r="O1656">
        <v>0</v>
      </c>
      <c r="P1656">
        <v>0</v>
      </c>
      <c r="Q1656">
        <v>0</v>
      </c>
      <c r="R1656">
        <v>0</v>
      </c>
      <c r="S1656">
        <v>0</v>
      </c>
      <c r="T1656">
        <v>0</v>
      </c>
      <c r="U1656">
        <v>0</v>
      </c>
      <c r="V1656">
        <v>0</v>
      </c>
      <c r="W1656">
        <v>0</v>
      </c>
      <c r="X1656">
        <v>0</v>
      </c>
      <c r="Y1656">
        <v>0</v>
      </c>
      <c r="Z1656">
        <v>0</v>
      </c>
      <c r="AA1656">
        <v>0</v>
      </c>
      <c r="AB1656">
        <v>0</v>
      </c>
      <c r="AC1656">
        <v>0</v>
      </c>
      <c r="AD1656">
        <v>0</v>
      </c>
      <c r="AE1656">
        <v>0</v>
      </c>
      <c r="AF1656">
        <v>0</v>
      </c>
      <c r="AG1656">
        <v>0</v>
      </c>
      <c r="AH1656">
        <v>0</v>
      </c>
      <c r="AI1656">
        <v>0</v>
      </c>
      <c r="AJ1656">
        <v>0</v>
      </c>
      <c r="AK1656">
        <v>0</v>
      </c>
      <c r="AL1656">
        <v>1</v>
      </c>
      <c r="AM1656">
        <v>0</v>
      </c>
      <c r="AN1656">
        <v>1</v>
      </c>
    </row>
    <row r="1657" spans="1:40" x14ac:dyDescent="0.3">
      <c r="A1657" t="s">
        <v>447</v>
      </c>
      <c r="B1657" t="s">
        <v>139</v>
      </c>
      <c r="C1657" t="s">
        <v>10</v>
      </c>
      <c r="D1657" t="s">
        <v>11</v>
      </c>
      <c r="E1657">
        <v>202602</v>
      </c>
      <c r="F1657" t="s">
        <v>508</v>
      </c>
      <c r="G1657">
        <v>0</v>
      </c>
      <c r="H1657">
        <v>0</v>
      </c>
      <c r="I1657">
        <v>0</v>
      </c>
      <c r="J1657">
        <v>0</v>
      </c>
      <c r="K1657">
        <v>1</v>
      </c>
      <c r="L1657">
        <v>1</v>
      </c>
      <c r="M1657">
        <v>0</v>
      </c>
      <c r="N1657">
        <v>0</v>
      </c>
      <c r="O1657">
        <v>0</v>
      </c>
      <c r="P1657">
        <v>0</v>
      </c>
      <c r="Q1657">
        <v>1</v>
      </c>
      <c r="R1657">
        <v>0</v>
      </c>
      <c r="S1657">
        <v>0</v>
      </c>
      <c r="T1657">
        <v>0</v>
      </c>
      <c r="U1657">
        <v>0</v>
      </c>
      <c r="V1657">
        <v>0</v>
      </c>
      <c r="W1657">
        <v>0</v>
      </c>
      <c r="X1657">
        <v>0</v>
      </c>
      <c r="Y1657">
        <v>0</v>
      </c>
      <c r="Z1657">
        <v>0</v>
      </c>
      <c r="AA1657">
        <v>0</v>
      </c>
      <c r="AB1657">
        <v>0</v>
      </c>
      <c r="AC1657">
        <v>0</v>
      </c>
      <c r="AD1657">
        <v>0</v>
      </c>
      <c r="AE1657">
        <v>0</v>
      </c>
      <c r="AF1657">
        <v>0</v>
      </c>
      <c r="AG1657">
        <v>0</v>
      </c>
      <c r="AH1657">
        <v>0</v>
      </c>
      <c r="AI1657">
        <v>0</v>
      </c>
      <c r="AJ1657">
        <v>0</v>
      </c>
      <c r="AK1657">
        <v>0</v>
      </c>
      <c r="AL1657">
        <v>3</v>
      </c>
      <c r="AM1657">
        <v>0.33333333333333331</v>
      </c>
      <c r="AN1657">
        <v>7.6046251398731117</v>
      </c>
    </row>
    <row r="1658" spans="1:40" x14ac:dyDescent="0.3">
      <c r="A1658" t="s">
        <v>447</v>
      </c>
      <c r="B1658" t="s">
        <v>139</v>
      </c>
      <c r="C1658" t="s">
        <v>10</v>
      </c>
      <c r="D1658" t="s">
        <v>11</v>
      </c>
      <c r="E1658">
        <v>202602</v>
      </c>
      <c r="F1658" t="s">
        <v>509</v>
      </c>
      <c r="G1658">
        <v>0</v>
      </c>
      <c r="H1658">
        <v>0</v>
      </c>
      <c r="I1658">
        <v>0</v>
      </c>
      <c r="J1658">
        <v>1</v>
      </c>
      <c r="K1658">
        <v>0</v>
      </c>
      <c r="L1658">
        <v>0</v>
      </c>
      <c r="M1658">
        <v>0</v>
      </c>
      <c r="N1658">
        <v>0</v>
      </c>
      <c r="O1658">
        <v>0</v>
      </c>
      <c r="P1658">
        <v>0</v>
      </c>
      <c r="Q1658">
        <v>1</v>
      </c>
      <c r="R1658">
        <v>0</v>
      </c>
      <c r="S1658">
        <v>0</v>
      </c>
      <c r="T1658">
        <v>0</v>
      </c>
      <c r="U1658">
        <v>0</v>
      </c>
      <c r="V1658">
        <v>0</v>
      </c>
      <c r="W1658">
        <v>0</v>
      </c>
      <c r="X1658">
        <v>0</v>
      </c>
      <c r="Y1658">
        <v>0</v>
      </c>
      <c r="Z1658">
        <v>0</v>
      </c>
      <c r="AA1658">
        <v>0</v>
      </c>
      <c r="AB1658">
        <v>0</v>
      </c>
      <c r="AC1658">
        <v>0</v>
      </c>
      <c r="AD1658">
        <v>0</v>
      </c>
      <c r="AE1658">
        <v>0</v>
      </c>
      <c r="AF1658">
        <v>0</v>
      </c>
      <c r="AG1658">
        <v>0</v>
      </c>
      <c r="AH1658">
        <v>0</v>
      </c>
      <c r="AI1658">
        <v>0</v>
      </c>
      <c r="AJ1658">
        <v>0</v>
      </c>
      <c r="AK1658">
        <v>0</v>
      </c>
      <c r="AL1658">
        <v>2</v>
      </c>
      <c r="AM1658">
        <v>0.33333333333333331</v>
      </c>
      <c r="AN1658">
        <v>6.6046251398731117</v>
      </c>
    </row>
    <row r="1659" spans="1:40" x14ac:dyDescent="0.3">
      <c r="A1659" t="s">
        <v>447</v>
      </c>
      <c r="B1659" t="s">
        <v>139</v>
      </c>
      <c r="C1659" t="s">
        <v>10</v>
      </c>
      <c r="D1659" t="s">
        <v>11</v>
      </c>
      <c r="E1659">
        <v>202602</v>
      </c>
      <c r="F1659" t="s">
        <v>510</v>
      </c>
      <c r="G1659">
        <v>0</v>
      </c>
      <c r="H1659">
        <v>1</v>
      </c>
      <c r="I1659">
        <v>0</v>
      </c>
      <c r="J1659">
        <v>0</v>
      </c>
      <c r="K1659">
        <v>0</v>
      </c>
      <c r="L1659">
        <v>0</v>
      </c>
      <c r="M1659">
        <v>0</v>
      </c>
      <c r="N1659">
        <v>0</v>
      </c>
      <c r="O1659">
        <v>0</v>
      </c>
      <c r="P1659">
        <v>0</v>
      </c>
      <c r="Q1659">
        <v>0</v>
      </c>
      <c r="R1659">
        <v>0</v>
      </c>
      <c r="S1659">
        <v>0</v>
      </c>
      <c r="T1659">
        <v>0</v>
      </c>
      <c r="U1659">
        <v>0</v>
      </c>
      <c r="V1659">
        <v>0</v>
      </c>
      <c r="W1659">
        <v>0</v>
      </c>
      <c r="X1659">
        <v>0</v>
      </c>
      <c r="Y1659">
        <v>0</v>
      </c>
      <c r="Z1659">
        <v>0</v>
      </c>
      <c r="AA1659">
        <v>0</v>
      </c>
      <c r="AB1659">
        <v>0</v>
      </c>
      <c r="AC1659">
        <v>0</v>
      </c>
      <c r="AD1659">
        <v>0</v>
      </c>
      <c r="AE1659">
        <v>0</v>
      </c>
      <c r="AF1659">
        <v>0</v>
      </c>
      <c r="AG1659">
        <v>0</v>
      </c>
      <c r="AH1659">
        <v>0</v>
      </c>
      <c r="AI1659">
        <v>0</v>
      </c>
      <c r="AJ1659">
        <v>0</v>
      </c>
      <c r="AK1659">
        <v>0</v>
      </c>
      <c r="AL1659">
        <v>1</v>
      </c>
      <c r="AM1659">
        <v>0</v>
      </c>
      <c r="AN1659">
        <v>1</v>
      </c>
    </row>
    <row r="1660" spans="1:40" x14ac:dyDescent="0.3">
      <c r="A1660" t="s">
        <v>447</v>
      </c>
      <c r="B1660" t="s">
        <v>139</v>
      </c>
      <c r="C1660" t="s">
        <v>10</v>
      </c>
      <c r="D1660" t="s">
        <v>11</v>
      </c>
      <c r="E1660">
        <v>202602</v>
      </c>
      <c r="F1660" t="s">
        <v>511</v>
      </c>
      <c r="G1660">
        <v>0</v>
      </c>
      <c r="H1660">
        <v>0</v>
      </c>
      <c r="I1660">
        <v>0</v>
      </c>
      <c r="J1660">
        <v>0</v>
      </c>
      <c r="K1660">
        <v>1</v>
      </c>
      <c r="L1660">
        <v>0</v>
      </c>
      <c r="M1660">
        <v>1</v>
      </c>
      <c r="N1660">
        <v>0</v>
      </c>
      <c r="O1660">
        <v>0</v>
      </c>
      <c r="P1660">
        <v>1</v>
      </c>
      <c r="Q1660">
        <v>0</v>
      </c>
      <c r="R1660">
        <v>0</v>
      </c>
      <c r="S1660">
        <v>0</v>
      </c>
      <c r="T1660">
        <v>0</v>
      </c>
      <c r="U1660">
        <v>0</v>
      </c>
      <c r="V1660">
        <v>0</v>
      </c>
      <c r="W1660">
        <v>0</v>
      </c>
      <c r="X1660">
        <v>0</v>
      </c>
      <c r="Y1660">
        <v>0</v>
      </c>
      <c r="Z1660">
        <v>0</v>
      </c>
      <c r="AA1660">
        <v>0</v>
      </c>
      <c r="AB1660">
        <v>0</v>
      </c>
      <c r="AC1660">
        <v>0</v>
      </c>
      <c r="AD1660">
        <v>0</v>
      </c>
      <c r="AE1660">
        <v>0</v>
      </c>
      <c r="AF1660">
        <v>0</v>
      </c>
      <c r="AG1660">
        <v>0</v>
      </c>
      <c r="AH1660">
        <v>0</v>
      </c>
      <c r="AI1660">
        <v>0</v>
      </c>
      <c r="AJ1660">
        <v>0</v>
      </c>
      <c r="AK1660">
        <v>0</v>
      </c>
      <c r="AL1660">
        <v>3</v>
      </c>
      <c r="AM1660">
        <v>0.33333333333333331</v>
      </c>
      <c r="AN1660">
        <v>7.6046251398731117</v>
      </c>
    </row>
    <row r="1661" spans="1:40" x14ac:dyDescent="0.3">
      <c r="A1661" t="s">
        <v>447</v>
      </c>
      <c r="B1661" t="s">
        <v>139</v>
      </c>
      <c r="C1661" t="s">
        <v>10</v>
      </c>
      <c r="D1661" t="s">
        <v>14</v>
      </c>
      <c r="E1661">
        <v>202602</v>
      </c>
      <c r="F1661" t="s">
        <v>499</v>
      </c>
      <c r="G1661">
        <v>0</v>
      </c>
      <c r="H1661">
        <v>0</v>
      </c>
      <c r="I1661">
        <v>0</v>
      </c>
      <c r="J1661">
        <v>0</v>
      </c>
      <c r="K1661">
        <v>0</v>
      </c>
      <c r="L1661">
        <v>0</v>
      </c>
      <c r="M1661">
        <v>1</v>
      </c>
      <c r="N1661">
        <v>0</v>
      </c>
      <c r="O1661">
        <v>0</v>
      </c>
      <c r="P1661">
        <v>2</v>
      </c>
      <c r="Q1661">
        <v>0</v>
      </c>
      <c r="R1661">
        <v>0</v>
      </c>
      <c r="S1661">
        <v>0</v>
      </c>
      <c r="T1661">
        <v>0</v>
      </c>
      <c r="U1661">
        <v>0</v>
      </c>
      <c r="V1661">
        <v>0</v>
      </c>
      <c r="W1661">
        <v>0</v>
      </c>
      <c r="X1661">
        <v>0</v>
      </c>
      <c r="Y1661">
        <v>0</v>
      </c>
      <c r="Z1661">
        <v>0</v>
      </c>
      <c r="AA1661">
        <v>0</v>
      </c>
      <c r="AB1661">
        <v>0</v>
      </c>
      <c r="AC1661">
        <v>0</v>
      </c>
      <c r="AD1661">
        <v>0</v>
      </c>
      <c r="AE1661">
        <v>0</v>
      </c>
      <c r="AF1661">
        <v>0</v>
      </c>
      <c r="AG1661">
        <v>0</v>
      </c>
      <c r="AH1661">
        <v>0</v>
      </c>
      <c r="AI1661">
        <v>0</v>
      </c>
      <c r="AJ1661">
        <v>0</v>
      </c>
      <c r="AK1661">
        <v>0</v>
      </c>
      <c r="AL1661">
        <v>3</v>
      </c>
      <c r="AM1661">
        <v>0.66666666666666663</v>
      </c>
      <c r="AN1661">
        <v>11.083482142857227</v>
      </c>
    </row>
    <row r="1662" spans="1:40" x14ac:dyDescent="0.3">
      <c r="A1662" t="s">
        <v>447</v>
      </c>
      <c r="B1662" t="s">
        <v>139</v>
      </c>
      <c r="C1662" t="s">
        <v>10</v>
      </c>
      <c r="D1662" t="s">
        <v>14</v>
      </c>
      <c r="E1662">
        <v>202602</v>
      </c>
      <c r="F1662" t="s">
        <v>500</v>
      </c>
      <c r="G1662">
        <v>0</v>
      </c>
      <c r="H1662">
        <v>0</v>
      </c>
      <c r="I1662">
        <v>1</v>
      </c>
      <c r="J1662">
        <v>1</v>
      </c>
      <c r="K1662">
        <v>0</v>
      </c>
      <c r="L1662">
        <v>0</v>
      </c>
      <c r="M1662">
        <v>0</v>
      </c>
      <c r="N1662">
        <v>0</v>
      </c>
      <c r="O1662">
        <v>0</v>
      </c>
      <c r="P1662">
        <v>0</v>
      </c>
      <c r="Q1662">
        <v>0</v>
      </c>
      <c r="R1662">
        <v>0</v>
      </c>
      <c r="S1662">
        <v>0</v>
      </c>
      <c r="T1662">
        <v>0</v>
      </c>
      <c r="U1662">
        <v>0</v>
      </c>
      <c r="V1662">
        <v>0</v>
      </c>
      <c r="W1662">
        <v>0</v>
      </c>
      <c r="X1662">
        <v>0</v>
      </c>
      <c r="Y1662">
        <v>0</v>
      </c>
      <c r="Z1662">
        <v>0</v>
      </c>
      <c r="AA1662">
        <v>0</v>
      </c>
      <c r="AB1662">
        <v>0</v>
      </c>
      <c r="AC1662">
        <v>0</v>
      </c>
      <c r="AD1662">
        <v>0</v>
      </c>
      <c r="AE1662">
        <v>0</v>
      </c>
      <c r="AF1662">
        <v>0</v>
      </c>
      <c r="AG1662">
        <v>0</v>
      </c>
      <c r="AH1662">
        <v>0</v>
      </c>
      <c r="AI1662">
        <v>0</v>
      </c>
      <c r="AJ1662">
        <v>0</v>
      </c>
      <c r="AK1662">
        <v>0</v>
      </c>
      <c r="AL1662">
        <v>2</v>
      </c>
      <c r="AM1662">
        <v>0</v>
      </c>
      <c r="AN1662">
        <v>2</v>
      </c>
    </row>
    <row r="1663" spans="1:40" x14ac:dyDescent="0.3">
      <c r="A1663" t="s">
        <v>447</v>
      </c>
      <c r="B1663" t="s">
        <v>139</v>
      </c>
      <c r="C1663" t="s">
        <v>10</v>
      </c>
      <c r="D1663" t="s">
        <v>14</v>
      </c>
      <c r="E1663">
        <v>202602</v>
      </c>
      <c r="F1663" t="s">
        <v>501</v>
      </c>
      <c r="G1663">
        <v>0</v>
      </c>
      <c r="H1663">
        <v>1</v>
      </c>
      <c r="I1663">
        <v>1</v>
      </c>
      <c r="J1663">
        <v>0</v>
      </c>
      <c r="K1663">
        <v>1</v>
      </c>
      <c r="L1663">
        <v>0</v>
      </c>
      <c r="M1663">
        <v>0</v>
      </c>
      <c r="N1663">
        <v>0</v>
      </c>
      <c r="O1663">
        <v>2</v>
      </c>
      <c r="P1663">
        <v>0</v>
      </c>
      <c r="Q1663">
        <v>0</v>
      </c>
      <c r="R1663">
        <v>0</v>
      </c>
      <c r="S1663">
        <v>0</v>
      </c>
      <c r="T1663">
        <v>0</v>
      </c>
      <c r="U1663">
        <v>0</v>
      </c>
      <c r="V1663">
        <v>0</v>
      </c>
      <c r="W1663">
        <v>0</v>
      </c>
      <c r="X1663">
        <v>0</v>
      </c>
      <c r="Y1663">
        <v>0</v>
      </c>
      <c r="Z1663">
        <v>0</v>
      </c>
      <c r="AA1663">
        <v>0</v>
      </c>
      <c r="AB1663">
        <v>0</v>
      </c>
      <c r="AC1663">
        <v>0</v>
      </c>
      <c r="AD1663">
        <v>0</v>
      </c>
      <c r="AE1663">
        <v>0</v>
      </c>
      <c r="AF1663">
        <v>0</v>
      </c>
      <c r="AG1663">
        <v>0</v>
      </c>
      <c r="AH1663">
        <v>0</v>
      </c>
      <c r="AI1663">
        <v>0</v>
      </c>
      <c r="AJ1663">
        <v>0</v>
      </c>
      <c r="AK1663">
        <v>0</v>
      </c>
      <c r="AL1663">
        <v>5</v>
      </c>
      <c r="AM1663">
        <v>0.66666666666666663</v>
      </c>
      <c r="AN1663">
        <v>13.083482142857227</v>
      </c>
    </row>
    <row r="1664" spans="1:40" x14ac:dyDescent="0.3">
      <c r="A1664" t="s">
        <v>447</v>
      </c>
      <c r="B1664" t="s">
        <v>139</v>
      </c>
      <c r="C1664" t="s">
        <v>10</v>
      </c>
      <c r="D1664" t="s">
        <v>14</v>
      </c>
      <c r="E1664">
        <v>202602</v>
      </c>
      <c r="F1664" t="s">
        <v>512</v>
      </c>
      <c r="G1664">
        <v>0</v>
      </c>
      <c r="H1664">
        <v>0</v>
      </c>
      <c r="I1664">
        <v>0</v>
      </c>
      <c r="J1664">
        <v>0</v>
      </c>
      <c r="K1664">
        <v>0</v>
      </c>
      <c r="L1664">
        <v>0</v>
      </c>
      <c r="M1664">
        <v>0</v>
      </c>
      <c r="N1664">
        <v>0</v>
      </c>
      <c r="O1664">
        <v>1</v>
      </c>
      <c r="P1664">
        <v>0</v>
      </c>
      <c r="Q1664">
        <v>0</v>
      </c>
      <c r="R1664">
        <v>0</v>
      </c>
      <c r="S1664">
        <v>0</v>
      </c>
      <c r="T1664">
        <v>0</v>
      </c>
      <c r="U1664">
        <v>0</v>
      </c>
      <c r="V1664">
        <v>0</v>
      </c>
      <c r="W1664">
        <v>0</v>
      </c>
      <c r="X1664">
        <v>0</v>
      </c>
      <c r="Y1664">
        <v>0</v>
      </c>
      <c r="Z1664">
        <v>0</v>
      </c>
      <c r="AA1664">
        <v>0</v>
      </c>
      <c r="AB1664">
        <v>0</v>
      </c>
      <c r="AC1664">
        <v>0</v>
      </c>
      <c r="AD1664">
        <v>0</v>
      </c>
      <c r="AE1664">
        <v>0</v>
      </c>
      <c r="AF1664">
        <v>0</v>
      </c>
      <c r="AG1664">
        <v>0</v>
      </c>
      <c r="AH1664">
        <v>0</v>
      </c>
      <c r="AI1664">
        <v>0</v>
      </c>
      <c r="AJ1664">
        <v>0</v>
      </c>
      <c r="AK1664">
        <v>0</v>
      </c>
      <c r="AL1664">
        <v>1</v>
      </c>
      <c r="AM1664">
        <v>0.33333333333333331</v>
      </c>
      <c r="AN1664">
        <v>5.0417410714286133</v>
      </c>
    </row>
    <row r="1665" spans="1:40" x14ac:dyDescent="0.3">
      <c r="A1665" t="s">
        <v>447</v>
      </c>
      <c r="B1665" t="s">
        <v>139</v>
      </c>
      <c r="C1665" t="s">
        <v>10</v>
      </c>
      <c r="D1665" t="s">
        <v>14</v>
      </c>
      <c r="E1665">
        <v>202602</v>
      </c>
      <c r="F1665" t="s">
        <v>502</v>
      </c>
      <c r="G1665">
        <v>0</v>
      </c>
      <c r="H1665">
        <v>0</v>
      </c>
      <c r="I1665">
        <v>1</v>
      </c>
      <c r="J1665">
        <v>0</v>
      </c>
      <c r="K1665">
        <v>2</v>
      </c>
      <c r="L1665">
        <v>0</v>
      </c>
      <c r="M1665">
        <v>0</v>
      </c>
      <c r="N1665">
        <v>0</v>
      </c>
      <c r="O1665">
        <v>0</v>
      </c>
      <c r="P1665">
        <v>1</v>
      </c>
      <c r="Q1665">
        <v>0</v>
      </c>
      <c r="R1665">
        <v>0</v>
      </c>
      <c r="S1665">
        <v>0</v>
      </c>
      <c r="T1665">
        <v>0</v>
      </c>
      <c r="U1665">
        <v>0</v>
      </c>
      <c r="V1665">
        <v>0</v>
      </c>
      <c r="W1665">
        <v>0</v>
      </c>
      <c r="X1665">
        <v>0</v>
      </c>
      <c r="Y1665">
        <v>0</v>
      </c>
      <c r="Z1665">
        <v>0</v>
      </c>
      <c r="AA1665">
        <v>0</v>
      </c>
      <c r="AB1665">
        <v>0</v>
      </c>
      <c r="AC1665">
        <v>0</v>
      </c>
      <c r="AD1665">
        <v>0</v>
      </c>
      <c r="AE1665">
        <v>0</v>
      </c>
      <c r="AF1665">
        <v>0</v>
      </c>
      <c r="AG1665">
        <v>0</v>
      </c>
      <c r="AH1665">
        <v>0</v>
      </c>
      <c r="AI1665">
        <v>0</v>
      </c>
      <c r="AJ1665">
        <v>0</v>
      </c>
      <c r="AK1665">
        <v>0</v>
      </c>
      <c r="AL1665">
        <v>4</v>
      </c>
      <c r="AM1665">
        <v>0.33333333333333331</v>
      </c>
      <c r="AN1665">
        <v>8.0417410714286142</v>
      </c>
    </row>
    <row r="1666" spans="1:40" x14ac:dyDescent="0.3">
      <c r="A1666" t="s">
        <v>447</v>
      </c>
      <c r="B1666" t="s">
        <v>139</v>
      </c>
      <c r="C1666" t="s">
        <v>10</v>
      </c>
      <c r="D1666" t="s">
        <v>14</v>
      </c>
      <c r="E1666">
        <v>202602</v>
      </c>
      <c r="F1666" t="s">
        <v>513</v>
      </c>
      <c r="G1666">
        <v>0</v>
      </c>
      <c r="H1666">
        <v>0</v>
      </c>
      <c r="I1666">
        <v>0</v>
      </c>
      <c r="J1666">
        <v>0</v>
      </c>
      <c r="K1666">
        <v>1</v>
      </c>
      <c r="L1666">
        <v>0</v>
      </c>
      <c r="M1666">
        <v>0</v>
      </c>
      <c r="N1666">
        <v>0</v>
      </c>
      <c r="O1666">
        <v>0</v>
      </c>
      <c r="P1666">
        <v>0</v>
      </c>
      <c r="Q1666">
        <v>0</v>
      </c>
      <c r="R1666">
        <v>0</v>
      </c>
      <c r="S1666">
        <v>0</v>
      </c>
      <c r="T1666">
        <v>0</v>
      </c>
      <c r="U1666">
        <v>0</v>
      </c>
      <c r="V1666">
        <v>0</v>
      </c>
      <c r="W1666">
        <v>0</v>
      </c>
      <c r="X1666">
        <v>0</v>
      </c>
      <c r="Y1666">
        <v>0</v>
      </c>
      <c r="Z1666">
        <v>0</v>
      </c>
      <c r="AA1666">
        <v>0</v>
      </c>
      <c r="AB1666">
        <v>0</v>
      </c>
      <c r="AC1666">
        <v>0</v>
      </c>
      <c r="AD1666">
        <v>0</v>
      </c>
      <c r="AE1666">
        <v>0</v>
      </c>
      <c r="AF1666">
        <v>0</v>
      </c>
      <c r="AG1666">
        <v>0</v>
      </c>
      <c r="AH1666">
        <v>0</v>
      </c>
      <c r="AI1666">
        <v>0</v>
      </c>
      <c r="AJ1666">
        <v>0</v>
      </c>
      <c r="AK1666">
        <v>0</v>
      </c>
      <c r="AL1666">
        <v>1</v>
      </c>
      <c r="AM1666">
        <v>0</v>
      </c>
      <c r="AN1666">
        <v>1</v>
      </c>
    </row>
    <row r="1667" spans="1:40" x14ac:dyDescent="0.3">
      <c r="A1667" t="s">
        <v>447</v>
      </c>
      <c r="B1667" t="s">
        <v>139</v>
      </c>
      <c r="C1667" t="s">
        <v>10</v>
      </c>
      <c r="D1667" t="s">
        <v>14</v>
      </c>
      <c r="E1667">
        <v>202602</v>
      </c>
      <c r="F1667" t="s">
        <v>148</v>
      </c>
      <c r="G1667">
        <v>0</v>
      </c>
      <c r="H1667">
        <v>0</v>
      </c>
      <c r="I1667">
        <v>0</v>
      </c>
      <c r="J1667">
        <v>0</v>
      </c>
      <c r="K1667">
        <v>0</v>
      </c>
      <c r="L1667">
        <v>0</v>
      </c>
      <c r="M1667">
        <v>0</v>
      </c>
      <c r="N1667">
        <v>0</v>
      </c>
      <c r="O1667">
        <v>0</v>
      </c>
      <c r="P1667">
        <v>0</v>
      </c>
      <c r="Q1667">
        <v>1</v>
      </c>
      <c r="R1667">
        <v>0</v>
      </c>
      <c r="S1667">
        <v>0</v>
      </c>
      <c r="T1667">
        <v>0</v>
      </c>
      <c r="U1667">
        <v>0</v>
      </c>
      <c r="V1667">
        <v>0</v>
      </c>
      <c r="W1667">
        <v>0</v>
      </c>
      <c r="X1667">
        <v>0</v>
      </c>
      <c r="Y1667">
        <v>0</v>
      </c>
      <c r="Z1667">
        <v>0</v>
      </c>
      <c r="AA1667">
        <v>0</v>
      </c>
      <c r="AB1667">
        <v>0</v>
      </c>
      <c r="AC1667">
        <v>0</v>
      </c>
      <c r="AD1667">
        <v>0</v>
      </c>
      <c r="AE1667">
        <v>0</v>
      </c>
      <c r="AF1667">
        <v>0</v>
      </c>
      <c r="AG1667">
        <v>0</v>
      </c>
      <c r="AH1667">
        <v>0</v>
      </c>
      <c r="AI1667">
        <v>0</v>
      </c>
      <c r="AJ1667">
        <v>0</v>
      </c>
      <c r="AK1667">
        <v>0</v>
      </c>
      <c r="AL1667">
        <v>1</v>
      </c>
      <c r="AM1667">
        <v>0.33333333333333331</v>
      </c>
      <c r="AN1667">
        <v>5.0417410714286133</v>
      </c>
    </row>
    <row r="1668" spans="1:40" x14ac:dyDescent="0.3">
      <c r="A1668" t="s">
        <v>447</v>
      </c>
      <c r="B1668" t="s">
        <v>139</v>
      </c>
      <c r="C1668" t="s">
        <v>10</v>
      </c>
      <c r="D1668" t="s">
        <v>14</v>
      </c>
      <c r="E1668">
        <v>202602</v>
      </c>
      <c r="F1668" t="s">
        <v>505</v>
      </c>
      <c r="G1668">
        <v>0</v>
      </c>
      <c r="H1668">
        <v>0</v>
      </c>
      <c r="I1668">
        <v>0</v>
      </c>
      <c r="J1668">
        <v>0</v>
      </c>
      <c r="K1668">
        <v>0</v>
      </c>
      <c r="L1668">
        <v>1</v>
      </c>
      <c r="M1668">
        <v>0</v>
      </c>
      <c r="N1668">
        <v>0</v>
      </c>
      <c r="O1668">
        <v>0</v>
      </c>
      <c r="P1668">
        <v>0</v>
      </c>
      <c r="Q1668">
        <v>0</v>
      </c>
      <c r="R1668">
        <v>0</v>
      </c>
      <c r="S1668">
        <v>0</v>
      </c>
      <c r="T1668">
        <v>0</v>
      </c>
      <c r="U1668">
        <v>0</v>
      </c>
      <c r="V1668">
        <v>0</v>
      </c>
      <c r="W1668">
        <v>0</v>
      </c>
      <c r="X1668">
        <v>0</v>
      </c>
      <c r="Y1668">
        <v>0</v>
      </c>
      <c r="Z1668">
        <v>0</v>
      </c>
      <c r="AA1668">
        <v>0</v>
      </c>
      <c r="AB1668">
        <v>0</v>
      </c>
      <c r="AC1668">
        <v>0</v>
      </c>
      <c r="AD1668">
        <v>0</v>
      </c>
      <c r="AE1668">
        <v>0</v>
      </c>
      <c r="AF1668">
        <v>0</v>
      </c>
      <c r="AG1668">
        <v>0</v>
      </c>
      <c r="AH1668">
        <v>0</v>
      </c>
      <c r="AI1668">
        <v>0</v>
      </c>
      <c r="AJ1668">
        <v>0</v>
      </c>
      <c r="AK1668">
        <v>0</v>
      </c>
      <c r="AL1668">
        <v>1</v>
      </c>
      <c r="AM1668">
        <v>0</v>
      </c>
      <c r="AN1668">
        <v>1</v>
      </c>
    </row>
    <row r="1669" spans="1:40" x14ac:dyDescent="0.3">
      <c r="A1669" t="s">
        <v>447</v>
      </c>
      <c r="B1669" t="s">
        <v>139</v>
      </c>
      <c r="C1669" t="s">
        <v>10</v>
      </c>
      <c r="D1669" t="s">
        <v>14</v>
      </c>
      <c r="E1669">
        <v>202602</v>
      </c>
      <c r="F1669" t="s">
        <v>507</v>
      </c>
      <c r="G1669">
        <v>0</v>
      </c>
      <c r="H1669">
        <v>0</v>
      </c>
      <c r="I1669">
        <v>0</v>
      </c>
      <c r="J1669">
        <v>0</v>
      </c>
      <c r="K1669">
        <v>0</v>
      </c>
      <c r="L1669">
        <v>0</v>
      </c>
      <c r="M1669">
        <v>1</v>
      </c>
      <c r="N1669">
        <v>0</v>
      </c>
      <c r="O1669">
        <v>0</v>
      </c>
      <c r="P1669">
        <v>0</v>
      </c>
      <c r="Q1669">
        <v>1</v>
      </c>
      <c r="R1669">
        <v>0</v>
      </c>
      <c r="S1669">
        <v>0</v>
      </c>
      <c r="T1669">
        <v>0</v>
      </c>
      <c r="U1669">
        <v>0</v>
      </c>
      <c r="V1669">
        <v>0</v>
      </c>
      <c r="W1669">
        <v>0</v>
      </c>
      <c r="X1669">
        <v>0</v>
      </c>
      <c r="Y1669">
        <v>0</v>
      </c>
      <c r="Z1669">
        <v>0</v>
      </c>
      <c r="AA1669">
        <v>0</v>
      </c>
      <c r="AB1669">
        <v>0</v>
      </c>
      <c r="AC1669">
        <v>0</v>
      </c>
      <c r="AD1669">
        <v>0</v>
      </c>
      <c r="AE1669">
        <v>0</v>
      </c>
      <c r="AF1669">
        <v>0</v>
      </c>
      <c r="AG1669">
        <v>0</v>
      </c>
      <c r="AH1669">
        <v>0</v>
      </c>
      <c r="AI1669">
        <v>0</v>
      </c>
      <c r="AJ1669">
        <v>0</v>
      </c>
      <c r="AK1669">
        <v>0</v>
      </c>
      <c r="AL1669">
        <v>2</v>
      </c>
      <c r="AM1669">
        <v>0.33333333333333331</v>
      </c>
      <c r="AN1669">
        <v>6.0417410714286133</v>
      </c>
    </row>
    <row r="1670" spans="1:40" x14ac:dyDescent="0.3">
      <c r="A1670" t="s">
        <v>447</v>
      </c>
      <c r="B1670" t="s">
        <v>139</v>
      </c>
      <c r="C1670" t="s">
        <v>10</v>
      </c>
      <c r="D1670" t="s">
        <v>14</v>
      </c>
      <c r="E1670">
        <v>202602</v>
      </c>
      <c r="F1670" t="s">
        <v>508</v>
      </c>
      <c r="G1670">
        <v>0</v>
      </c>
      <c r="H1670">
        <v>1</v>
      </c>
      <c r="I1670">
        <v>0</v>
      </c>
      <c r="J1670">
        <v>0</v>
      </c>
      <c r="K1670">
        <v>2</v>
      </c>
      <c r="L1670">
        <v>0</v>
      </c>
      <c r="M1670">
        <v>0</v>
      </c>
      <c r="N1670">
        <v>0</v>
      </c>
      <c r="O1670">
        <v>1</v>
      </c>
      <c r="P1670">
        <v>1</v>
      </c>
      <c r="Q1670">
        <v>1</v>
      </c>
      <c r="R1670">
        <v>0</v>
      </c>
      <c r="S1670">
        <v>0</v>
      </c>
      <c r="T1670">
        <v>0</v>
      </c>
      <c r="U1670">
        <v>0</v>
      </c>
      <c r="V1670">
        <v>0</v>
      </c>
      <c r="W1670">
        <v>0</v>
      </c>
      <c r="X1670">
        <v>0</v>
      </c>
      <c r="Y1670">
        <v>0</v>
      </c>
      <c r="Z1670">
        <v>0</v>
      </c>
      <c r="AA1670">
        <v>0</v>
      </c>
      <c r="AB1670">
        <v>0</v>
      </c>
      <c r="AC1670">
        <v>0</v>
      </c>
      <c r="AD1670">
        <v>0</v>
      </c>
      <c r="AE1670">
        <v>0</v>
      </c>
      <c r="AF1670">
        <v>0</v>
      </c>
      <c r="AG1670">
        <v>0</v>
      </c>
      <c r="AH1670">
        <v>0</v>
      </c>
      <c r="AI1670">
        <v>0</v>
      </c>
      <c r="AJ1670">
        <v>0</v>
      </c>
      <c r="AK1670">
        <v>0</v>
      </c>
      <c r="AL1670">
        <v>6</v>
      </c>
      <c r="AM1670">
        <v>1</v>
      </c>
      <c r="AN1670">
        <v>18.125223214285839</v>
      </c>
    </row>
    <row r="1671" spans="1:40" x14ac:dyDescent="0.3">
      <c r="A1671" t="s">
        <v>447</v>
      </c>
      <c r="B1671" t="s">
        <v>139</v>
      </c>
      <c r="C1671" t="s">
        <v>10</v>
      </c>
      <c r="D1671" t="s">
        <v>14</v>
      </c>
      <c r="E1671">
        <v>202602</v>
      </c>
      <c r="F1671" t="s">
        <v>514</v>
      </c>
      <c r="G1671">
        <v>0</v>
      </c>
      <c r="H1671">
        <v>1</v>
      </c>
      <c r="I1671">
        <v>0</v>
      </c>
      <c r="J1671">
        <v>0</v>
      </c>
      <c r="K1671">
        <v>0</v>
      </c>
      <c r="L1671">
        <v>0</v>
      </c>
      <c r="M1671">
        <v>0</v>
      </c>
      <c r="N1671">
        <v>0</v>
      </c>
      <c r="O1671">
        <v>1</v>
      </c>
      <c r="P1671">
        <v>0</v>
      </c>
      <c r="Q1671">
        <v>0</v>
      </c>
      <c r="R1671">
        <v>0</v>
      </c>
      <c r="S1671">
        <v>0</v>
      </c>
      <c r="T1671">
        <v>0</v>
      </c>
      <c r="U1671">
        <v>0</v>
      </c>
      <c r="V1671">
        <v>0</v>
      </c>
      <c r="W1671">
        <v>0</v>
      </c>
      <c r="X1671">
        <v>0</v>
      </c>
      <c r="Y1671">
        <v>0</v>
      </c>
      <c r="Z1671">
        <v>0</v>
      </c>
      <c r="AA1671">
        <v>0</v>
      </c>
      <c r="AB1671">
        <v>0</v>
      </c>
      <c r="AC1671">
        <v>0</v>
      </c>
      <c r="AD1671">
        <v>0</v>
      </c>
      <c r="AE1671">
        <v>0</v>
      </c>
      <c r="AF1671">
        <v>0</v>
      </c>
      <c r="AG1671">
        <v>0</v>
      </c>
      <c r="AH1671">
        <v>0</v>
      </c>
      <c r="AI1671">
        <v>0</v>
      </c>
      <c r="AJ1671">
        <v>0</v>
      </c>
      <c r="AK1671">
        <v>0</v>
      </c>
      <c r="AL1671">
        <v>2</v>
      </c>
      <c r="AM1671">
        <v>0.33333333333333331</v>
      </c>
      <c r="AN1671">
        <v>6.0417410714286133</v>
      </c>
    </row>
    <row r="1672" spans="1:40" x14ac:dyDescent="0.3">
      <c r="A1672" t="s">
        <v>447</v>
      </c>
      <c r="B1672" t="s">
        <v>139</v>
      </c>
      <c r="C1672" t="s">
        <v>10</v>
      </c>
      <c r="D1672" t="s">
        <v>14</v>
      </c>
      <c r="E1672">
        <v>202602</v>
      </c>
      <c r="F1672" t="s">
        <v>509</v>
      </c>
      <c r="G1672">
        <v>0</v>
      </c>
      <c r="H1672">
        <v>0</v>
      </c>
      <c r="I1672">
        <v>1</v>
      </c>
      <c r="J1672">
        <v>0</v>
      </c>
      <c r="K1672">
        <v>0</v>
      </c>
      <c r="L1672">
        <v>0</v>
      </c>
      <c r="M1672">
        <v>2</v>
      </c>
      <c r="N1672">
        <v>0</v>
      </c>
      <c r="O1672">
        <v>2</v>
      </c>
      <c r="P1672">
        <v>0</v>
      </c>
      <c r="Q1672">
        <v>1</v>
      </c>
      <c r="R1672">
        <v>0</v>
      </c>
      <c r="S1672">
        <v>0</v>
      </c>
      <c r="T1672">
        <v>0</v>
      </c>
      <c r="U1672">
        <v>0</v>
      </c>
      <c r="V1672">
        <v>0</v>
      </c>
      <c r="W1672">
        <v>0</v>
      </c>
      <c r="X1672">
        <v>0</v>
      </c>
      <c r="Y1672">
        <v>0</v>
      </c>
      <c r="Z1672">
        <v>0</v>
      </c>
      <c r="AA1672">
        <v>0</v>
      </c>
      <c r="AB1672">
        <v>0</v>
      </c>
      <c r="AC1672">
        <v>0</v>
      </c>
      <c r="AD1672">
        <v>0</v>
      </c>
      <c r="AE1672">
        <v>0</v>
      </c>
      <c r="AF1672">
        <v>0</v>
      </c>
      <c r="AG1672">
        <v>0</v>
      </c>
      <c r="AH1672">
        <v>0</v>
      </c>
      <c r="AI1672">
        <v>0</v>
      </c>
      <c r="AJ1672">
        <v>0</v>
      </c>
      <c r="AK1672">
        <v>0</v>
      </c>
      <c r="AL1672">
        <v>6</v>
      </c>
      <c r="AM1672">
        <v>1</v>
      </c>
      <c r="AN1672">
        <v>18.125223214285839</v>
      </c>
    </row>
    <row r="1673" spans="1:40" x14ac:dyDescent="0.3">
      <c r="A1673" t="s">
        <v>447</v>
      </c>
      <c r="B1673" t="s">
        <v>139</v>
      </c>
      <c r="C1673" t="s">
        <v>10</v>
      </c>
      <c r="D1673" t="s">
        <v>14</v>
      </c>
      <c r="E1673">
        <v>202602</v>
      </c>
      <c r="F1673" t="s">
        <v>695</v>
      </c>
      <c r="G1673">
        <v>0</v>
      </c>
      <c r="H1673">
        <v>0</v>
      </c>
      <c r="I1673">
        <v>0</v>
      </c>
      <c r="J1673">
        <v>0</v>
      </c>
      <c r="K1673">
        <v>0</v>
      </c>
      <c r="L1673">
        <v>0</v>
      </c>
      <c r="M1673">
        <v>0</v>
      </c>
      <c r="N1673">
        <v>0</v>
      </c>
      <c r="O1673">
        <v>0</v>
      </c>
      <c r="P1673">
        <v>0</v>
      </c>
      <c r="Q1673">
        <v>1</v>
      </c>
      <c r="R1673">
        <v>0</v>
      </c>
      <c r="S1673">
        <v>0</v>
      </c>
      <c r="T1673">
        <v>0</v>
      </c>
      <c r="U1673">
        <v>0</v>
      </c>
      <c r="V1673">
        <v>0</v>
      </c>
      <c r="W1673">
        <v>0</v>
      </c>
      <c r="X1673">
        <v>0</v>
      </c>
      <c r="Y1673">
        <v>0</v>
      </c>
      <c r="Z1673">
        <v>0</v>
      </c>
      <c r="AA1673">
        <v>0</v>
      </c>
      <c r="AB1673">
        <v>0</v>
      </c>
      <c r="AC1673">
        <v>0</v>
      </c>
      <c r="AD1673">
        <v>0</v>
      </c>
      <c r="AE1673">
        <v>0</v>
      </c>
      <c r="AF1673">
        <v>0</v>
      </c>
      <c r="AG1673">
        <v>0</v>
      </c>
      <c r="AH1673">
        <v>0</v>
      </c>
      <c r="AI1673">
        <v>0</v>
      </c>
      <c r="AJ1673">
        <v>0</v>
      </c>
      <c r="AK1673">
        <v>0</v>
      </c>
      <c r="AL1673">
        <v>1</v>
      </c>
      <c r="AM1673">
        <v>0.33333333333333331</v>
      </c>
      <c r="AN1673">
        <v>5.0417410714286133</v>
      </c>
    </row>
    <row r="1674" spans="1:40" x14ac:dyDescent="0.3">
      <c r="A1674" t="s">
        <v>447</v>
      </c>
      <c r="B1674" t="s">
        <v>139</v>
      </c>
      <c r="C1674" t="s">
        <v>10</v>
      </c>
      <c r="D1674" t="s">
        <v>14</v>
      </c>
      <c r="E1674">
        <v>202602</v>
      </c>
      <c r="F1674" t="s">
        <v>515</v>
      </c>
      <c r="G1674">
        <v>0</v>
      </c>
      <c r="H1674">
        <v>0</v>
      </c>
      <c r="I1674">
        <v>0</v>
      </c>
      <c r="J1674">
        <v>0</v>
      </c>
      <c r="K1674">
        <v>0</v>
      </c>
      <c r="L1674">
        <v>1</v>
      </c>
      <c r="M1674">
        <v>0</v>
      </c>
      <c r="N1674">
        <v>0</v>
      </c>
      <c r="O1674">
        <v>0</v>
      </c>
      <c r="P1674">
        <v>1</v>
      </c>
      <c r="Q1674">
        <v>0</v>
      </c>
      <c r="R1674">
        <v>0</v>
      </c>
      <c r="S1674">
        <v>0</v>
      </c>
      <c r="T1674">
        <v>0</v>
      </c>
      <c r="U1674">
        <v>0</v>
      </c>
      <c r="V1674">
        <v>0</v>
      </c>
      <c r="W1674">
        <v>0</v>
      </c>
      <c r="X1674">
        <v>0</v>
      </c>
      <c r="Y1674">
        <v>0</v>
      </c>
      <c r="Z1674">
        <v>0</v>
      </c>
      <c r="AA1674">
        <v>0</v>
      </c>
      <c r="AB1674">
        <v>0</v>
      </c>
      <c r="AC1674">
        <v>0</v>
      </c>
      <c r="AD1674">
        <v>0</v>
      </c>
      <c r="AE1674">
        <v>0</v>
      </c>
      <c r="AF1674">
        <v>0</v>
      </c>
      <c r="AG1674">
        <v>0</v>
      </c>
      <c r="AH1674">
        <v>0</v>
      </c>
      <c r="AI1674">
        <v>0</v>
      </c>
      <c r="AJ1674">
        <v>0</v>
      </c>
      <c r="AK1674">
        <v>0</v>
      </c>
      <c r="AL1674">
        <v>2</v>
      </c>
      <c r="AM1674">
        <v>0.33333333333333331</v>
      </c>
      <c r="AN1674">
        <v>6.0417410714286133</v>
      </c>
    </row>
    <row r="1675" spans="1:40" x14ac:dyDescent="0.3">
      <c r="A1675" t="s">
        <v>447</v>
      </c>
      <c r="B1675" t="s">
        <v>139</v>
      </c>
      <c r="C1675" t="s">
        <v>10</v>
      </c>
      <c r="D1675" t="s">
        <v>14</v>
      </c>
      <c r="E1675">
        <v>202602</v>
      </c>
      <c r="F1675" t="s">
        <v>516</v>
      </c>
      <c r="G1675">
        <v>0</v>
      </c>
      <c r="H1675">
        <v>0</v>
      </c>
      <c r="I1675">
        <v>0</v>
      </c>
      <c r="J1675">
        <v>0</v>
      </c>
      <c r="K1675">
        <v>0</v>
      </c>
      <c r="L1675">
        <v>0</v>
      </c>
      <c r="M1675">
        <v>0</v>
      </c>
      <c r="N1675">
        <v>0</v>
      </c>
      <c r="O1675">
        <v>0</v>
      </c>
      <c r="P1675">
        <v>0</v>
      </c>
      <c r="Q1675">
        <v>1</v>
      </c>
      <c r="R1675">
        <v>0</v>
      </c>
      <c r="S1675">
        <v>0</v>
      </c>
      <c r="T1675">
        <v>0</v>
      </c>
      <c r="U1675">
        <v>0</v>
      </c>
      <c r="V1675">
        <v>0</v>
      </c>
      <c r="W1675">
        <v>0</v>
      </c>
      <c r="X1675">
        <v>0</v>
      </c>
      <c r="Y1675">
        <v>0</v>
      </c>
      <c r="Z1675">
        <v>0</v>
      </c>
      <c r="AA1675">
        <v>0</v>
      </c>
      <c r="AB1675">
        <v>0</v>
      </c>
      <c r="AC1675">
        <v>0</v>
      </c>
      <c r="AD1675">
        <v>0</v>
      </c>
      <c r="AE1675">
        <v>0</v>
      </c>
      <c r="AF1675">
        <v>0</v>
      </c>
      <c r="AG1675">
        <v>0</v>
      </c>
      <c r="AH1675">
        <v>0</v>
      </c>
      <c r="AI1675">
        <v>0</v>
      </c>
      <c r="AJ1675">
        <v>0</v>
      </c>
      <c r="AK1675">
        <v>0</v>
      </c>
      <c r="AL1675">
        <v>1</v>
      </c>
      <c r="AM1675">
        <v>0.33333333333333331</v>
      </c>
      <c r="AN1675">
        <v>5.0417410714286133</v>
      </c>
    </row>
    <row r="1676" spans="1:40" x14ac:dyDescent="0.3">
      <c r="A1676" t="s">
        <v>447</v>
      </c>
      <c r="B1676" t="s">
        <v>139</v>
      </c>
      <c r="C1676" t="s">
        <v>10</v>
      </c>
      <c r="D1676" t="s">
        <v>14</v>
      </c>
      <c r="E1676">
        <v>202602</v>
      </c>
      <c r="F1676" t="s">
        <v>511</v>
      </c>
      <c r="G1676">
        <v>0</v>
      </c>
      <c r="H1676">
        <v>0</v>
      </c>
      <c r="I1676">
        <v>0</v>
      </c>
      <c r="J1676">
        <v>1</v>
      </c>
      <c r="K1676">
        <v>1</v>
      </c>
      <c r="L1676">
        <v>1</v>
      </c>
      <c r="M1676">
        <v>0</v>
      </c>
      <c r="N1676">
        <v>0</v>
      </c>
      <c r="O1676">
        <v>1</v>
      </c>
      <c r="P1676">
        <v>0</v>
      </c>
      <c r="Q1676">
        <v>0</v>
      </c>
      <c r="R1676">
        <v>0</v>
      </c>
      <c r="S1676">
        <v>0</v>
      </c>
      <c r="T1676">
        <v>0</v>
      </c>
      <c r="U1676">
        <v>0</v>
      </c>
      <c r="V1676">
        <v>0</v>
      </c>
      <c r="W1676">
        <v>0</v>
      </c>
      <c r="X1676">
        <v>0</v>
      </c>
      <c r="Y1676">
        <v>0</v>
      </c>
      <c r="Z1676">
        <v>0</v>
      </c>
      <c r="AA1676">
        <v>0</v>
      </c>
      <c r="AB1676">
        <v>0</v>
      </c>
      <c r="AC1676">
        <v>0</v>
      </c>
      <c r="AD1676">
        <v>0</v>
      </c>
      <c r="AE1676">
        <v>0</v>
      </c>
      <c r="AF1676">
        <v>0</v>
      </c>
      <c r="AG1676">
        <v>0</v>
      </c>
      <c r="AH1676">
        <v>0</v>
      </c>
      <c r="AI1676">
        <v>0</v>
      </c>
      <c r="AJ1676">
        <v>0</v>
      </c>
      <c r="AK1676">
        <v>0</v>
      </c>
      <c r="AL1676">
        <v>4</v>
      </c>
      <c r="AM1676">
        <v>0.33333333333333331</v>
      </c>
      <c r="AN1676">
        <v>8.0417410714286142</v>
      </c>
    </row>
    <row r="1677" spans="1:40" x14ac:dyDescent="0.3">
      <c r="A1677" t="s">
        <v>447</v>
      </c>
      <c r="B1677" t="s">
        <v>139</v>
      </c>
      <c r="C1677" t="s">
        <v>16</v>
      </c>
      <c r="D1677" t="s">
        <v>11</v>
      </c>
      <c r="E1677">
        <v>202602</v>
      </c>
      <c r="F1677" t="s">
        <v>516</v>
      </c>
      <c r="G1677">
        <v>0</v>
      </c>
      <c r="H1677">
        <v>0</v>
      </c>
      <c r="I1677">
        <v>0</v>
      </c>
      <c r="J1677">
        <v>0</v>
      </c>
      <c r="K1677">
        <v>0</v>
      </c>
      <c r="L1677">
        <v>0</v>
      </c>
      <c r="M1677">
        <v>0</v>
      </c>
      <c r="N1677">
        <v>0</v>
      </c>
      <c r="O1677">
        <v>0</v>
      </c>
      <c r="P1677">
        <v>0</v>
      </c>
      <c r="Q1677">
        <v>1</v>
      </c>
      <c r="R1677">
        <v>0</v>
      </c>
      <c r="S1677">
        <v>0</v>
      </c>
      <c r="T1677">
        <v>0</v>
      </c>
      <c r="U1677">
        <v>0</v>
      </c>
      <c r="V1677">
        <v>0</v>
      </c>
      <c r="W1677">
        <v>0</v>
      </c>
      <c r="X1677">
        <v>0</v>
      </c>
      <c r="Y1677">
        <v>0</v>
      </c>
      <c r="Z1677">
        <v>0</v>
      </c>
      <c r="AA1677">
        <v>0</v>
      </c>
      <c r="AB1677">
        <v>0</v>
      </c>
      <c r="AC1677">
        <v>0</v>
      </c>
      <c r="AD1677">
        <v>0</v>
      </c>
      <c r="AE1677">
        <v>0</v>
      </c>
      <c r="AF1677">
        <v>0</v>
      </c>
      <c r="AG1677">
        <v>0</v>
      </c>
      <c r="AH1677">
        <v>0</v>
      </c>
      <c r="AI1677">
        <v>0</v>
      </c>
      <c r="AJ1677">
        <v>0</v>
      </c>
      <c r="AK1677">
        <v>0</v>
      </c>
      <c r="AL1677">
        <v>1</v>
      </c>
      <c r="AM1677">
        <v>0.33333333333333331</v>
      </c>
      <c r="AN1677">
        <v>5.6046251398731117</v>
      </c>
    </row>
    <row r="1678" spans="1:40" x14ac:dyDescent="0.3">
      <c r="A1678" t="s">
        <v>447</v>
      </c>
      <c r="B1678" t="s">
        <v>139</v>
      </c>
      <c r="C1678" t="s">
        <v>16</v>
      </c>
      <c r="D1678" t="s">
        <v>14</v>
      </c>
      <c r="E1678">
        <v>202602</v>
      </c>
      <c r="F1678" t="s">
        <v>516</v>
      </c>
      <c r="G1678">
        <v>0</v>
      </c>
      <c r="H1678">
        <v>0</v>
      </c>
      <c r="I1678">
        <v>0</v>
      </c>
      <c r="J1678">
        <v>0</v>
      </c>
      <c r="K1678">
        <v>0</v>
      </c>
      <c r="L1678">
        <v>0</v>
      </c>
      <c r="M1678">
        <v>0</v>
      </c>
      <c r="N1678">
        <v>0</v>
      </c>
      <c r="O1678">
        <v>0</v>
      </c>
      <c r="P1678">
        <v>1</v>
      </c>
      <c r="Q1678">
        <v>0</v>
      </c>
      <c r="R1678">
        <v>0</v>
      </c>
      <c r="S1678">
        <v>0</v>
      </c>
      <c r="T1678">
        <v>0</v>
      </c>
      <c r="U1678">
        <v>0</v>
      </c>
      <c r="V1678">
        <v>0</v>
      </c>
      <c r="W1678">
        <v>0</v>
      </c>
      <c r="X1678">
        <v>0</v>
      </c>
      <c r="Y1678">
        <v>0</v>
      </c>
      <c r="Z1678">
        <v>0</v>
      </c>
      <c r="AA1678">
        <v>0</v>
      </c>
      <c r="AB1678">
        <v>0</v>
      </c>
      <c r="AC1678">
        <v>0</v>
      </c>
      <c r="AD1678">
        <v>0</v>
      </c>
      <c r="AE1678">
        <v>0</v>
      </c>
      <c r="AF1678">
        <v>0</v>
      </c>
      <c r="AG1678">
        <v>0</v>
      </c>
      <c r="AH1678">
        <v>0</v>
      </c>
      <c r="AI1678">
        <v>0</v>
      </c>
      <c r="AJ1678">
        <v>0</v>
      </c>
      <c r="AK1678">
        <v>0</v>
      </c>
      <c r="AL1678">
        <v>1</v>
      </c>
      <c r="AM1678">
        <v>0.33333333333333331</v>
      </c>
      <c r="AN1678">
        <v>5.0417410714286133</v>
      </c>
    </row>
    <row r="1679" spans="1:40" x14ac:dyDescent="0.3">
      <c r="A1679" t="s">
        <v>447</v>
      </c>
      <c r="B1679" t="s">
        <v>239</v>
      </c>
      <c r="C1679" t="s">
        <v>10</v>
      </c>
      <c r="D1679" t="s">
        <v>11</v>
      </c>
      <c r="E1679">
        <v>202602</v>
      </c>
      <c r="F1679" t="s">
        <v>204</v>
      </c>
      <c r="G1679">
        <v>0</v>
      </c>
      <c r="H1679">
        <v>0</v>
      </c>
      <c r="I1679">
        <v>0</v>
      </c>
      <c r="J1679">
        <v>0</v>
      </c>
      <c r="K1679">
        <v>0</v>
      </c>
      <c r="L1679">
        <v>1</v>
      </c>
      <c r="M1679">
        <v>0</v>
      </c>
      <c r="N1679">
        <v>0</v>
      </c>
      <c r="O1679">
        <v>1</v>
      </c>
      <c r="P1679">
        <v>0</v>
      </c>
      <c r="Q1679">
        <v>0</v>
      </c>
      <c r="R1679">
        <v>0</v>
      </c>
      <c r="S1679">
        <v>0</v>
      </c>
      <c r="T1679">
        <v>0</v>
      </c>
      <c r="U1679">
        <v>0</v>
      </c>
      <c r="V1679">
        <v>0</v>
      </c>
      <c r="W1679">
        <v>0</v>
      </c>
      <c r="X1679">
        <v>0</v>
      </c>
      <c r="Y1679">
        <v>0</v>
      </c>
      <c r="Z1679">
        <v>0</v>
      </c>
      <c r="AA1679">
        <v>0</v>
      </c>
      <c r="AB1679">
        <v>0</v>
      </c>
      <c r="AC1679">
        <v>0</v>
      </c>
      <c r="AD1679">
        <v>0</v>
      </c>
      <c r="AE1679">
        <v>0</v>
      </c>
      <c r="AF1679">
        <v>0</v>
      </c>
      <c r="AG1679">
        <v>0</v>
      </c>
      <c r="AH1679">
        <v>0</v>
      </c>
      <c r="AI1679">
        <v>0</v>
      </c>
      <c r="AJ1679">
        <v>0</v>
      </c>
      <c r="AK1679">
        <v>0</v>
      </c>
      <c r="AL1679">
        <v>2</v>
      </c>
      <c r="AM1679">
        <v>0.33333333333333331</v>
      </c>
      <c r="AN1679">
        <v>6.6046251398731117</v>
      </c>
    </row>
    <row r="1680" spans="1:40" x14ac:dyDescent="0.3">
      <c r="A1680" t="s">
        <v>447</v>
      </c>
      <c r="B1680" t="s">
        <v>239</v>
      </c>
      <c r="C1680" t="s">
        <v>10</v>
      </c>
      <c r="D1680" t="s">
        <v>14</v>
      </c>
      <c r="E1680">
        <v>202602</v>
      </c>
      <c r="F1680" t="s">
        <v>204</v>
      </c>
      <c r="G1680">
        <v>0</v>
      </c>
      <c r="H1680">
        <v>0</v>
      </c>
      <c r="I1680">
        <v>1</v>
      </c>
      <c r="J1680">
        <v>0</v>
      </c>
      <c r="K1680">
        <v>0</v>
      </c>
      <c r="L1680">
        <v>0</v>
      </c>
      <c r="M1680">
        <v>0</v>
      </c>
      <c r="N1680">
        <v>0</v>
      </c>
      <c r="O1680">
        <v>0</v>
      </c>
      <c r="P1680">
        <v>0</v>
      </c>
      <c r="Q1680">
        <v>0</v>
      </c>
      <c r="R1680">
        <v>0</v>
      </c>
      <c r="S1680">
        <v>0</v>
      </c>
      <c r="T1680">
        <v>0</v>
      </c>
      <c r="U1680">
        <v>0</v>
      </c>
      <c r="V1680">
        <v>0</v>
      </c>
      <c r="W1680">
        <v>0</v>
      </c>
      <c r="X1680">
        <v>0</v>
      </c>
      <c r="Y1680">
        <v>0</v>
      </c>
      <c r="Z1680">
        <v>0</v>
      </c>
      <c r="AA1680">
        <v>0</v>
      </c>
      <c r="AB1680">
        <v>0</v>
      </c>
      <c r="AC1680">
        <v>0</v>
      </c>
      <c r="AD1680">
        <v>0</v>
      </c>
      <c r="AE1680">
        <v>0</v>
      </c>
      <c r="AF1680">
        <v>0</v>
      </c>
      <c r="AG1680">
        <v>0</v>
      </c>
      <c r="AH1680">
        <v>0</v>
      </c>
      <c r="AI1680">
        <v>0</v>
      </c>
      <c r="AJ1680">
        <v>0</v>
      </c>
      <c r="AK1680">
        <v>0</v>
      </c>
      <c r="AL1680">
        <v>1</v>
      </c>
      <c r="AM1680">
        <v>0</v>
      </c>
      <c r="AN1680">
        <v>1</v>
      </c>
    </row>
    <row r="1681" spans="1:40" x14ac:dyDescent="0.3">
      <c r="A1681" t="s">
        <v>447</v>
      </c>
      <c r="B1681" t="s">
        <v>164</v>
      </c>
      <c r="C1681" t="s">
        <v>10</v>
      </c>
      <c r="D1681" t="s">
        <v>11</v>
      </c>
      <c r="E1681">
        <v>202602</v>
      </c>
      <c r="F1681" t="s">
        <v>18</v>
      </c>
      <c r="G1681">
        <v>0</v>
      </c>
      <c r="H1681">
        <v>3</v>
      </c>
      <c r="I1681">
        <v>2</v>
      </c>
      <c r="J1681">
        <v>2</v>
      </c>
      <c r="K1681">
        <v>3</v>
      </c>
      <c r="L1681">
        <v>0</v>
      </c>
      <c r="M1681">
        <v>1</v>
      </c>
      <c r="N1681">
        <v>0</v>
      </c>
      <c r="O1681">
        <v>0</v>
      </c>
      <c r="P1681">
        <v>2</v>
      </c>
      <c r="Q1681">
        <v>2</v>
      </c>
      <c r="R1681">
        <v>0</v>
      </c>
      <c r="S1681">
        <v>0</v>
      </c>
      <c r="T1681">
        <v>0</v>
      </c>
      <c r="U1681">
        <v>0</v>
      </c>
      <c r="V1681">
        <v>0</v>
      </c>
      <c r="W1681">
        <v>0</v>
      </c>
      <c r="X1681">
        <v>0</v>
      </c>
      <c r="Y1681">
        <v>0</v>
      </c>
      <c r="Z1681">
        <v>0</v>
      </c>
      <c r="AA1681">
        <v>0</v>
      </c>
      <c r="AB1681">
        <v>0</v>
      </c>
      <c r="AC1681">
        <v>0</v>
      </c>
      <c r="AD1681">
        <v>0</v>
      </c>
      <c r="AE1681">
        <v>0</v>
      </c>
      <c r="AF1681">
        <v>0</v>
      </c>
      <c r="AG1681">
        <v>0</v>
      </c>
      <c r="AH1681">
        <v>0</v>
      </c>
      <c r="AI1681">
        <v>0</v>
      </c>
      <c r="AJ1681">
        <v>0</v>
      </c>
      <c r="AK1681">
        <v>0</v>
      </c>
      <c r="AL1681">
        <v>15</v>
      </c>
      <c r="AM1681">
        <v>1.3333333333333333</v>
      </c>
      <c r="AN1681">
        <v>33.418500559492443</v>
      </c>
    </row>
    <row r="1682" spans="1:40" x14ac:dyDescent="0.3">
      <c r="A1682" t="s">
        <v>447</v>
      </c>
      <c r="B1682" t="s">
        <v>164</v>
      </c>
      <c r="C1682" t="s">
        <v>10</v>
      </c>
      <c r="D1682" t="s">
        <v>11</v>
      </c>
      <c r="E1682">
        <v>202602</v>
      </c>
      <c r="F1682" t="s">
        <v>138</v>
      </c>
      <c r="G1682">
        <v>0</v>
      </c>
      <c r="H1682">
        <v>5</v>
      </c>
      <c r="I1682">
        <v>2</v>
      </c>
      <c r="J1682">
        <v>4</v>
      </c>
      <c r="K1682">
        <v>1</v>
      </c>
      <c r="L1682">
        <v>0</v>
      </c>
      <c r="M1682">
        <v>0</v>
      </c>
      <c r="N1682">
        <v>0</v>
      </c>
      <c r="O1682">
        <v>3</v>
      </c>
      <c r="P1682">
        <v>3</v>
      </c>
      <c r="Q1682">
        <v>0</v>
      </c>
      <c r="R1682">
        <v>0</v>
      </c>
      <c r="S1682">
        <v>0</v>
      </c>
      <c r="T1682">
        <v>0</v>
      </c>
      <c r="U1682">
        <v>0</v>
      </c>
      <c r="V1682">
        <v>0</v>
      </c>
      <c r="W1682">
        <v>0</v>
      </c>
      <c r="X1682">
        <v>0</v>
      </c>
      <c r="Y1682">
        <v>0</v>
      </c>
      <c r="Z1682">
        <v>0</v>
      </c>
      <c r="AA1682">
        <v>0</v>
      </c>
      <c r="AB1682">
        <v>0</v>
      </c>
      <c r="AC1682">
        <v>0</v>
      </c>
      <c r="AD1682">
        <v>0</v>
      </c>
      <c r="AE1682">
        <v>0</v>
      </c>
      <c r="AF1682">
        <v>0</v>
      </c>
      <c r="AG1682">
        <v>0</v>
      </c>
      <c r="AH1682">
        <v>0</v>
      </c>
      <c r="AI1682">
        <v>0</v>
      </c>
      <c r="AJ1682">
        <v>0</v>
      </c>
      <c r="AK1682">
        <v>0</v>
      </c>
      <c r="AL1682">
        <v>18</v>
      </c>
      <c r="AM1682">
        <v>2</v>
      </c>
      <c r="AN1682">
        <v>45.627750839238672</v>
      </c>
    </row>
    <row r="1683" spans="1:40" x14ac:dyDescent="0.3">
      <c r="A1683" t="s">
        <v>447</v>
      </c>
      <c r="B1683" t="s">
        <v>164</v>
      </c>
      <c r="C1683" t="s">
        <v>10</v>
      </c>
      <c r="D1683" t="s">
        <v>14</v>
      </c>
      <c r="E1683">
        <v>202602</v>
      </c>
      <c r="F1683" t="s">
        <v>18</v>
      </c>
      <c r="G1683">
        <v>2</v>
      </c>
      <c r="H1683">
        <v>2</v>
      </c>
      <c r="I1683">
        <v>3</v>
      </c>
      <c r="J1683">
        <v>3</v>
      </c>
      <c r="K1683">
        <v>0</v>
      </c>
      <c r="L1683">
        <v>1</v>
      </c>
      <c r="M1683">
        <v>0</v>
      </c>
      <c r="N1683">
        <v>0</v>
      </c>
      <c r="O1683">
        <v>3</v>
      </c>
      <c r="P1683">
        <v>2</v>
      </c>
      <c r="Q1683">
        <v>6</v>
      </c>
      <c r="R1683">
        <v>0</v>
      </c>
      <c r="S1683">
        <v>0</v>
      </c>
      <c r="T1683">
        <v>0</v>
      </c>
      <c r="U1683">
        <v>0</v>
      </c>
      <c r="V1683">
        <v>0</v>
      </c>
      <c r="W1683">
        <v>0</v>
      </c>
      <c r="X1683">
        <v>0</v>
      </c>
      <c r="Y1683">
        <v>0</v>
      </c>
      <c r="Z1683">
        <v>0</v>
      </c>
      <c r="AA1683">
        <v>0</v>
      </c>
      <c r="AB1683">
        <v>0</v>
      </c>
      <c r="AC1683">
        <v>0</v>
      </c>
      <c r="AD1683">
        <v>0</v>
      </c>
      <c r="AE1683">
        <v>0</v>
      </c>
      <c r="AF1683">
        <v>0</v>
      </c>
      <c r="AG1683">
        <v>0</v>
      </c>
      <c r="AH1683">
        <v>0</v>
      </c>
      <c r="AI1683">
        <v>0</v>
      </c>
      <c r="AJ1683">
        <v>0</v>
      </c>
      <c r="AK1683">
        <v>0</v>
      </c>
      <c r="AL1683">
        <v>22</v>
      </c>
      <c r="AM1683">
        <v>3.6666666666666665</v>
      </c>
      <c r="AN1683">
        <v>66.459151785714738</v>
      </c>
    </row>
    <row r="1684" spans="1:40" x14ac:dyDescent="0.3">
      <c r="A1684" t="s">
        <v>447</v>
      </c>
      <c r="B1684" t="s">
        <v>164</v>
      </c>
      <c r="C1684" t="s">
        <v>10</v>
      </c>
      <c r="D1684" t="s">
        <v>14</v>
      </c>
      <c r="E1684">
        <v>202602</v>
      </c>
      <c r="F1684" t="s">
        <v>138</v>
      </c>
      <c r="G1684">
        <v>0</v>
      </c>
      <c r="H1684">
        <v>2</v>
      </c>
      <c r="I1684">
        <v>7</v>
      </c>
      <c r="J1684">
        <v>1</v>
      </c>
      <c r="K1684">
        <v>4</v>
      </c>
      <c r="L1684">
        <v>7</v>
      </c>
      <c r="M1684">
        <v>2</v>
      </c>
      <c r="N1684">
        <v>0</v>
      </c>
      <c r="O1684">
        <v>2</v>
      </c>
      <c r="P1684">
        <v>1</v>
      </c>
      <c r="Q1684">
        <v>3</v>
      </c>
      <c r="R1684">
        <v>0</v>
      </c>
      <c r="S1684">
        <v>0</v>
      </c>
      <c r="T1684">
        <v>0</v>
      </c>
      <c r="U1684">
        <v>0</v>
      </c>
      <c r="V1684">
        <v>0</v>
      </c>
      <c r="W1684">
        <v>0</v>
      </c>
      <c r="X1684">
        <v>0</v>
      </c>
      <c r="Y1684">
        <v>0</v>
      </c>
      <c r="Z1684">
        <v>0</v>
      </c>
      <c r="AA1684">
        <v>0</v>
      </c>
      <c r="AB1684">
        <v>0</v>
      </c>
      <c r="AC1684">
        <v>0</v>
      </c>
      <c r="AD1684">
        <v>0</v>
      </c>
      <c r="AE1684">
        <v>0</v>
      </c>
      <c r="AF1684">
        <v>0</v>
      </c>
      <c r="AG1684">
        <v>0</v>
      </c>
      <c r="AH1684">
        <v>0</v>
      </c>
      <c r="AI1684">
        <v>0</v>
      </c>
      <c r="AJ1684">
        <v>0</v>
      </c>
      <c r="AK1684">
        <v>0</v>
      </c>
      <c r="AL1684">
        <v>29</v>
      </c>
      <c r="AM1684">
        <v>2</v>
      </c>
      <c r="AN1684">
        <v>53.250446428571678</v>
      </c>
    </row>
    <row r="1685" spans="1:40" x14ac:dyDescent="0.3">
      <c r="A1685" t="s">
        <v>447</v>
      </c>
      <c r="B1685" t="s">
        <v>164</v>
      </c>
      <c r="C1685" t="s">
        <v>16</v>
      </c>
      <c r="D1685" t="s">
        <v>11</v>
      </c>
      <c r="E1685">
        <v>202602</v>
      </c>
      <c r="F1685" t="s">
        <v>18</v>
      </c>
      <c r="G1685">
        <v>0</v>
      </c>
      <c r="H1685">
        <v>0</v>
      </c>
      <c r="I1685">
        <v>0</v>
      </c>
      <c r="J1685">
        <v>0</v>
      </c>
      <c r="K1685">
        <v>0</v>
      </c>
      <c r="L1685">
        <v>0</v>
      </c>
      <c r="M1685">
        <v>0</v>
      </c>
      <c r="N1685">
        <v>0</v>
      </c>
      <c r="O1685">
        <v>0</v>
      </c>
      <c r="P1685">
        <v>0</v>
      </c>
      <c r="Q1685">
        <v>1</v>
      </c>
      <c r="R1685">
        <v>0</v>
      </c>
      <c r="S1685">
        <v>0</v>
      </c>
      <c r="T1685">
        <v>0</v>
      </c>
      <c r="U1685">
        <v>0</v>
      </c>
      <c r="V1685">
        <v>0</v>
      </c>
      <c r="W1685">
        <v>0</v>
      </c>
      <c r="X1685">
        <v>0</v>
      </c>
      <c r="Y1685">
        <v>0</v>
      </c>
      <c r="Z1685">
        <v>0</v>
      </c>
      <c r="AA1685">
        <v>0</v>
      </c>
      <c r="AB1685">
        <v>0</v>
      </c>
      <c r="AC1685">
        <v>0</v>
      </c>
      <c r="AD1685">
        <v>0</v>
      </c>
      <c r="AE1685">
        <v>0</v>
      </c>
      <c r="AF1685">
        <v>0</v>
      </c>
      <c r="AG1685">
        <v>0</v>
      </c>
      <c r="AH1685">
        <v>0</v>
      </c>
      <c r="AI1685">
        <v>0</v>
      </c>
      <c r="AJ1685">
        <v>0</v>
      </c>
      <c r="AK1685">
        <v>0</v>
      </c>
      <c r="AL1685">
        <v>1</v>
      </c>
      <c r="AM1685">
        <v>0.33333333333333331</v>
      </c>
      <c r="AN1685">
        <v>5.6046251398731117</v>
      </c>
    </row>
    <row r="1686" spans="1:40" x14ac:dyDescent="0.3">
      <c r="A1686" t="s">
        <v>447</v>
      </c>
      <c r="B1686" t="s">
        <v>164</v>
      </c>
      <c r="C1686" t="s">
        <v>16</v>
      </c>
      <c r="D1686" t="s">
        <v>11</v>
      </c>
      <c r="E1686">
        <v>202602</v>
      </c>
      <c r="F1686" t="s">
        <v>138</v>
      </c>
      <c r="G1686">
        <v>0</v>
      </c>
      <c r="H1686">
        <v>0</v>
      </c>
      <c r="I1686">
        <v>0</v>
      </c>
      <c r="J1686">
        <v>0</v>
      </c>
      <c r="K1686">
        <v>0</v>
      </c>
      <c r="L1686">
        <v>0</v>
      </c>
      <c r="M1686">
        <v>0</v>
      </c>
      <c r="N1686">
        <v>0</v>
      </c>
      <c r="O1686">
        <v>1</v>
      </c>
      <c r="P1686">
        <v>0</v>
      </c>
      <c r="Q1686">
        <v>0</v>
      </c>
      <c r="R1686">
        <v>0</v>
      </c>
      <c r="S1686">
        <v>0</v>
      </c>
      <c r="T1686">
        <v>0</v>
      </c>
      <c r="U1686">
        <v>0</v>
      </c>
      <c r="V1686">
        <v>0</v>
      </c>
      <c r="W1686">
        <v>0</v>
      </c>
      <c r="X1686">
        <v>0</v>
      </c>
      <c r="Y1686">
        <v>0</v>
      </c>
      <c r="Z1686">
        <v>0</v>
      </c>
      <c r="AA1686">
        <v>0</v>
      </c>
      <c r="AB1686">
        <v>0</v>
      </c>
      <c r="AC1686">
        <v>0</v>
      </c>
      <c r="AD1686">
        <v>0</v>
      </c>
      <c r="AE1686">
        <v>0</v>
      </c>
      <c r="AF1686">
        <v>0</v>
      </c>
      <c r="AG1686">
        <v>0</v>
      </c>
      <c r="AH1686">
        <v>0</v>
      </c>
      <c r="AI1686">
        <v>0</v>
      </c>
      <c r="AJ1686">
        <v>0</v>
      </c>
      <c r="AK1686">
        <v>0</v>
      </c>
      <c r="AL1686">
        <v>1</v>
      </c>
      <c r="AM1686">
        <v>0.33333333333333331</v>
      </c>
      <c r="AN1686">
        <v>5.6046251398731117</v>
      </c>
    </row>
    <row r="1687" spans="1:40" x14ac:dyDescent="0.3">
      <c r="A1687" t="s">
        <v>447</v>
      </c>
      <c r="B1687" t="s">
        <v>164</v>
      </c>
      <c r="C1687" t="s">
        <v>16</v>
      </c>
      <c r="D1687" t="s">
        <v>14</v>
      </c>
      <c r="E1687">
        <v>202602</v>
      </c>
      <c r="F1687" t="s">
        <v>18</v>
      </c>
      <c r="G1687">
        <v>0</v>
      </c>
      <c r="H1687">
        <v>0</v>
      </c>
      <c r="I1687">
        <v>0</v>
      </c>
      <c r="J1687">
        <v>0</v>
      </c>
      <c r="K1687">
        <v>0</v>
      </c>
      <c r="L1687">
        <v>0</v>
      </c>
      <c r="M1687">
        <v>0</v>
      </c>
      <c r="N1687">
        <v>0</v>
      </c>
      <c r="O1687">
        <v>1</v>
      </c>
      <c r="P1687">
        <v>0</v>
      </c>
      <c r="Q1687">
        <v>0</v>
      </c>
      <c r="R1687">
        <v>0</v>
      </c>
      <c r="S1687">
        <v>0</v>
      </c>
      <c r="T1687">
        <v>0</v>
      </c>
      <c r="U1687">
        <v>0</v>
      </c>
      <c r="V1687">
        <v>0</v>
      </c>
      <c r="W1687">
        <v>0</v>
      </c>
      <c r="X1687">
        <v>0</v>
      </c>
      <c r="Y1687">
        <v>0</v>
      </c>
      <c r="Z1687">
        <v>0</v>
      </c>
      <c r="AA1687">
        <v>0</v>
      </c>
      <c r="AB1687">
        <v>0</v>
      </c>
      <c r="AC1687">
        <v>0</v>
      </c>
      <c r="AD1687">
        <v>0</v>
      </c>
      <c r="AE1687">
        <v>0</v>
      </c>
      <c r="AF1687">
        <v>0</v>
      </c>
      <c r="AG1687">
        <v>0</v>
      </c>
      <c r="AH1687">
        <v>0</v>
      </c>
      <c r="AI1687">
        <v>0</v>
      </c>
      <c r="AJ1687">
        <v>0</v>
      </c>
      <c r="AK1687">
        <v>0</v>
      </c>
      <c r="AL1687">
        <v>1</v>
      </c>
      <c r="AM1687">
        <v>0.33333333333333331</v>
      </c>
      <c r="AN1687">
        <v>5.0417410714286133</v>
      </c>
    </row>
    <row r="1688" spans="1:40" x14ac:dyDescent="0.3">
      <c r="A1688" t="s">
        <v>447</v>
      </c>
      <c r="B1688" t="s">
        <v>164</v>
      </c>
      <c r="C1688" t="s">
        <v>16</v>
      </c>
      <c r="D1688" t="s">
        <v>14</v>
      </c>
      <c r="E1688">
        <v>202602</v>
      </c>
      <c r="F1688" t="s">
        <v>138</v>
      </c>
      <c r="G1688">
        <v>0</v>
      </c>
      <c r="H1688">
        <v>0</v>
      </c>
      <c r="I1688">
        <v>0</v>
      </c>
      <c r="J1688">
        <v>0</v>
      </c>
      <c r="K1688">
        <v>1</v>
      </c>
      <c r="L1688">
        <v>0</v>
      </c>
      <c r="M1688">
        <v>1</v>
      </c>
      <c r="N1688">
        <v>0</v>
      </c>
      <c r="O1688">
        <v>0</v>
      </c>
      <c r="P1688">
        <v>0</v>
      </c>
      <c r="Q1688">
        <v>0</v>
      </c>
      <c r="R1688">
        <v>0</v>
      </c>
      <c r="S1688">
        <v>0</v>
      </c>
      <c r="T1688">
        <v>0</v>
      </c>
      <c r="U1688">
        <v>0</v>
      </c>
      <c r="V1688">
        <v>0</v>
      </c>
      <c r="W1688">
        <v>0</v>
      </c>
      <c r="X1688">
        <v>0</v>
      </c>
      <c r="Y1688">
        <v>0</v>
      </c>
      <c r="Z1688">
        <v>0</v>
      </c>
      <c r="AA1688">
        <v>0</v>
      </c>
      <c r="AB1688">
        <v>0</v>
      </c>
      <c r="AC1688">
        <v>0</v>
      </c>
      <c r="AD1688">
        <v>0</v>
      </c>
      <c r="AE1688">
        <v>0</v>
      </c>
      <c r="AF1688">
        <v>0</v>
      </c>
      <c r="AG1688">
        <v>0</v>
      </c>
      <c r="AH1688">
        <v>0</v>
      </c>
      <c r="AI1688">
        <v>0</v>
      </c>
      <c r="AJ1688">
        <v>0</v>
      </c>
      <c r="AK1688">
        <v>0</v>
      </c>
      <c r="AL1688">
        <v>2</v>
      </c>
      <c r="AM1688">
        <v>0</v>
      </c>
      <c r="AN1688">
        <v>2</v>
      </c>
    </row>
    <row r="1689" spans="1:40" x14ac:dyDescent="0.3">
      <c r="A1689" t="s">
        <v>447</v>
      </c>
      <c r="B1689" t="s">
        <v>171</v>
      </c>
      <c r="C1689" t="s">
        <v>10</v>
      </c>
      <c r="D1689" t="s">
        <v>11</v>
      </c>
      <c r="E1689">
        <v>202602</v>
      </c>
      <c r="F1689" t="s">
        <v>172</v>
      </c>
      <c r="G1689">
        <v>0</v>
      </c>
      <c r="H1689">
        <v>4</v>
      </c>
      <c r="I1689">
        <v>3</v>
      </c>
      <c r="J1689">
        <v>4</v>
      </c>
      <c r="K1689">
        <v>1</v>
      </c>
      <c r="L1689">
        <v>4</v>
      </c>
      <c r="M1689">
        <v>1</v>
      </c>
      <c r="N1689">
        <v>1</v>
      </c>
      <c r="O1689">
        <v>4</v>
      </c>
      <c r="P1689">
        <v>4</v>
      </c>
      <c r="Q1689">
        <v>5</v>
      </c>
      <c r="R1689">
        <v>0</v>
      </c>
      <c r="S1689">
        <v>0</v>
      </c>
      <c r="T1689">
        <v>0</v>
      </c>
      <c r="U1689">
        <v>0</v>
      </c>
      <c r="V1689">
        <v>0</v>
      </c>
      <c r="W1689">
        <v>0</v>
      </c>
      <c r="X1689">
        <v>0</v>
      </c>
      <c r="Y1689">
        <v>0</v>
      </c>
      <c r="Z1689">
        <v>0</v>
      </c>
      <c r="AA1689">
        <v>0</v>
      </c>
      <c r="AB1689">
        <v>0</v>
      </c>
      <c r="AC1689">
        <v>0</v>
      </c>
      <c r="AD1689">
        <v>0</v>
      </c>
      <c r="AE1689">
        <v>0</v>
      </c>
      <c r="AF1689">
        <v>0</v>
      </c>
      <c r="AG1689">
        <v>0</v>
      </c>
      <c r="AH1689">
        <v>0</v>
      </c>
      <c r="AI1689">
        <v>0</v>
      </c>
      <c r="AJ1689">
        <v>0</v>
      </c>
      <c r="AK1689">
        <v>0</v>
      </c>
      <c r="AL1689">
        <v>31</v>
      </c>
      <c r="AM1689">
        <v>4.333333333333333</v>
      </c>
      <c r="AN1689">
        <v>90.860126818350437</v>
      </c>
    </row>
    <row r="1690" spans="1:40" x14ac:dyDescent="0.3">
      <c r="A1690" t="s">
        <v>447</v>
      </c>
      <c r="B1690" t="s">
        <v>171</v>
      </c>
      <c r="C1690" t="s">
        <v>10</v>
      </c>
      <c r="D1690" t="s">
        <v>14</v>
      </c>
      <c r="E1690">
        <v>202602</v>
      </c>
      <c r="F1690" t="s">
        <v>172</v>
      </c>
      <c r="G1690">
        <v>0</v>
      </c>
      <c r="H1690">
        <v>3</v>
      </c>
      <c r="I1690">
        <v>8</v>
      </c>
      <c r="J1690">
        <v>5</v>
      </c>
      <c r="K1690">
        <v>7</v>
      </c>
      <c r="L1690">
        <v>5</v>
      </c>
      <c r="M1690">
        <v>5</v>
      </c>
      <c r="N1690">
        <v>0</v>
      </c>
      <c r="O1690">
        <v>5</v>
      </c>
      <c r="P1690">
        <v>4</v>
      </c>
      <c r="Q1690">
        <v>12</v>
      </c>
      <c r="R1690">
        <v>0</v>
      </c>
      <c r="S1690">
        <v>0</v>
      </c>
      <c r="T1690">
        <v>0</v>
      </c>
      <c r="U1690">
        <v>0</v>
      </c>
      <c r="V1690">
        <v>0</v>
      </c>
      <c r="W1690">
        <v>0</v>
      </c>
      <c r="X1690">
        <v>0</v>
      </c>
      <c r="Y1690">
        <v>0</v>
      </c>
      <c r="Z1690">
        <v>0</v>
      </c>
      <c r="AA1690">
        <v>0</v>
      </c>
      <c r="AB1690">
        <v>0</v>
      </c>
      <c r="AC1690">
        <v>0</v>
      </c>
      <c r="AD1690">
        <v>0</v>
      </c>
      <c r="AE1690">
        <v>0</v>
      </c>
      <c r="AF1690">
        <v>0</v>
      </c>
      <c r="AG1690">
        <v>0</v>
      </c>
      <c r="AH1690">
        <v>0</v>
      </c>
      <c r="AI1690">
        <v>0</v>
      </c>
      <c r="AJ1690">
        <v>0</v>
      </c>
      <c r="AK1690">
        <v>0</v>
      </c>
      <c r="AL1690">
        <v>54</v>
      </c>
      <c r="AM1690">
        <v>7</v>
      </c>
      <c r="AN1690">
        <v>138.87656250000089</v>
      </c>
    </row>
    <row r="1691" spans="1:40" x14ac:dyDescent="0.3">
      <c r="A1691" t="s">
        <v>447</v>
      </c>
      <c r="B1691" t="s">
        <v>171</v>
      </c>
      <c r="C1691" t="s">
        <v>16</v>
      </c>
      <c r="D1691" t="s">
        <v>11</v>
      </c>
      <c r="E1691">
        <v>202602</v>
      </c>
      <c r="F1691" t="s">
        <v>172</v>
      </c>
      <c r="G1691">
        <v>0</v>
      </c>
      <c r="H1691">
        <v>0</v>
      </c>
      <c r="I1691">
        <v>0</v>
      </c>
      <c r="J1691">
        <v>0</v>
      </c>
      <c r="K1691">
        <v>0</v>
      </c>
      <c r="L1691">
        <v>0</v>
      </c>
      <c r="M1691">
        <v>1</v>
      </c>
      <c r="N1691">
        <v>0</v>
      </c>
      <c r="O1691">
        <v>0</v>
      </c>
      <c r="P1691">
        <v>0</v>
      </c>
      <c r="Q1691">
        <v>0</v>
      </c>
      <c r="R1691">
        <v>0</v>
      </c>
      <c r="S1691">
        <v>0</v>
      </c>
      <c r="T1691">
        <v>0</v>
      </c>
      <c r="U1691">
        <v>0</v>
      </c>
      <c r="V1691">
        <v>0</v>
      </c>
      <c r="W1691">
        <v>0</v>
      </c>
      <c r="X1691">
        <v>0</v>
      </c>
      <c r="Y1691">
        <v>0</v>
      </c>
      <c r="Z1691">
        <v>0</v>
      </c>
      <c r="AA1691">
        <v>0</v>
      </c>
      <c r="AB1691">
        <v>0</v>
      </c>
      <c r="AC1691">
        <v>0</v>
      </c>
      <c r="AD1691">
        <v>0</v>
      </c>
      <c r="AE1691">
        <v>0</v>
      </c>
      <c r="AF1691">
        <v>0</v>
      </c>
      <c r="AG1691">
        <v>0</v>
      </c>
      <c r="AH1691">
        <v>0</v>
      </c>
      <c r="AI1691">
        <v>0</v>
      </c>
      <c r="AJ1691">
        <v>0</v>
      </c>
      <c r="AK1691">
        <v>0</v>
      </c>
      <c r="AL1691">
        <v>1</v>
      </c>
      <c r="AM1691">
        <v>0</v>
      </c>
      <c r="AN1691">
        <v>1</v>
      </c>
    </row>
    <row r="1692" spans="1:40" x14ac:dyDescent="0.3">
      <c r="A1692" t="s">
        <v>447</v>
      </c>
      <c r="B1692" t="s">
        <v>171</v>
      </c>
      <c r="C1692" t="s">
        <v>16</v>
      </c>
      <c r="D1692" t="s">
        <v>14</v>
      </c>
      <c r="E1692">
        <v>202602</v>
      </c>
      <c r="F1692" t="s">
        <v>172</v>
      </c>
      <c r="G1692">
        <v>0</v>
      </c>
      <c r="H1692">
        <v>0</v>
      </c>
      <c r="I1692">
        <v>0</v>
      </c>
      <c r="J1692">
        <v>0</v>
      </c>
      <c r="K1692">
        <v>0</v>
      </c>
      <c r="L1692">
        <v>1</v>
      </c>
      <c r="M1692">
        <v>0</v>
      </c>
      <c r="N1692">
        <v>0</v>
      </c>
      <c r="O1692">
        <v>0</v>
      </c>
      <c r="P1692">
        <v>0</v>
      </c>
      <c r="Q1692">
        <v>0</v>
      </c>
      <c r="R1692">
        <v>0</v>
      </c>
      <c r="S1692">
        <v>0</v>
      </c>
      <c r="T1692">
        <v>0</v>
      </c>
      <c r="U1692">
        <v>0</v>
      </c>
      <c r="V1692">
        <v>0</v>
      </c>
      <c r="W1692">
        <v>0</v>
      </c>
      <c r="X1692">
        <v>0</v>
      </c>
      <c r="Y1692">
        <v>0</v>
      </c>
      <c r="Z1692">
        <v>0</v>
      </c>
      <c r="AA1692">
        <v>0</v>
      </c>
      <c r="AB1692">
        <v>0</v>
      </c>
      <c r="AC1692">
        <v>0</v>
      </c>
      <c r="AD1692">
        <v>0</v>
      </c>
      <c r="AE1692">
        <v>0</v>
      </c>
      <c r="AF1692">
        <v>0</v>
      </c>
      <c r="AG1692">
        <v>0</v>
      </c>
      <c r="AH1692">
        <v>0</v>
      </c>
      <c r="AI1692">
        <v>0</v>
      </c>
      <c r="AJ1692">
        <v>0</v>
      </c>
      <c r="AK1692">
        <v>0</v>
      </c>
      <c r="AL1692">
        <v>1</v>
      </c>
      <c r="AM1692">
        <v>0</v>
      </c>
      <c r="AN1692">
        <v>1</v>
      </c>
    </row>
    <row r="1693" spans="1:40" x14ac:dyDescent="0.3">
      <c r="A1693" t="s">
        <v>447</v>
      </c>
      <c r="B1693" t="s">
        <v>173</v>
      </c>
      <c r="C1693" t="s">
        <v>10</v>
      </c>
      <c r="D1693" t="s">
        <v>11</v>
      </c>
      <c r="E1693">
        <v>202602</v>
      </c>
      <c r="F1693" t="s">
        <v>172</v>
      </c>
      <c r="G1693">
        <v>0</v>
      </c>
      <c r="H1693">
        <v>1</v>
      </c>
      <c r="I1693">
        <v>0</v>
      </c>
      <c r="J1693">
        <v>1</v>
      </c>
      <c r="K1693">
        <v>1</v>
      </c>
      <c r="L1693">
        <v>1</v>
      </c>
      <c r="M1693">
        <v>0</v>
      </c>
      <c r="N1693">
        <v>0</v>
      </c>
      <c r="O1693">
        <v>1</v>
      </c>
      <c r="P1693">
        <v>2</v>
      </c>
      <c r="Q1693">
        <v>0</v>
      </c>
      <c r="R1693">
        <v>0</v>
      </c>
      <c r="S1693">
        <v>0</v>
      </c>
      <c r="T1693">
        <v>0</v>
      </c>
      <c r="U1693">
        <v>0</v>
      </c>
      <c r="V1693">
        <v>0</v>
      </c>
      <c r="W1693">
        <v>0</v>
      </c>
      <c r="X1693">
        <v>0</v>
      </c>
      <c r="Y1693">
        <v>0</v>
      </c>
      <c r="Z1693">
        <v>0</v>
      </c>
      <c r="AA1693">
        <v>0</v>
      </c>
      <c r="AB1693">
        <v>0</v>
      </c>
      <c r="AC1693">
        <v>0</v>
      </c>
      <c r="AD1693">
        <v>0</v>
      </c>
      <c r="AE1693">
        <v>0</v>
      </c>
      <c r="AF1693">
        <v>0</v>
      </c>
      <c r="AG1693">
        <v>0</v>
      </c>
      <c r="AH1693">
        <v>0</v>
      </c>
      <c r="AI1693">
        <v>0</v>
      </c>
      <c r="AJ1693">
        <v>0</v>
      </c>
      <c r="AK1693">
        <v>0</v>
      </c>
      <c r="AL1693">
        <v>7</v>
      </c>
      <c r="AM1693">
        <v>1</v>
      </c>
      <c r="AN1693">
        <v>20.813875419619336</v>
      </c>
    </row>
    <row r="1694" spans="1:40" x14ac:dyDescent="0.3">
      <c r="A1694" t="s">
        <v>447</v>
      </c>
      <c r="B1694" t="s">
        <v>173</v>
      </c>
      <c r="C1694" t="s">
        <v>10</v>
      </c>
      <c r="D1694" t="s">
        <v>14</v>
      </c>
      <c r="E1694">
        <v>202602</v>
      </c>
      <c r="F1694" t="s">
        <v>172</v>
      </c>
      <c r="G1694">
        <v>0</v>
      </c>
      <c r="H1694">
        <v>2</v>
      </c>
      <c r="I1694">
        <v>1</v>
      </c>
      <c r="J1694">
        <v>3</v>
      </c>
      <c r="K1694">
        <v>0</v>
      </c>
      <c r="L1694">
        <v>5</v>
      </c>
      <c r="M1694">
        <v>1</v>
      </c>
      <c r="N1694">
        <v>0</v>
      </c>
      <c r="O1694">
        <v>2</v>
      </c>
      <c r="P1694">
        <v>2</v>
      </c>
      <c r="Q1694">
        <v>3</v>
      </c>
      <c r="R1694">
        <v>0</v>
      </c>
      <c r="S1694">
        <v>0</v>
      </c>
      <c r="T1694">
        <v>0</v>
      </c>
      <c r="U1694">
        <v>0</v>
      </c>
      <c r="V1694">
        <v>0</v>
      </c>
      <c r="W1694">
        <v>0</v>
      </c>
      <c r="X1694">
        <v>0</v>
      </c>
      <c r="Y1694">
        <v>0</v>
      </c>
      <c r="Z1694">
        <v>0</v>
      </c>
      <c r="AA1694">
        <v>0</v>
      </c>
      <c r="AB1694">
        <v>0</v>
      </c>
      <c r="AC1694">
        <v>0</v>
      </c>
      <c r="AD1694">
        <v>0</v>
      </c>
      <c r="AE1694">
        <v>0</v>
      </c>
      <c r="AF1694">
        <v>0</v>
      </c>
      <c r="AG1694">
        <v>0</v>
      </c>
      <c r="AH1694">
        <v>0</v>
      </c>
      <c r="AI1694">
        <v>0</v>
      </c>
      <c r="AJ1694">
        <v>0</v>
      </c>
      <c r="AK1694">
        <v>0</v>
      </c>
      <c r="AL1694">
        <v>19</v>
      </c>
      <c r="AM1694">
        <v>2.3333333333333335</v>
      </c>
      <c r="AN1694">
        <v>47.292187500000296</v>
      </c>
    </row>
    <row r="1695" spans="1:40" x14ac:dyDescent="0.3">
      <c r="A1695" t="s">
        <v>517</v>
      </c>
      <c r="B1695" t="s">
        <v>9</v>
      </c>
      <c r="C1695" t="s">
        <v>10</v>
      </c>
      <c r="D1695" t="s">
        <v>11</v>
      </c>
      <c r="E1695">
        <v>202602</v>
      </c>
      <c r="F1695" t="s">
        <v>12</v>
      </c>
      <c r="G1695">
        <v>0</v>
      </c>
      <c r="H1695">
        <v>1</v>
      </c>
      <c r="I1695">
        <v>0</v>
      </c>
      <c r="J1695">
        <v>0</v>
      </c>
      <c r="K1695">
        <v>0</v>
      </c>
      <c r="L1695">
        <v>0</v>
      </c>
      <c r="M1695">
        <v>0</v>
      </c>
      <c r="N1695">
        <v>0</v>
      </c>
      <c r="O1695">
        <v>0</v>
      </c>
      <c r="P1695">
        <v>3</v>
      </c>
      <c r="Q1695">
        <v>0</v>
      </c>
      <c r="R1695">
        <v>0</v>
      </c>
      <c r="S1695">
        <v>0</v>
      </c>
      <c r="T1695">
        <v>0</v>
      </c>
      <c r="U1695">
        <v>0</v>
      </c>
      <c r="V1695">
        <v>0</v>
      </c>
      <c r="W1695">
        <v>0</v>
      </c>
      <c r="X1695">
        <v>0</v>
      </c>
      <c r="Y1695">
        <v>0</v>
      </c>
      <c r="Z1695">
        <v>0</v>
      </c>
      <c r="AA1695">
        <v>0</v>
      </c>
      <c r="AB1695">
        <v>0</v>
      </c>
      <c r="AC1695">
        <v>0</v>
      </c>
      <c r="AD1695">
        <v>0</v>
      </c>
      <c r="AE1695">
        <v>0</v>
      </c>
      <c r="AF1695">
        <v>0</v>
      </c>
      <c r="AG1695">
        <v>0</v>
      </c>
      <c r="AH1695">
        <v>0</v>
      </c>
      <c r="AI1695">
        <v>0</v>
      </c>
      <c r="AJ1695">
        <v>0</v>
      </c>
      <c r="AK1695">
        <v>0</v>
      </c>
      <c r="AL1695">
        <v>4</v>
      </c>
      <c r="AM1695">
        <v>1</v>
      </c>
      <c r="AN1695">
        <v>17.813875419619336</v>
      </c>
    </row>
    <row r="1696" spans="1:40" x14ac:dyDescent="0.3">
      <c r="A1696" t="s">
        <v>517</v>
      </c>
      <c r="B1696" t="s">
        <v>9</v>
      </c>
      <c r="C1696" t="s">
        <v>10</v>
      </c>
      <c r="D1696" t="s">
        <v>11</v>
      </c>
      <c r="E1696">
        <v>202602</v>
      </c>
      <c r="F1696" t="s">
        <v>13</v>
      </c>
      <c r="G1696">
        <v>0</v>
      </c>
      <c r="H1696">
        <v>1</v>
      </c>
      <c r="I1696">
        <v>0</v>
      </c>
      <c r="J1696">
        <v>1</v>
      </c>
      <c r="K1696">
        <v>0</v>
      </c>
      <c r="L1696">
        <v>0</v>
      </c>
      <c r="M1696">
        <v>0</v>
      </c>
      <c r="N1696">
        <v>0</v>
      </c>
      <c r="O1696">
        <v>0</v>
      </c>
      <c r="P1696">
        <v>1</v>
      </c>
      <c r="Q1696">
        <v>1</v>
      </c>
      <c r="R1696">
        <v>0</v>
      </c>
      <c r="S1696">
        <v>0</v>
      </c>
      <c r="T1696">
        <v>0</v>
      </c>
      <c r="U1696">
        <v>0</v>
      </c>
      <c r="V1696">
        <v>0</v>
      </c>
      <c r="W1696">
        <v>0</v>
      </c>
      <c r="X1696">
        <v>0</v>
      </c>
      <c r="Y1696">
        <v>0</v>
      </c>
      <c r="Z1696">
        <v>0</v>
      </c>
      <c r="AA1696">
        <v>0</v>
      </c>
      <c r="AB1696">
        <v>0</v>
      </c>
      <c r="AC1696">
        <v>0</v>
      </c>
      <c r="AD1696">
        <v>0</v>
      </c>
      <c r="AE1696">
        <v>0</v>
      </c>
      <c r="AF1696">
        <v>0</v>
      </c>
      <c r="AG1696">
        <v>0</v>
      </c>
      <c r="AH1696">
        <v>0</v>
      </c>
      <c r="AI1696">
        <v>0</v>
      </c>
      <c r="AJ1696">
        <v>0</v>
      </c>
      <c r="AK1696">
        <v>0</v>
      </c>
      <c r="AL1696">
        <v>4</v>
      </c>
      <c r="AM1696">
        <v>0.66666666666666663</v>
      </c>
      <c r="AN1696">
        <v>13.209250279746223</v>
      </c>
    </row>
    <row r="1697" spans="1:40" x14ac:dyDescent="0.3">
      <c r="A1697" t="s">
        <v>517</v>
      </c>
      <c r="B1697" t="s">
        <v>9</v>
      </c>
      <c r="C1697" t="s">
        <v>10</v>
      </c>
      <c r="D1697" t="s">
        <v>11</v>
      </c>
      <c r="E1697">
        <v>202602</v>
      </c>
      <c r="F1697" t="s">
        <v>15</v>
      </c>
      <c r="G1697">
        <v>0</v>
      </c>
      <c r="H1697">
        <v>22</v>
      </c>
      <c r="I1697">
        <v>17</v>
      </c>
      <c r="J1697">
        <v>11</v>
      </c>
      <c r="K1697">
        <v>21</v>
      </c>
      <c r="L1697">
        <v>10</v>
      </c>
      <c r="M1697">
        <v>4</v>
      </c>
      <c r="N1697">
        <v>2</v>
      </c>
      <c r="O1697">
        <v>25</v>
      </c>
      <c r="P1697">
        <v>17</v>
      </c>
      <c r="Q1697">
        <v>14</v>
      </c>
      <c r="R1697">
        <v>0</v>
      </c>
      <c r="S1697">
        <v>0</v>
      </c>
      <c r="T1697">
        <v>0</v>
      </c>
      <c r="U1697">
        <v>0</v>
      </c>
      <c r="V1697">
        <v>0</v>
      </c>
      <c r="W1697">
        <v>0</v>
      </c>
      <c r="X1697">
        <v>0</v>
      </c>
      <c r="Y1697">
        <v>0</v>
      </c>
      <c r="Z1697">
        <v>0</v>
      </c>
      <c r="AA1697">
        <v>0</v>
      </c>
      <c r="AB1697">
        <v>0</v>
      </c>
      <c r="AC1697">
        <v>0</v>
      </c>
      <c r="AD1697">
        <v>0</v>
      </c>
      <c r="AE1697">
        <v>0</v>
      </c>
      <c r="AF1697">
        <v>0</v>
      </c>
      <c r="AG1697">
        <v>0</v>
      </c>
      <c r="AH1697">
        <v>0</v>
      </c>
      <c r="AI1697">
        <v>0</v>
      </c>
      <c r="AJ1697">
        <v>0</v>
      </c>
      <c r="AK1697">
        <v>0</v>
      </c>
      <c r="AL1697">
        <v>143</v>
      </c>
      <c r="AM1697">
        <v>18.666666666666668</v>
      </c>
      <c r="AN1697">
        <v>400.85900783289424</v>
      </c>
    </row>
    <row r="1698" spans="1:40" x14ac:dyDescent="0.3">
      <c r="A1698" t="s">
        <v>517</v>
      </c>
      <c r="B1698" t="s">
        <v>9</v>
      </c>
      <c r="C1698" t="s">
        <v>10</v>
      </c>
      <c r="D1698" t="s">
        <v>14</v>
      </c>
      <c r="E1698">
        <v>202602</v>
      </c>
      <c r="F1698" t="s">
        <v>12</v>
      </c>
      <c r="G1698">
        <v>0</v>
      </c>
      <c r="H1698">
        <v>0</v>
      </c>
      <c r="I1698">
        <v>1</v>
      </c>
      <c r="J1698">
        <v>1</v>
      </c>
      <c r="K1698">
        <v>1</v>
      </c>
      <c r="L1698">
        <v>1</v>
      </c>
      <c r="M1698">
        <v>4</v>
      </c>
      <c r="N1698">
        <v>0</v>
      </c>
      <c r="O1698">
        <v>0</v>
      </c>
      <c r="P1698">
        <v>1</v>
      </c>
      <c r="Q1698">
        <v>0</v>
      </c>
      <c r="R1698">
        <v>0</v>
      </c>
      <c r="S1698">
        <v>0</v>
      </c>
      <c r="T1698">
        <v>0</v>
      </c>
      <c r="U1698">
        <v>0</v>
      </c>
      <c r="V1698">
        <v>0</v>
      </c>
      <c r="W1698">
        <v>0</v>
      </c>
      <c r="X1698">
        <v>0</v>
      </c>
      <c r="Y1698">
        <v>0</v>
      </c>
      <c r="Z1698">
        <v>0</v>
      </c>
      <c r="AA1698">
        <v>0</v>
      </c>
      <c r="AB1698">
        <v>0</v>
      </c>
      <c r="AC1698">
        <v>0</v>
      </c>
      <c r="AD1698">
        <v>0</v>
      </c>
      <c r="AE1698">
        <v>0</v>
      </c>
      <c r="AF1698">
        <v>0</v>
      </c>
      <c r="AG1698">
        <v>0</v>
      </c>
      <c r="AH1698">
        <v>0</v>
      </c>
      <c r="AI1698">
        <v>0</v>
      </c>
      <c r="AJ1698">
        <v>0</v>
      </c>
      <c r="AK1698">
        <v>0</v>
      </c>
      <c r="AL1698">
        <v>9</v>
      </c>
      <c r="AM1698">
        <v>0.33333333333333331</v>
      </c>
      <c r="AN1698">
        <v>13.041741071428614</v>
      </c>
    </row>
    <row r="1699" spans="1:40" x14ac:dyDescent="0.3">
      <c r="A1699" t="s">
        <v>517</v>
      </c>
      <c r="B1699" t="s">
        <v>9</v>
      </c>
      <c r="C1699" t="s">
        <v>10</v>
      </c>
      <c r="D1699" t="s">
        <v>14</v>
      </c>
      <c r="E1699">
        <v>202602</v>
      </c>
      <c r="F1699" t="s">
        <v>13</v>
      </c>
      <c r="G1699">
        <v>0</v>
      </c>
      <c r="H1699">
        <v>0</v>
      </c>
      <c r="I1699">
        <v>0</v>
      </c>
      <c r="J1699">
        <v>0</v>
      </c>
      <c r="K1699">
        <v>1</v>
      </c>
      <c r="L1699">
        <v>0</v>
      </c>
      <c r="M1699">
        <v>1</v>
      </c>
      <c r="N1699">
        <v>0</v>
      </c>
      <c r="O1699">
        <v>0</v>
      </c>
      <c r="P1699">
        <v>1</v>
      </c>
      <c r="Q1699">
        <v>1</v>
      </c>
      <c r="R1699">
        <v>0</v>
      </c>
      <c r="S1699">
        <v>0</v>
      </c>
      <c r="T1699">
        <v>0</v>
      </c>
      <c r="U1699">
        <v>0</v>
      </c>
      <c r="V1699">
        <v>0</v>
      </c>
      <c r="W1699">
        <v>0</v>
      </c>
      <c r="X1699">
        <v>0</v>
      </c>
      <c r="Y1699">
        <v>0</v>
      </c>
      <c r="Z1699">
        <v>0</v>
      </c>
      <c r="AA1699">
        <v>0</v>
      </c>
      <c r="AB1699">
        <v>0</v>
      </c>
      <c r="AC1699">
        <v>0</v>
      </c>
      <c r="AD1699">
        <v>0</v>
      </c>
      <c r="AE1699">
        <v>0</v>
      </c>
      <c r="AF1699">
        <v>0</v>
      </c>
      <c r="AG1699">
        <v>0</v>
      </c>
      <c r="AH1699">
        <v>0</v>
      </c>
      <c r="AI1699">
        <v>0</v>
      </c>
      <c r="AJ1699">
        <v>0</v>
      </c>
      <c r="AK1699">
        <v>0</v>
      </c>
      <c r="AL1699">
        <v>4</v>
      </c>
      <c r="AM1699">
        <v>0.66666666666666663</v>
      </c>
      <c r="AN1699">
        <v>12.083482142857227</v>
      </c>
    </row>
    <row r="1700" spans="1:40" x14ac:dyDescent="0.3">
      <c r="A1700" t="s">
        <v>517</v>
      </c>
      <c r="B1700" t="s">
        <v>9</v>
      </c>
      <c r="C1700" t="s">
        <v>10</v>
      </c>
      <c r="D1700" t="s">
        <v>14</v>
      </c>
      <c r="E1700">
        <v>202602</v>
      </c>
      <c r="F1700" t="s">
        <v>15</v>
      </c>
      <c r="G1700">
        <v>1</v>
      </c>
      <c r="H1700">
        <v>27</v>
      </c>
      <c r="I1700">
        <v>19</v>
      </c>
      <c r="J1700">
        <v>17</v>
      </c>
      <c r="K1700">
        <v>23</v>
      </c>
      <c r="L1700">
        <v>20</v>
      </c>
      <c r="M1700">
        <v>10</v>
      </c>
      <c r="N1700">
        <v>0</v>
      </c>
      <c r="O1700">
        <v>21</v>
      </c>
      <c r="P1700">
        <v>36</v>
      </c>
      <c r="Q1700">
        <v>20</v>
      </c>
      <c r="R1700">
        <v>0</v>
      </c>
      <c r="S1700">
        <v>0</v>
      </c>
      <c r="T1700">
        <v>0</v>
      </c>
      <c r="U1700">
        <v>0</v>
      </c>
      <c r="V1700">
        <v>0</v>
      </c>
      <c r="W1700">
        <v>0</v>
      </c>
      <c r="X1700">
        <v>0</v>
      </c>
      <c r="Y1700">
        <v>0</v>
      </c>
      <c r="Z1700">
        <v>0</v>
      </c>
      <c r="AA1700">
        <v>0</v>
      </c>
      <c r="AB1700">
        <v>0</v>
      </c>
      <c r="AC1700">
        <v>0</v>
      </c>
      <c r="AD1700">
        <v>0</v>
      </c>
      <c r="AE1700">
        <v>0</v>
      </c>
      <c r="AF1700">
        <v>0</v>
      </c>
      <c r="AG1700">
        <v>0</v>
      </c>
      <c r="AH1700">
        <v>0</v>
      </c>
      <c r="AI1700">
        <v>0</v>
      </c>
      <c r="AJ1700">
        <v>0</v>
      </c>
      <c r="AK1700">
        <v>0</v>
      </c>
      <c r="AL1700">
        <v>194</v>
      </c>
      <c r="AM1700">
        <v>25.666666666666668</v>
      </c>
      <c r="AN1700">
        <v>505.21406250000319</v>
      </c>
    </row>
    <row r="1701" spans="1:40" x14ac:dyDescent="0.3">
      <c r="A1701" t="s">
        <v>517</v>
      </c>
      <c r="B1701" t="s">
        <v>9</v>
      </c>
      <c r="C1701" t="s">
        <v>16</v>
      </c>
      <c r="D1701" t="s">
        <v>11</v>
      </c>
      <c r="E1701">
        <v>202602</v>
      </c>
      <c r="F1701" t="s">
        <v>12</v>
      </c>
      <c r="G1701">
        <v>0</v>
      </c>
      <c r="H1701">
        <v>0</v>
      </c>
      <c r="I1701">
        <v>0</v>
      </c>
      <c r="J1701">
        <v>0</v>
      </c>
      <c r="K1701">
        <v>0</v>
      </c>
      <c r="L1701">
        <v>0</v>
      </c>
      <c r="M1701">
        <v>0</v>
      </c>
      <c r="N1701">
        <v>0</v>
      </c>
      <c r="O1701">
        <v>0</v>
      </c>
      <c r="P1701">
        <v>1</v>
      </c>
      <c r="Q1701">
        <v>0</v>
      </c>
      <c r="R1701">
        <v>0</v>
      </c>
      <c r="S1701">
        <v>0</v>
      </c>
      <c r="T1701">
        <v>0</v>
      </c>
      <c r="U1701">
        <v>0</v>
      </c>
      <c r="V1701">
        <v>0</v>
      </c>
      <c r="W1701">
        <v>0</v>
      </c>
      <c r="X1701">
        <v>0</v>
      </c>
      <c r="Y1701">
        <v>0</v>
      </c>
      <c r="Z1701">
        <v>0</v>
      </c>
      <c r="AA1701">
        <v>0</v>
      </c>
      <c r="AB1701">
        <v>0</v>
      </c>
      <c r="AC1701">
        <v>0</v>
      </c>
      <c r="AD1701">
        <v>0</v>
      </c>
      <c r="AE1701">
        <v>0</v>
      </c>
      <c r="AF1701">
        <v>0</v>
      </c>
      <c r="AG1701">
        <v>0</v>
      </c>
      <c r="AH1701">
        <v>0</v>
      </c>
      <c r="AI1701">
        <v>0</v>
      </c>
      <c r="AJ1701">
        <v>0</v>
      </c>
      <c r="AK1701">
        <v>0</v>
      </c>
      <c r="AL1701">
        <v>1</v>
      </c>
      <c r="AM1701">
        <v>0.33333333333333331</v>
      </c>
      <c r="AN1701">
        <v>5.6046251398731117</v>
      </c>
    </row>
    <row r="1702" spans="1:40" x14ac:dyDescent="0.3">
      <c r="A1702" t="s">
        <v>517</v>
      </c>
      <c r="B1702" t="s">
        <v>9</v>
      </c>
      <c r="C1702" t="s">
        <v>16</v>
      </c>
      <c r="D1702" t="s">
        <v>11</v>
      </c>
      <c r="E1702">
        <v>202602</v>
      </c>
      <c r="F1702" t="s">
        <v>382</v>
      </c>
      <c r="G1702">
        <v>0</v>
      </c>
      <c r="H1702">
        <v>0</v>
      </c>
      <c r="I1702">
        <v>1</v>
      </c>
      <c r="J1702">
        <v>0</v>
      </c>
      <c r="K1702">
        <v>0</v>
      </c>
      <c r="L1702">
        <v>0</v>
      </c>
      <c r="M1702">
        <v>0</v>
      </c>
      <c r="N1702">
        <v>0</v>
      </c>
      <c r="O1702">
        <v>0</v>
      </c>
      <c r="P1702">
        <v>0</v>
      </c>
      <c r="Q1702">
        <v>0</v>
      </c>
      <c r="R1702">
        <v>0</v>
      </c>
      <c r="S1702">
        <v>0</v>
      </c>
      <c r="T1702">
        <v>0</v>
      </c>
      <c r="U1702">
        <v>0</v>
      </c>
      <c r="V1702">
        <v>0</v>
      </c>
      <c r="W1702">
        <v>0</v>
      </c>
      <c r="X1702">
        <v>0</v>
      </c>
      <c r="Y1702">
        <v>0</v>
      </c>
      <c r="Z1702">
        <v>0</v>
      </c>
      <c r="AA1702">
        <v>0</v>
      </c>
      <c r="AB1702">
        <v>0</v>
      </c>
      <c r="AC1702">
        <v>0</v>
      </c>
      <c r="AD1702">
        <v>0</v>
      </c>
      <c r="AE1702">
        <v>0</v>
      </c>
      <c r="AF1702">
        <v>0</v>
      </c>
      <c r="AG1702">
        <v>0</v>
      </c>
      <c r="AH1702">
        <v>0</v>
      </c>
      <c r="AI1702">
        <v>0</v>
      </c>
      <c r="AJ1702">
        <v>0</v>
      </c>
      <c r="AK1702">
        <v>0</v>
      </c>
      <c r="AL1702">
        <v>1</v>
      </c>
      <c r="AM1702">
        <v>0</v>
      </c>
      <c r="AN1702">
        <v>1</v>
      </c>
    </row>
    <row r="1703" spans="1:40" x14ac:dyDescent="0.3">
      <c r="A1703" t="s">
        <v>517</v>
      </c>
      <c r="B1703" t="s">
        <v>9</v>
      </c>
      <c r="C1703" t="s">
        <v>16</v>
      </c>
      <c r="D1703" t="s">
        <v>11</v>
      </c>
      <c r="E1703">
        <v>202602</v>
      </c>
      <c r="F1703" t="s">
        <v>15</v>
      </c>
      <c r="G1703">
        <v>0</v>
      </c>
      <c r="H1703">
        <v>0</v>
      </c>
      <c r="I1703">
        <v>2</v>
      </c>
      <c r="J1703">
        <v>1</v>
      </c>
      <c r="K1703">
        <v>0</v>
      </c>
      <c r="L1703">
        <v>0</v>
      </c>
      <c r="M1703">
        <v>2</v>
      </c>
      <c r="N1703">
        <v>0</v>
      </c>
      <c r="O1703">
        <v>1</v>
      </c>
      <c r="P1703">
        <v>0</v>
      </c>
      <c r="Q1703">
        <v>2</v>
      </c>
      <c r="R1703">
        <v>0</v>
      </c>
      <c r="S1703">
        <v>0</v>
      </c>
      <c r="T1703">
        <v>0</v>
      </c>
      <c r="U1703">
        <v>0</v>
      </c>
      <c r="V1703">
        <v>0</v>
      </c>
      <c r="W1703">
        <v>0</v>
      </c>
      <c r="X1703">
        <v>0</v>
      </c>
      <c r="Y1703">
        <v>0</v>
      </c>
      <c r="Z1703">
        <v>0</v>
      </c>
      <c r="AA1703">
        <v>0</v>
      </c>
      <c r="AB1703">
        <v>0</v>
      </c>
      <c r="AC1703">
        <v>0</v>
      </c>
      <c r="AD1703">
        <v>0</v>
      </c>
      <c r="AE1703">
        <v>0</v>
      </c>
      <c r="AF1703">
        <v>0</v>
      </c>
      <c r="AG1703">
        <v>0</v>
      </c>
      <c r="AH1703">
        <v>0</v>
      </c>
      <c r="AI1703">
        <v>0</v>
      </c>
      <c r="AJ1703">
        <v>0</v>
      </c>
      <c r="AK1703">
        <v>0</v>
      </c>
      <c r="AL1703">
        <v>8</v>
      </c>
      <c r="AM1703">
        <v>1</v>
      </c>
      <c r="AN1703">
        <v>21.813875419619336</v>
      </c>
    </row>
    <row r="1704" spans="1:40" x14ac:dyDescent="0.3">
      <c r="A1704" t="s">
        <v>517</v>
      </c>
      <c r="B1704" t="s">
        <v>9</v>
      </c>
      <c r="C1704" t="s">
        <v>16</v>
      </c>
      <c r="D1704" t="s">
        <v>14</v>
      </c>
      <c r="E1704">
        <v>202602</v>
      </c>
      <c r="F1704" t="s">
        <v>12</v>
      </c>
      <c r="G1704">
        <v>0</v>
      </c>
      <c r="H1704">
        <v>0</v>
      </c>
      <c r="I1704">
        <v>0</v>
      </c>
      <c r="J1704">
        <v>0</v>
      </c>
      <c r="K1704">
        <v>1</v>
      </c>
      <c r="L1704">
        <v>0</v>
      </c>
      <c r="M1704">
        <v>0</v>
      </c>
      <c r="N1704">
        <v>0</v>
      </c>
      <c r="O1704">
        <v>0</v>
      </c>
      <c r="P1704">
        <v>0</v>
      </c>
      <c r="Q1704">
        <v>0</v>
      </c>
      <c r="R1704">
        <v>0</v>
      </c>
      <c r="S1704">
        <v>0</v>
      </c>
      <c r="T1704">
        <v>0</v>
      </c>
      <c r="U1704">
        <v>0</v>
      </c>
      <c r="V1704">
        <v>0</v>
      </c>
      <c r="W1704">
        <v>0</v>
      </c>
      <c r="X1704">
        <v>0</v>
      </c>
      <c r="Y1704">
        <v>0</v>
      </c>
      <c r="Z1704">
        <v>0</v>
      </c>
      <c r="AA1704">
        <v>0</v>
      </c>
      <c r="AB1704">
        <v>0</v>
      </c>
      <c r="AC1704">
        <v>0</v>
      </c>
      <c r="AD1704">
        <v>0</v>
      </c>
      <c r="AE1704">
        <v>0</v>
      </c>
      <c r="AF1704">
        <v>0</v>
      </c>
      <c r="AG1704">
        <v>0</v>
      </c>
      <c r="AH1704">
        <v>0</v>
      </c>
      <c r="AI1704">
        <v>0</v>
      </c>
      <c r="AJ1704">
        <v>0</v>
      </c>
      <c r="AK1704">
        <v>0</v>
      </c>
      <c r="AL1704">
        <v>1</v>
      </c>
      <c r="AM1704">
        <v>0</v>
      </c>
      <c r="AN1704">
        <v>1</v>
      </c>
    </row>
    <row r="1705" spans="1:40" x14ac:dyDescent="0.3">
      <c r="A1705" t="s">
        <v>517</v>
      </c>
      <c r="B1705" t="s">
        <v>9</v>
      </c>
      <c r="C1705" t="s">
        <v>16</v>
      </c>
      <c r="D1705" t="s">
        <v>14</v>
      </c>
      <c r="E1705">
        <v>202602</v>
      </c>
      <c r="F1705" t="s">
        <v>15</v>
      </c>
      <c r="G1705">
        <v>0</v>
      </c>
      <c r="H1705">
        <v>1</v>
      </c>
      <c r="I1705">
        <v>0</v>
      </c>
      <c r="J1705">
        <v>2</v>
      </c>
      <c r="K1705">
        <v>1</v>
      </c>
      <c r="L1705">
        <v>1</v>
      </c>
      <c r="M1705">
        <v>2</v>
      </c>
      <c r="N1705">
        <v>0</v>
      </c>
      <c r="O1705">
        <v>1</v>
      </c>
      <c r="P1705">
        <v>1</v>
      </c>
      <c r="Q1705">
        <v>2</v>
      </c>
      <c r="R1705">
        <v>0</v>
      </c>
      <c r="S1705">
        <v>0</v>
      </c>
      <c r="T1705">
        <v>0</v>
      </c>
      <c r="U1705">
        <v>0</v>
      </c>
      <c r="V1705">
        <v>0</v>
      </c>
      <c r="W1705">
        <v>0</v>
      </c>
      <c r="X1705">
        <v>0</v>
      </c>
      <c r="Y1705">
        <v>0</v>
      </c>
      <c r="Z1705">
        <v>0</v>
      </c>
      <c r="AA1705">
        <v>0</v>
      </c>
      <c r="AB1705">
        <v>0</v>
      </c>
      <c r="AC1705">
        <v>0</v>
      </c>
      <c r="AD1705">
        <v>0</v>
      </c>
      <c r="AE1705">
        <v>0</v>
      </c>
      <c r="AF1705">
        <v>0</v>
      </c>
      <c r="AG1705">
        <v>0</v>
      </c>
      <c r="AH1705">
        <v>0</v>
      </c>
      <c r="AI1705">
        <v>0</v>
      </c>
      <c r="AJ1705">
        <v>0</v>
      </c>
      <c r="AK1705">
        <v>0</v>
      </c>
      <c r="AL1705">
        <v>11</v>
      </c>
      <c r="AM1705">
        <v>1.3333333333333333</v>
      </c>
      <c r="AN1705">
        <v>27.166964285714453</v>
      </c>
    </row>
    <row r="1706" spans="1:40" x14ac:dyDescent="0.3">
      <c r="A1706" t="s">
        <v>517</v>
      </c>
      <c r="B1706" t="s">
        <v>17</v>
      </c>
      <c r="C1706" t="s">
        <v>10</v>
      </c>
      <c r="D1706" t="s">
        <v>11</v>
      </c>
      <c r="E1706">
        <v>202602</v>
      </c>
      <c r="F1706" t="s">
        <v>518</v>
      </c>
      <c r="G1706">
        <v>0</v>
      </c>
      <c r="H1706">
        <v>0</v>
      </c>
      <c r="I1706">
        <v>0</v>
      </c>
      <c r="J1706">
        <v>1</v>
      </c>
      <c r="K1706">
        <v>0</v>
      </c>
      <c r="L1706">
        <v>0</v>
      </c>
      <c r="M1706">
        <v>0</v>
      </c>
      <c r="N1706">
        <v>0</v>
      </c>
      <c r="O1706">
        <v>0</v>
      </c>
      <c r="P1706">
        <v>0</v>
      </c>
      <c r="Q1706">
        <v>0</v>
      </c>
      <c r="R1706">
        <v>0</v>
      </c>
      <c r="S1706">
        <v>0</v>
      </c>
      <c r="T1706">
        <v>0</v>
      </c>
      <c r="U1706">
        <v>0</v>
      </c>
      <c r="V1706">
        <v>0</v>
      </c>
      <c r="W1706">
        <v>0</v>
      </c>
      <c r="X1706">
        <v>0</v>
      </c>
      <c r="Y1706">
        <v>0</v>
      </c>
      <c r="Z1706">
        <v>0</v>
      </c>
      <c r="AA1706">
        <v>0</v>
      </c>
      <c r="AB1706">
        <v>0</v>
      </c>
      <c r="AC1706">
        <v>0</v>
      </c>
      <c r="AD1706">
        <v>0</v>
      </c>
      <c r="AE1706">
        <v>0</v>
      </c>
      <c r="AF1706">
        <v>0</v>
      </c>
      <c r="AG1706">
        <v>0</v>
      </c>
      <c r="AH1706">
        <v>0</v>
      </c>
      <c r="AI1706">
        <v>0</v>
      </c>
      <c r="AJ1706">
        <v>0</v>
      </c>
      <c r="AK1706">
        <v>0</v>
      </c>
      <c r="AL1706">
        <v>1</v>
      </c>
      <c r="AM1706">
        <v>0</v>
      </c>
      <c r="AN1706">
        <v>1</v>
      </c>
    </row>
    <row r="1707" spans="1:40" x14ac:dyDescent="0.3">
      <c r="A1707" t="s">
        <v>517</v>
      </c>
      <c r="B1707" t="s">
        <v>17</v>
      </c>
      <c r="C1707" t="s">
        <v>10</v>
      </c>
      <c r="D1707" t="s">
        <v>11</v>
      </c>
      <c r="E1707">
        <v>202602</v>
      </c>
      <c r="F1707" t="s">
        <v>18</v>
      </c>
      <c r="G1707">
        <v>0</v>
      </c>
      <c r="H1707">
        <v>1</v>
      </c>
      <c r="I1707">
        <v>3</v>
      </c>
      <c r="J1707">
        <v>1</v>
      </c>
      <c r="K1707">
        <v>2</v>
      </c>
      <c r="L1707">
        <v>0</v>
      </c>
      <c r="M1707">
        <v>1</v>
      </c>
      <c r="N1707">
        <v>0</v>
      </c>
      <c r="O1707">
        <v>1</v>
      </c>
      <c r="P1707">
        <v>3</v>
      </c>
      <c r="Q1707">
        <v>0</v>
      </c>
      <c r="R1707">
        <v>0</v>
      </c>
      <c r="S1707">
        <v>0</v>
      </c>
      <c r="T1707">
        <v>0</v>
      </c>
      <c r="U1707">
        <v>0</v>
      </c>
      <c r="V1707">
        <v>0</v>
      </c>
      <c r="W1707">
        <v>0</v>
      </c>
      <c r="X1707">
        <v>0</v>
      </c>
      <c r="Y1707">
        <v>0</v>
      </c>
      <c r="Z1707">
        <v>0</v>
      </c>
      <c r="AA1707">
        <v>0</v>
      </c>
      <c r="AB1707">
        <v>0</v>
      </c>
      <c r="AC1707">
        <v>0</v>
      </c>
      <c r="AD1707">
        <v>0</v>
      </c>
      <c r="AE1707">
        <v>0</v>
      </c>
      <c r="AF1707">
        <v>0</v>
      </c>
      <c r="AG1707">
        <v>0</v>
      </c>
      <c r="AH1707">
        <v>0</v>
      </c>
      <c r="AI1707">
        <v>0</v>
      </c>
      <c r="AJ1707">
        <v>0</v>
      </c>
      <c r="AK1707">
        <v>0</v>
      </c>
      <c r="AL1707">
        <v>12</v>
      </c>
      <c r="AM1707">
        <v>1.3333333333333333</v>
      </c>
      <c r="AN1707">
        <v>30.418500559492447</v>
      </c>
    </row>
    <row r="1708" spans="1:40" x14ac:dyDescent="0.3">
      <c r="A1708" t="s">
        <v>517</v>
      </c>
      <c r="B1708" t="s">
        <v>17</v>
      </c>
      <c r="C1708" t="s">
        <v>10</v>
      </c>
      <c r="D1708" t="s">
        <v>11</v>
      </c>
      <c r="E1708">
        <v>202602</v>
      </c>
      <c r="F1708" t="s">
        <v>519</v>
      </c>
      <c r="G1708">
        <v>0</v>
      </c>
      <c r="H1708">
        <v>4</v>
      </c>
      <c r="I1708">
        <v>0</v>
      </c>
      <c r="J1708">
        <v>1</v>
      </c>
      <c r="K1708">
        <v>6</v>
      </c>
      <c r="L1708">
        <v>0</v>
      </c>
      <c r="M1708">
        <v>0</v>
      </c>
      <c r="N1708">
        <v>1</v>
      </c>
      <c r="O1708">
        <v>0</v>
      </c>
      <c r="P1708">
        <v>3</v>
      </c>
      <c r="Q1708">
        <v>0</v>
      </c>
      <c r="R1708">
        <v>0</v>
      </c>
      <c r="S1708">
        <v>0</v>
      </c>
      <c r="T1708">
        <v>0</v>
      </c>
      <c r="U1708">
        <v>0</v>
      </c>
      <c r="V1708">
        <v>0</v>
      </c>
      <c r="W1708">
        <v>0</v>
      </c>
      <c r="X1708">
        <v>0</v>
      </c>
      <c r="Y1708">
        <v>0</v>
      </c>
      <c r="Z1708">
        <v>0</v>
      </c>
      <c r="AA1708">
        <v>0</v>
      </c>
      <c r="AB1708">
        <v>0</v>
      </c>
      <c r="AC1708">
        <v>0</v>
      </c>
      <c r="AD1708">
        <v>0</v>
      </c>
      <c r="AE1708">
        <v>0</v>
      </c>
      <c r="AF1708">
        <v>0</v>
      </c>
      <c r="AG1708">
        <v>0</v>
      </c>
      <c r="AH1708">
        <v>0</v>
      </c>
      <c r="AI1708">
        <v>0</v>
      </c>
      <c r="AJ1708">
        <v>0</v>
      </c>
      <c r="AK1708">
        <v>0</v>
      </c>
      <c r="AL1708">
        <v>15</v>
      </c>
      <c r="AM1708">
        <v>1</v>
      </c>
      <c r="AN1708">
        <v>28.813875419619336</v>
      </c>
    </row>
    <row r="1709" spans="1:40" x14ac:dyDescent="0.3">
      <c r="A1709" t="s">
        <v>517</v>
      </c>
      <c r="B1709" t="s">
        <v>17</v>
      </c>
      <c r="C1709" t="s">
        <v>10</v>
      </c>
      <c r="D1709" t="s">
        <v>11</v>
      </c>
      <c r="E1709">
        <v>202602</v>
      </c>
      <c r="F1709" t="s">
        <v>520</v>
      </c>
      <c r="G1709">
        <v>0</v>
      </c>
      <c r="H1709">
        <v>0</v>
      </c>
      <c r="I1709">
        <v>0</v>
      </c>
      <c r="J1709">
        <v>0</v>
      </c>
      <c r="K1709">
        <v>0</v>
      </c>
      <c r="L1709">
        <v>0</v>
      </c>
      <c r="M1709">
        <v>0</v>
      </c>
      <c r="N1709">
        <v>0</v>
      </c>
      <c r="O1709">
        <v>1</v>
      </c>
      <c r="P1709">
        <v>0</v>
      </c>
      <c r="Q1709">
        <v>0</v>
      </c>
      <c r="R1709">
        <v>0</v>
      </c>
      <c r="S1709">
        <v>0</v>
      </c>
      <c r="T1709">
        <v>0</v>
      </c>
      <c r="U1709">
        <v>0</v>
      </c>
      <c r="V1709">
        <v>0</v>
      </c>
      <c r="W1709">
        <v>0</v>
      </c>
      <c r="X1709">
        <v>0</v>
      </c>
      <c r="Y1709">
        <v>0</v>
      </c>
      <c r="Z1709">
        <v>0</v>
      </c>
      <c r="AA1709">
        <v>0</v>
      </c>
      <c r="AB1709">
        <v>0</v>
      </c>
      <c r="AC1709">
        <v>0</v>
      </c>
      <c r="AD1709">
        <v>0</v>
      </c>
      <c r="AE1709">
        <v>0</v>
      </c>
      <c r="AF1709">
        <v>0</v>
      </c>
      <c r="AG1709">
        <v>0</v>
      </c>
      <c r="AH1709">
        <v>0</v>
      </c>
      <c r="AI1709">
        <v>0</v>
      </c>
      <c r="AJ1709">
        <v>0</v>
      </c>
      <c r="AK1709">
        <v>0</v>
      </c>
      <c r="AL1709">
        <v>1</v>
      </c>
      <c r="AM1709">
        <v>0.33333333333333331</v>
      </c>
      <c r="AN1709">
        <v>5.6046251398731117</v>
      </c>
    </row>
    <row r="1710" spans="1:40" x14ac:dyDescent="0.3">
      <c r="A1710" t="s">
        <v>517</v>
      </c>
      <c r="B1710" t="s">
        <v>17</v>
      </c>
      <c r="C1710" t="s">
        <v>10</v>
      </c>
      <c r="D1710" t="s">
        <v>11</v>
      </c>
      <c r="E1710">
        <v>202602</v>
      </c>
      <c r="F1710" t="s">
        <v>28</v>
      </c>
      <c r="G1710">
        <v>0</v>
      </c>
      <c r="H1710">
        <v>0</v>
      </c>
      <c r="I1710">
        <v>0</v>
      </c>
      <c r="J1710">
        <v>0</v>
      </c>
      <c r="K1710">
        <v>0</v>
      </c>
      <c r="L1710">
        <v>0</v>
      </c>
      <c r="M1710">
        <v>0</v>
      </c>
      <c r="N1710">
        <v>1</v>
      </c>
      <c r="O1710">
        <v>1</v>
      </c>
      <c r="P1710">
        <v>0</v>
      </c>
      <c r="Q1710">
        <v>2</v>
      </c>
      <c r="R1710">
        <v>0</v>
      </c>
      <c r="S1710">
        <v>0</v>
      </c>
      <c r="T1710">
        <v>0</v>
      </c>
      <c r="U1710">
        <v>0</v>
      </c>
      <c r="V1710">
        <v>0</v>
      </c>
      <c r="W1710">
        <v>0</v>
      </c>
      <c r="X1710">
        <v>0</v>
      </c>
      <c r="Y1710">
        <v>0</v>
      </c>
      <c r="Z1710">
        <v>0</v>
      </c>
      <c r="AA1710">
        <v>0</v>
      </c>
      <c r="AB1710">
        <v>0</v>
      </c>
      <c r="AC1710">
        <v>0</v>
      </c>
      <c r="AD1710">
        <v>0</v>
      </c>
      <c r="AE1710">
        <v>0</v>
      </c>
      <c r="AF1710">
        <v>0</v>
      </c>
      <c r="AG1710">
        <v>0</v>
      </c>
      <c r="AH1710">
        <v>0</v>
      </c>
      <c r="AI1710">
        <v>0</v>
      </c>
      <c r="AJ1710">
        <v>0</v>
      </c>
      <c r="AK1710">
        <v>0</v>
      </c>
      <c r="AL1710">
        <v>4</v>
      </c>
      <c r="AM1710">
        <v>1</v>
      </c>
      <c r="AN1710">
        <v>17.813875419619336</v>
      </c>
    </row>
    <row r="1711" spans="1:40" x14ac:dyDescent="0.3">
      <c r="A1711" t="s">
        <v>517</v>
      </c>
      <c r="B1711" t="s">
        <v>17</v>
      </c>
      <c r="C1711" t="s">
        <v>10</v>
      </c>
      <c r="D1711" t="s">
        <v>11</v>
      </c>
      <c r="E1711">
        <v>202602</v>
      </c>
      <c r="F1711" t="s">
        <v>521</v>
      </c>
      <c r="G1711">
        <v>0</v>
      </c>
      <c r="H1711">
        <v>0</v>
      </c>
      <c r="I1711">
        <v>0</v>
      </c>
      <c r="J1711">
        <v>0</v>
      </c>
      <c r="K1711">
        <v>0</v>
      </c>
      <c r="L1711">
        <v>1</v>
      </c>
      <c r="M1711">
        <v>0</v>
      </c>
      <c r="N1711">
        <v>0</v>
      </c>
      <c r="O1711">
        <v>0</v>
      </c>
      <c r="P1711">
        <v>0</v>
      </c>
      <c r="Q1711">
        <v>0</v>
      </c>
      <c r="R1711">
        <v>0</v>
      </c>
      <c r="S1711">
        <v>0</v>
      </c>
      <c r="T1711">
        <v>0</v>
      </c>
      <c r="U1711">
        <v>0</v>
      </c>
      <c r="V1711">
        <v>0</v>
      </c>
      <c r="W1711">
        <v>0</v>
      </c>
      <c r="X1711">
        <v>0</v>
      </c>
      <c r="Y1711">
        <v>0</v>
      </c>
      <c r="Z1711">
        <v>0</v>
      </c>
      <c r="AA1711">
        <v>0</v>
      </c>
      <c r="AB1711">
        <v>0</v>
      </c>
      <c r="AC1711">
        <v>0</v>
      </c>
      <c r="AD1711">
        <v>0</v>
      </c>
      <c r="AE1711">
        <v>0</v>
      </c>
      <c r="AF1711">
        <v>0</v>
      </c>
      <c r="AG1711">
        <v>0</v>
      </c>
      <c r="AH1711">
        <v>0</v>
      </c>
      <c r="AI1711">
        <v>0</v>
      </c>
      <c r="AJ1711">
        <v>0</v>
      </c>
      <c r="AK1711">
        <v>0</v>
      </c>
      <c r="AL1711">
        <v>1</v>
      </c>
      <c r="AM1711">
        <v>0</v>
      </c>
      <c r="AN1711">
        <v>1</v>
      </c>
    </row>
    <row r="1712" spans="1:40" x14ac:dyDescent="0.3">
      <c r="A1712" t="s">
        <v>517</v>
      </c>
      <c r="B1712" t="s">
        <v>17</v>
      </c>
      <c r="C1712" t="s">
        <v>10</v>
      </c>
      <c r="D1712" t="s">
        <v>11</v>
      </c>
      <c r="E1712">
        <v>202602</v>
      </c>
      <c r="F1712" t="s">
        <v>522</v>
      </c>
      <c r="G1712">
        <v>0</v>
      </c>
      <c r="H1712">
        <v>0</v>
      </c>
      <c r="I1712">
        <v>0</v>
      </c>
      <c r="J1712">
        <v>0</v>
      </c>
      <c r="K1712">
        <v>0</v>
      </c>
      <c r="L1712">
        <v>0</v>
      </c>
      <c r="M1712">
        <v>0</v>
      </c>
      <c r="N1712">
        <v>1</v>
      </c>
      <c r="O1712">
        <v>0</v>
      </c>
      <c r="P1712">
        <v>0</v>
      </c>
      <c r="Q1712">
        <v>0</v>
      </c>
      <c r="R1712">
        <v>0</v>
      </c>
      <c r="S1712">
        <v>0</v>
      </c>
      <c r="T1712">
        <v>0</v>
      </c>
      <c r="U1712">
        <v>0</v>
      </c>
      <c r="V1712">
        <v>0</v>
      </c>
      <c r="W1712">
        <v>0</v>
      </c>
      <c r="X1712">
        <v>0</v>
      </c>
      <c r="Y1712">
        <v>0</v>
      </c>
      <c r="Z1712">
        <v>0</v>
      </c>
      <c r="AA1712">
        <v>0</v>
      </c>
      <c r="AB1712">
        <v>0</v>
      </c>
      <c r="AC1712">
        <v>0</v>
      </c>
      <c r="AD1712">
        <v>0</v>
      </c>
      <c r="AE1712">
        <v>0</v>
      </c>
      <c r="AF1712">
        <v>0</v>
      </c>
      <c r="AG1712">
        <v>0</v>
      </c>
      <c r="AH1712">
        <v>0</v>
      </c>
      <c r="AI1712">
        <v>0</v>
      </c>
      <c r="AJ1712">
        <v>0</v>
      </c>
      <c r="AK1712">
        <v>0</v>
      </c>
      <c r="AL1712">
        <v>1</v>
      </c>
      <c r="AM1712">
        <v>0</v>
      </c>
      <c r="AN1712">
        <v>1</v>
      </c>
    </row>
    <row r="1713" spans="1:40" x14ac:dyDescent="0.3">
      <c r="A1713" t="s">
        <v>517</v>
      </c>
      <c r="B1713" t="s">
        <v>17</v>
      </c>
      <c r="C1713" t="s">
        <v>10</v>
      </c>
      <c r="D1713" t="s">
        <v>11</v>
      </c>
      <c r="E1713">
        <v>202602</v>
      </c>
      <c r="F1713" t="s">
        <v>523</v>
      </c>
      <c r="G1713">
        <v>0</v>
      </c>
      <c r="H1713">
        <v>0</v>
      </c>
      <c r="I1713">
        <v>1</v>
      </c>
      <c r="J1713">
        <v>0</v>
      </c>
      <c r="K1713">
        <v>0</v>
      </c>
      <c r="L1713">
        <v>0</v>
      </c>
      <c r="M1713">
        <v>0</v>
      </c>
      <c r="N1713">
        <v>0</v>
      </c>
      <c r="O1713">
        <v>0</v>
      </c>
      <c r="P1713">
        <v>0</v>
      </c>
      <c r="Q1713">
        <v>0</v>
      </c>
      <c r="R1713">
        <v>0</v>
      </c>
      <c r="S1713">
        <v>0</v>
      </c>
      <c r="T1713">
        <v>0</v>
      </c>
      <c r="U1713">
        <v>0</v>
      </c>
      <c r="V1713">
        <v>0</v>
      </c>
      <c r="W1713">
        <v>0</v>
      </c>
      <c r="X1713">
        <v>0</v>
      </c>
      <c r="Y1713">
        <v>0</v>
      </c>
      <c r="Z1713">
        <v>0</v>
      </c>
      <c r="AA1713">
        <v>0</v>
      </c>
      <c r="AB1713">
        <v>0</v>
      </c>
      <c r="AC1713">
        <v>0</v>
      </c>
      <c r="AD1713">
        <v>0</v>
      </c>
      <c r="AE1713">
        <v>0</v>
      </c>
      <c r="AF1713">
        <v>0</v>
      </c>
      <c r="AG1713">
        <v>0</v>
      </c>
      <c r="AH1713">
        <v>0</v>
      </c>
      <c r="AI1713">
        <v>0</v>
      </c>
      <c r="AJ1713">
        <v>0</v>
      </c>
      <c r="AK1713">
        <v>0</v>
      </c>
      <c r="AL1713">
        <v>1</v>
      </c>
      <c r="AM1713">
        <v>0</v>
      </c>
      <c r="AN1713">
        <v>1</v>
      </c>
    </row>
    <row r="1714" spans="1:40" x14ac:dyDescent="0.3">
      <c r="A1714" t="s">
        <v>517</v>
      </c>
      <c r="B1714" t="s">
        <v>17</v>
      </c>
      <c r="C1714" t="s">
        <v>10</v>
      </c>
      <c r="D1714" t="s">
        <v>11</v>
      </c>
      <c r="E1714">
        <v>202602</v>
      </c>
      <c r="F1714" t="s">
        <v>524</v>
      </c>
      <c r="G1714">
        <v>0</v>
      </c>
      <c r="H1714">
        <v>0</v>
      </c>
      <c r="I1714">
        <v>0</v>
      </c>
      <c r="J1714">
        <v>0</v>
      </c>
      <c r="K1714">
        <v>0</v>
      </c>
      <c r="L1714">
        <v>0</v>
      </c>
      <c r="M1714">
        <v>0</v>
      </c>
      <c r="N1714">
        <v>0</v>
      </c>
      <c r="O1714">
        <v>0</v>
      </c>
      <c r="P1714">
        <v>1</v>
      </c>
      <c r="Q1714">
        <v>0</v>
      </c>
      <c r="R1714">
        <v>0</v>
      </c>
      <c r="S1714">
        <v>0</v>
      </c>
      <c r="T1714">
        <v>0</v>
      </c>
      <c r="U1714">
        <v>0</v>
      </c>
      <c r="V1714">
        <v>0</v>
      </c>
      <c r="W1714">
        <v>0</v>
      </c>
      <c r="X1714">
        <v>0</v>
      </c>
      <c r="Y1714">
        <v>0</v>
      </c>
      <c r="Z1714">
        <v>0</v>
      </c>
      <c r="AA1714">
        <v>0</v>
      </c>
      <c r="AB1714">
        <v>0</v>
      </c>
      <c r="AC1714">
        <v>0</v>
      </c>
      <c r="AD1714">
        <v>0</v>
      </c>
      <c r="AE1714">
        <v>0</v>
      </c>
      <c r="AF1714">
        <v>0</v>
      </c>
      <c r="AG1714">
        <v>0</v>
      </c>
      <c r="AH1714">
        <v>0</v>
      </c>
      <c r="AI1714">
        <v>0</v>
      </c>
      <c r="AJ1714">
        <v>0</v>
      </c>
      <c r="AK1714">
        <v>0</v>
      </c>
      <c r="AL1714">
        <v>1</v>
      </c>
      <c r="AM1714">
        <v>0.33333333333333331</v>
      </c>
      <c r="AN1714">
        <v>5.6046251398731117</v>
      </c>
    </row>
    <row r="1715" spans="1:40" x14ac:dyDescent="0.3">
      <c r="A1715" t="s">
        <v>517</v>
      </c>
      <c r="B1715" t="s">
        <v>17</v>
      </c>
      <c r="C1715" t="s">
        <v>10</v>
      </c>
      <c r="D1715" t="s">
        <v>11</v>
      </c>
      <c r="E1715">
        <v>202602</v>
      </c>
      <c r="F1715" t="s">
        <v>525</v>
      </c>
      <c r="G1715">
        <v>0</v>
      </c>
      <c r="H1715">
        <v>0</v>
      </c>
      <c r="I1715">
        <v>0</v>
      </c>
      <c r="J1715">
        <v>0</v>
      </c>
      <c r="K1715">
        <v>1</v>
      </c>
      <c r="L1715">
        <v>1</v>
      </c>
      <c r="M1715">
        <v>0</v>
      </c>
      <c r="N1715">
        <v>1</v>
      </c>
      <c r="O1715">
        <v>1</v>
      </c>
      <c r="P1715">
        <v>1</v>
      </c>
      <c r="Q1715">
        <v>0</v>
      </c>
      <c r="R1715">
        <v>0</v>
      </c>
      <c r="S1715">
        <v>0</v>
      </c>
      <c r="T1715">
        <v>0</v>
      </c>
      <c r="U1715">
        <v>0</v>
      </c>
      <c r="V1715">
        <v>0</v>
      </c>
      <c r="W1715">
        <v>0</v>
      </c>
      <c r="X1715">
        <v>0</v>
      </c>
      <c r="Y1715">
        <v>0</v>
      </c>
      <c r="Z1715">
        <v>0</v>
      </c>
      <c r="AA1715">
        <v>0</v>
      </c>
      <c r="AB1715">
        <v>0</v>
      </c>
      <c r="AC1715">
        <v>0</v>
      </c>
      <c r="AD1715">
        <v>0</v>
      </c>
      <c r="AE1715">
        <v>0</v>
      </c>
      <c r="AF1715">
        <v>0</v>
      </c>
      <c r="AG1715">
        <v>0</v>
      </c>
      <c r="AH1715">
        <v>0</v>
      </c>
      <c r="AI1715">
        <v>0</v>
      </c>
      <c r="AJ1715">
        <v>0</v>
      </c>
      <c r="AK1715">
        <v>0</v>
      </c>
      <c r="AL1715">
        <v>5</v>
      </c>
      <c r="AM1715">
        <v>0.66666666666666663</v>
      </c>
      <c r="AN1715">
        <v>14.209250279746223</v>
      </c>
    </row>
    <row r="1716" spans="1:40" x14ac:dyDescent="0.3">
      <c r="A1716" t="s">
        <v>517</v>
      </c>
      <c r="B1716" t="s">
        <v>17</v>
      </c>
      <c r="C1716" t="s">
        <v>10</v>
      </c>
      <c r="D1716" t="s">
        <v>11</v>
      </c>
      <c r="E1716">
        <v>202602</v>
      </c>
      <c r="F1716" t="s">
        <v>526</v>
      </c>
      <c r="G1716">
        <v>0</v>
      </c>
      <c r="H1716">
        <v>1</v>
      </c>
      <c r="I1716">
        <v>0</v>
      </c>
      <c r="J1716">
        <v>0</v>
      </c>
      <c r="K1716">
        <v>0</v>
      </c>
      <c r="L1716">
        <v>0</v>
      </c>
      <c r="M1716">
        <v>0</v>
      </c>
      <c r="N1716">
        <v>0</v>
      </c>
      <c r="O1716">
        <v>0</v>
      </c>
      <c r="P1716">
        <v>0</v>
      </c>
      <c r="Q1716">
        <v>0</v>
      </c>
      <c r="R1716">
        <v>0</v>
      </c>
      <c r="S1716">
        <v>0</v>
      </c>
      <c r="T1716">
        <v>0</v>
      </c>
      <c r="U1716">
        <v>0</v>
      </c>
      <c r="V1716">
        <v>0</v>
      </c>
      <c r="W1716">
        <v>0</v>
      </c>
      <c r="X1716">
        <v>0</v>
      </c>
      <c r="Y1716">
        <v>0</v>
      </c>
      <c r="Z1716">
        <v>0</v>
      </c>
      <c r="AA1716">
        <v>0</v>
      </c>
      <c r="AB1716">
        <v>0</v>
      </c>
      <c r="AC1716">
        <v>0</v>
      </c>
      <c r="AD1716">
        <v>0</v>
      </c>
      <c r="AE1716">
        <v>0</v>
      </c>
      <c r="AF1716">
        <v>0</v>
      </c>
      <c r="AG1716">
        <v>0</v>
      </c>
      <c r="AH1716">
        <v>0</v>
      </c>
      <c r="AI1716">
        <v>0</v>
      </c>
      <c r="AJ1716">
        <v>0</v>
      </c>
      <c r="AK1716">
        <v>0</v>
      </c>
      <c r="AL1716">
        <v>1</v>
      </c>
      <c r="AM1716">
        <v>0</v>
      </c>
      <c r="AN1716">
        <v>1</v>
      </c>
    </row>
    <row r="1717" spans="1:40" x14ac:dyDescent="0.3">
      <c r="A1717" t="s">
        <v>517</v>
      </c>
      <c r="B1717" t="s">
        <v>17</v>
      </c>
      <c r="C1717" t="s">
        <v>10</v>
      </c>
      <c r="D1717" t="s">
        <v>11</v>
      </c>
      <c r="E1717">
        <v>202602</v>
      </c>
      <c r="F1717" t="s">
        <v>527</v>
      </c>
      <c r="G1717">
        <v>0</v>
      </c>
      <c r="H1717">
        <v>0</v>
      </c>
      <c r="I1717">
        <v>2</v>
      </c>
      <c r="J1717">
        <v>0</v>
      </c>
      <c r="K1717">
        <v>1</v>
      </c>
      <c r="L1717">
        <v>0</v>
      </c>
      <c r="M1717">
        <v>0</v>
      </c>
      <c r="N1717">
        <v>0</v>
      </c>
      <c r="O1717">
        <v>0</v>
      </c>
      <c r="P1717">
        <v>0</v>
      </c>
      <c r="Q1717">
        <v>1</v>
      </c>
      <c r="R1717">
        <v>0</v>
      </c>
      <c r="S1717">
        <v>0</v>
      </c>
      <c r="T1717">
        <v>0</v>
      </c>
      <c r="U1717">
        <v>0</v>
      </c>
      <c r="V1717">
        <v>0</v>
      </c>
      <c r="W1717">
        <v>0</v>
      </c>
      <c r="X1717">
        <v>0</v>
      </c>
      <c r="Y1717">
        <v>0</v>
      </c>
      <c r="Z1717">
        <v>0</v>
      </c>
      <c r="AA1717">
        <v>0</v>
      </c>
      <c r="AB1717">
        <v>0</v>
      </c>
      <c r="AC1717">
        <v>0</v>
      </c>
      <c r="AD1717">
        <v>0</v>
      </c>
      <c r="AE1717">
        <v>0</v>
      </c>
      <c r="AF1717">
        <v>0</v>
      </c>
      <c r="AG1717">
        <v>0</v>
      </c>
      <c r="AH1717">
        <v>0</v>
      </c>
      <c r="AI1717">
        <v>0</v>
      </c>
      <c r="AJ1717">
        <v>0</v>
      </c>
      <c r="AK1717">
        <v>0</v>
      </c>
      <c r="AL1717">
        <v>4</v>
      </c>
      <c r="AM1717">
        <v>0.33333333333333331</v>
      </c>
      <c r="AN1717">
        <v>8.6046251398731108</v>
      </c>
    </row>
    <row r="1718" spans="1:40" x14ac:dyDescent="0.3">
      <c r="A1718" t="s">
        <v>517</v>
      </c>
      <c r="B1718" t="s">
        <v>17</v>
      </c>
      <c r="C1718" t="s">
        <v>10</v>
      </c>
      <c r="D1718" t="s">
        <v>11</v>
      </c>
      <c r="E1718">
        <v>202602</v>
      </c>
      <c r="F1718" t="s">
        <v>528</v>
      </c>
      <c r="G1718">
        <v>0</v>
      </c>
      <c r="H1718">
        <v>0</v>
      </c>
      <c r="I1718">
        <v>1</v>
      </c>
      <c r="J1718">
        <v>1</v>
      </c>
      <c r="K1718">
        <v>0</v>
      </c>
      <c r="L1718">
        <v>0</v>
      </c>
      <c r="M1718">
        <v>0</v>
      </c>
      <c r="N1718">
        <v>0</v>
      </c>
      <c r="O1718">
        <v>0</v>
      </c>
      <c r="P1718">
        <v>0</v>
      </c>
      <c r="Q1718">
        <v>0</v>
      </c>
      <c r="R1718">
        <v>0</v>
      </c>
      <c r="S1718">
        <v>0</v>
      </c>
      <c r="T1718">
        <v>0</v>
      </c>
      <c r="U1718">
        <v>0</v>
      </c>
      <c r="V1718">
        <v>0</v>
      </c>
      <c r="W1718">
        <v>0</v>
      </c>
      <c r="X1718">
        <v>0</v>
      </c>
      <c r="Y1718">
        <v>0</v>
      </c>
      <c r="Z1718">
        <v>0</v>
      </c>
      <c r="AA1718">
        <v>0</v>
      </c>
      <c r="AB1718">
        <v>0</v>
      </c>
      <c r="AC1718">
        <v>0</v>
      </c>
      <c r="AD1718">
        <v>0</v>
      </c>
      <c r="AE1718">
        <v>0</v>
      </c>
      <c r="AF1718">
        <v>0</v>
      </c>
      <c r="AG1718">
        <v>0</v>
      </c>
      <c r="AH1718">
        <v>0</v>
      </c>
      <c r="AI1718">
        <v>0</v>
      </c>
      <c r="AJ1718">
        <v>0</v>
      </c>
      <c r="AK1718">
        <v>0</v>
      </c>
      <c r="AL1718">
        <v>2</v>
      </c>
      <c r="AM1718">
        <v>0</v>
      </c>
      <c r="AN1718">
        <v>2</v>
      </c>
    </row>
    <row r="1719" spans="1:40" x14ac:dyDescent="0.3">
      <c r="A1719" t="s">
        <v>517</v>
      </c>
      <c r="B1719" t="s">
        <v>17</v>
      </c>
      <c r="C1719" t="s">
        <v>10</v>
      </c>
      <c r="D1719" t="s">
        <v>11</v>
      </c>
      <c r="E1719">
        <v>202602</v>
      </c>
      <c r="F1719" t="s">
        <v>529</v>
      </c>
      <c r="G1719">
        <v>0</v>
      </c>
      <c r="H1719">
        <v>1</v>
      </c>
      <c r="I1719">
        <v>0</v>
      </c>
      <c r="J1719">
        <v>0</v>
      </c>
      <c r="K1719">
        <v>0</v>
      </c>
      <c r="L1719">
        <v>0</v>
      </c>
      <c r="M1719">
        <v>0</v>
      </c>
      <c r="N1719">
        <v>0</v>
      </c>
      <c r="O1719">
        <v>0</v>
      </c>
      <c r="P1719">
        <v>0</v>
      </c>
      <c r="Q1719">
        <v>0</v>
      </c>
      <c r="R1719">
        <v>0</v>
      </c>
      <c r="S1719">
        <v>0</v>
      </c>
      <c r="T1719">
        <v>0</v>
      </c>
      <c r="U1719">
        <v>0</v>
      </c>
      <c r="V1719">
        <v>0</v>
      </c>
      <c r="W1719">
        <v>0</v>
      </c>
      <c r="X1719">
        <v>0</v>
      </c>
      <c r="Y1719">
        <v>0</v>
      </c>
      <c r="Z1719">
        <v>0</v>
      </c>
      <c r="AA1719">
        <v>0</v>
      </c>
      <c r="AB1719">
        <v>0</v>
      </c>
      <c r="AC1719">
        <v>0</v>
      </c>
      <c r="AD1719">
        <v>0</v>
      </c>
      <c r="AE1719">
        <v>0</v>
      </c>
      <c r="AF1719">
        <v>0</v>
      </c>
      <c r="AG1719">
        <v>0</v>
      </c>
      <c r="AH1719">
        <v>0</v>
      </c>
      <c r="AI1719">
        <v>0</v>
      </c>
      <c r="AJ1719">
        <v>0</v>
      </c>
      <c r="AK1719">
        <v>0</v>
      </c>
      <c r="AL1719">
        <v>1</v>
      </c>
      <c r="AM1719">
        <v>0</v>
      </c>
      <c r="AN1719">
        <v>1</v>
      </c>
    </row>
    <row r="1720" spans="1:40" x14ac:dyDescent="0.3">
      <c r="A1720" t="s">
        <v>517</v>
      </c>
      <c r="B1720" t="s">
        <v>17</v>
      </c>
      <c r="C1720" t="s">
        <v>10</v>
      </c>
      <c r="D1720" t="s">
        <v>11</v>
      </c>
      <c r="E1720">
        <v>202602</v>
      </c>
      <c r="F1720" t="s">
        <v>530</v>
      </c>
      <c r="G1720">
        <v>0</v>
      </c>
      <c r="H1720">
        <v>0</v>
      </c>
      <c r="I1720">
        <v>0</v>
      </c>
      <c r="J1720">
        <v>0</v>
      </c>
      <c r="K1720">
        <v>0</v>
      </c>
      <c r="L1720">
        <v>0</v>
      </c>
      <c r="M1720">
        <v>0</v>
      </c>
      <c r="N1720">
        <v>0</v>
      </c>
      <c r="O1720">
        <v>0</v>
      </c>
      <c r="P1720">
        <v>1</v>
      </c>
      <c r="Q1720">
        <v>0</v>
      </c>
      <c r="R1720">
        <v>0</v>
      </c>
      <c r="S1720">
        <v>0</v>
      </c>
      <c r="T1720">
        <v>0</v>
      </c>
      <c r="U1720">
        <v>0</v>
      </c>
      <c r="V1720">
        <v>0</v>
      </c>
      <c r="W1720">
        <v>0</v>
      </c>
      <c r="X1720">
        <v>0</v>
      </c>
      <c r="Y1720">
        <v>0</v>
      </c>
      <c r="Z1720">
        <v>0</v>
      </c>
      <c r="AA1720">
        <v>0</v>
      </c>
      <c r="AB1720">
        <v>0</v>
      </c>
      <c r="AC1720">
        <v>0</v>
      </c>
      <c r="AD1720">
        <v>0</v>
      </c>
      <c r="AE1720">
        <v>0</v>
      </c>
      <c r="AF1720">
        <v>0</v>
      </c>
      <c r="AG1720">
        <v>0</v>
      </c>
      <c r="AH1720">
        <v>0</v>
      </c>
      <c r="AI1720">
        <v>0</v>
      </c>
      <c r="AJ1720">
        <v>0</v>
      </c>
      <c r="AK1720">
        <v>0</v>
      </c>
      <c r="AL1720">
        <v>1</v>
      </c>
      <c r="AM1720">
        <v>0.33333333333333331</v>
      </c>
      <c r="AN1720">
        <v>5.6046251398731117</v>
      </c>
    </row>
    <row r="1721" spans="1:40" x14ac:dyDescent="0.3">
      <c r="A1721" t="s">
        <v>517</v>
      </c>
      <c r="B1721" t="s">
        <v>17</v>
      </c>
      <c r="C1721" t="s">
        <v>10</v>
      </c>
      <c r="D1721" t="s">
        <v>11</v>
      </c>
      <c r="E1721">
        <v>202602</v>
      </c>
      <c r="F1721" t="s">
        <v>531</v>
      </c>
      <c r="G1721">
        <v>0</v>
      </c>
      <c r="H1721">
        <v>0</v>
      </c>
      <c r="I1721">
        <v>0</v>
      </c>
      <c r="J1721">
        <v>0</v>
      </c>
      <c r="K1721">
        <v>0</v>
      </c>
      <c r="L1721">
        <v>1</v>
      </c>
      <c r="M1721">
        <v>0</v>
      </c>
      <c r="N1721">
        <v>0</v>
      </c>
      <c r="O1721">
        <v>0</v>
      </c>
      <c r="P1721">
        <v>0</v>
      </c>
      <c r="Q1721">
        <v>0</v>
      </c>
      <c r="R1721">
        <v>0</v>
      </c>
      <c r="S1721">
        <v>0</v>
      </c>
      <c r="T1721">
        <v>0</v>
      </c>
      <c r="U1721">
        <v>0</v>
      </c>
      <c r="V1721">
        <v>0</v>
      </c>
      <c r="W1721">
        <v>0</v>
      </c>
      <c r="X1721">
        <v>0</v>
      </c>
      <c r="Y1721">
        <v>0</v>
      </c>
      <c r="Z1721">
        <v>0</v>
      </c>
      <c r="AA1721">
        <v>0</v>
      </c>
      <c r="AB1721">
        <v>0</v>
      </c>
      <c r="AC1721">
        <v>0</v>
      </c>
      <c r="AD1721">
        <v>0</v>
      </c>
      <c r="AE1721">
        <v>0</v>
      </c>
      <c r="AF1721">
        <v>0</v>
      </c>
      <c r="AG1721">
        <v>0</v>
      </c>
      <c r="AH1721">
        <v>0</v>
      </c>
      <c r="AI1721">
        <v>0</v>
      </c>
      <c r="AJ1721">
        <v>0</v>
      </c>
      <c r="AK1721">
        <v>0</v>
      </c>
      <c r="AL1721">
        <v>1</v>
      </c>
      <c r="AM1721">
        <v>0</v>
      </c>
      <c r="AN1721">
        <v>1</v>
      </c>
    </row>
    <row r="1722" spans="1:40" x14ac:dyDescent="0.3">
      <c r="A1722" t="s">
        <v>517</v>
      </c>
      <c r="B1722" t="s">
        <v>17</v>
      </c>
      <c r="C1722" t="s">
        <v>10</v>
      </c>
      <c r="D1722" t="s">
        <v>11</v>
      </c>
      <c r="E1722">
        <v>202602</v>
      </c>
      <c r="F1722" t="s">
        <v>532</v>
      </c>
      <c r="G1722">
        <v>0</v>
      </c>
      <c r="H1722">
        <v>1</v>
      </c>
      <c r="I1722">
        <v>0</v>
      </c>
      <c r="J1722">
        <v>0</v>
      </c>
      <c r="K1722">
        <v>0</v>
      </c>
      <c r="L1722">
        <v>0</v>
      </c>
      <c r="M1722">
        <v>0</v>
      </c>
      <c r="N1722">
        <v>0</v>
      </c>
      <c r="O1722">
        <v>1</v>
      </c>
      <c r="P1722">
        <v>0</v>
      </c>
      <c r="Q1722">
        <v>1</v>
      </c>
      <c r="R1722">
        <v>0</v>
      </c>
      <c r="S1722">
        <v>0</v>
      </c>
      <c r="T1722">
        <v>0</v>
      </c>
      <c r="U1722">
        <v>0</v>
      </c>
      <c r="V1722">
        <v>0</v>
      </c>
      <c r="W1722">
        <v>0</v>
      </c>
      <c r="X1722">
        <v>0</v>
      </c>
      <c r="Y1722">
        <v>0</v>
      </c>
      <c r="Z1722">
        <v>0</v>
      </c>
      <c r="AA1722">
        <v>0</v>
      </c>
      <c r="AB1722">
        <v>0</v>
      </c>
      <c r="AC1722">
        <v>0</v>
      </c>
      <c r="AD1722">
        <v>0</v>
      </c>
      <c r="AE1722">
        <v>0</v>
      </c>
      <c r="AF1722">
        <v>0</v>
      </c>
      <c r="AG1722">
        <v>0</v>
      </c>
      <c r="AH1722">
        <v>0</v>
      </c>
      <c r="AI1722">
        <v>0</v>
      </c>
      <c r="AJ1722">
        <v>0</v>
      </c>
      <c r="AK1722">
        <v>0</v>
      </c>
      <c r="AL1722">
        <v>3</v>
      </c>
      <c r="AM1722">
        <v>0.66666666666666663</v>
      </c>
      <c r="AN1722">
        <v>12.209250279746223</v>
      </c>
    </row>
    <row r="1723" spans="1:40" x14ac:dyDescent="0.3">
      <c r="A1723" t="s">
        <v>517</v>
      </c>
      <c r="B1723" t="s">
        <v>17</v>
      </c>
      <c r="C1723" t="s">
        <v>10</v>
      </c>
      <c r="D1723" t="s">
        <v>11</v>
      </c>
      <c r="E1723">
        <v>202602</v>
      </c>
      <c r="F1723" t="s">
        <v>546</v>
      </c>
      <c r="G1723">
        <v>0</v>
      </c>
      <c r="H1723">
        <v>0</v>
      </c>
      <c r="I1723">
        <v>0</v>
      </c>
      <c r="J1723">
        <v>0</v>
      </c>
      <c r="K1723">
        <v>0</v>
      </c>
      <c r="L1723">
        <v>0</v>
      </c>
      <c r="M1723">
        <v>0</v>
      </c>
      <c r="N1723">
        <v>0</v>
      </c>
      <c r="O1723">
        <v>0</v>
      </c>
      <c r="P1723">
        <v>0</v>
      </c>
      <c r="Q1723">
        <v>2</v>
      </c>
      <c r="R1723">
        <v>0</v>
      </c>
      <c r="S1723">
        <v>0</v>
      </c>
      <c r="T1723">
        <v>0</v>
      </c>
      <c r="U1723">
        <v>0</v>
      </c>
      <c r="V1723">
        <v>0</v>
      </c>
      <c r="W1723">
        <v>0</v>
      </c>
      <c r="X1723">
        <v>0</v>
      </c>
      <c r="Y1723">
        <v>0</v>
      </c>
      <c r="Z1723">
        <v>0</v>
      </c>
      <c r="AA1723">
        <v>0</v>
      </c>
      <c r="AB1723">
        <v>0</v>
      </c>
      <c r="AC1723">
        <v>0</v>
      </c>
      <c r="AD1723">
        <v>0</v>
      </c>
      <c r="AE1723">
        <v>0</v>
      </c>
      <c r="AF1723">
        <v>0</v>
      </c>
      <c r="AG1723">
        <v>0</v>
      </c>
      <c r="AH1723">
        <v>0</v>
      </c>
      <c r="AI1723">
        <v>0</v>
      </c>
      <c r="AJ1723">
        <v>0</v>
      </c>
      <c r="AK1723">
        <v>0</v>
      </c>
      <c r="AL1723">
        <v>2</v>
      </c>
      <c r="AM1723">
        <v>0.66666666666666663</v>
      </c>
      <c r="AN1723">
        <v>11.209250279746223</v>
      </c>
    </row>
    <row r="1724" spans="1:40" x14ac:dyDescent="0.3">
      <c r="A1724" t="s">
        <v>517</v>
      </c>
      <c r="B1724" t="s">
        <v>17</v>
      </c>
      <c r="C1724" t="s">
        <v>10</v>
      </c>
      <c r="D1724" t="s">
        <v>11</v>
      </c>
      <c r="E1724">
        <v>202602</v>
      </c>
      <c r="F1724" t="s">
        <v>300</v>
      </c>
      <c r="G1724">
        <v>0</v>
      </c>
      <c r="H1724">
        <v>0</v>
      </c>
      <c r="I1724">
        <v>0</v>
      </c>
      <c r="J1724">
        <v>0</v>
      </c>
      <c r="K1724">
        <v>0</v>
      </c>
      <c r="L1724">
        <v>0</v>
      </c>
      <c r="M1724">
        <v>0</v>
      </c>
      <c r="N1724">
        <v>0</v>
      </c>
      <c r="O1724">
        <v>0</v>
      </c>
      <c r="P1724">
        <v>0</v>
      </c>
      <c r="Q1724">
        <v>1</v>
      </c>
      <c r="R1724">
        <v>0</v>
      </c>
      <c r="S1724">
        <v>0</v>
      </c>
      <c r="T1724">
        <v>0</v>
      </c>
      <c r="U1724">
        <v>0</v>
      </c>
      <c r="V1724">
        <v>0</v>
      </c>
      <c r="W1724">
        <v>0</v>
      </c>
      <c r="X1724">
        <v>0</v>
      </c>
      <c r="Y1724">
        <v>0</v>
      </c>
      <c r="Z1724">
        <v>0</v>
      </c>
      <c r="AA1724">
        <v>0</v>
      </c>
      <c r="AB1724">
        <v>0</v>
      </c>
      <c r="AC1724">
        <v>0</v>
      </c>
      <c r="AD1724">
        <v>0</v>
      </c>
      <c r="AE1724">
        <v>0</v>
      </c>
      <c r="AF1724">
        <v>0</v>
      </c>
      <c r="AG1724">
        <v>0</v>
      </c>
      <c r="AH1724">
        <v>0</v>
      </c>
      <c r="AI1724">
        <v>0</v>
      </c>
      <c r="AJ1724">
        <v>0</v>
      </c>
      <c r="AK1724">
        <v>0</v>
      </c>
      <c r="AL1724">
        <v>1</v>
      </c>
      <c r="AM1724">
        <v>0.33333333333333331</v>
      </c>
      <c r="AN1724">
        <v>5.6046251398731117</v>
      </c>
    </row>
    <row r="1725" spans="1:40" x14ac:dyDescent="0.3">
      <c r="A1725" t="s">
        <v>517</v>
      </c>
      <c r="B1725" t="s">
        <v>17</v>
      </c>
      <c r="C1725" t="s">
        <v>10</v>
      </c>
      <c r="D1725" t="s">
        <v>11</v>
      </c>
      <c r="E1725">
        <v>202602</v>
      </c>
      <c r="F1725" t="s">
        <v>533</v>
      </c>
      <c r="G1725">
        <v>0</v>
      </c>
      <c r="H1725">
        <v>0</v>
      </c>
      <c r="I1725">
        <v>0</v>
      </c>
      <c r="J1725">
        <v>0</v>
      </c>
      <c r="K1725">
        <v>0</v>
      </c>
      <c r="L1725">
        <v>0</v>
      </c>
      <c r="M1725">
        <v>1</v>
      </c>
      <c r="N1725">
        <v>0</v>
      </c>
      <c r="O1725">
        <v>0</v>
      </c>
      <c r="P1725">
        <v>1</v>
      </c>
      <c r="Q1725">
        <v>0</v>
      </c>
      <c r="R1725">
        <v>0</v>
      </c>
      <c r="S1725">
        <v>0</v>
      </c>
      <c r="T1725">
        <v>0</v>
      </c>
      <c r="U1725">
        <v>0</v>
      </c>
      <c r="V1725">
        <v>0</v>
      </c>
      <c r="W1725">
        <v>0</v>
      </c>
      <c r="X1725">
        <v>0</v>
      </c>
      <c r="Y1725">
        <v>0</v>
      </c>
      <c r="Z1725">
        <v>0</v>
      </c>
      <c r="AA1725">
        <v>0</v>
      </c>
      <c r="AB1725">
        <v>0</v>
      </c>
      <c r="AC1725">
        <v>0</v>
      </c>
      <c r="AD1725">
        <v>0</v>
      </c>
      <c r="AE1725">
        <v>0</v>
      </c>
      <c r="AF1725">
        <v>0</v>
      </c>
      <c r="AG1725">
        <v>0</v>
      </c>
      <c r="AH1725">
        <v>0</v>
      </c>
      <c r="AI1725">
        <v>0</v>
      </c>
      <c r="AJ1725">
        <v>0</v>
      </c>
      <c r="AK1725">
        <v>0</v>
      </c>
      <c r="AL1725">
        <v>2</v>
      </c>
      <c r="AM1725">
        <v>0.33333333333333331</v>
      </c>
      <c r="AN1725">
        <v>6.6046251398731117</v>
      </c>
    </row>
    <row r="1726" spans="1:40" x14ac:dyDescent="0.3">
      <c r="A1726" t="s">
        <v>517</v>
      </c>
      <c r="B1726" t="s">
        <v>17</v>
      </c>
      <c r="C1726" t="s">
        <v>10</v>
      </c>
      <c r="D1726" t="s">
        <v>11</v>
      </c>
      <c r="E1726">
        <v>202602</v>
      </c>
      <c r="F1726" t="s">
        <v>547</v>
      </c>
      <c r="G1726">
        <v>0</v>
      </c>
      <c r="H1726">
        <v>0</v>
      </c>
      <c r="I1726">
        <v>0</v>
      </c>
      <c r="J1726">
        <v>0</v>
      </c>
      <c r="K1726">
        <v>0</v>
      </c>
      <c r="L1726">
        <v>0</v>
      </c>
      <c r="M1726">
        <v>0</v>
      </c>
      <c r="N1726">
        <v>0</v>
      </c>
      <c r="O1726">
        <v>0</v>
      </c>
      <c r="P1726">
        <v>0</v>
      </c>
      <c r="Q1726">
        <v>2</v>
      </c>
      <c r="R1726">
        <v>0</v>
      </c>
      <c r="S1726">
        <v>0</v>
      </c>
      <c r="T1726">
        <v>0</v>
      </c>
      <c r="U1726">
        <v>0</v>
      </c>
      <c r="V1726">
        <v>0</v>
      </c>
      <c r="W1726">
        <v>0</v>
      </c>
      <c r="X1726">
        <v>0</v>
      </c>
      <c r="Y1726">
        <v>0</v>
      </c>
      <c r="Z1726">
        <v>0</v>
      </c>
      <c r="AA1726">
        <v>0</v>
      </c>
      <c r="AB1726">
        <v>0</v>
      </c>
      <c r="AC1726">
        <v>0</v>
      </c>
      <c r="AD1726">
        <v>0</v>
      </c>
      <c r="AE1726">
        <v>0</v>
      </c>
      <c r="AF1726">
        <v>0</v>
      </c>
      <c r="AG1726">
        <v>0</v>
      </c>
      <c r="AH1726">
        <v>0</v>
      </c>
      <c r="AI1726">
        <v>0</v>
      </c>
      <c r="AJ1726">
        <v>0</v>
      </c>
      <c r="AK1726">
        <v>0</v>
      </c>
      <c r="AL1726">
        <v>2</v>
      </c>
      <c r="AM1726">
        <v>0.66666666666666663</v>
      </c>
      <c r="AN1726">
        <v>11.209250279746223</v>
      </c>
    </row>
    <row r="1727" spans="1:40" x14ac:dyDescent="0.3">
      <c r="A1727" t="s">
        <v>517</v>
      </c>
      <c r="B1727" t="s">
        <v>17</v>
      </c>
      <c r="C1727" t="s">
        <v>10</v>
      </c>
      <c r="D1727" t="s">
        <v>11</v>
      </c>
      <c r="E1727">
        <v>202602</v>
      </c>
      <c r="F1727" t="s">
        <v>534</v>
      </c>
      <c r="G1727">
        <v>0</v>
      </c>
      <c r="H1727">
        <v>1</v>
      </c>
      <c r="I1727">
        <v>0</v>
      </c>
      <c r="J1727">
        <v>0</v>
      </c>
      <c r="K1727">
        <v>1</v>
      </c>
      <c r="L1727">
        <v>0</v>
      </c>
      <c r="M1727">
        <v>0</v>
      </c>
      <c r="N1727">
        <v>0</v>
      </c>
      <c r="O1727">
        <v>0</v>
      </c>
      <c r="P1727">
        <v>0</v>
      </c>
      <c r="Q1727">
        <v>0</v>
      </c>
      <c r="R1727">
        <v>0</v>
      </c>
      <c r="S1727">
        <v>0</v>
      </c>
      <c r="T1727">
        <v>0</v>
      </c>
      <c r="U1727">
        <v>0</v>
      </c>
      <c r="V1727">
        <v>0</v>
      </c>
      <c r="W1727">
        <v>0</v>
      </c>
      <c r="X1727">
        <v>0</v>
      </c>
      <c r="Y1727">
        <v>0</v>
      </c>
      <c r="Z1727">
        <v>0</v>
      </c>
      <c r="AA1727">
        <v>0</v>
      </c>
      <c r="AB1727">
        <v>0</v>
      </c>
      <c r="AC1727">
        <v>0</v>
      </c>
      <c r="AD1727">
        <v>0</v>
      </c>
      <c r="AE1727">
        <v>0</v>
      </c>
      <c r="AF1727">
        <v>0</v>
      </c>
      <c r="AG1727">
        <v>0</v>
      </c>
      <c r="AH1727">
        <v>0</v>
      </c>
      <c r="AI1727">
        <v>0</v>
      </c>
      <c r="AJ1727">
        <v>0</v>
      </c>
      <c r="AK1727">
        <v>0</v>
      </c>
      <c r="AL1727">
        <v>2</v>
      </c>
      <c r="AM1727">
        <v>0</v>
      </c>
      <c r="AN1727">
        <v>2</v>
      </c>
    </row>
    <row r="1728" spans="1:40" x14ac:dyDescent="0.3">
      <c r="A1728" t="s">
        <v>517</v>
      </c>
      <c r="B1728" t="s">
        <v>17</v>
      </c>
      <c r="C1728" t="s">
        <v>10</v>
      </c>
      <c r="D1728" t="s">
        <v>11</v>
      </c>
      <c r="E1728">
        <v>202602</v>
      </c>
      <c r="F1728" t="s">
        <v>535</v>
      </c>
      <c r="G1728">
        <v>0</v>
      </c>
      <c r="H1728">
        <v>0</v>
      </c>
      <c r="I1728">
        <v>0</v>
      </c>
      <c r="J1728">
        <v>1</v>
      </c>
      <c r="K1728">
        <v>0</v>
      </c>
      <c r="L1728">
        <v>0</v>
      </c>
      <c r="M1728">
        <v>0</v>
      </c>
      <c r="N1728">
        <v>0</v>
      </c>
      <c r="O1728">
        <v>0</v>
      </c>
      <c r="P1728">
        <v>0</v>
      </c>
      <c r="Q1728">
        <v>0</v>
      </c>
      <c r="R1728">
        <v>0</v>
      </c>
      <c r="S1728">
        <v>0</v>
      </c>
      <c r="T1728">
        <v>0</v>
      </c>
      <c r="U1728">
        <v>0</v>
      </c>
      <c r="V1728">
        <v>0</v>
      </c>
      <c r="W1728">
        <v>0</v>
      </c>
      <c r="X1728">
        <v>0</v>
      </c>
      <c r="Y1728">
        <v>0</v>
      </c>
      <c r="Z1728">
        <v>0</v>
      </c>
      <c r="AA1728">
        <v>0</v>
      </c>
      <c r="AB1728">
        <v>0</v>
      </c>
      <c r="AC1728">
        <v>0</v>
      </c>
      <c r="AD1728">
        <v>0</v>
      </c>
      <c r="AE1728">
        <v>0</v>
      </c>
      <c r="AF1728">
        <v>0</v>
      </c>
      <c r="AG1728">
        <v>0</v>
      </c>
      <c r="AH1728">
        <v>0</v>
      </c>
      <c r="AI1728">
        <v>0</v>
      </c>
      <c r="AJ1728">
        <v>0</v>
      </c>
      <c r="AK1728">
        <v>0</v>
      </c>
      <c r="AL1728">
        <v>1</v>
      </c>
      <c r="AM1728">
        <v>0</v>
      </c>
      <c r="AN1728">
        <v>1</v>
      </c>
    </row>
    <row r="1729" spans="1:40" x14ac:dyDescent="0.3">
      <c r="A1729" t="s">
        <v>517</v>
      </c>
      <c r="B1729" t="s">
        <v>17</v>
      </c>
      <c r="C1729" t="s">
        <v>10</v>
      </c>
      <c r="D1729" t="s">
        <v>11</v>
      </c>
      <c r="E1729">
        <v>202602</v>
      </c>
      <c r="F1729" t="s">
        <v>536</v>
      </c>
      <c r="G1729">
        <v>0</v>
      </c>
      <c r="H1729">
        <v>0</v>
      </c>
      <c r="I1729">
        <v>0</v>
      </c>
      <c r="J1729">
        <v>0</v>
      </c>
      <c r="K1729">
        <v>1</v>
      </c>
      <c r="L1729">
        <v>0</v>
      </c>
      <c r="M1729">
        <v>0</v>
      </c>
      <c r="N1729">
        <v>0</v>
      </c>
      <c r="O1729">
        <v>1</v>
      </c>
      <c r="P1729">
        <v>1</v>
      </c>
      <c r="Q1729">
        <v>0</v>
      </c>
      <c r="R1729">
        <v>0</v>
      </c>
      <c r="S1729">
        <v>0</v>
      </c>
      <c r="T1729">
        <v>0</v>
      </c>
      <c r="U1729">
        <v>0</v>
      </c>
      <c r="V1729">
        <v>0</v>
      </c>
      <c r="W1729">
        <v>0</v>
      </c>
      <c r="X1729">
        <v>0</v>
      </c>
      <c r="Y1729">
        <v>0</v>
      </c>
      <c r="Z1729">
        <v>0</v>
      </c>
      <c r="AA1729">
        <v>0</v>
      </c>
      <c r="AB1729">
        <v>0</v>
      </c>
      <c r="AC1729">
        <v>0</v>
      </c>
      <c r="AD1729">
        <v>0</v>
      </c>
      <c r="AE1729">
        <v>0</v>
      </c>
      <c r="AF1729">
        <v>0</v>
      </c>
      <c r="AG1729">
        <v>0</v>
      </c>
      <c r="AH1729">
        <v>0</v>
      </c>
      <c r="AI1729">
        <v>0</v>
      </c>
      <c r="AJ1729">
        <v>0</v>
      </c>
      <c r="AK1729">
        <v>0</v>
      </c>
      <c r="AL1729">
        <v>3</v>
      </c>
      <c r="AM1729">
        <v>0.66666666666666663</v>
      </c>
      <c r="AN1729">
        <v>12.209250279746223</v>
      </c>
    </row>
    <row r="1730" spans="1:40" x14ac:dyDescent="0.3">
      <c r="A1730" t="s">
        <v>517</v>
      </c>
      <c r="B1730" t="s">
        <v>17</v>
      </c>
      <c r="C1730" t="s">
        <v>10</v>
      </c>
      <c r="D1730" t="s">
        <v>11</v>
      </c>
      <c r="E1730">
        <v>202602</v>
      </c>
      <c r="F1730" t="s">
        <v>537</v>
      </c>
      <c r="G1730">
        <v>0</v>
      </c>
      <c r="H1730">
        <v>0</v>
      </c>
      <c r="I1730">
        <v>0</v>
      </c>
      <c r="J1730">
        <v>1</v>
      </c>
      <c r="K1730">
        <v>0</v>
      </c>
      <c r="L1730">
        <v>0</v>
      </c>
      <c r="M1730">
        <v>0</v>
      </c>
      <c r="N1730">
        <v>0</v>
      </c>
      <c r="O1730">
        <v>1</v>
      </c>
      <c r="P1730">
        <v>0</v>
      </c>
      <c r="Q1730">
        <v>0</v>
      </c>
      <c r="R1730">
        <v>0</v>
      </c>
      <c r="S1730">
        <v>0</v>
      </c>
      <c r="T1730">
        <v>0</v>
      </c>
      <c r="U1730">
        <v>0</v>
      </c>
      <c r="V1730">
        <v>0</v>
      </c>
      <c r="W1730">
        <v>0</v>
      </c>
      <c r="X1730">
        <v>0</v>
      </c>
      <c r="Y1730">
        <v>0</v>
      </c>
      <c r="Z1730">
        <v>0</v>
      </c>
      <c r="AA1730">
        <v>0</v>
      </c>
      <c r="AB1730">
        <v>0</v>
      </c>
      <c r="AC1730">
        <v>0</v>
      </c>
      <c r="AD1730">
        <v>0</v>
      </c>
      <c r="AE1730">
        <v>0</v>
      </c>
      <c r="AF1730">
        <v>0</v>
      </c>
      <c r="AG1730">
        <v>0</v>
      </c>
      <c r="AH1730">
        <v>0</v>
      </c>
      <c r="AI1730">
        <v>0</v>
      </c>
      <c r="AJ1730">
        <v>0</v>
      </c>
      <c r="AK1730">
        <v>0</v>
      </c>
      <c r="AL1730">
        <v>2</v>
      </c>
      <c r="AM1730">
        <v>0.33333333333333331</v>
      </c>
      <c r="AN1730">
        <v>6.6046251398731117</v>
      </c>
    </row>
    <row r="1731" spans="1:40" x14ac:dyDescent="0.3">
      <c r="A1731" t="s">
        <v>517</v>
      </c>
      <c r="B1731" t="s">
        <v>17</v>
      </c>
      <c r="C1731" t="s">
        <v>10</v>
      </c>
      <c r="D1731" t="s">
        <v>14</v>
      </c>
      <c r="E1731">
        <v>202602</v>
      </c>
      <c r="F1731" t="s">
        <v>518</v>
      </c>
      <c r="G1731">
        <v>0</v>
      </c>
      <c r="H1731">
        <v>1</v>
      </c>
      <c r="I1731">
        <v>0</v>
      </c>
      <c r="J1731">
        <v>1</v>
      </c>
      <c r="K1731">
        <v>0</v>
      </c>
      <c r="L1731">
        <v>0</v>
      </c>
      <c r="M1731">
        <v>0</v>
      </c>
      <c r="N1731">
        <v>0</v>
      </c>
      <c r="O1731">
        <v>0</v>
      </c>
      <c r="P1731">
        <v>0</v>
      </c>
      <c r="Q1731">
        <v>0</v>
      </c>
      <c r="R1731">
        <v>0</v>
      </c>
      <c r="S1731">
        <v>0</v>
      </c>
      <c r="T1731">
        <v>0</v>
      </c>
      <c r="U1731">
        <v>0</v>
      </c>
      <c r="V1731">
        <v>0</v>
      </c>
      <c r="W1731">
        <v>0</v>
      </c>
      <c r="X1731">
        <v>0</v>
      </c>
      <c r="Y1731">
        <v>0</v>
      </c>
      <c r="Z1731">
        <v>0</v>
      </c>
      <c r="AA1731">
        <v>0</v>
      </c>
      <c r="AB1731">
        <v>0</v>
      </c>
      <c r="AC1731">
        <v>0</v>
      </c>
      <c r="AD1731">
        <v>0</v>
      </c>
      <c r="AE1731">
        <v>0</v>
      </c>
      <c r="AF1731">
        <v>0</v>
      </c>
      <c r="AG1731">
        <v>0</v>
      </c>
      <c r="AH1731">
        <v>0</v>
      </c>
      <c r="AI1731">
        <v>0</v>
      </c>
      <c r="AJ1731">
        <v>0</v>
      </c>
      <c r="AK1731">
        <v>0</v>
      </c>
      <c r="AL1731">
        <v>2</v>
      </c>
      <c r="AM1731">
        <v>0</v>
      </c>
      <c r="AN1731">
        <v>2</v>
      </c>
    </row>
    <row r="1732" spans="1:40" x14ac:dyDescent="0.3">
      <c r="A1732" t="s">
        <v>517</v>
      </c>
      <c r="B1732" t="s">
        <v>17</v>
      </c>
      <c r="C1732" t="s">
        <v>10</v>
      </c>
      <c r="D1732" t="s">
        <v>14</v>
      </c>
      <c r="E1732">
        <v>202602</v>
      </c>
      <c r="F1732" t="s">
        <v>18</v>
      </c>
      <c r="G1732">
        <v>0</v>
      </c>
      <c r="H1732">
        <v>3</v>
      </c>
      <c r="I1732">
        <v>4</v>
      </c>
      <c r="J1732">
        <v>2</v>
      </c>
      <c r="K1732">
        <v>2</v>
      </c>
      <c r="L1732">
        <v>1</v>
      </c>
      <c r="M1732">
        <v>2</v>
      </c>
      <c r="N1732">
        <v>0</v>
      </c>
      <c r="O1732">
        <v>1</v>
      </c>
      <c r="P1732">
        <v>0</v>
      </c>
      <c r="Q1732">
        <v>2</v>
      </c>
      <c r="R1732">
        <v>0</v>
      </c>
      <c r="S1732">
        <v>0</v>
      </c>
      <c r="T1732">
        <v>0</v>
      </c>
      <c r="U1732">
        <v>0</v>
      </c>
      <c r="V1732">
        <v>0</v>
      </c>
      <c r="W1732">
        <v>0</v>
      </c>
      <c r="X1732">
        <v>0</v>
      </c>
      <c r="Y1732">
        <v>0</v>
      </c>
      <c r="Z1732">
        <v>0</v>
      </c>
      <c r="AA1732">
        <v>0</v>
      </c>
      <c r="AB1732">
        <v>0</v>
      </c>
      <c r="AC1732">
        <v>0</v>
      </c>
      <c r="AD1732">
        <v>0</v>
      </c>
      <c r="AE1732">
        <v>0</v>
      </c>
      <c r="AF1732">
        <v>0</v>
      </c>
      <c r="AG1732">
        <v>0</v>
      </c>
      <c r="AH1732">
        <v>0</v>
      </c>
      <c r="AI1732">
        <v>0</v>
      </c>
      <c r="AJ1732">
        <v>0</v>
      </c>
      <c r="AK1732">
        <v>0</v>
      </c>
      <c r="AL1732">
        <v>17</v>
      </c>
      <c r="AM1732">
        <v>1</v>
      </c>
      <c r="AN1732">
        <v>29.125223214285839</v>
      </c>
    </row>
    <row r="1733" spans="1:40" x14ac:dyDescent="0.3">
      <c r="A1733" t="s">
        <v>517</v>
      </c>
      <c r="B1733" t="s">
        <v>17</v>
      </c>
      <c r="C1733" t="s">
        <v>10</v>
      </c>
      <c r="D1733" t="s">
        <v>14</v>
      </c>
      <c r="E1733">
        <v>202602</v>
      </c>
      <c r="F1733" t="s">
        <v>519</v>
      </c>
      <c r="G1733">
        <v>0</v>
      </c>
      <c r="H1733">
        <v>6</v>
      </c>
      <c r="I1733">
        <v>1</v>
      </c>
      <c r="J1733">
        <v>1</v>
      </c>
      <c r="K1733">
        <v>1</v>
      </c>
      <c r="L1733">
        <v>2</v>
      </c>
      <c r="M1733">
        <v>1</v>
      </c>
      <c r="N1733">
        <v>0</v>
      </c>
      <c r="O1733">
        <v>0</v>
      </c>
      <c r="P1733">
        <v>2</v>
      </c>
      <c r="Q1733">
        <v>4</v>
      </c>
      <c r="R1733">
        <v>0</v>
      </c>
      <c r="S1733">
        <v>0</v>
      </c>
      <c r="T1733">
        <v>0</v>
      </c>
      <c r="U1733">
        <v>0</v>
      </c>
      <c r="V1733">
        <v>0</v>
      </c>
      <c r="W1733">
        <v>0</v>
      </c>
      <c r="X1733">
        <v>0</v>
      </c>
      <c r="Y1733">
        <v>0</v>
      </c>
      <c r="Z1733">
        <v>0</v>
      </c>
      <c r="AA1733">
        <v>0</v>
      </c>
      <c r="AB1733">
        <v>0</v>
      </c>
      <c r="AC1733">
        <v>0</v>
      </c>
      <c r="AD1733">
        <v>0</v>
      </c>
      <c r="AE1733">
        <v>0</v>
      </c>
      <c r="AF1733">
        <v>0</v>
      </c>
      <c r="AG1733">
        <v>0</v>
      </c>
      <c r="AH1733">
        <v>0</v>
      </c>
      <c r="AI1733">
        <v>0</v>
      </c>
      <c r="AJ1733">
        <v>0</v>
      </c>
      <c r="AK1733">
        <v>0</v>
      </c>
      <c r="AL1733">
        <v>18</v>
      </c>
      <c r="AM1733">
        <v>2</v>
      </c>
      <c r="AN1733">
        <v>42.250446428571678</v>
      </c>
    </row>
    <row r="1734" spans="1:40" x14ac:dyDescent="0.3">
      <c r="A1734" t="s">
        <v>517</v>
      </c>
      <c r="B1734" t="s">
        <v>17</v>
      </c>
      <c r="C1734" t="s">
        <v>10</v>
      </c>
      <c r="D1734" t="s">
        <v>14</v>
      </c>
      <c r="E1734">
        <v>202602</v>
      </c>
      <c r="F1734" t="s">
        <v>520</v>
      </c>
      <c r="G1734">
        <v>0</v>
      </c>
      <c r="H1734">
        <v>1</v>
      </c>
      <c r="I1734">
        <v>0</v>
      </c>
      <c r="J1734">
        <v>1</v>
      </c>
      <c r="K1734">
        <v>0</v>
      </c>
      <c r="L1734">
        <v>0</v>
      </c>
      <c r="M1734">
        <v>0</v>
      </c>
      <c r="N1734">
        <v>0</v>
      </c>
      <c r="O1734">
        <v>0</v>
      </c>
      <c r="P1734">
        <v>0</v>
      </c>
      <c r="Q1734">
        <v>1</v>
      </c>
      <c r="R1734">
        <v>0</v>
      </c>
      <c r="S1734">
        <v>0</v>
      </c>
      <c r="T1734">
        <v>0</v>
      </c>
      <c r="U1734">
        <v>0</v>
      </c>
      <c r="V1734">
        <v>0</v>
      </c>
      <c r="W1734">
        <v>0</v>
      </c>
      <c r="X1734">
        <v>0</v>
      </c>
      <c r="Y1734">
        <v>0</v>
      </c>
      <c r="Z1734">
        <v>0</v>
      </c>
      <c r="AA1734">
        <v>0</v>
      </c>
      <c r="AB1734">
        <v>0</v>
      </c>
      <c r="AC1734">
        <v>0</v>
      </c>
      <c r="AD1734">
        <v>0</v>
      </c>
      <c r="AE1734">
        <v>0</v>
      </c>
      <c r="AF1734">
        <v>0</v>
      </c>
      <c r="AG1734">
        <v>0</v>
      </c>
      <c r="AH1734">
        <v>0</v>
      </c>
      <c r="AI1734">
        <v>0</v>
      </c>
      <c r="AJ1734">
        <v>0</v>
      </c>
      <c r="AK1734">
        <v>0</v>
      </c>
      <c r="AL1734">
        <v>3</v>
      </c>
      <c r="AM1734">
        <v>0.33333333333333331</v>
      </c>
      <c r="AN1734">
        <v>7.0417410714286133</v>
      </c>
    </row>
    <row r="1735" spans="1:40" x14ac:dyDescent="0.3">
      <c r="A1735" t="s">
        <v>517</v>
      </c>
      <c r="B1735" t="s">
        <v>17</v>
      </c>
      <c r="C1735" t="s">
        <v>10</v>
      </c>
      <c r="D1735" t="s">
        <v>14</v>
      </c>
      <c r="E1735">
        <v>202602</v>
      </c>
      <c r="F1735" t="s">
        <v>538</v>
      </c>
      <c r="G1735">
        <v>0</v>
      </c>
      <c r="H1735">
        <v>0</v>
      </c>
      <c r="I1735">
        <v>0</v>
      </c>
      <c r="J1735">
        <v>0</v>
      </c>
      <c r="K1735">
        <v>1</v>
      </c>
      <c r="L1735">
        <v>0</v>
      </c>
      <c r="M1735">
        <v>0</v>
      </c>
      <c r="N1735">
        <v>0</v>
      </c>
      <c r="O1735">
        <v>0</v>
      </c>
      <c r="P1735">
        <v>0</v>
      </c>
      <c r="Q1735">
        <v>0</v>
      </c>
      <c r="R1735">
        <v>0</v>
      </c>
      <c r="S1735">
        <v>0</v>
      </c>
      <c r="T1735">
        <v>0</v>
      </c>
      <c r="U1735">
        <v>0</v>
      </c>
      <c r="V1735">
        <v>0</v>
      </c>
      <c r="W1735">
        <v>0</v>
      </c>
      <c r="X1735">
        <v>0</v>
      </c>
      <c r="Y1735">
        <v>0</v>
      </c>
      <c r="Z1735">
        <v>0</v>
      </c>
      <c r="AA1735">
        <v>0</v>
      </c>
      <c r="AB1735">
        <v>0</v>
      </c>
      <c r="AC1735">
        <v>0</v>
      </c>
      <c r="AD1735">
        <v>0</v>
      </c>
      <c r="AE1735">
        <v>0</v>
      </c>
      <c r="AF1735">
        <v>0</v>
      </c>
      <c r="AG1735">
        <v>0</v>
      </c>
      <c r="AH1735">
        <v>0</v>
      </c>
      <c r="AI1735">
        <v>0</v>
      </c>
      <c r="AJ1735">
        <v>0</v>
      </c>
      <c r="AK1735">
        <v>0</v>
      </c>
      <c r="AL1735">
        <v>1</v>
      </c>
      <c r="AM1735">
        <v>0</v>
      </c>
      <c r="AN1735">
        <v>1</v>
      </c>
    </row>
    <row r="1736" spans="1:40" x14ac:dyDescent="0.3">
      <c r="A1736" t="s">
        <v>517</v>
      </c>
      <c r="B1736" t="s">
        <v>17</v>
      </c>
      <c r="C1736" t="s">
        <v>10</v>
      </c>
      <c r="D1736" t="s">
        <v>14</v>
      </c>
      <c r="E1736">
        <v>202602</v>
      </c>
      <c r="F1736" t="s">
        <v>28</v>
      </c>
      <c r="G1736">
        <v>0</v>
      </c>
      <c r="H1736">
        <v>1</v>
      </c>
      <c r="I1736">
        <v>1</v>
      </c>
      <c r="J1736">
        <v>2</v>
      </c>
      <c r="K1736">
        <v>0</v>
      </c>
      <c r="L1736">
        <v>0</v>
      </c>
      <c r="M1736">
        <v>1</v>
      </c>
      <c r="N1736">
        <v>2</v>
      </c>
      <c r="O1736">
        <v>1</v>
      </c>
      <c r="P1736">
        <v>0</v>
      </c>
      <c r="Q1736">
        <v>0</v>
      </c>
      <c r="R1736">
        <v>0</v>
      </c>
      <c r="S1736">
        <v>0</v>
      </c>
      <c r="T1736">
        <v>0</v>
      </c>
      <c r="U1736">
        <v>0</v>
      </c>
      <c r="V1736">
        <v>0</v>
      </c>
      <c r="W1736">
        <v>0</v>
      </c>
      <c r="X1736">
        <v>0</v>
      </c>
      <c r="Y1736">
        <v>0</v>
      </c>
      <c r="Z1736">
        <v>0</v>
      </c>
      <c r="AA1736">
        <v>0</v>
      </c>
      <c r="AB1736">
        <v>0</v>
      </c>
      <c r="AC1736">
        <v>0</v>
      </c>
      <c r="AD1736">
        <v>0</v>
      </c>
      <c r="AE1736">
        <v>0</v>
      </c>
      <c r="AF1736">
        <v>0</v>
      </c>
      <c r="AG1736">
        <v>0</v>
      </c>
      <c r="AH1736">
        <v>0</v>
      </c>
      <c r="AI1736">
        <v>0</v>
      </c>
      <c r="AJ1736">
        <v>0</v>
      </c>
      <c r="AK1736">
        <v>0</v>
      </c>
      <c r="AL1736">
        <v>8</v>
      </c>
      <c r="AM1736">
        <v>0.33333333333333331</v>
      </c>
      <c r="AN1736">
        <v>12.041741071428614</v>
      </c>
    </row>
    <row r="1737" spans="1:40" x14ac:dyDescent="0.3">
      <c r="A1737" t="s">
        <v>517</v>
      </c>
      <c r="B1737" t="s">
        <v>17</v>
      </c>
      <c r="C1737" t="s">
        <v>10</v>
      </c>
      <c r="D1737" t="s">
        <v>14</v>
      </c>
      <c r="E1737">
        <v>202602</v>
      </c>
      <c r="F1737" t="s">
        <v>521</v>
      </c>
      <c r="G1737">
        <v>0</v>
      </c>
      <c r="H1737">
        <v>1</v>
      </c>
      <c r="I1737">
        <v>0</v>
      </c>
      <c r="J1737">
        <v>0</v>
      </c>
      <c r="K1737">
        <v>0</v>
      </c>
      <c r="L1737">
        <v>0</v>
      </c>
      <c r="M1737">
        <v>0</v>
      </c>
      <c r="N1737">
        <v>0</v>
      </c>
      <c r="O1737">
        <v>0</v>
      </c>
      <c r="P1737">
        <v>0</v>
      </c>
      <c r="Q1737">
        <v>0</v>
      </c>
      <c r="R1737">
        <v>0</v>
      </c>
      <c r="S1737">
        <v>0</v>
      </c>
      <c r="T1737">
        <v>0</v>
      </c>
      <c r="U1737">
        <v>0</v>
      </c>
      <c r="V1737">
        <v>0</v>
      </c>
      <c r="W1737">
        <v>0</v>
      </c>
      <c r="X1737">
        <v>0</v>
      </c>
      <c r="Y1737">
        <v>0</v>
      </c>
      <c r="Z1737">
        <v>0</v>
      </c>
      <c r="AA1737">
        <v>0</v>
      </c>
      <c r="AB1737">
        <v>0</v>
      </c>
      <c r="AC1737">
        <v>0</v>
      </c>
      <c r="AD1737">
        <v>0</v>
      </c>
      <c r="AE1737">
        <v>0</v>
      </c>
      <c r="AF1737">
        <v>0</v>
      </c>
      <c r="AG1737">
        <v>0</v>
      </c>
      <c r="AH1737">
        <v>0</v>
      </c>
      <c r="AI1737">
        <v>0</v>
      </c>
      <c r="AJ1737">
        <v>0</v>
      </c>
      <c r="AK1737">
        <v>0</v>
      </c>
      <c r="AL1737">
        <v>1</v>
      </c>
      <c r="AM1737">
        <v>0</v>
      </c>
      <c r="AN1737">
        <v>1</v>
      </c>
    </row>
    <row r="1738" spans="1:40" x14ac:dyDescent="0.3">
      <c r="A1738" t="s">
        <v>517</v>
      </c>
      <c r="B1738" t="s">
        <v>17</v>
      </c>
      <c r="C1738" t="s">
        <v>10</v>
      </c>
      <c r="D1738" t="s">
        <v>14</v>
      </c>
      <c r="E1738">
        <v>202602</v>
      </c>
      <c r="F1738" t="s">
        <v>522</v>
      </c>
      <c r="G1738">
        <v>0</v>
      </c>
      <c r="H1738">
        <v>0</v>
      </c>
      <c r="I1738">
        <v>0</v>
      </c>
      <c r="J1738">
        <v>0</v>
      </c>
      <c r="K1738">
        <v>1</v>
      </c>
      <c r="L1738">
        <v>0</v>
      </c>
      <c r="M1738">
        <v>0</v>
      </c>
      <c r="N1738">
        <v>0</v>
      </c>
      <c r="O1738">
        <v>0</v>
      </c>
      <c r="P1738">
        <v>0</v>
      </c>
      <c r="Q1738">
        <v>0</v>
      </c>
      <c r="R1738">
        <v>0</v>
      </c>
      <c r="S1738">
        <v>0</v>
      </c>
      <c r="T1738">
        <v>0</v>
      </c>
      <c r="U1738">
        <v>0</v>
      </c>
      <c r="V1738">
        <v>0</v>
      </c>
      <c r="W1738">
        <v>0</v>
      </c>
      <c r="X1738">
        <v>0</v>
      </c>
      <c r="Y1738">
        <v>0</v>
      </c>
      <c r="Z1738">
        <v>0</v>
      </c>
      <c r="AA1738">
        <v>0</v>
      </c>
      <c r="AB1738">
        <v>0</v>
      </c>
      <c r="AC1738">
        <v>0</v>
      </c>
      <c r="AD1738">
        <v>0</v>
      </c>
      <c r="AE1738">
        <v>0</v>
      </c>
      <c r="AF1738">
        <v>0</v>
      </c>
      <c r="AG1738">
        <v>0</v>
      </c>
      <c r="AH1738">
        <v>0</v>
      </c>
      <c r="AI1738">
        <v>0</v>
      </c>
      <c r="AJ1738">
        <v>0</v>
      </c>
      <c r="AK1738">
        <v>0</v>
      </c>
      <c r="AL1738">
        <v>1</v>
      </c>
      <c r="AM1738">
        <v>0</v>
      </c>
      <c r="AN1738">
        <v>1</v>
      </c>
    </row>
    <row r="1739" spans="1:40" x14ac:dyDescent="0.3">
      <c r="A1739" t="s">
        <v>517</v>
      </c>
      <c r="B1739" t="s">
        <v>17</v>
      </c>
      <c r="C1739" t="s">
        <v>10</v>
      </c>
      <c r="D1739" t="s">
        <v>14</v>
      </c>
      <c r="E1739">
        <v>202602</v>
      </c>
      <c r="F1739" t="s">
        <v>31</v>
      </c>
      <c r="G1739">
        <v>0</v>
      </c>
      <c r="H1739">
        <v>0</v>
      </c>
      <c r="I1739">
        <v>0</v>
      </c>
      <c r="J1739">
        <v>0</v>
      </c>
      <c r="K1739">
        <v>0</v>
      </c>
      <c r="L1739">
        <v>0</v>
      </c>
      <c r="M1739">
        <v>0</v>
      </c>
      <c r="N1739">
        <v>0</v>
      </c>
      <c r="O1739">
        <v>0</v>
      </c>
      <c r="P1739">
        <v>1</v>
      </c>
      <c r="Q1739">
        <v>0</v>
      </c>
      <c r="R1739">
        <v>0</v>
      </c>
      <c r="S1739">
        <v>0</v>
      </c>
      <c r="T1739">
        <v>0</v>
      </c>
      <c r="U1739">
        <v>0</v>
      </c>
      <c r="V1739">
        <v>0</v>
      </c>
      <c r="W1739">
        <v>0</v>
      </c>
      <c r="X1739">
        <v>0</v>
      </c>
      <c r="Y1739">
        <v>0</v>
      </c>
      <c r="Z1739">
        <v>0</v>
      </c>
      <c r="AA1739">
        <v>0</v>
      </c>
      <c r="AB1739">
        <v>0</v>
      </c>
      <c r="AC1739">
        <v>0</v>
      </c>
      <c r="AD1739">
        <v>0</v>
      </c>
      <c r="AE1739">
        <v>0</v>
      </c>
      <c r="AF1739">
        <v>0</v>
      </c>
      <c r="AG1739">
        <v>0</v>
      </c>
      <c r="AH1739">
        <v>0</v>
      </c>
      <c r="AI1739">
        <v>0</v>
      </c>
      <c r="AJ1739">
        <v>0</v>
      </c>
      <c r="AK1739">
        <v>0</v>
      </c>
      <c r="AL1739">
        <v>1</v>
      </c>
      <c r="AM1739">
        <v>0.33333333333333331</v>
      </c>
      <c r="AN1739">
        <v>5.0417410714286133</v>
      </c>
    </row>
    <row r="1740" spans="1:40" x14ac:dyDescent="0.3">
      <c r="A1740" t="s">
        <v>517</v>
      </c>
      <c r="B1740" t="s">
        <v>17</v>
      </c>
      <c r="C1740" t="s">
        <v>10</v>
      </c>
      <c r="D1740" t="s">
        <v>14</v>
      </c>
      <c r="E1740">
        <v>202602</v>
      </c>
      <c r="F1740" t="s">
        <v>539</v>
      </c>
      <c r="G1740">
        <v>0</v>
      </c>
      <c r="H1740">
        <v>0</v>
      </c>
      <c r="I1740">
        <v>0</v>
      </c>
      <c r="J1740">
        <v>0</v>
      </c>
      <c r="K1740">
        <v>0</v>
      </c>
      <c r="L1740">
        <v>0</v>
      </c>
      <c r="M1740">
        <v>0</v>
      </c>
      <c r="N1740">
        <v>0</v>
      </c>
      <c r="O1740">
        <v>0</v>
      </c>
      <c r="P1740">
        <v>1</v>
      </c>
      <c r="Q1740">
        <v>0</v>
      </c>
      <c r="R1740">
        <v>0</v>
      </c>
      <c r="S1740">
        <v>0</v>
      </c>
      <c r="T1740">
        <v>0</v>
      </c>
      <c r="U1740">
        <v>0</v>
      </c>
      <c r="V1740">
        <v>0</v>
      </c>
      <c r="W1740">
        <v>0</v>
      </c>
      <c r="X1740">
        <v>0</v>
      </c>
      <c r="Y1740">
        <v>0</v>
      </c>
      <c r="Z1740">
        <v>0</v>
      </c>
      <c r="AA1740">
        <v>0</v>
      </c>
      <c r="AB1740">
        <v>0</v>
      </c>
      <c r="AC1740">
        <v>0</v>
      </c>
      <c r="AD1740">
        <v>0</v>
      </c>
      <c r="AE1740">
        <v>0</v>
      </c>
      <c r="AF1740">
        <v>0</v>
      </c>
      <c r="AG1740">
        <v>0</v>
      </c>
      <c r="AH1740">
        <v>0</v>
      </c>
      <c r="AI1740">
        <v>0</v>
      </c>
      <c r="AJ1740">
        <v>0</v>
      </c>
      <c r="AK1740">
        <v>0</v>
      </c>
      <c r="AL1740">
        <v>1</v>
      </c>
      <c r="AM1740">
        <v>0.33333333333333331</v>
      </c>
      <c r="AN1740">
        <v>5.0417410714286133</v>
      </c>
    </row>
    <row r="1741" spans="1:40" x14ac:dyDescent="0.3">
      <c r="A1741" t="s">
        <v>517</v>
      </c>
      <c r="B1741" t="s">
        <v>17</v>
      </c>
      <c r="C1741" t="s">
        <v>10</v>
      </c>
      <c r="D1741" t="s">
        <v>14</v>
      </c>
      <c r="E1741">
        <v>202602</v>
      </c>
      <c r="F1741" t="s">
        <v>523</v>
      </c>
      <c r="G1741">
        <v>0</v>
      </c>
      <c r="H1741">
        <v>0</v>
      </c>
      <c r="I1741">
        <v>0</v>
      </c>
      <c r="J1741">
        <v>0</v>
      </c>
      <c r="K1741">
        <v>0</v>
      </c>
      <c r="L1741">
        <v>0</v>
      </c>
      <c r="M1741">
        <v>0</v>
      </c>
      <c r="N1741">
        <v>0</v>
      </c>
      <c r="O1741">
        <v>0</v>
      </c>
      <c r="P1741">
        <v>0</v>
      </c>
      <c r="Q1741">
        <v>1</v>
      </c>
      <c r="R1741">
        <v>0</v>
      </c>
      <c r="S1741">
        <v>0</v>
      </c>
      <c r="T1741">
        <v>0</v>
      </c>
      <c r="U1741">
        <v>0</v>
      </c>
      <c r="V1741">
        <v>0</v>
      </c>
      <c r="W1741">
        <v>0</v>
      </c>
      <c r="X1741">
        <v>0</v>
      </c>
      <c r="Y1741">
        <v>0</v>
      </c>
      <c r="Z1741">
        <v>0</v>
      </c>
      <c r="AA1741">
        <v>0</v>
      </c>
      <c r="AB1741">
        <v>0</v>
      </c>
      <c r="AC1741">
        <v>0</v>
      </c>
      <c r="AD1741">
        <v>0</v>
      </c>
      <c r="AE1741">
        <v>0</v>
      </c>
      <c r="AF1741">
        <v>0</v>
      </c>
      <c r="AG1741">
        <v>0</v>
      </c>
      <c r="AH1741">
        <v>0</v>
      </c>
      <c r="AI1741">
        <v>0</v>
      </c>
      <c r="AJ1741">
        <v>0</v>
      </c>
      <c r="AK1741">
        <v>0</v>
      </c>
      <c r="AL1741">
        <v>1</v>
      </c>
      <c r="AM1741">
        <v>0.33333333333333331</v>
      </c>
      <c r="AN1741">
        <v>5.0417410714286133</v>
      </c>
    </row>
    <row r="1742" spans="1:40" x14ac:dyDescent="0.3">
      <c r="A1742" t="s">
        <v>517</v>
      </c>
      <c r="B1742" t="s">
        <v>17</v>
      </c>
      <c r="C1742" t="s">
        <v>10</v>
      </c>
      <c r="D1742" t="s">
        <v>14</v>
      </c>
      <c r="E1742">
        <v>202602</v>
      </c>
      <c r="F1742" t="s">
        <v>540</v>
      </c>
      <c r="G1742">
        <v>0</v>
      </c>
      <c r="H1742">
        <v>0</v>
      </c>
      <c r="I1742">
        <v>0</v>
      </c>
      <c r="J1742">
        <v>0</v>
      </c>
      <c r="K1742">
        <v>0</v>
      </c>
      <c r="L1742">
        <v>0</v>
      </c>
      <c r="M1742">
        <v>0</v>
      </c>
      <c r="N1742">
        <v>0</v>
      </c>
      <c r="O1742">
        <v>1</v>
      </c>
      <c r="P1742">
        <v>0</v>
      </c>
      <c r="Q1742">
        <v>0</v>
      </c>
      <c r="R1742">
        <v>0</v>
      </c>
      <c r="S1742">
        <v>0</v>
      </c>
      <c r="T1742">
        <v>0</v>
      </c>
      <c r="U1742">
        <v>0</v>
      </c>
      <c r="V1742">
        <v>0</v>
      </c>
      <c r="W1742">
        <v>0</v>
      </c>
      <c r="X1742">
        <v>0</v>
      </c>
      <c r="Y1742">
        <v>0</v>
      </c>
      <c r="Z1742">
        <v>0</v>
      </c>
      <c r="AA1742">
        <v>0</v>
      </c>
      <c r="AB1742">
        <v>0</v>
      </c>
      <c r="AC1742">
        <v>0</v>
      </c>
      <c r="AD1742">
        <v>0</v>
      </c>
      <c r="AE1742">
        <v>0</v>
      </c>
      <c r="AF1742">
        <v>0</v>
      </c>
      <c r="AG1742">
        <v>0</v>
      </c>
      <c r="AH1742">
        <v>0</v>
      </c>
      <c r="AI1742">
        <v>0</v>
      </c>
      <c r="AJ1742">
        <v>0</v>
      </c>
      <c r="AK1742">
        <v>0</v>
      </c>
      <c r="AL1742">
        <v>1</v>
      </c>
      <c r="AM1742">
        <v>0.33333333333333331</v>
      </c>
      <c r="AN1742">
        <v>5.0417410714286133</v>
      </c>
    </row>
    <row r="1743" spans="1:40" x14ac:dyDescent="0.3">
      <c r="A1743" t="s">
        <v>517</v>
      </c>
      <c r="B1743" t="s">
        <v>17</v>
      </c>
      <c r="C1743" t="s">
        <v>10</v>
      </c>
      <c r="D1743" t="s">
        <v>14</v>
      </c>
      <c r="E1743">
        <v>202602</v>
      </c>
      <c r="F1743" t="s">
        <v>524</v>
      </c>
      <c r="G1743">
        <v>0</v>
      </c>
      <c r="H1743">
        <v>0</v>
      </c>
      <c r="I1743">
        <v>0</v>
      </c>
      <c r="J1743">
        <v>0</v>
      </c>
      <c r="K1743">
        <v>0</v>
      </c>
      <c r="L1743">
        <v>0</v>
      </c>
      <c r="M1743">
        <v>1</v>
      </c>
      <c r="N1743">
        <v>0</v>
      </c>
      <c r="O1743">
        <v>0</v>
      </c>
      <c r="P1743">
        <v>2</v>
      </c>
      <c r="Q1743">
        <v>0</v>
      </c>
      <c r="R1743">
        <v>0</v>
      </c>
      <c r="S1743">
        <v>0</v>
      </c>
      <c r="T1743">
        <v>0</v>
      </c>
      <c r="U1743">
        <v>0</v>
      </c>
      <c r="V1743">
        <v>0</v>
      </c>
      <c r="W1743">
        <v>0</v>
      </c>
      <c r="X1743">
        <v>0</v>
      </c>
      <c r="Y1743">
        <v>0</v>
      </c>
      <c r="Z1743">
        <v>0</v>
      </c>
      <c r="AA1743">
        <v>0</v>
      </c>
      <c r="AB1743">
        <v>0</v>
      </c>
      <c r="AC1743">
        <v>0</v>
      </c>
      <c r="AD1743">
        <v>0</v>
      </c>
      <c r="AE1743">
        <v>0</v>
      </c>
      <c r="AF1743">
        <v>0</v>
      </c>
      <c r="AG1743">
        <v>0</v>
      </c>
      <c r="AH1743">
        <v>0</v>
      </c>
      <c r="AI1743">
        <v>0</v>
      </c>
      <c r="AJ1743">
        <v>0</v>
      </c>
      <c r="AK1743">
        <v>0</v>
      </c>
      <c r="AL1743">
        <v>3</v>
      </c>
      <c r="AM1743">
        <v>0.66666666666666663</v>
      </c>
      <c r="AN1743">
        <v>11.083482142857227</v>
      </c>
    </row>
    <row r="1744" spans="1:40" x14ac:dyDescent="0.3">
      <c r="A1744" t="s">
        <v>517</v>
      </c>
      <c r="B1744" t="s">
        <v>17</v>
      </c>
      <c r="C1744" t="s">
        <v>10</v>
      </c>
      <c r="D1744" t="s">
        <v>14</v>
      </c>
      <c r="E1744">
        <v>202602</v>
      </c>
      <c r="F1744" t="s">
        <v>525</v>
      </c>
      <c r="G1744">
        <v>0</v>
      </c>
      <c r="H1744">
        <v>0</v>
      </c>
      <c r="I1744">
        <v>1</v>
      </c>
      <c r="J1744">
        <v>1</v>
      </c>
      <c r="K1744">
        <v>3</v>
      </c>
      <c r="L1744">
        <v>0</v>
      </c>
      <c r="M1744">
        <v>0</v>
      </c>
      <c r="N1744">
        <v>0</v>
      </c>
      <c r="O1744">
        <v>2</v>
      </c>
      <c r="P1744">
        <v>0</v>
      </c>
      <c r="Q1744">
        <v>0</v>
      </c>
      <c r="R1744">
        <v>0</v>
      </c>
      <c r="S1744">
        <v>0</v>
      </c>
      <c r="T1744">
        <v>0</v>
      </c>
      <c r="U1744">
        <v>0</v>
      </c>
      <c r="V1744">
        <v>0</v>
      </c>
      <c r="W1744">
        <v>0</v>
      </c>
      <c r="X1744">
        <v>0</v>
      </c>
      <c r="Y1744">
        <v>0</v>
      </c>
      <c r="Z1744">
        <v>0</v>
      </c>
      <c r="AA1744">
        <v>0</v>
      </c>
      <c r="AB1744">
        <v>0</v>
      </c>
      <c r="AC1744">
        <v>0</v>
      </c>
      <c r="AD1744">
        <v>0</v>
      </c>
      <c r="AE1744">
        <v>0</v>
      </c>
      <c r="AF1744">
        <v>0</v>
      </c>
      <c r="AG1744">
        <v>0</v>
      </c>
      <c r="AH1744">
        <v>0</v>
      </c>
      <c r="AI1744">
        <v>0</v>
      </c>
      <c r="AJ1744">
        <v>0</v>
      </c>
      <c r="AK1744">
        <v>0</v>
      </c>
      <c r="AL1744">
        <v>7</v>
      </c>
      <c r="AM1744">
        <v>0.66666666666666663</v>
      </c>
      <c r="AN1744">
        <v>15.083482142857227</v>
      </c>
    </row>
    <row r="1745" spans="1:40" x14ac:dyDescent="0.3">
      <c r="A1745" t="s">
        <v>517</v>
      </c>
      <c r="B1745" t="s">
        <v>17</v>
      </c>
      <c r="C1745" t="s">
        <v>10</v>
      </c>
      <c r="D1745" t="s">
        <v>14</v>
      </c>
      <c r="E1745">
        <v>202602</v>
      </c>
      <c r="F1745" t="s">
        <v>527</v>
      </c>
      <c r="G1745">
        <v>0</v>
      </c>
      <c r="H1745">
        <v>0</v>
      </c>
      <c r="I1745">
        <v>0</v>
      </c>
      <c r="J1745">
        <v>0</v>
      </c>
      <c r="K1745">
        <v>0</v>
      </c>
      <c r="L1745">
        <v>0</v>
      </c>
      <c r="M1745">
        <v>1</v>
      </c>
      <c r="N1745">
        <v>0</v>
      </c>
      <c r="O1745">
        <v>0</v>
      </c>
      <c r="P1745">
        <v>1</v>
      </c>
      <c r="Q1745">
        <v>0</v>
      </c>
      <c r="R1745">
        <v>0</v>
      </c>
      <c r="S1745">
        <v>0</v>
      </c>
      <c r="T1745">
        <v>0</v>
      </c>
      <c r="U1745">
        <v>0</v>
      </c>
      <c r="V1745">
        <v>0</v>
      </c>
      <c r="W1745">
        <v>0</v>
      </c>
      <c r="X1745">
        <v>0</v>
      </c>
      <c r="Y1745">
        <v>0</v>
      </c>
      <c r="Z1745">
        <v>0</v>
      </c>
      <c r="AA1745">
        <v>0</v>
      </c>
      <c r="AB1745">
        <v>0</v>
      </c>
      <c r="AC1745">
        <v>0</v>
      </c>
      <c r="AD1745">
        <v>0</v>
      </c>
      <c r="AE1745">
        <v>0</v>
      </c>
      <c r="AF1745">
        <v>0</v>
      </c>
      <c r="AG1745">
        <v>0</v>
      </c>
      <c r="AH1745">
        <v>0</v>
      </c>
      <c r="AI1745">
        <v>0</v>
      </c>
      <c r="AJ1745">
        <v>0</v>
      </c>
      <c r="AK1745">
        <v>0</v>
      </c>
      <c r="AL1745">
        <v>2</v>
      </c>
      <c r="AM1745">
        <v>0.33333333333333331</v>
      </c>
      <c r="AN1745">
        <v>6.0417410714286133</v>
      </c>
    </row>
    <row r="1746" spans="1:40" x14ac:dyDescent="0.3">
      <c r="A1746" t="s">
        <v>517</v>
      </c>
      <c r="B1746" t="s">
        <v>17</v>
      </c>
      <c r="C1746" t="s">
        <v>10</v>
      </c>
      <c r="D1746" t="s">
        <v>14</v>
      </c>
      <c r="E1746">
        <v>202602</v>
      </c>
      <c r="F1746" t="s">
        <v>528</v>
      </c>
      <c r="G1746">
        <v>0</v>
      </c>
      <c r="H1746">
        <v>1</v>
      </c>
      <c r="I1746">
        <v>0</v>
      </c>
      <c r="J1746">
        <v>2</v>
      </c>
      <c r="K1746">
        <v>0</v>
      </c>
      <c r="L1746">
        <v>0</v>
      </c>
      <c r="M1746">
        <v>0</v>
      </c>
      <c r="N1746">
        <v>0</v>
      </c>
      <c r="O1746">
        <v>0</v>
      </c>
      <c r="P1746">
        <v>1</v>
      </c>
      <c r="Q1746">
        <v>0</v>
      </c>
      <c r="R1746">
        <v>0</v>
      </c>
      <c r="S1746">
        <v>0</v>
      </c>
      <c r="T1746">
        <v>0</v>
      </c>
      <c r="U1746">
        <v>0</v>
      </c>
      <c r="V1746">
        <v>0</v>
      </c>
      <c r="W1746">
        <v>0</v>
      </c>
      <c r="X1746">
        <v>0</v>
      </c>
      <c r="Y1746">
        <v>0</v>
      </c>
      <c r="Z1746">
        <v>0</v>
      </c>
      <c r="AA1746">
        <v>0</v>
      </c>
      <c r="AB1746">
        <v>0</v>
      </c>
      <c r="AC1746">
        <v>0</v>
      </c>
      <c r="AD1746">
        <v>0</v>
      </c>
      <c r="AE1746">
        <v>0</v>
      </c>
      <c r="AF1746">
        <v>0</v>
      </c>
      <c r="AG1746">
        <v>0</v>
      </c>
      <c r="AH1746">
        <v>0</v>
      </c>
      <c r="AI1746">
        <v>0</v>
      </c>
      <c r="AJ1746">
        <v>0</v>
      </c>
      <c r="AK1746">
        <v>0</v>
      </c>
      <c r="AL1746">
        <v>4</v>
      </c>
      <c r="AM1746">
        <v>0.33333333333333331</v>
      </c>
      <c r="AN1746">
        <v>8.0417410714286142</v>
      </c>
    </row>
    <row r="1747" spans="1:40" x14ac:dyDescent="0.3">
      <c r="A1747" t="s">
        <v>517</v>
      </c>
      <c r="B1747" t="s">
        <v>17</v>
      </c>
      <c r="C1747" t="s">
        <v>10</v>
      </c>
      <c r="D1747" t="s">
        <v>14</v>
      </c>
      <c r="E1747">
        <v>202602</v>
      </c>
      <c r="F1747" t="s">
        <v>541</v>
      </c>
      <c r="G1747">
        <v>0</v>
      </c>
      <c r="H1747">
        <v>0</v>
      </c>
      <c r="I1747">
        <v>0</v>
      </c>
      <c r="J1747">
        <v>0</v>
      </c>
      <c r="K1747">
        <v>0</v>
      </c>
      <c r="L1747">
        <v>0</v>
      </c>
      <c r="M1747">
        <v>0</v>
      </c>
      <c r="N1747">
        <v>0</v>
      </c>
      <c r="O1747">
        <v>1</v>
      </c>
      <c r="P1747">
        <v>0</v>
      </c>
      <c r="Q1747">
        <v>0</v>
      </c>
      <c r="R1747">
        <v>0</v>
      </c>
      <c r="S1747">
        <v>0</v>
      </c>
      <c r="T1747">
        <v>0</v>
      </c>
      <c r="U1747">
        <v>0</v>
      </c>
      <c r="V1747">
        <v>0</v>
      </c>
      <c r="W1747">
        <v>0</v>
      </c>
      <c r="X1747">
        <v>0</v>
      </c>
      <c r="Y1747">
        <v>0</v>
      </c>
      <c r="Z1747">
        <v>0</v>
      </c>
      <c r="AA1747">
        <v>0</v>
      </c>
      <c r="AB1747">
        <v>0</v>
      </c>
      <c r="AC1747">
        <v>0</v>
      </c>
      <c r="AD1747">
        <v>0</v>
      </c>
      <c r="AE1747">
        <v>0</v>
      </c>
      <c r="AF1747">
        <v>0</v>
      </c>
      <c r="AG1747">
        <v>0</v>
      </c>
      <c r="AH1747">
        <v>0</v>
      </c>
      <c r="AI1747">
        <v>0</v>
      </c>
      <c r="AJ1747">
        <v>0</v>
      </c>
      <c r="AK1747">
        <v>0</v>
      </c>
      <c r="AL1747">
        <v>1</v>
      </c>
      <c r="AM1747">
        <v>0.33333333333333331</v>
      </c>
      <c r="AN1747">
        <v>5.0417410714286133</v>
      </c>
    </row>
    <row r="1748" spans="1:40" x14ac:dyDescent="0.3">
      <c r="A1748" t="s">
        <v>517</v>
      </c>
      <c r="B1748" t="s">
        <v>17</v>
      </c>
      <c r="C1748" t="s">
        <v>10</v>
      </c>
      <c r="D1748" t="s">
        <v>14</v>
      </c>
      <c r="E1748">
        <v>202602</v>
      </c>
      <c r="F1748" t="s">
        <v>46</v>
      </c>
      <c r="G1748">
        <v>0</v>
      </c>
      <c r="H1748">
        <v>0</v>
      </c>
      <c r="I1748">
        <v>0</v>
      </c>
      <c r="J1748">
        <v>0</v>
      </c>
      <c r="K1748">
        <v>0</v>
      </c>
      <c r="L1748">
        <v>0</v>
      </c>
      <c r="M1748">
        <v>0</v>
      </c>
      <c r="N1748">
        <v>1</v>
      </c>
      <c r="O1748">
        <v>1</v>
      </c>
      <c r="P1748">
        <v>0</v>
      </c>
      <c r="Q1748">
        <v>0</v>
      </c>
      <c r="R1748">
        <v>0</v>
      </c>
      <c r="S1748">
        <v>0</v>
      </c>
      <c r="T1748">
        <v>0</v>
      </c>
      <c r="U1748">
        <v>0</v>
      </c>
      <c r="V1748">
        <v>0</v>
      </c>
      <c r="W1748">
        <v>0</v>
      </c>
      <c r="X1748">
        <v>0</v>
      </c>
      <c r="Y1748">
        <v>0</v>
      </c>
      <c r="Z1748">
        <v>0</v>
      </c>
      <c r="AA1748">
        <v>0</v>
      </c>
      <c r="AB1748">
        <v>0</v>
      </c>
      <c r="AC1748">
        <v>0</v>
      </c>
      <c r="AD1748">
        <v>0</v>
      </c>
      <c r="AE1748">
        <v>0</v>
      </c>
      <c r="AF1748">
        <v>0</v>
      </c>
      <c r="AG1748">
        <v>0</v>
      </c>
      <c r="AH1748">
        <v>0</v>
      </c>
      <c r="AI1748">
        <v>0</v>
      </c>
      <c r="AJ1748">
        <v>0</v>
      </c>
      <c r="AK1748">
        <v>0</v>
      </c>
      <c r="AL1748">
        <v>2</v>
      </c>
      <c r="AM1748">
        <v>0.33333333333333331</v>
      </c>
      <c r="AN1748">
        <v>6.0417410714286133</v>
      </c>
    </row>
    <row r="1749" spans="1:40" x14ac:dyDescent="0.3">
      <c r="A1749" t="s">
        <v>517</v>
      </c>
      <c r="B1749" t="s">
        <v>17</v>
      </c>
      <c r="C1749" t="s">
        <v>10</v>
      </c>
      <c r="D1749" t="s">
        <v>14</v>
      </c>
      <c r="E1749">
        <v>202602</v>
      </c>
      <c r="F1749" t="s">
        <v>542</v>
      </c>
      <c r="G1749">
        <v>0</v>
      </c>
      <c r="H1749">
        <v>0</v>
      </c>
      <c r="I1749">
        <v>0</v>
      </c>
      <c r="J1749">
        <v>0</v>
      </c>
      <c r="K1749">
        <v>0</v>
      </c>
      <c r="L1749">
        <v>0</v>
      </c>
      <c r="M1749">
        <v>0</v>
      </c>
      <c r="N1749">
        <v>0</v>
      </c>
      <c r="O1749">
        <v>1</v>
      </c>
      <c r="P1749">
        <v>1</v>
      </c>
      <c r="Q1749">
        <v>0</v>
      </c>
      <c r="R1749">
        <v>0</v>
      </c>
      <c r="S1749">
        <v>0</v>
      </c>
      <c r="T1749">
        <v>0</v>
      </c>
      <c r="U1749">
        <v>0</v>
      </c>
      <c r="V1749">
        <v>0</v>
      </c>
      <c r="W1749">
        <v>0</v>
      </c>
      <c r="X1749">
        <v>0</v>
      </c>
      <c r="Y1749">
        <v>0</v>
      </c>
      <c r="Z1749">
        <v>0</v>
      </c>
      <c r="AA1749">
        <v>0</v>
      </c>
      <c r="AB1749">
        <v>0</v>
      </c>
      <c r="AC1749">
        <v>0</v>
      </c>
      <c r="AD1749">
        <v>0</v>
      </c>
      <c r="AE1749">
        <v>0</v>
      </c>
      <c r="AF1749">
        <v>0</v>
      </c>
      <c r="AG1749">
        <v>0</v>
      </c>
      <c r="AH1749">
        <v>0</v>
      </c>
      <c r="AI1749">
        <v>0</v>
      </c>
      <c r="AJ1749">
        <v>0</v>
      </c>
      <c r="AK1749">
        <v>0</v>
      </c>
      <c r="AL1749">
        <v>2</v>
      </c>
      <c r="AM1749">
        <v>0.66666666666666663</v>
      </c>
      <c r="AN1749">
        <v>10.083482142857227</v>
      </c>
    </row>
    <row r="1750" spans="1:40" x14ac:dyDescent="0.3">
      <c r="A1750" t="s">
        <v>517</v>
      </c>
      <c r="B1750" t="s">
        <v>17</v>
      </c>
      <c r="C1750" t="s">
        <v>10</v>
      </c>
      <c r="D1750" t="s">
        <v>14</v>
      </c>
      <c r="E1750">
        <v>202602</v>
      </c>
      <c r="F1750" t="s">
        <v>543</v>
      </c>
      <c r="G1750">
        <v>0</v>
      </c>
      <c r="H1750">
        <v>0</v>
      </c>
      <c r="I1750">
        <v>0</v>
      </c>
      <c r="J1750">
        <v>0</v>
      </c>
      <c r="K1750">
        <v>0</v>
      </c>
      <c r="L1750">
        <v>0</v>
      </c>
      <c r="M1750">
        <v>1</v>
      </c>
      <c r="N1750">
        <v>0</v>
      </c>
      <c r="O1750">
        <v>0</v>
      </c>
      <c r="P1750">
        <v>0</v>
      </c>
      <c r="Q1750">
        <v>0</v>
      </c>
      <c r="R1750">
        <v>0</v>
      </c>
      <c r="S1750">
        <v>0</v>
      </c>
      <c r="T1750">
        <v>0</v>
      </c>
      <c r="U1750">
        <v>0</v>
      </c>
      <c r="V1750">
        <v>0</v>
      </c>
      <c r="W1750">
        <v>0</v>
      </c>
      <c r="X1750">
        <v>0</v>
      </c>
      <c r="Y1750">
        <v>0</v>
      </c>
      <c r="Z1750">
        <v>0</v>
      </c>
      <c r="AA1750">
        <v>0</v>
      </c>
      <c r="AB1750">
        <v>0</v>
      </c>
      <c r="AC1750">
        <v>0</v>
      </c>
      <c r="AD1750">
        <v>0</v>
      </c>
      <c r="AE1750">
        <v>0</v>
      </c>
      <c r="AF1750">
        <v>0</v>
      </c>
      <c r="AG1750">
        <v>0</v>
      </c>
      <c r="AH1750">
        <v>0</v>
      </c>
      <c r="AI1750">
        <v>0</v>
      </c>
      <c r="AJ1750">
        <v>0</v>
      </c>
      <c r="AK1750">
        <v>0</v>
      </c>
      <c r="AL1750">
        <v>1</v>
      </c>
      <c r="AM1750">
        <v>0</v>
      </c>
      <c r="AN1750">
        <v>1</v>
      </c>
    </row>
    <row r="1751" spans="1:40" x14ac:dyDescent="0.3">
      <c r="A1751" t="s">
        <v>517</v>
      </c>
      <c r="B1751" t="s">
        <v>17</v>
      </c>
      <c r="C1751" t="s">
        <v>10</v>
      </c>
      <c r="D1751" t="s">
        <v>14</v>
      </c>
      <c r="E1751">
        <v>202602</v>
      </c>
      <c r="F1751" t="s">
        <v>544</v>
      </c>
      <c r="G1751">
        <v>0</v>
      </c>
      <c r="H1751">
        <v>0</v>
      </c>
      <c r="I1751">
        <v>0</v>
      </c>
      <c r="J1751">
        <v>0</v>
      </c>
      <c r="K1751">
        <v>0</v>
      </c>
      <c r="L1751">
        <v>0</v>
      </c>
      <c r="M1751">
        <v>0</v>
      </c>
      <c r="N1751">
        <v>0</v>
      </c>
      <c r="O1751">
        <v>1</v>
      </c>
      <c r="P1751">
        <v>0</v>
      </c>
      <c r="Q1751">
        <v>2</v>
      </c>
      <c r="R1751">
        <v>0</v>
      </c>
      <c r="S1751">
        <v>0</v>
      </c>
      <c r="T1751">
        <v>0</v>
      </c>
      <c r="U1751">
        <v>0</v>
      </c>
      <c r="V1751">
        <v>0</v>
      </c>
      <c r="W1751">
        <v>0</v>
      </c>
      <c r="X1751">
        <v>0</v>
      </c>
      <c r="Y1751">
        <v>0</v>
      </c>
      <c r="Z1751">
        <v>0</v>
      </c>
      <c r="AA1751">
        <v>0</v>
      </c>
      <c r="AB1751">
        <v>0</v>
      </c>
      <c r="AC1751">
        <v>0</v>
      </c>
      <c r="AD1751">
        <v>0</v>
      </c>
      <c r="AE1751">
        <v>0</v>
      </c>
      <c r="AF1751">
        <v>0</v>
      </c>
      <c r="AG1751">
        <v>0</v>
      </c>
      <c r="AH1751">
        <v>0</v>
      </c>
      <c r="AI1751">
        <v>0</v>
      </c>
      <c r="AJ1751">
        <v>0</v>
      </c>
      <c r="AK1751">
        <v>0</v>
      </c>
      <c r="AL1751">
        <v>3</v>
      </c>
      <c r="AM1751">
        <v>1</v>
      </c>
      <c r="AN1751">
        <v>15.125223214285839</v>
      </c>
    </row>
    <row r="1752" spans="1:40" x14ac:dyDescent="0.3">
      <c r="A1752" t="s">
        <v>517</v>
      </c>
      <c r="B1752" t="s">
        <v>17</v>
      </c>
      <c r="C1752" t="s">
        <v>10</v>
      </c>
      <c r="D1752" t="s">
        <v>14</v>
      </c>
      <c r="E1752">
        <v>202602</v>
      </c>
      <c r="F1752" t="s">
        <v>545</v>
      </c>
      <c r="G1752">
        <v>0</v>
      </c>
      <c r="H1752">
        <v>0</v>
      </c>
      <c r="I1752">
        <v>1</v>
      </c>
      <c r="J1752">
        <v>0</v>
      </c>
      <c r="K1752">
        <v>0</v>
      </c>
      <c r="L1752">
        <v>0</v>
      </c>
      <c r="M1752">
        <v>0</v>
      </c>
      <c r="N1752">
        <v>0</v>
      </c>
      <c r="O1752">
        <v>0</v>
      </c>
      <c r="P1752">
        <v>1</v>
      </c>
      <c r="Q1752">
        <v>0</v>
      </c>
      <c r="R1752">
        <v>0</v>
      </c>
      <c r="S1752">
        <v>0</v>
      </c>
      <c r="T1752">
        <v>0</v>
      </c>
      <c r="U1752">
        <v>0</v>
      </c>
      <c r="V1752">
        <v>0</v>
      </c>
      <c r="W1752">
        <v>0</v>
      </c>
      <c r="X1752">
        <v>0</v>
      </c>
      <c r="Y1752">
        <v>0</v>
      </c>
      <c r="Z1752">
        <v>0</v>
      </c>
      <c r="AA1752">
        <v>0</v>
      </c>
      <c r="AB1752">
        <v>0</v>
      </c>
      <c r="AC1752">
        <v>0</v>
      </c>
      <c r="AD1752">
        <v>0</v>
      </c>
      <c r="AE1752">
        <v>0</v>
      </c>
      <c r="AF1752">
        <v>0</v>
      </c>
      <c r="AG1752">
        <v>0</v>
      </c>
      <c r="AH1752">
        <v>0</v>
      </c>
      <c r="AI1752">
        <v>0</v>
      </c>
      <c r="AJ1752">
        <v>0</v>
      </c>
      <c r="AK1752">
        <v>0</v>
      </c>
      <c r="AL1752">
        <v>2</v>
      </c>
      <c r="AM1752">
        <v>0.33333333333333331</v>
      </c>
      <c r="AN1752">
        <v>6.0417410714286133</v>
      </c>
    </row>
    <row r="1753" spans="1:40" x14ac:dyDescent="0.3">
      <c r="A1753" t="s">
        <v>517</v>
      </c>
      <c r="B1753" t="s">
        <v>17</v>
      </c>
      <c r="C1753" t="s">
        <v>10</v>
      </c>
      <c r="D1753" t="s">
        <v>14</v>
      </c>
      <c r="E1753">
        <v>202602</v>
      </c>
      <c r="F1753" t="s">
        <v>529</v>
      </c>
      <c r="G1753">
        <v>0</v>
      </c>
      <c r="H1753">
        <v>1</v>
      </c>
      <c r="I1753">
        <v>0</v>
      </c>
      <c r="J1753">
        <v>0</v>
      </c>
      <c r="K1753">
        <v>0</v>
      </c>
      <c r="L1753">
        <v>0</v>
      </c>
      <c r="M1753">
        <v>0</v>
      </c>
      <c r="N1753">
        <v>0</v>
      </c>
      <c r="O1753">
        <v>0</v>
      </c>
      <c r="P1753">
        <v>0</v>
      </c>
      <c r="Q1753">
        <v>0</v>
      </c>
      <c r="R1753">
        <v>0</v>
      </c>
      <c r="S1753">
        <v>0</v>
      </c>
      <c r="T1753">
        <v>0</v>
      </c>
      <c r="U1753">
        <v>0</v>
      </c>
      <c r="V1753">
        <v>0</v>
      </c>
      <c r="W1753">
        <v>0</v>
      </c>
      <c r="X1753">
        <v>0</v>
      </c>
      <c r="Y1753">
        <v>0</v>
      </c>
      <c r="Z1753">
        <v>0</v>
      </c>
      <c r="AA1753">
        <v>0</v>
      </c>
      <c r="AB1753">
        <v>0</v>
      </c>
      <c r="AC1753">
        <v>0</v>
      </c>
      <c r="AD1753">
        <v>0</v>
      </c>
      <c r="AE1753">
        <v>0</v>
      </c>
      <c r="AF1753">
        <v>0</v>
      </c>
      <c r="AG1753">
        <v>0</v>
      </c>
      <c r="AH1753">
        <v>0</v>
      </c>
      <c r="AI1753">
        <v>0</v>
      </c>
      <c r="AJ1753">
        <v>0</v>
      </c>
      <c r="AK1753">
        <v>0</v>
      </c>
      <c r="AL1753">
        <v>1</v>
      </c>
      <c r="AM1753">
        <v>0</v>
      </c>
      <c r="AN1753">
        <v>1</v>
      </c>
    </row>
    <row r="1754" spans="1:40" x14ac:dyDescent="0.3">
      <c r="A1754" t="s">
        <v>517</v>
      </c>
      <c r="B1754" t="s">
        <v>17</v>
      </c>
      <c r="C1754" t="s">
        <v>10</v>
      </c>
      <c r="D1754" t="s">
        <v>14</v>
      </c>
      <c r="E1754">
        <v>202602</v>
      </c>
      <c r="F1754" t="s">
        <v>530</v>
      </c>
      <c r="G1754">
        <v>0</v>
      </c>
      <c r="H1754">
        <v>0</v>
      </c>
      <c r="I1754">
        <v>0</v>
      </c>
      <c r="J1754">
        <v>0</v>
      </c>
      <c r="K1754">
        <v>1</v>
      </c>
      <c r="L1754">
        <v>0</v>
      </c>
      <c r="M1754">
        <v>0</v>
      </c>
      <c r="N1754">
        <v>0</v>
      </c>
      <c r="O1754">
        <v>0</v>
      </c>
      <c r="P1754">
        <v>0</v>
      </c>
      <c r="Q1754">
        <v>0</v>
      </c>
      <c r="R1754">
        <v>0</v>
      </c>
      <c r="S1754">
        <v>0</v>
      </c>
      <c r="T1754">
        <v>0</v>
      </c>
      <c r="U1754">
        <v>0</v>
      </c>
      <c r="V1754">
        <v>0</v>
      </c>
      <c r="W1754">
        <v>0</v>
      </c>
      <c r="X1754">
        <v>0</v>
      </c>
      <c r="Y1754">
        <v>0</v>
      </c>
      <c r="Z1754">
        <v>0</v>
      </c>
      <c r="AA1754">
        <v>0</v>
      </c>
      <c r="AB1754">
        <v>0</v>
      </c>
      <c r="AC1754">
        <v>0</v>
      </c>
      <c r="AD1754">
        <v>0</v>
      </c>
      <c r="AE1754">
        <v>0</v>
      </c>
      <c r="AF1754">
        <v>0</v>
      </c>
      <c r="AG1754">
        <v>0</v>
      </c>
      <c r="AH1754">
        <v>0</v>
      </c>
      <c r="AI1754">
        <v>0</v>
      </c>
      <c r="AJ1754">
        <v>0</v>
      </c>
      <c r="AK1754">
        <v>0</v>
      </c>
      <c r="AL1754">
        <v>1</v>
      </c>
      <c r="AM1754">
        <v>0</v>
      </c>
      <c r="AN1754">
        <v>1</v>
      </c>
    </row>
    <row r="1755" spans="1:40" x14ac:dyDescent="0.3">
      <c r="A1755" t="s">
        <v>517</v>
      </c>
      <c r="B1755" t="s">
        <v>17</v>
      </c>
      <c r="C1755" t="s">
        <v>10</v>
      </c>
      <c r="D1755" t="s">
        <v>14</v>
      </c>
      <c r="E1755">
        <v>202602</v>
      </c>
      <c r="F1755" t="s">
        <v>531</v>
      </c>
      <c r="G1755">
        <v>0</v>
      </c>
      <c r="H1755">
        <v>0</v>
      </c>
      <c r="I1755">
        <v>1</v>
      </c>
      <c r="J1755">
        <v>0</v>
      </c>
      <c r="K1755">
        <v>0</v>
      </c>
      <c r="L1755">
        <v>0</v>
      </c>
      <c r="M1755">
        <v>0</v>
      </c>
      <c r="N1755">
        <v>0</v>
      </c>
      <c r="O1755">
        <v>0</v>
      </c>
      <c r="P1755">
        <v>0</v>
      </c>
      <c r="Q1755">
        <v>0</v>
      </c>
      <c r="R1755">
        <v>0</v>
      </c>
      <c r="S1755">
        <v>0</v>
      </c>
      <c r="T1755">
        <v>0</v>
      </c>
      <c r="U1755">
        <v>0</v>
      </c>
      <c r="V1755">
        <v>0</v>
      </c>
      <c r="W1755">
        <v>0</v>
      </c>
      <c r="X1755">
        <v>0</v>
      </c>
      <c r="Y1755">
        <v>0</v>
      </c>
      <c r="Z1755">
        <v>0</v>
      </c>
      <c r="AA1755">
        <v>0</v>
      </c>
      <c r="AB1755">
        <v>0</v>
      </c>
      <c r="AC1755">
        <v>0</v>
      </c>
      <c r="AD1755">
        <v>0</v>
      </c>
      <c r="AE1755">
        <v>0</v>
      </c>
      <c r="AF1755">
        <v>0</v>
      </c>
      <c r="AG1755">
        <v>0</v>
      </c>
      <c r="AH1755">
        <v>0</v>
      </c>
      <c r="AI1755">
        <v>0</v>
      </c>
      <c r="AJ1755">
        <v>0</v>
      </c>
      <c r="AK1755">
        <v>0</v>
      </c>
      <c r="AL1755">
        <v>1</v>
      </c>
      <c r="AM1755">
        <v>0</v>
      </c>
      <c r="AN1755">
        <v>1</v>
      </c>
    </row>
    <row r="1756" spans="1:40" x14ac:dyDescent="0.3">
      <c r="A1756" t="s">
        <v>517</v>
      </c>
      <c r="B1756" t="s">
        <v>17</v>
      </c>
      <c r="C1756" t="s">
        <v>10</v>
      </c>
      <c r="D1756" t="s">
        <v>14</v>
      </c>
      <c r="E1756">
        <v>202602</v>
      </c>
      <c r="F1756" t="s">
        <v>532</v>
      </c>
      <c r="G1756">
        <v>0</v>
      </c>
      <c r="H1756">
        <v>0</v>
      </c>
      <c r="I1756">
        <v>0</v>
      </c>
      <c r="J1756">
        <v>0</v>
      </c>
      <c r="K1756">
        <v>1</v>
      </c>
      <c r="L1756">
        <v>0</v>
      </c>
      <c r="M1756">
        <v>1</v>
      </c>
      <c r="N1756">
        <v>0</v>
      </c>
      <c r="O1756">
        <v>0</v>
      </c>
      <c r="P1756">
        <v>0</v>
      </c>
      <c r="Q1756">
        <v>1</v>
      </c>
      <c r="R1756">
        <v>0</v>
      </c>
      <c r="S1756">
        <v>0</v>
      </c>
      <c r="T1756">
        <v>0</v>
      </c>
      <c r="U1756">
        <v>0</v>
      </c>
      <c r="V1756">
        <v>0</v>
      </c>
      <c r="W1756">
        <v>0</v>
      </c>
      <c r="X1756">
        <v>0</v>
      </c>
      <c r="Y1756">
        <v>0</v>
      </c>
      <c r="Z1756">
        <v>0</v>
      </c>
      <c r="AA1756">
        <v>0</v>
      </c>
      <c r="AB1756">
        <v>0</v>
      </c>
      <c r="AC1756">
        <v>0</v>
      </c>
      <c r="AD1756">
        <v>0</v>
      </c>
      <c r="AE1756">
        <v>0</v>
      </c>
      <c r="AF1756">
        <v>0</v>
      </c>
      <c r="AG1756">
        <v>0</v>
      </c>
      <c r="AH1756">
        <v>0</v>
      </c>
      <c r="AI1756">
        <v>0</v>
      </c>
      <c r="AJ1756">
        <v>0</v>
      </c>
      <c r="AK1756">
        <v>0</v>
      </c>
      <c r="AL1756">
        <v>3</v>
      </c>
      <c r="AM1756">
        <v>0.33333333333333331</v>
      </c>
      <c r="AN1756">
        <v>7.0417410714286133</v>
      </c>
    </row>
    <row r="1757" spans="1:40" x14ac:dyDescent="0.3">
      <c r="A1757" t="s">
        <v>517</v>
      </c>
      <c r="B1757" t="s">
        <v>17</v>
      </c>
      <c r="C1757" t="s">
        <v>10</v>
      </c>
      <c r="D1757" t="s">
        <v>14</v>
      </c>
      <c r="E1757">
        <v>202602</v>
      </c>
      <c r="F1757" t="s">
        <v>546</v>
      </c>
      <c r="G1757">
        <v>0</v>
      </c>
      <c r="H1757">
        <v>0</v>
      </c>
      <c r="I1757">
        <v>0</v>
      </c>
      <c r="J1757">
        <v>0</v>
      </c>
      <c r="K1757">
        <v>1</v>
      </c>
      <c r="L1757">
        <v>0</v>
      </c>
      <c r="M1757">
        <v>0</v>
      </c>
      <c r="N1757">
        <v>1</v>
      </c>
      <c r="O1757">
        <v>1</v>
      </c>
      <c r="P1757">
        <v>0</v>
      </c>
      <c r="Q1757">
        <v>0</v>
      </c>
      <c r="R1757">
        <v>0</v>
      </c>
      <c r="S1757">
        <v>0</v>
      </c>
      <c r="T1757">
        <v>0</v>
      </c>
      <c r="U1757">
        <v>0</v>
      </c>
      <c r="V1757">
        <v>0</v>
      </c>
      <c r="W1757">
        <v>0</v>
      </c>
      <c r="X1757">
        <v>0</v>
      </c>
      <c r="Y1757">
        <v>0</v>
      </c>
      <c r="Z1757">
        <v>0</v>
      </c>
      <c r="AA1757">
        <v>0</v>
      </c>
      <c r="AB1757">
        <v>0</v>
      </c>
      <c r="AC1757">
        <v>0</v>
      </c>
      <c r="AD1757">
        <v>0</v>
      </c>
      <c r="AE1757">
        <v>0</v>
      </c>
      <c r="AF1757">
        <v>0</v>
      </c>
      <c r="AG1757">
        <v>0</v>
      </c>
      <c r="AH1757">
        <v>0</v>
      </c>
      <c r="AI1757">
        <v>0</v>
      </c>
      <c r="AJ1757">
        <v>0</v>
      </c>
      <c r="AK1757">
        <v>0</v>
      </c>
      <c r="AL1757">
        <v>3</v>
      </c>
      <c r="AM1757">
        <v>0.33333333333333331</v>
      </c>
      <c r="AN1757">
        <v>7.0417410714286133</v>
      </c>
    </row>
    <row r="1758" spans="1:40" x14ac:dyDescent="0.3">
      <c r="A1758" t="s">
        <v>517</v>
      </c>
      <c r="B1758" t="s">
        <v>17</v>
      </c>
      <c r="C1758" t="s">
        <v>10</v>
      </c>
      <c r="D1758" t="s">
        <v>14</v>
      </c>
      <c r="E1758">
        <v>202602</v>
      </c>
      <c r="F1758" t="s">
        <v>300</v>
      </c>
      <c r="G1758">
        <v>0</v>
      </c>
      <c r="H1758">
        <v>0</v>
      </c>
      <c r="I1758">
        <v>0</v>
      </c>
      <c r="J1758">
        <v>0</v>
      </c>
      <c r="K1758">
        <v>0</v>
      </c>
      <c r="L1758">
        <v>0</v>
      </c>
      <c r="M1758">
        <v>0</v>
      </c>
      <c r="N1758">
        <v>0</v>
      </c>
      <c r="O1758">
        <v>1</v>
      </c>
      <c r="P1758">
        <v>0</v>
      </c>
      <c r="Q1758">
        <v>0</v>
      </c>
      <c r="R1758">
        <v>0</v>
      </c>
      <c r="S1758">
        <v>0</v>
      </c>
      <c r="T1758">
        <v>0</v>
      </c>
      <c r="U1758">
        <v>0</v>
      </c>
      <c r="V1758">
        <v>0</v>
      </c>
      <c r="W1758">
        <v>0</v>
      </c>
      <c r="X1758">
        <v>0</v>
      </c>
      <c r="Y1758">
        <v>0</v>
      </c>
      <c r="Z1758">
        <v>0</v>
      </c>
      <c r="AA1758">
        <v>0</v>
      </c>
      <c r="AB1758">
        <v>0</v>
      </c>
      <c r="AC1758">
        <v>0</v>
      </c>
      <c r="AD1758">
        <v>0</v>
      </c>
      <c r="AE1758">
        <v>0</v>
      </c>
      <c r="AF1758">
        <v>0</v>
      </c>
      <c r="AG1758">
        <v>0</v>
      </c>
      <c r="AH1758">
        <v>0</v>
      </c>
      <c r="AI1758">
        <v>0</v>
      </c>
      <c r="AJ1758">
        <v>0</v>
      </c>
      <c r="AK1758">
        <v>0</v>
      </c>
      <c r="AL1758">
        <v>1</v>
      </c>
      <c r="AM1758">
        <v>0.33333333333333331</v>
      </c>
      <c r="AN1758">
        <v>5.0417410714286133</v>
      </c>
    </row>
    <row r="1759" spans="1:40" x14ac:dyDescent="0.3">
      <c r="A1759" t="s">
        <v>517</v>
      </c>
      <c r="B1759" t="s">
        <v>17</v>
      </c>
      <c r="C1759" t="s">
        <v>10</v>
      </c>
      <c r="D1759" t="s">
        <v>14</v>
      </c>
      <c r="E1759">
        <v>202602</v>
      </c>
      <c r="F1759" t="s">
        <v>533</v>
      </c>
      <c r="G1759">
        <v>0</v>
      </c>
      <c r="H1759">
        <v>0</v>
      </c>
      <c r="I1759">
        <v>0</v>
      </c>
      <c r="J1759">
        <v>2</v>
      </c>
      <c r="K1759">
        <v>0</v>
      </c>
      <c r="L1759">
        <v>1</v>
      </c>
      <c r="M1759">
        <v>0</v>
      </c>
      <c r="N1759">
        <v>0</v>
      </c>
      <c r="O1759">
        <v>0</v>
      </c>
      <c r="P1759">
        <v>1</v>
      </c>
      <c r="Q1759">
        <v>0</v>
      </c>
      <c r="R1759">
        <v>0</v>
      </c>
      <c r="S1759">
        <v>0</v>
      </c>
      <c r="T1759">
        <v>0</v>
      </c>
      <c r="U1759">
        <v>0</v>
      </c>
      <c r="V1759">
        <v>0</v>
      </c>
      <c r="W1759">
        <v>0</v>
      </c>
      <c r="X1759">
        <v>0</v>
      </c>
      <c r="Y1759">
        <v>0</v>
      </c>
      <c r="Z1759">
        <v>0</v>
      </c>
      <c r="AA1759">
        <v>0</v>
      </c>
      <c r="AB1759">
        <v>0</v>
      </c>
      <c r="AC1759">
        <v>0</v>
      </c>
      <c r="AD1759">
        <v>0</v>
      </c>
      <c r="AE1759">
        <v>0</v>
      </c>
      <c r="AF1759">
        <v>0</v>
      </c>
      <c r="AG1759">
        <v>0</v>
      </c>
      <c r="AH1759">
        <v>0</v>
      </c>
      <c r="AI1759">
        <v>0</v>
      </c>
      <c r="AJ1759">
        <v>0</v>
      </c>
      <c r="AK1759">
        <v>0</v>
      </c>
      <c r="AL1759">
        <v>4</v>
      </c>
      <c r="AM1759">
        <v>0.33333333333333331</v>
      </c>
      <c r="AN1759">
        <v>8.0417410714286142</v>
      </c>
    </row>
    <row r="1760" spans="1:40" x14ac:dyDescent="0.3">
      <c r="A1760" t="s">
        <v>517</v>
      </c>
      <c r="B1760" t="s">
        <v>17</v>
      </c>
      <c r="C1760" t="s">
        <v>10</v>
      </c>
      <c r="D1760" t="s">
        <v>14</v>
      </c>
      <c r="E1760">
        <v>202602</v>
      </c>
      <c r="F1760" t="s">
        <v>547</v>
      </c>
      <c r="G1760">
        <v>0</v>
      </c>
      <c r="H1760">
        <v>0</v>
      </c>
      <c r="I1760">
        <v>0</v>
      </c>
      <c r="J1760">
        <v>0</v>
      </c>
      <c r="K1760">
        <v>0</v>
      </c>
      <c r="L1760">
        <v>0</v>
      </c>
      <c r="M1760">
        <v>0</v>
      </c>
      <c r="N1760">
        <v>0</v>
      </c>
      <c r="O1760">
        <v>2</v>
      </c>
      <c r="P1760">
        <v>0</v>
      </c>
      <c r="Q1760">
        <v>0</v>
      </c>
      <c r="R1760">
        <v>0</v>
      </c>
      <c r="S1760">
        <v>0</v>
      </c>
      <c r="T1760">
        <v>0</v>
      </c>
      <c r="U1760">
        <v>0</v>
      </c>
      <c r="V1760">
        <v>0</v>
      </c>
      <c r="W1760">
        <v>0</v>
      </c>
      <c r="X1760">
        <v>0</v>
      </c>
      <c r="Y1760">
        <v>0</v>
      </c>
      <c r="Z1760">
        <v>0</v>
      </c>
      <c r="AA1760">
        <v>0</v>
      </c>
      <c r="AB1760">
        <v>0</v>
      </c>
      <c r="AC1760">
        <v>0</v>
      </c>
      <c r="AD1760">
        <v>0</v>
      </c>
      <c r="AE1760">
        <v>0</v>
      </c>
      <c r="AF1760">
        <v>0</v>
      </c>
      <c r="AG1760">
        <v>0</v>
      </c>
      <c r="AH1760">
        <v>0</v>
      </c>
      <c r="AI1760">
        <v>0</v>
      </c>
      <c r="AJ1760">
        <v>0</v>
      </c>
      <c r="AK1760">
        <v>0</v>
      </c>
      <c r="AL1760">
        <v>2</v>
      </c>
      <c r="AM1760">
        <v>0.66666666666666663</v>
      </c>
      <c r="AN1760">
        <v>10.083482142857227</v>
      </c>
    </row>
    <row r="1761" spans="1:40" x14ac:dyDescent="0.3">
      <c r="A1761" t="s">
        <v>517</v>
      </c>
      <c r="B1761" t="s">
        <v>17</v>
      </c>
      <c r="C1761" t="s">
        <v>10</v>
      </c>
      <c r="D1761" t="s">
        <v>14</v>
      </c>
      <c r="E1761">
        <v>202602</v>
      </c>
      <c r="F1761" t="s">
        <v>534</v>
      </c>
      <c r="G1761">
        <v>1</v>
      </c>
      <c r="H1761">
        <v>0</v>
      </c>
      <c r="I1761">
        <v>2</v>
      </c>
      <c r="J1761">
        <v>0</v>
      </c>
      <c r="K1761">
        <v>0</v>
      </c>
      <c r="L1761">
        <v>0</v>
      </c>
      <c r="M1761">
        <v>0</v>
      </c>
      <c r="N1761">
        <v>0</v>
      </c>
      <c r="O1761">
        <v>0</v>
      </c>
      <c r="P1761">
        <v>0</v>
      </c>
      <c r="Q1761">
        <v>0</v>
      </c>
      <c r="R1761">
        <v>0</v>
      </c>
      <c r="S1761">
        <v>0</v>
      </c>
      <c r="T1761">
        <v>0</v>
      </c>
      <c r="U1761">
        <v>0</v>
      </c>
      <c r="V1761">
        <v>0</v>
      </c>
      <c r="W1761">
        <v>0</v>
      </c>
      <c r="X1761">
        <v>0</v>
      </c>
      <c r="Y1761">
        <v>0</v>
      </c>
      <c r="Z1761">
        <v>0</v>
      </c>
      <c r="AA1761">
        <v>0</v>
      </c>
      <c r="AB1761">
        <v>0</v>
      </c>
      <c r="AC1761">
        <v>0</v>
      </c>
      <c r="AD1761">
        <v>0</v>
      </c>
      <c r="AE1761">
        <v>0</v>
      </c>
      <c r="AF1761">
        <v>0</v>
      </c>
      <c r="AG1761">
        <v>0</v>
      </c>
      <c r="AH1761">
        <v>0</v>
      </c>
      <c r="AI1761">
        <v>0</v>
      </c>
      <c r="AJ1761">
        <v>0</v>
      </c>
      <c r="AK1761">
        <v>0</v>
      </c>
      <c r="AL1761">
        <v>3</v>
      </c>
      <c r="AM1761">
        <v>0</v>
      </c>
      <c r="AN1761">
        <v>3</v>
      </c>
    </row>
    <row r="1762" spans="1:40" x14ac:dyDescent="0.3">
      <c r="A1762" t="s">
        <v>517</v>
      </c>
      <c r="B1762" t="s">
        <v>17</v>
      </c>
      <c r="C1762" t="s">
        <v>10</v>
      </c>
      <c r="D1762" t="s">
        <v>14</v>
      </c>
      <c r="E1762">
        <v>202602</v>
      </c>
      <c r="F1762" t="s">
        <v>696</v>
      </c>
      <c r="G1762">
        <v>0</v>
      </c>
      <c r="H1762">
        <v>0</v>
      </c>
      <c r="I1762">
        <v>0</v>
      </c>
      <c r="J1762">
        <v>0</v>
      </c>
      <c r="K1762">
        <v>0</v>
      </c>
      <c r="L1762">
        <v>0</v>
      </c>
      <c r="M1762">
        <v>0</v>
      </c>
      <c r="N1762">
        <v>0</v>
      </c>
      <c r="O1762">
        <v>0</v>
      </c>
      <c r="P1762">
        <v>0</v>
      </c>
      <c r="Q1762">
        <v>1</v>
      </c>
      <c r="R1762">
        <v>0</v>
      </c>
      <c r="S1762">
        <v>0</v>
      </c>
      <c r="T1762">
        <v>0</v>
      </c>
      <c r="U1762">
        <v>0</v>
      </c>
      <c r="V1762">
        <v>0</v>
      </c>
      <c r="W1762">
        <v>0</v>
      </c>
      <c r="X1762">
        <v>0</v>
      </c>
      <c r="Y1762">
        <v>0</v>
      </c>
      <c r="Z1762">
        <v>0</v>
      </c>
      <c r="AA1762">
        <v>0</v>
      </c>
      <c r="AB1762">
        <v>0</v>
      </c>
      <c r="AC1762">
        <v>0</v>
      </c>
      <c r="AD1762">
        <v>0</v>
      </c>
      <c r="AE1762">
        <v>0</v>
      </c>
      <c r="AF1762">
        <v>0</v>
      </c>
      <c r="AG1762">
        <v>0</v>
      </c>
      <c r="AH1762">
        <v>0</v>
      </c>
      <c r="AI1762">
        <v>0</v>
      </c>
      <c r="AJ1762">
        <v>0</v>
      </c>
      <c r="AK1762">
        <v>0</v>
      </c>
      <c r="AL1762">
        <v>1</v>
      </c>
      <c r="AM1762">
        <v>0.33333333333333331</v>
      </c>
      <c r="AN1762">
        <v>5.0417410714286133</v>
      </c>
    </row>
    <row r="1763" spans="1:40" x14ac:dyDescent="0.3">
      <c r="A1763" t="s">
        <v>517</v>
      </c>
      <c r="B1763" t="s">
        <v>17</v>
      </c>
      <c r="C1763" t="s">
        <v>10</v>
      </c>
      <c r="D1763" t="s">
        <v>14</v>
      </c>
      <c r="E1763">
        <v>202602</v>
      </c>
      <c r="F1763" t="s">
        <v>535</v>
      </c>
      <c r="G1763">
        <v>0</v>
      </c>
      <c r="H1763">
        <v>0</v>
      </c>
      <c r="I1763">
        <v>0</v>
      </c>
      <c r="J1763">
        <v>0</v>
      </c>
      <c r="K1763">
        <v>0</v>
      </c>
      <c r="L1763">
        <v>0</v>
      </c>
      <c r="M1763">
        <v>0</v>
      </c>
      <c r="N1763">
        <v>0</v>
      </c>
      <c r="O1763">
        <v>0</v>
      </c>
      <c r="P1763">
        <v>1</v>
      </c>
      <c r="Q1763">
        <v>0</v>
      </c>
      <c r="R1763">
        <v>0</v>
      </c>
      <c r="S1763">
        <v>0</v>
      </c>
      <c r="T1763">
        <v>0</v>
      </c>
      <c r="U1763">
        <v>0</v>
      </c>
      <c r="V1763">
        <v>0</v>
      </c>
      <c r="W1763">
        <v>0</v>
      </c>
      <c r="X1763">
        <v>0</v>
      </c>
      <c r="Y1763">
        <v>0</v>
      </c>
      <c r="Z1763">
        <v>0</v>
      </c>
      <c r="AA1763">
        <v>0</v>
      </c>
      <c r="AB1763">
        <v>0</v>
      </c>
      <c r="AC1763">
        <v>0</v>
      </c>
      <c r="AD1763">
        <v>0</v>
      </c>
      <c r="AE1763">
        <v>0</v>
      </c>
      <c r="AF1763">
        <v>0</v>
      </c>
      <c r="AG1763">
        <v>0</v>
      </c>
      <c r="AH1763">
        <v>0</v>
      </c>
      <c r="AI1763">
        <v>0</v>
      </c>
      <c r="AJ1763">
        <v>0</v>
      </c>
      <c r="AK1763">
        <v>0</v>
      </c>
      <c r="AL1763">
        <v>1</v>
      </c>
      <c r="AM1763">
        <v>0.33333333333333331</v>
      </c>
      <c r="AN1763">
        <v>5.0417410714286133</v>
      </c>
    </row>
    <row r="1764" spans="1:40" x14ac:dyDescent="0.3">
      <c r="A1764" t="s">
        <v>517</v>
      </c>
      <c r="B1764" t="s">
        <v>17</v>
      </c>
      <c r="C1764" t="s">
        <v>10</v>
      </c>
      <c r="D1764" t="s">
        <v>14</v>
      </c>
      <c r="E1764">
        <v>202602</v>
      </c>
      <c r="F1764" t="s">
        <v>548</v>
      </c>
      <c r="G1764">
        <v>0</v>
      </c>
      <c r="H1764">
        <v>0</v>
      </c>
      <c r="I1764">
        <v>0</v>
      </c>
      <c r="J1764">
        <v>0</v>
      </c>
      <c r="K1764">
        <v>0</v>
      </c>
      <c r="L1764">
        <v>0</v>
      </c>
      <c r="M1764">
        <v>0</v>
      </c>
      <c r="N1764">
        <v>0</v>
      </c>
      <c r="O1764">
        <v>0</v>
      </c>
      <c r="P1764">
        <v>1</v>
      </c>
      <c r="Q1764">
        <v>0</v>
      </c>
      <c r="R1764">
        <v>0</v>
      </c>
      <c r="S1764">
        <v>0</v>
      </c>
      <c r="T1764">
        <v>0</v>
      </c>
      <c r="U1764">
        <v>0</v>
      </c>
      <c r="V1764">
        <v>0</v>
      </c>
      <c r="W1764">
        <v>0</v>
      </c>
      <c r="X1764">
        <v>0</v>
      </c>
      <c r="Y1764">
        <v>0</v>
      </c>
      <c r="Z1764">
        <v>0</v>
      </c>
      <c r="AA1764">
        <v>0</v>
      </c>
      <c r="AB1764">
        <v>0</v>
      </c>
      <c r="AC1764">
        <v>0</v>
      </c>
      <c r="AD1764">
        <v>0</v>
      </c>
      <c r="AE1764">
        <v>0</v>
      </c>
      <c r="AF1764">
        <v>0</v>
      </c>
      <c r="AG1764">
        <v>0</v>
      </c>
      <c r="AH1764">
        <v>0</v>
      </c>
      <c r="AI1764">
        <v>0</v>
      </c>
      <c r="AJ1764">
        <v>0</v>
      </c>
      <c r="AK1764">
        <v>0</v>
      </c>
      <c r="AL1764">
        <v>1</v>
      </c>
      <c r="AM1764">
        <v>0.33333333333333331</v>
      </c>
      <c r="AN1764">
        <v>5.0417410714286133</v>
      </c>
    </row>
    <row r="1765" spans="1:40" x14ac:dyDescent="0.3">
      <c r="A1765" t="s">
        <v>517</v>
      </c>
      <c r="B1765" t="s">
        <v>17</v>
      </c>
      <c r="C1765" t="s">
        <v>10</v>
      </c>
      <c r="D1765" t="s">
        <v>14</v>
      </c>
      <c r="E1765">
        <v>202602</v>
      </c>
      <c r="F1765" t="s">
        <v>536</v>
      </c>
      <c r="G1765">
        <v>0</v>
      </c>
      <c r="H1765">
        <v>1</v>
      </c>
      <c r="I1765">
        <v>0</v>
      </c>
      <c r="J1765">
        <v>2</v>
      </c>
      <c r="K1765">
        <v>0</v>
      </c>
      <c r="L1765">
        <v>1</v>
      </c>
      <c r="M1765">
        <v>0</v>
      </c>
      <c r="N1765">
        <v>0</v>
      </c>
      <c r="O1765">
        <v>0</v>
      </c>
      <c r="P1765">
        <v>0</v>
      </c>
      <c r="Q1765">
        <v>0</v>
      </c>
      <c r="R1765">
        <v>0</v>
      </c>
      <c r="S1765">
        <v>0</v>
      </c>
      <c r="T1765">
        <v>0</v>
      </c>
      <c r="U1765">
        <v>0</v>
      </c>
      <c r="V1765">
        <v>0</v>
      </c>
      <c r="W1765">
        <v>0</v>
      </c>
      <c r="X1765">
        <v>0</v>
      </c>
      <c r="Y1765">
        <v>0</v>
      </c>
      <c r="Z1765">
        <v>0</v>
      </c>
      <c r="AA1765">
        <v>0</v>
      </c>
      <c r="AB1765">
        <v>0</v>
      </c>
      <c r="AC1765">
        <v>0</v>
      </c>
      <c r="AD1765">
        <v>0</v>
      </c>
      <c r="AE1765">
        <v>0</v>
      </c>
      <c r="AF1765">
        <v>0</v>
      </c>
      <c r="AG1765">
        <v>0</v>
      </c>
      <c r="AH1765">
        <v>0</v>
      </c>
      <c r="AI1765">
        <v>0</v>
      </c>
      <c r="AJ1765">
        <v>0</v>
      </c>
      <c r="AK1765">
        <v>0</v>
      </c>
      <c r="AL1765">
        <v>4</v>
      </c>
      <c r="AM1765">
        <v>0</v>
      </c>
      <c r="AN1765">
        <v>4</v>
      </c>
    </row>
    <row r="1766" spans="1:40" x14ac:dyDescent="0.3">
      <c r="A1766" t="s">
        <v>517</v>
      </c>
      <c r="B1766" t="s">
        <v>17</v>
      </c>
      <c r="C1766" t="s">
        <v>10</v>
      </c>
      <c r="D1766" t="s">
        <v>14</v>
      </c>
      <c r="E1766">
        <v>202602</v>
      </c>
      <c r="F1766" t="s">
        <v>537</v>
      </c>
      <c r="G1766">
        <v>0</v>
      </c>
      <c r="H1766">
        <v>0</v>
      </c>
      <c r="I1766">
        <v>0</v>
      </c>
      <c r="J1766">
        <v>0</v>
      </c>
      <c r="K1766">
        <v>1</v>
      </c>
      <c r="L1766">
        <v>0</v>
      </c>
      <c r="M1766">
        <v>0</v>
      </c>
      <c r="N1766">
        <v>0</v>
      </c>
      <c r="O1766">
        <v>0</v>
      </c>
      <c r="P1766">
        <v>0</v>
      </c>
      <c r="Q1766">
        <v>0</v>
      </c>
      <c r="R1766">
        <v>0</v>
      </c>
      <c r="S1766">
        <v>0</v>
      </c>
      <c r="T1766">
        <v>0</v>
      </c>
      <c r="U1766">
        <v>0</v>
      </c>
      <c r="V1766">
        <v>0</v>
      </c>
      <c r="W1766">
        <v>0</v>
      </c>
      <c r="X1766">
        <v>0</v>
      </c>
      <c r="Y1766">
        <v>0</v>
      </c>
      <c r="Z1766">
        <v>0</v>
      </c>
      <c r="AA1766">
        <v>0</v>
      </c>
      <c r="AB1766">
        <v>0</v>
      </c>
      <c r="AC1766">
        <v>0</v>
      </c>
      <c r="AD1766">
        <v>0</v>
      </c>
      <c r="AE1766">
        <v>0</v>
      </c>
      <c r="AF1766">
        <v>0</v>
      </c>
      <c r="AG1766">
        <v>0</v>
      </c>
      <c r="AH1766">
        <v>0</v>
      </c>
      <c r="AI1766">
        <v>0</v>
      </c>
      <c r="AJ1766">
        <v>0</v>
      </c>
      <c r="AK1766">
        <v>0</v>
      </c>
      <c r="AL1766">
        <v>1</v>
      </c>
      <c r="AM1766">
        <v>0</v>
      </c>
      <c r="AN1766">
        <v>1</v>
      </c>
    </row>
    <row r="1767" spans="1:40" x14ac:dyDescent="0.3">
      <c r="A1767" t="s">
        <v>517</v>
      </c>
      <c r="B1767" t="s">
        <v>17</v>
      </c>
      <c r="C1767" t="s">
        <v>10</v>
      </c>
      <c r="D1767" t="s">
        <v>14</v>
      </c>
      <c r="E1767">
        <v>202602</v>
      </c>
      <c r="F1767" t="s">
        <v>41</v>
      </c>
      <c r="G1767">
        <v>0</v>
      </c>
      <c r="H1767">
        <v>0</v>
      </c>
      <c r="I1767">
        <v>0</v>
      </c>
      <c r="J1767">
        <v>0</v>
      </c>
      <c r="K1767">
        <v>0</v>
      </c>
      <c r="L1767">
        <v>0</v>
      </c>
      <c r="M1767">
        <v>0</v>
      </c>
      <c r="N1767">
        <v>0</v>
      </c>
      <c r="O1767">
        <v>0</v>
      </c>
      <c r="P1767">
        <v>0</v>
      </c>
      <c r="Q1767">
        <v>2</v>
      </c>
      <c r="R1767">
        <v>0</v>
      </c>
      <c r="S1767">
        <v>0</v>
      </c>
      <c r="T1767">
        <v>0</v>
      </c>
      <c r="U1767">
        <v>0</v>
      </c>
      <c r="V1767">
        <v>0</v>
      </c>
      <c r="W1767">
        <v>0</v>
      </c>
      <c r="X1767">
        <v>0</v>
      </c>
      <c r="Y1767">
        <v>0</v>
      </c>
      <c r="Z1767">
        <v>0</v>
      </c>
      <c r="AA1767">
        <v>0</v>
      </c>
      <c r="AB1767">
        <v>0</v>
      </c>
      <c r="AC1767">
        <v>0</v>
      </c>
      <c r="AD1767">
        <v>0</v>
      </c>
      <c r="AE1767">
        <v>0</v>
      </c>
      <c r="AF1767">
        <v>0</v>
      </c>
      <c r="AG1767">
        <v>0</v>
      </c>
      <c r="AH1767">
        <v>0</v>
      </c>
      <c r="AI1767">
        <v>0</v>
      </c>
      <c r="AJ1767">
        <v>0</v>
      </c>
      <c r="AK1767">
        <v>0</v>
      </c>
      <c r="AL1767">
        <v>2</v>
      </c>
      <c r="AM1767">
        <v>0.66666666666666663</v>
      </c>
      <c r="AN1767">
        <v>10.083482142857227</v>
      </c>
    </row>
    <row r="1768" spans="1:40" x14ac:dyDescent="0.3">
      <c r="A1768" t="s">
        <v>517</v>
      </c>
      <c r="B1768" t="s">
        <v>17</v>
      </c>
      <c r="C1768" t="s">
        <v>10</v>
      </c>
      <c r="D1768" t="s">
        <v>14</v>
      </c>
      <c r="E1768">
        <v>202602</v>
      </c>
      <c r="F1768" t="s">
        <v>549</v>
      </c>
      <c r="G1768">
        <v>0</v>
      </c>
      <c r="H1768">
        <v>0</v>
      </c>
      <c r="I1768">
        <v>1</v>
      </c>
      <c r="J1768">
        <v>0</v>
      </c>
      <c r="K1768">
        <v>0</v>
      </c>
      <c r="L1768">
        <v>0</v>
      </c>
      <c r="M1768">
        <v>0</v>
      </c>
      <c r="N1768">
        <v>0</v>
      </c>
      <c r="O1768">
        <v>0</v>
      </c>
      <c r="P1768">
        <v>0</v>
      </c>
      <c r="Q1768">
        <v>0</v>
      </c>
      <c r="R1768">
        <v>0</v>
      </c>
      <c r="S1768">
        <v>0</v>
      </c>
      <c r="T1768">
        <v>0</v>
      </c>
      <c r="U1768">
        <v>0</v>
      </c>
      <c r="V1768">
        <v>0</v>
      </c>
      <c r="W1768">
        <v>0</v>
      </c>
      <c r="X1768">
        <v>0</v>
      </c>
      <c r="Y1768">
        <v>0</v>
      </c>
      <c r="Z1768">
        <v>0</v>
      </c>
      <c r="AA1768">
        <v>0</v>
      </c>
      <c r="AB1768">
        <v>0</v>
      </c>
      <c r="AC1768">
        <v>0</v>
      </c>
      <c r="AD1768">
        <v>0</v>
      </c>
      <c r="AE1768">
        <v>0</v>
      </c>
      <c r="AF1768">
        <v>0</v>
      </c>
      <c r="AG1768">
        <v>0</v>
      </c>
      <c r="AH1768">
        <v>0</v>
      </c>
      <c r="AI1768">
        <v>0</v>
      </c>
      <c r="AJ1768">
        <v>0</v>
      </c>
      <c r="AK1768">
        <v>0</v>
      </c>
      <c r="AL1768">
        <v>1</v>
      </c>
      <c r="AM1768">
        <v>0</v>
      </c>
      <c r="AN1768">
        <v>1</v>
      </c>
    </row>
    <row r="1769" spans="1:40" x14ac:dyDescent="0.3">
      <c r="A1769" t="s">
        <v>517</v>
      </c>
      <c r="B1769" t="s">
        <v>17</v>
      </c>
      <c r="C1769" t="s">
        <v>16</v>
      </c>
      <c r="D1769" t="s">
        <v>11</v>
      </c>
      <c r="E1769">
        <v>202602</v>
      </c>
      <c r="F1769" t="s">
        <v>18</v>
      </c>
      <c r="G1769">
        <v>0</v>
      </c>
      <c r="H1769">
        <v>0</v>
      </c>
      <c r="I1769">
        <v>0</v>
      </c>
      <c r="J1769">
        <v>1</v>
      </c>
      <c r="K1769">
        <v>0</v>
      </c>
      <c r="L1769">
        <v>0</v>
      </c>
      <c r="M1769">
        <v>0</v>
      </c>
      <c r="N1769">
        <v>0</v>
      </c>
      <c r="O1769">
        <v>0</v>
      </c>
      <c r="P1769">
        <v>0</v>
      </c>
      <c r="Q1769">
        <v>1</v>
      </c>
      <c r="R1769">
        <v>0</v>
      </c>
      <c r="S1769">
        <v>0</v>
      </c>
      <c r="T1769">
        <v>0</v>
      </c>
      <c r="U1769">
        <v>0</v>
      </c>
      <c r="V1769">
        <v>0</v>
      </c>
      <c r="W1769">
        <v>0</v>
      </c>
      <c r="X1769">
        <v>0</v>
      </c>
      <c r="Y1769">
        <v>0</v>
      </c>
      <c r="Z1769">
        <v>0</v>
      </c>
      <c r="AA1769">
        <v>0</v>
      </c>
      <c r="AB1769">
        <v>0</v>
      </c>
      <c r="AC1769">
        <v>0</v>
      </c>
      <c r="AD1769">
        <v>0</v>
      </c>
      <c r="AE1769">
        <v>0</v>
      </c>
      <c r="AF1769">
        <v>0</v>
      </c>
      <c r="AG1769">
        <v>0</v>
      </c>
      <c r="AH1769">
        <v>0</v>
      </c>
      <c r="AI1769">
        <v>0</v>
      </c>
      <c r="AJ1769">
        <v>0</v>
      </c>
      <c r="AK1769">
        <v>0</v>
      </c>
      <c r="AL1769">
        <v>2</v>
      </c>
      <c r="AM1769">
        <v>0.33333333333333331</v>
      </c>
      <c r="AN1769">
        <v>6.6046251398731117</v>
      </c>
    </row>
    <row r="1770" spans="1:40" x14ac:dyDescent="0.3">
      <c r="A1770" t="s">
        <v>517</v>
      </c>
      <c r="B1770" t="s">
        <v>17</v>
      </c>
      <c r="C1770" t="s">
        <v>16</v>
      </c>
      <c r="D1770" t="s">
        <v>11</v>
      </c>
      <c r="E1770">
        <v>202602</v>
      </c>
      <c r="F1770" t="s">
        <v>519</v>
      </c>
      <c r="G1770">
        <v>0</v>
      </c>
      <c r="H1770">
        <v>0</v>
      </c>
      <c r="I1770">
        <v>0</v>
      </c>
      <c r="J1770">
        <v>1</v>
      </c>
      <c r="K1770">
        <v>0</v>
      </c>
      <c r="L1770">
        <v>0</v>
      </c>
      <c r="M1770">
        <v>1</v>
      </c>
      <c r="N1770">
        <v>0</v>
      </c>
      <c r="O1770">
        <v>1</v>
      </c>
      <c r="P1770">
        <v>0</v>
      </c>
      <c r="Q1770">
        <v>0</v>
      </c>
      <c r="R1770">
        <v>0</v>
      </c>
      <c r="S1770">
        <v>0</v>
      </c>
      <c r="T1770">
        <v>0</v>
      </c>
      <c r="U1770">
        <v>0</v>
      </c>
      <c r="V1770">
        <v>0</v>
      </c>
      <c r="W1770">
        <v>0</v>
      </c>
      <c r="X1770">
        <v>0</v>
      </c>
      <c r="Y1770">
        <v>0</v>
      </c>
      <c r="Z1770">
        <v>0</v>
      </c>
      <c r="AA1770">
        <v>0</v>
      </c>
      <c r="AB1770">
        <v>0</v>
      </c>
      <c r="AC1770">
        <v>0</v>
      </c>
      <c r="AD1770">
        <v>0</v>
      </c>
      <c r="AE1770">
        <v>0</v>
      </c>
      <c r="AF1770">
        <v>0</v>
      </c>
      <c r="AG1770">
        <v>0</v>
      </c>
      <c r="AH1770">
        <v>0</v>
      </c>
      <c r="AI1770">
        <v>0</v>
      </c>
      <c r="AJ1770">
        <v>0</v>
      </c>
      <c r="AK1770">
        <v>0</v>
      </c>
      <c r="AL1770">
        <v>3</v>
      </c>
      <c r="AM1770">
        <v>0.33333333333333331</v>
      </c>
      <c r="AN1770">
        <v>7.6046251398731117</v>
      </c>
    </row>
    <row r="1771" spans="1:40" x14ac:dyDescent="0.3">
      <c r="A1771" t="s">
        <v>517</v>
      </c>
      <c r="B1771" t="s">
        <v>17</v>
      </c>
      <c r="C1771" t="s">
        <v>16</v>
      </c>
      <c r="D1771" t="s">
        <v>11</v>
      </c>
      <c r="E1771">
        <v>202602</v>
      </c>
      <c r="F1771" t="s">
        <v>539</v>
      </c>
      <c r="G1771">
        <v>0</v>
      </c>
      <c r="H1771">
        <v>0</v>
      </c>
      <c r="I1771">
        <v>1</v>
      </c>
      <c r="J1771">
        <v>0</v>
      </c>
      <c r="K1771">
        <v>0</v>
      </c>
      <c r="L1771">
        <v>0</v>
      </c>
      <c r="M1771">
        <v>0</v>
      </c>
      <c r="N1771">
        <v>0</v>
      </c>
      <c r="O1771">
        <v>0</v>
      </c>
      <c r="P1771">
        <v>0</v>
      </c>
      <c r="Q1771">
        <v>0</v>
      </c>
      <c r="R1771">
        <v>0</v>
      </c>
      <c r="S1771">
        <v>0</v>
      </c>
      <c r="T1771">
        <v>0</v>
      </c>
      <c r="U1771">
        <v>0</v>
      </c>
      <c r="V1771">
        <v>0</v>
      </c>
      <c r="W1771">
        <v>0</v>
      </c>
      <c r="X1771">
        <v>0</v>
      </c>
      <c r="Y1771">
        <v>0</v>
      </c>
      <c r="Z1771">
        <v>0</v>
      </c>
      <c r="AA1771">
        <v>0</v>
      </c>
      <c r="AB1771">
        <v>0</v>
      </c>
      <c r="AC1771">
        <v>0</v>
      </c>
      <c r="AD1771">
        <v>0</v>
      </c>
      <c r="AE1771">
        <v>0</v>
      </c>
      <c r="AF1771">
        <v>0</v>
      </c>
      <c r="AG1771">
        <v>0</v>
      </c>
      <c r="AH1771">
        <v>0</v>
      </c>
      <c r="AI1771">
        <v>0</v>
      </c>
      <c r="AJ1771">
        <v>0</v>
      </c>
      <c r="AK1771">
        <v>0</v>
      </c>
      <c r="AL1771">
        <v>1</v>
      </c>
      <c r="AM1771">
        <v>0</v>
      </c>
      <c r="AN1771">
        <v>1</v>
      </c>
    </row>
    <row r="1772" spans="1:40" x14ac:dyDescent="0.3">
      <c r="A1772" t="s">
        <v>517</v>
      </c>
      <c r="B1772" t="s">
        <v>17</v>
      </c>
      <c r="C1772" t="s">
        <v>16</v>
      </c>
      <c r="D1772" t="s">
        <v>11</v>
      </c>
      <c r="E1772">
        <v>202602</v>
      </c>
      <c r="F1772" t="s">
        <v>544</v>
      </c>
      <c r="G1772">
        <v>0</v>
      </c>
      <c r="H1772">
        <v>0</v>
      </c>
      <c r="I1772">
        <v>0</v>
      </c>
      <c r="J1772">
        <v>0</v>
      </c>
      <c r="K1772">
        <v>0</v>
      </c>
      <c r="L1772">
        <v>1</v>
      </c>
      <c r="M1772">
        <v>0</v>
      </c>
      <c r="N1772">
        <v>0</v>
      </c>
      <c r="O1772">
        <v>0</v>
      </c>
      <c r="P1772">
        <v>0</v>
      </c>
      <c r="Q1772">
        <v>0</v>
      </c>
      <c r="R1772">
        <v>0</v>
      </c>
      <c r="S1772">
        <v>0</v>
      </c>
      <c r="T1772">
        <v>0</v>
      </c>
      <c r="U1772">
        <v>0</v>
      </c>
      <c r="V1772">
        <v>0</v>
      </c>
      <c r="W1772">
        <v>0</v>
      </c>
      <c r="X1772">
        <v>0</v>
      </c>
      <c r="Y1772">
        <v>0</v>
      </c>
      <c r="Z1772">
        <v>0</v>
      </c>
      <c r="AA1772">
        <v>0</v>
      </c>
      <c r="AB1772">
        <v>0</v>
      </c>
      <c r="AC1772">
        <v>0</v>
      </c>
      <c r="AD1772">
        <v>0</v>
      </c>
      <c r="AE1772">
        <v>0</v>
      </c>
      <c r="AF1772">
        <v>0</v>
      </c>
      <c r="AG1772">
        <v>0</v>
      </c>
      <c r="AH1772">
        <v>0</v>
      </c>
      <c r="AI1772">
        <v>0</v>
      </c>
      <c r="AJ1772">
        <v>0</v>
      </c>
      <c r="AK1772">
        <v>0</v>
      </c>
      <c r="AL1772">
        <v>1</v>
      </c>
      <c r="AM1772">
        <v>0</v>
      </c>
      <c r="AN1772">
        <v>1</v>
      </c>
    </row>
    <row r="1773" spans="1:40" x14ac:dyDescent="0.3">
      <c r="A1773" t="s">
        <v>517</v>
      </c>
      <c r="B1773" t="s">
        <v>17</v>
      </c>
      <c r="C1773" t="s">
        <v>16</v>
      </c>
      <c r="D1773" t="s">
        <v>11</v>
      </c>
      <c r="E1773">
        <v>202602</v>
      </c>
      <c r="F1773" t="s">
        <v>550</v>
      </c>
      <c r="G1773">
        <v>0</v>
      </c>
      <c r="H1773">
        <v>1</v>
      </c>
      <c r="I1773">
        <v>0</v>
      </c>
      <c r="J1773">
        <v>0</v>
      </c>
      <c r="K1773">
        <v>0</v>
      </c>
      <c r="L1773">
        <v>0</v>
      </c>
      <c r="M1773">
        <v>0</v>
      </c>
      <c r="N1773">
        <v>0</v>
      </c>
      <c r="O1773">
        <v>0</v>
      </c>
      <c r="P1773">
        <v>0</v>
      </c>
      <c r="Q1773">
        <v>0</v>
      </c>
      <c r="R1773">
        <v>0</v>
      </c>
      <c r="S1773">
        <v>0</v>
      </c>
      <c r="T1773">
        <v>0</v>
      </c>
      <c r="U1773">
        <v>0</v>
      </c>
      <c r="V1773">
        <v>0</v>
      </c>
      <c r="W1773">
        <v>0</v>
      </c>
      <c r="X1773">
        <v>0</v>
      </c>
      <c r="Y1773">
        <v>0</v>
      </c>
      <c r="Z1773">
        <v>0</v>
      </c>
      <c r="AA1773">
        <v>0</v>
      </c>
      <c r="AB1773">
        <v>0</v>
      </c>
      <c r="AC1773">
        <v>0</v>
      </c>
      <c r="AD1773">
        <v>0</v>
      </c>
      <c r="AE1773">
        <v>0</v>
      </c>
      <c r="AF1773">
        <v>0</v>
      </c>
      <c r="AG1773">
        <v>0</v>
      </c>
      <c r="AH1773">
        <v>0</v>
      </c>
      <c r="AI1773">
        <v>0</v>
      </c>
      <c r="AJ1773">
        <v>0</v>
      </c>
      <c r="AK1773">
        <v>0</v>
      </c>
      <c r="AL1773">
        <v>1</v>
      </c>
      <c r="AM1773">
        <v>0</v>
      </c>
      <c r="AN1773">
        <v>1</v>
      </c>
    </row>
    <row r="1774" spans="1:40" x14ac:dyDescent="0.3">
      <c r="A1774" t="s">
        <v>517</v>
      </c>
      <c r="B1774" t="s">
        <v>17</v>
      </c>
      <c r="C1774" t="s">
        <v>16</v>
      </c>
      <c r="D1774" t="s">
        <v>14</v>
      </c>
      <c r="E1774">
        <v>202602</v>
      </c>
      <c r="F1774" t="s">
        <v>518</v>
      </c>
      <c r="G1774">
        <v>0</v>
      </c>
      <c r="H1774">
        <v>0</v>
      </c>
      <c r="I1774">
        <v>0</v>
      </c>
      <c r="J1774">
        <v>0</v>
      </c>
      <c r="K1774">
        <v>0</v>
      </c>
      <c r="L1774">
        <v>0</v>
      </c>
      <c r="M1774">
        <v>0</v>
      </c>
      <c r="N1774">
        <v>0</v>
      </c>
      <c r="O1774">
        <v>0</v>
      </c>
      <c r="P1774">
        <v>0</v>
      </c>
      <c r="Q1774">
        <v>1</v>
      </c>
      <c r="R1774">
        <v>0</v>
      </c>
      <c r="S1774">
        <v>0</v>
      </c>
      <c r="T1774">
        <v>0</v>
      </c>
      <c r="U1774">
        <v>0</v>
      </c>
      <c r="V1774">
        <v>0</v>
      </c>
      <c r="W1774">
        <v>0</v>
      </c>
      <c r="X1774">
        <v>0</v>
      </c>
      <c r="Y1774">
        <v>0</v>
      </c>
      <c r="Z1774">
        <v>0</v>
      </c>
      <c r="AA1774">
        <v>0</v>
      </c>
      <c r="AB1774">
        <v>0</v>
      </c>
      <c r="AC1774">
        <v>0</v>
      </c>
      <c r="AD1774">
        <v>0</v>
      </c>
      <c r="AE1774">
        <v>0</v>
      </c>
      <c r="AF1774">
        <v>0</v>
      </c>
      <c r="AG1774">
        <v>0</v>
      </c>
      <c r="AH1774">
        <v>0</v>
      </c>
      <c r="AI1774">
        <v>0</v>
      </c>
      <c r="AJ1774">
        <v>0</v>
      </c>
      <c r="AK1774">
        <v>0</v>
      </c>
      <c r="AL1774">
        <v>1</v>
      </c>
      <c r="AM1774">
        <v>0.33333333333333331</v>
      </c>
      <c r="AN1774">
        <v>5.0417410714286133</v>
      </c>
    </row>
    <row r="1775" spans="1:40" x14ac:dyDescent="0.3">
      <c r="A1775" t="s">
        <v>517</v>
      </c>
      <c r="B1775" t="s">
        <v>17</v>
      </c>
      <c r="C1775" t="s">
        <v>16</v>
      </c>
      <c r="D1775" t="s">
        <v>14</v>
      </c>
      <c r="E1775">
        <v>202602</v>
      </c>
      <c r="F1775" t="s">
        <v>18</v>
      </c>
      <c r="G1775">
        <v>0</v>
      </c>
      <c r="H1775">
        <v>1</v>
      </c>
      <c r="I1775">
        <v>0</v>
      </c>
      <c r="J1775">
        <v>0</v>
      </c>
      <c r="K1775">
        <v>0</v>
      </c>
      <c r="L1775">
        <v>0</v>
      </c>
      <c r="M1775">
        <v>2</v>
      </c>
      <c r="N1775">
        <v>0</v>
      </c>
      <c r="O1775">
        <v>0</v>
      </c>
      <c r="P1775">
        <v>0</v>
      </c>
      <c r="Q1775">
        <v>0</v>
      </c>
      <c r="R1775">
        <v>0</v>
      </c>
      <c r="S1775">
        <v>0</v>
      </c>
      <c r="T1775">
        <v>0</v>
      </c>
      <c r="U1775">
        <v>0</v>
      </c>
      <c r="V1775">
        <v>0</v>
      </c>
      <c r="W1775">
        <v>0</v>
      </c>
      <c r="X1775">
        <v>0</v>
      </c>
      <c r="Y1775">
        <v>0</v>
      </c>
      <c r="Z1775">
        <v>0</v>
      </c>
      <c r="AA1775">
        <v>0</v>
      </c>
      <c r="AB1775">
        <v>0</v>
      </c>
      <c r="AC1775">
        <v>0</v>
      </c>
      <c r="AD1775">
        <v>0</v>
      </c>
      <c r="AE1775">
        <v>0</v>
      </c>
      <c r="AF1775">
        <v>0</v>
      </c>
      <c r="AG1775">
        <v>0</v>
      </c>
      <c r="AH1775">
        <v>0</v>
      </c>
      <c r="AI1775">
        <v>0</v>
      </c>
      <c r="AJ1775">
        <v>0</v>
      </c>
      <c r="AK1775">
        <v>0</v>
      </c>
      <c r="AL1775">
        <v>3</v>
      </c>
      <c r="AM1775">
        <v>0</v>
      </c>
      <c r="AN1775">
        <v>3</v>
      </c>
    </row>
    <row r="1776" spans="1:40" x14ac:dyDescent="0.3">
      <c r="A1776" t="s">
        <v>517</v>
      </c>
      <c r="B1776" t="s">
        <v>17</v>
      </c>
      <c r="C1776" t="s">
        <v>16</v>
      </c>
      <c r="D1776" t="s">
        <v>14</v>
      </c>
      <c r="E1776">
        <v>202602</v>
      </c>
      <c r="F1776" t="s">
        <v>519</v>
      </c>
      <c r="G1776">
        <v>0</v>
      </c>
      <c r="H1776">
        <v>0</v>
      </c>
      <c r="I1776">
        <v>0</v>
      </c>
      <c r="J1776">
        <v>0</v>
      </c>
      <c r="K1776">
        <v>1</v>
      </c>
      <c r="L1776">
        <v>0</v>
      </c>
      <c r="M1776">
        <v>0</v>
      </c>
      <c r="N1776">
        <v>0</v>
      </c>
      <c r="O1776">
        <v>2</v>
      </c>
      <c r="P1776">
        <v>0</v>
      </c>
      <c r="Q1776">
        <v>0</v>
      </c>
      <c r="R1776">
        <v>0</v>
      </c>
      <c r="S1776">
        <v>0</v>
      </c>
      <c r="T1776">
        <v>0</v>
      </c>
      <c r="U1776">
        <v>0</v>
      </c>
      <c r="V1776">
        <v>0</v>
      </c>
      <c r="W1776">
        <v>0</v>
      </c>
      <c r="X1776">
        <v>0</v>
      </c>
      <c r="Y1776">
        <v>0</v>
      </c>
      <c r="Z1776">
        <v>0</v>
      </c>
      <c r="AA1776">
        <v>0</v>
      </c>
      <c r="AB1776">
        <v>0</v>
      </c>
      <c r="AC1776">
        <v>0</v>
      </c>
      <c r="AD1776">
        <v>0</v>
      </c>
      <c r="AE1776">
        <v>0</v>
      </c>
      <c r="AF1776">
        <v>0</v>
      </c>
      <c r="AG1776">
        <v>0</v>
      </c>
      <c r="AH1776">
        <v>0</v>
      </c>
      <c r="AI1776">
        <v>0</v>
      </c>
      <c r="AJ1776">
        <v>0</v>
      </c>
      <c r="AK1776">
        <v>0</v>
      </c>
      <c r="AL1776">
        <v>3</v>
      </c>
      <c r="AM1776">
        <v>0.66666666666666663</v>
      </c>
      <c r="AN1776">
        <v>11.083482142857227</v>
      </c>
    </row>
    <row r="1777" spans="1:40" x14ac:dyDescent="0.3">
      <c r="A1777" t="s">
        <v>517</v>
      </c>
      <c r="B1777" t="s">
        <v>17</v>
      </c>
      <c r="C1777" t="s">
        <v>16</v>
      </c>
      <c r="D1777" t="s">
        <v>14</v>
      </c>
      <c r="E1777">
        <v>202602</v>
      </c>
      <c r="F1777" t="s">
        <v>551</v>
      </c>
      <c r="G1777">
        <v>0</v>
      </c>
      <c r="H1777">
        <v>0</v>
      </c>
      <c r="I1777">
        <v>0</v>
      </c>
      <c r="J1777">
        <v>0</v>
      </c>
      <c r="K1777">
        <v>0</v>
      </c>
      <c r="L1777">
        <v>1</v>
      </c>
      <c r="M1777">
        <v>0</v>
      </c>
      <c r="N1777">
        <v>0</v>
      </c>
      <c r="O1777">
        <v>0</v>
      </c>
      <c r="P1777">
        <v>0</v>
      </c>
      <c r="Q1777">
        <v>0</v>
      </c>
      <c r="R1777">
        <v>0</v>
      </c>
      <c r="S1777">
        <v>0</v>
      </c>
      <c r="T1777">
        <v>0</v>
      </c>
      <c r="U1777">
        <v>0</v>
      </c>
      <c r="V1777">
        <v>0</v>
      </c>
      <c r="W1777">
        <v>0</v>
      </c>
      <c r="X1777">
        <v>0</v>
      </c>
      <c r="Y1777">
        <v>0</v>
      </c>
      <c r="Z1777">
        <v>0</v>
      </c>
      <c r="AA1777">
        <v>0</v>
      </c>
      <c r="AB1777">
        <v>0</v>
      </c>
      <c r="AC1777">
        <v>0</v>
      </c>
      <c r="AD1777">
        <v>0</v>
      </c>
      <c r="AE1777">
        <v>0</v>
      </c>
      <c r="AF1777">
        <v>0</v>
      </c>
      <c r="AG1777">
        <v>0</v>
      </c>
      <c r="AH1777">
        <v>0</v>
      </c>
      <c r="AI1777">
        <v>0</v>
      </c>
      <c r="AJ1777">
        <v>0</v>
      </c>
      <c r="AK1777">
        <v>0</v>
      </c>
      <c r="AL1777">
        <v>1</v>
      </c>
      <c r="AM1777">
        <v>0</v>
      </c>
      <c r="AN1777">
        <v>1</v>
      </c>
    </row>
    <row r="1778" spans="1:40" x14ac:dyDescent="0.3">
      <c r="A1778" t="s">
        <v>517</v>
      </c>
      <c r="B1778" t="s">
        <v>17</v>
      </c>
      <c r="C1778" t="s">
        <v>16</v>
      </c>
      <c r="D1778" t="s">
        <v>14</v>
      </c>
      <c r="E1778">
        <v>202602</v>
      </c>
      <c r="F1778" t="s">
        <v>525</v>
      </c>
      <c r="G1778">
        <v>0</v>
      </c>
      <c r="H1778">
        <v>0</v>
      </c>
      <c r="I1778">
        <v>0</v>
      </c>
      <c r="J1778">
        <v>0</v>
      </c>
      <c r="K1778">
        <v>0</v>
      </c>
      <c r="L1778">
        <v>0</v>
      </c>
      <c r="M1778">
        <v>0</v>
      </c>
      <c r="N1778">
        <v>0</v>
      </c>
      <c r="O1778">
        <v>1</v>
      </c>
      <c r="P1778">
        <v>0</v>
      </c>
      <c r="Q1778">
        <v>0</v>
      </c>
      <c r="R1778">
        <v>0</v>
      </c>
      <c r="S1778">
        <v>0</v>
      </c>
      <c r="T1778">
        <v>0</v>
      </c>
      <c r="U1778">
        <v>0</v>
      </c>
      <c r="V1778">
        <v>0</v>
      </c>
      <c r="W1778">
        <v>0</v>
      </c>
      <c r="X1778">
        <v>0</v>
      </c>
      <c r="Y1778">
        <v>0</v>
      </c>
      <c r="Z1778">
        <v>0</v>
      </c>
      <c r="AA1778">
        <v>0</v>
      </c>
      <c r="AB1778">
        <v>0</v>
      </c>
      <c r="AC1778">
        <v>0</v>
      </c>
      <c r="AD1778">
        <v>0</v>
      </c>
      <c r="AE1778">
        <v>0</v>
      </c>
      <c r="AF1778">
        <v>0</v>
      </c>
      <c r="AG1778">
        <v>0</v>
      </c>
      <c r="AH1778">
        <v>0</v>
      </c>
      <c r="AI1778">
        <v>0</v>
      </c>
      <c r="AJ1778">
        <v>0</v>
      </c>
      <c r="AK1778">
        <v>0</v>
      </c>
      <c r="AL1778">
        <v>1</v>
      </c>
      <c r="AM1778">
        <v>0.33333333333333331</v>
      </c>
      <c r="AN1778">
        <v>5.0417410714286133</v>
      </c>
    </row>
    <row r="1779" spans="1:40" x14ac:dyDescent="0.3">
      <c r="A1779" t="s">
        <v>517</v>
      </c>
      <c r="B1779" t="s">
        <v>17</v>
      </c>
      <c r="C1779" t="s">
        <v>16</v>
      </c>
      <c r="D1779" t="s">
        <v>14</v>
      </c>
      <c r="E1779">
        <v>202602</v>
      </c>
      <c r="F1779" t="s">
        <v>544</v>
      </c>
      <c r="G1779">
        <v>0</v>
      </c>
      <c r="H1779">
        <v>1</v>
      </c>
      <c r="I1779">
        <v>0</v>
      </c>
      <c r="J1779">
        <v>0</v>
      </c>
      <c r="K1779">
        <v>0</v>
      </c>
      <c r="L1779">
        <v>0</v>
      </c>
      <c r="M1779">
        <v>0</v>
      </c>
      <c r="N1779">
        <v>0</v>
      </c>
      <c r="O1779">
        <v>0</v>
      </c>
      <c r="P1779">
        <v>0</v>
      </c>
      <c r="Q1779">
        <v>0</v>
      </c>
      <c r="R1779">
        <v>0</v>
      </c>
      <c r="S1779">
        <v>0</v>
      </c>
      <c r="T1779">
        <v>0</v>
      </c>
      <c r="U1779">
        <v>0</v>
      </c>
      <c r="V1779">
        <v>0</v>
      </c>
      <c r="W1779">
        <v>0</v>
      </c>
      <c r="X1779">
        <v>0</v>
      </c>
      <c r="Y1779">
        <v>0</v>
      </c>
      <c r="Z1779">
        <v>0</v>
      </c>
      <c r="AA1779">
        <v>0</v>
      </c>
      <c r="AB1779">
        <v>0</v>
      </c>
      <c r="AC1779">
        <v>0</v>
      </c>
      <c r="AD1779">
        <v>0</v>
      </c>
      <c r="AE1779">
        <v>0</v>
      </c>
      <c r="AF1779">
        <v>0</v>
      </c>
      <c r="AG1779">
        <v>0</v>
      </c>
      <c r="AH1779">
        <v>0</v>
      </c>
      <c r="AI1779">
        <v>0</v>
      </c>
      <c r="AJ1779">
        <v>0</v>
      </c>
      <c r="AK1779">
        <v>0</v>
      </c>
      <c r="AL1779">
        <v>1</v>
      </c>
      <c r="AM1779">
        <v>0</v>
      </c>
      <c r="AN1779">
        <v>1</v>
      </c>
    </row>
    <row r="1780" spans="1:40" x14ac:dyDescent="0.3">
      <c r="A1780" t="s">
        <v>517</v>
      </c>
      <c r="B1780" t="s">
        <v>17</v>
      </c>
      <c r="C1780" t="s">
        <v>16</v>
      </c>
      <c r="D1780" t="s">
        <v>14</v>
      </c>
      <c r="E1780">
        <v>202602</v>
      </c>
      <c r="F1780" t="s">
        <v>533</v>
      </c>
      <c r="G1780">
        <v>0</v>
      </c>
      <c r="H1780">
        <v>0</v>
      </c>
      <c r="I1780">
        <v>0</v>
      </c>
      <c r="J1780">
        <v>0</v>
      </c>
      <c r="K1780">
        <v>0</v>
      </c>
      <c r="L1780">
        <v>0</v>
      </c>
      <c r="M1780">
        <v>0</v>
      </c>
      <c r="N1780">
        <v>0</v>
      </c>
      <c r="O1780">
        <v>0</v>
      </c>
      <c r="P1780">
        <v>1</v>
      </c>
      <c r="Q1780">
        <v>0</v>
      </c>
      <c r="R1780">
        <v>0</v>
      </c>
      <c r="S1780">
        <v>0</v>
      </c>
      <c r="T1780">
        <v>0</v>
      </c>
      <c r="U1780">
        <v>0</v>
      </c>
      <c r="V1780">
        <v>0</v>
      </c>
      <c r="W1780">
        <v>0</v>
      </c>
      <c r="X1780">
        <v>0</v>
      </c>
      <c r="Y1780">
        <v>0</v>
      </c>
      <c r="Z1780">
        <v>0</v>
      </c>
      <c r="AA1780">
        <v>0</v>
      </c>
      <c r="AB1780">
        <v>0</v>
      </c>
      <c r="AC1780">
        <v>0</v>
      </c>
      <c r="AD1780">
        <v>0</v>
      </c>
      <c r="AE1780">
        <v>0</v>
      </c>
      <c r="AF1780">
        <v>0</v>
      </c>
      <c r="AG1780">
        <v>0</v>
      </c>
      <c r="AH1780">
        <v>0</v>
      </c>
      <c r="AI1780">
        <v>0</v>
      </c>
      <c r="AJ1780">
        <v>0</v>
      </c>
      <c r="AK1780">
        <v>0</v>
      </c>
      <c r="AL1780">
        <v>1</v>
      </c>
      <c r="AM1780">
        <v>0.33333333333333331</v>
      </c>
      <c r="AN1780">
        <v>5.0417410714286133</v>
      </c>
    </row>
    <row r="1781" spans="1:40" x14ac:dyDescent="0.3">
      <c r="A1781" t="s">
        <v>517</v>
      </c>
      <c r="B1781" t="s">
        <v>17</v>
      </c>
      <c r="C1781" t="s">
        <v>16</v>
      </c>
      <c r="D1781" t="s">
        <v>14</v>
      </c>
      <c r="E1781">
        <v>202602</v>
      </c>
      <c r="F1781" t="s">
        <v>549</v>
      </c>
      <c r="G1781">
        <v>0</v>
      </c>
      <c r="H1781">
        <v>0</v>
      </c>
      <c r="I1781">
        <v>0</v>
      </c>
      <c r="J1781">
        <v>0</v>
      </c>
      <c r="K1781">
        <v>0</v>
      </c>
      <c r="L1781">
        <v>0</v>
      </c>
      <c r="M1781">
        <v>0</v>
      </c>
      <c r="N1781">
        <v>0</v>
      </c>
      <c r="O1781">
        <v>1</v>
      </c>
      <c r="P1781">
        <v>0</v>
      </c>
      <c r="Q1781">
        <v>0</v>
      </c>
      <c r="R1781">
        <v>0</v>
      </c>
      <c r="S1781">
        <v>0</v>
      </c>
      <c r="T1781">
        <v>0</v>
      </c>
      <c r="U1781">
        <v>0</v>
      </c>
      <c r="V1781">
        <v>0</v>
      </c>
      <c r="W1781">
        <v>0</v>
      </c>
      <c r="X1781">
        <v>0</v>
      </c>
      <c r="Y1781">
        <v>0</v>
      </c>
      <c r="Z1781">
        <v>0</v>
      </c>
      <c r="AA1781">
        <v>0</v>
      </c>
      <c r="AB1781">
        <v>0</v>
      </c>
      <c r="AC1781">
        <v>0</v>
      </c>
      <c r="AD1781">
        <v>0</v>
      </c>
      <c r="AE1781">
        <v>0</v>
      </c>
      <c r="AF1781">
        <v>0</v>
      </c>
      <c r="AG1781">
        <v>0</v>
      </c>
      <c r="AH1781">
        <v>0</v>
      </c>
      <c r="AI1781">
        <v>0</v>
      </c>
      <c r="AJ1781">
        <v>0</v>
      </c>
      <c r="AK1781">
        <v>0</v>
      </c>
      <c r="AL1781">
        <v>1</v>
      </c>
      <c r="AM1781">
        <v>0.33333333333333331</v>
      </c>
      <c r="AN1781">
        <v>5.0417410714286133</v>
      </c>
    </row>
    <row r="1782" spans="1:40" x14ac:dyDescent="0.3">
      <c r="A1782" t="s">
        <v>517</v>
      </c>
      <c r="B1782" t="s">
        <v>47</v>
      </c>
      <c r="C1782" t="s">
        <v>10</v>
      </c>
      <c r="D1782" t="s">
        <v>11</v>
      </c>
      <c r="E1782">
        <v>202602</v>
      </c>
      <c r="F1782" t="s">
        <v>48</v>
      </c>
      <c r="G1782">
        <v>0</v>
      </c>
      <c r="H1782">
        <v>0</v>
      </c>
      <c r="I1782">
        <v>1</v>
      </c>
      <c r="J1782">
        <v>3</v>
      </c>
      <c r="K1782">
        <v>1</v>
      </c>
      <c r="L1782">
        <v>5</v>
      </c>
      <c r="M1782">
        <v>4</v>
      </c>
      <c r="N1782">
        <v>0</v>
      </c>
      <c r="O1782">
        <v>1</v>
      </c>
      <c r="P1782">
        <v>1</v>
      </c>
      <c r="Q1782">
        <v>1</v>
      </c>
      <c r="R1782">
        <v>0</v>
      </c>
      <c r="S1782">
        <v>0</v>
      </c>
      <c r="T1782">
        <v>0</v>
      </c>
      <c r="U1782">
        <v>0</v>
      </c>
      <c r="V1782">
        <v>0</v>
      </c>
      <c r="W1782">
        <v>0</v>
      </c>
      <c r="X1782">
        <v>0</v>
      </c>
      <c r="Y1782">
        <v>0</v>
      </c>
      <c r="Z1782">
        <v>0</v>
      </c>
      <c r="AA1782">
        <v>0</v>
      </c>
      <c r="AB1782">
        <v>0</v>
      </c>
      <c r="AC1782">
        <v>0</v>
      </c>
      <c r="AD1782">
        <v>0</v>
      </c>
      <c r="AE1782">
        <v>0</v>
      </c>
      <c r="AF1782">
        <v>0</v>
      </c>
      <c r="AG1782">
        <v>0</v>
      </c>
      <c r="AH1782">
        <v>0</v>
      </c>
      <c r="AI1782">
        <v>0</v>
      </c>
      <c r="AJ1782">
        <v>0</v>
      </c>
      <c r="AK1782">
        <v>0</v>
      </c>
      <c r="AL1782">
        <v>17</v>
      </c>
      <c r="AM1782">
        <v>1</v>
      </c>
      <c r="AN1782">
        <v>30.813875419619336</v>
      </c>
    </row>
    <row r="1783" spans="1:40" x14ac:dyDescent="0.3">
      <c r="A1783" t="s">
        <v>517</v>
      </c>
      <c r="B1783" t="s">
        <v>47</v>
      </c>
      <c r="C1783" t="s">
        <v>10</v>
      </c>
      <c r="D1783" t="s">
        <v>14</v>
      </c>
      <c r="E1783">
        <v>202602</v>
      </c>
      <c r="F1783" t="s">
        <v>48</v>
      </c>
      <c r="G1783">
        <v>0</v>
      </c>
      <c r="H1783">
        <v>3</v>
      </c>
      <c r="I1783">
        <v>12</v>
      </c>
      <c r="J1783">
        <v>11</v>
      </c>
      <c r="K1783">
        <v>0</v>
      </c>
      <c r="L1783">
        <v>1</v>
      </c>
      <c r="M1783">
        <v>0</v>
      </c>
      <c r="N1783">
        <v>0</v>
      </c>
      <c r="O1783">
        <v>2</v>
      </c>
      <c r="P1783">
        <v>0</v>
      </c>
      <c r="Q1783">
        <v>2</v>
      </c>
      <c r="R1783">
        <v>0</v>
      </c>
      <c r="S1783">
        <v>0</v>
      </c>
      <c r="T1783">
        <v>0</v>
      </c>
      <c r="U1783">
        <v>0</v>
      </c>
      <c r="V1783">
        <v>0</v>
      </c>
      <c r="W1783">
        <v>0</v>
      </c>
      <c r="X1783">
        <v>0</v>
      </c>
      <c r="Y1783">
        <v>0</v>
      </c>
      <c r="Z1783">
        <v>0</v>
      </c>
      <c r="AA1783">
        <v>0</v>
      </c>
      <c r="AB1783">
        <v>0</v>
      </c>
      <c r="AC1783">
        <v>0</v>
      </c>
      <c r="AD1783">
        <v>0</v>
      </c>
      <c r="AE1783">
        <v>0</v>
      </c>
      <c r="AF1783">
        <v>0</v>
      </c>
      <c r="AG1783">
        <v>0</v>
      </c>
      <c r="AH1783">
        <v>0</v>
      </c>
      <c r="AI1783">
        <v>0</v>
      </c>
      <c r="AJ1783">
        <v>0</v>
      </c>
      <c r="AK1783">
        <v>0</v>
      </c>
      <c r="AL1783">
        <v>31</v>
      </c>
      <c r="AM1783">
        <v>1.3333333333333333</v>
      </c>
      <c r="AN1783">
        <v>47.166964285714457</v>
      </c>
    </row>
    <row r="1784" spans="1:40" x14ac:dyDescent="0.3">
      <c r="A1784" t="s">
        <v>517</v>
      </c>
      <c r="B1784" t="s">
        <v>49</v>
      </c>
      <c r="C1784" t="s">
        <v>10</v>
      </c>
      <c r="D1784" t="s">
        <v>11</v>
      </c>
      <c r="E1784">
        <v>202602</v>
      </c>
      <c r="F1784" t="s">
        <v>50</v>
      </c>
      <c r="G1784">
        <v>0</v>
      </c>
      <c r="H1784">
        <v>0</v>
      </c>
      <c r="I1784">
        <v>0</v>
      </c>
      <c r="J1784">
        <v>2</v>
      </c>
      <c r="K1784">
        <v>2</v>
      </c>
      <c r="L1784">
        <v>0</v>
      </c>
      <c r="M1784">
        <v>0</v>
      </c>
      <c r="N1784">
        <v>0</v>
      </c>
      <c r="O1784">
        <v>1</v>
      </c>
      <c r="P1784">
        <v>1</v>
      </c>
      <c r="Q1784">
        <v>1</v>
      </c>
      <c r="R1784">
        <v>0</v>
      </c>
      <c r="S1784">
        <v>0</v>
      </c>
      <c r="T1784">
        <v>0</v>
      </c>
      <c r="U1784">
        <v>0</v>
      </c>
      <c r="V1784">
        <v>0</v>
      </c>
      <c r="W1784">
        <v>0</v>
      </c>
      <c r="X1784">
        <v>0</v>
      </c>
      <c r="Y1784">
        <v>0</v>
      </c>
      <c r="Z1784">
        <v>0</v>
      </c>
      <c r="AA1784">
        <v>0</v>
      </c>
      <c r="AB1784">
        <v>0</v>
      </c>
      <c r="AC1784">
        <v>0</v>
      </c>
      <c r="AD1784">
        <v>0</v>
      </c>
      <c r="AE1784">
        <v>0</v>
      </c>
      <c r="AF1784">
        <v>0</v>
      </c>
      <c r="AG1784">
        <v>0</v>
      </c>
      <c r="AH1784">
        <v>0</v>
      </c>
      <c r="AI1784">
        <v>0</v>
      </c>
      <c r="AJ1784">
        <v>0</v>
      </c>
      <c r="AK1784">
        <v>0</v>
      </c>
      <c r="AL1784">
        <v>7</v>
      </c>
      <c r="AM1784">
        <v>1</v>
      </c>
      <c r="AN1784">
        <v>20.813875419619336</v>
      </c>
    </row>
    <row r="1785" spans="1:40" x14ac:dyDescent="0.3">
      <c r="A1785" t="s">
        <v>517</v>
      </c>
      <c r="B1785" t="s">
        <v>49</v>
      </c>
      <c r="C1785" t="s">
        <v>10</v>
      </c>
      <c r="D1785" t="s">
        <v>11</v>
      </c>
      <c r="E1785">
        <v>202602</v>
      </c>
      <c r="F1785" t="s">
        <v>51</v>
      </c>
      <c r="G1785">
        <v>0</v>
      </c>
      <c r="H1785">
        <v>1</v>
      </c>
      <c r="I1785">
        <v>0</v>
      </c>
      <c r="J1785">
        <v>1</v>
      </c>
      <c r="K1785">
        <v>2</v>
      </c>
      <c r="L1785">
        <v>0</v>
      </c>
      <c r="M1785">
        <v>0</v>
      </c>
      <c r="N1785">
        <v>0</v>
      </c>
      <c r="O1785">
        <v>1</v>
      </c>
      <c r="P1785">
        <v>0</v>
      </c>
      <c r="Q1785">
        <v>0</v>
      </c>
      <c r="R1785">
        <v>0</v>
      </c>
      <c r="S1785">
        <v>0</v>
      </c>
      <c r="T1785">
        <v>0</v>
      </c>
      <c r="U1785">
        <v>0</v>
      </c>
      <c r="V1785">
        <v>0</v>
      </c>
      <c r="W1785">
        <v>0</v>
      </c>
      <c r="X1785">
        <v>0</v>
      </c>
      <c r="Y1785">
        <v>0</v>
      </c>
      <c r="Z1785">
        <v>0</v>
      </c>
      <c r="AA1785">
        <v>0</v>
      </c>
      <c r="AB1785">
        <v>0</v>
      </c>
      <c r="AC1785">
        <v>0</v>
      </c>
      <c r="AD1785">
        <v>0</v>
      </c>
      <c r="AE1785">
        <v>0</v>
      </c>
      <c r="AF1785">
        <v>0</v>
      </c>
      <c r="AG1785">
        <v>0</v>
      </c>
      <c r="AH1785">
        <v>0</v>
      </c>
      <c r="AI1785">
        <v>0</v>
      </c>
      <c r="AJ1785">
        <v>0</v>
      </c>
      <c r="AK1785">
        <v>0</v>
      </c>
      <c r="AL1785">
        <v>5</v>
      </c>
      <c r="AM1785">
        <v>0.33333333333333331</v>
      </c>
      <c r="AN1785">
        <v>9.6046251398731108</v>
      </c>
    </row>
    <row r="1786" spans="1:40" x14ac:dyDescent="0.3">
      <c r="A1786" t="s">
        <v>517</v>
      </c>
      <c r="B1786" t="s">
        <v>49</v>
      </c>
      <c r="C1786" t="s">
        <v>10</v>
      </c>
      <c r="D1786" t="s">
        <v>11</v>
      </c>
      <c r="E1786">
        <v>202602</v>
      </c>
      <c r="F1786" t="s">
        <v>52</v>
      </c>
      <c r="G1786">
        <v>0</v>
      </c>
      <c r="H1786">
        <v>0</v>
      </c>
      <c r="I1786">
        <v>0</v>
      </c>
      <c r="J1786">
        <v>0</v>
      </c>
      <c r="K1786">
        <v>2</v>
      </c>
      <c r="L1786">
        <v>0</v>
      </c>
      <c r="M1786">
        <v>0</v>
      </c>
      <c r="N1786">
        <v>0</v>
      </c>
      <c r="O1786">
        <v>0</v>
      </c>
      <c r="P1786">
        <v>0</v>
      </c>
      <c r="Q1786">
        <v>0</v>
      </c>
      <c r="R1786">
        <v>0</v>
      </c>
      <c r="S1786">
        <v>0</v>
      </c>
      <c r="T1786">
        <v>0</v>
      </c>
      <c r="U1786">
        <v>0</v>
      </c>
      <c r="V1786">
        <v>0</v>
      </c>
      <c r="W1786">
        <v>0</v>
      </c>
      <c r="X1786">
        <v>0</v>
      </c>
      <c r="Y1786">
        <v>0</v>
      </c>
      <c r="Z1786">
        <v>0</v>
      </c>
      <c r="AA1786">
        <v>0</v>
      </c>
      <c r="AB1786">
        <v>0</v>
      </c>
      <c r="AC1786">
        <v>0</v>
      </c>
      <c r="AD1786">
        <v>0</v>
      </c>
      <c r="AE1786">
        <v>0</v>
      </c>
      <c r="AF1786">
        <v>0</v>
      </c>
      <c r="AG1786">
        <v>0</v>
      </c>
      <c r="AH1786">
        <v>0</v>
      </c>
      <c r="AI1786">
        <v>0</v>
      </c>
      <c r="AJ1786">
        <v>0</v>
      </c>
      <c r="AK1786">
        <v>0</v>
      </c>
      <c r="AL1786">
        <v>2</v>
      </c>
      <c r="AM1786">
        <v>0</v>
      </c>
      <c r="AN1786">
        <v>2</v>
      </c>
    </row>
    <row r="1787" spans="1:40" x14ac:dyDescent="0.3">
      <c r="A1787" t="s">
        <v>517</v>
      </c>
      <c r="B1787" t="s">
        <v>49</v>
      </c>
      <c r="C1787" t="s">
        <v>10</v>
      </c>
      <c r="D1787" t="s">
        <v>11</v>
      </c>
      <c r="E1787">
        <v>202602</v>
      </c>
      <c r="F1787" t="s">
        <v>172</v>
      </c>
      <c r="G1787">
        <v>0</v>
      </c>
      <c r="H1787">
        <v>0</v>
      </c>
      <c r="I1787">
        <v>0</v>
      </c>
      <c r="J1787">
        <v>0</v>
      </c>
      <c r="K1787">
        <v>1</v>
      </c>
      <c r="L1787">
        <v>0</v>
      </c>
      <c r="M1787">
        <v>0</v>
      </c>
      <c r="N1787">
        <v>0</v>
      </c>
      <c r="O1787">
        <v>0</v>
      </c>
      <c r="P1787">
        <v>0</v>
      </c>
      <c r="Q1787">
        <v>0</v>
      </c>
      <c r="R1787">
        <v>0</v>
      </c>
      <c r="S1787">
        <v>0</v>
      </c>
      <c r="T1787">
        <v>0</v>
      </c>
      <c r="U1787">
        <v>0</v>
      </c>
      <c r="V1787">
        <v>0</v>
      </c>
      <c r="W1787">
        <v>0</v>
      </c>
      <c r="X1787">
        <v>0</v>
      </c>
      <c r="Y1787">
        <v>0</v>
      </c>
      <c r="Z1787">
        <v>0</v>
      </c>
      <c r="AA1787">
        <v>0</v>
      </c>
      <c r="AB1787">
        <v>0</v>
      </c>
      <c r="AC1787">
        <v>0</v>
      </c>
      <c r="AD1787">
        <v>0</v>
      </c>
      <c r="AE1787">
        <v>0</v>
      </c>
      <c r="AF1787">
        <v>0</v>
      </c>
      <c r="AG1787">
        <v>0</v>
      </c>
      <c r="AH1787">
        <v>0</v>
      </c>
      <c r="AI1787">
        <v>0</v>
      </c>
      <c r="AJ1787">
        <v>0</v>
      </c>
      <c r="AK1787">
        <v>0</v>
      </c>
      <c r="AL1787">
        <v>1</v>
      </c>
      <c r="AM1787">
        <v>0</v>
      </c>
      <c r="AN1787">
        <v>1</v>
      </c>
    </row>
    <row r="1788" spans="1:40" x14ac:dyDescent="0.3">
      <c r="A1788" t="s">
        <v>517</v>
      </c>
      <c r="B1788" t="s">
        <v>49</v>
      </c>
      <c r="C1788" t="s">
        <v>10</v>
      </c>
      <c r="D1788" t="s">
        <v>11</v>
      </c>
      <c r="E1788">
        <v>202602</v>
      </c>
      <c r="F1788" t="s">
        <v>53</v>
      </c>
      <c r="G1788">
        <v>0</v>
      </c>
      <c r="H1788">
        <v>0</v>
      </c>
      <c r="I1788">
        <v>0</v>
      </c>
      <c r="J1788">
        <v>0</v>
      </c>
      <c r="K1788">
        <v>0</v>
      </c>
      <c r="L1788">
        <v>0</v>
      </c>
      <c r="M1788">
        <v>0</v>
      </c>
      <c r="N1788">
        <v>0</v>
      </c>
      <c r="O1788">
        <v>0</v>
      </c>
      <c r="P1788">
        <v>0</v>
      </c>
      <c r="Q1788">
        <v>1</v>
      </c>
      <c r="R1788">
        <v>0</v>
      </c>
      <c r="S1788">
        <v>0</v>
      </c>
      <c r="T1788">
        <v>0</v>
      </c>
      <c r="U1788">
        <v>0</v>
      </c>
      <c r="V1788">
        <v>0</v>
      </c>
      <c r="W1788">
        <v>0</v>
      </c>
      <c r="X1788">
        <v>0</v>
      </c>
      <c r="Y1788">
        <v>0</v>
      </c>
      <c r="Z1788">
        <v>0</v>
      </c>
      <c r="AA1788">
        <v>0</v>
      </c>
      <c r="AB1788">
        <v>0</v>
      </c>
      <c r="AC1788">
        <v>0</v>
      </c>
      <c r="AD1788">
        <v>0</v>
      </c>
      <c r="AE1788">
        <v>0</v>
      </c>
      <c r="AF1788">
        <v>0</v>
      </c>
      <c r="AG1788">
        <v>0</v>
      </c>
      <c r="AH1788">
        <v>0</v>
      </c>
      <c r="AI1788">
        <v>0</v>
      </c>
      <c r="AJ1788">
        <v>0</v>
      </c>
      <c r="AK1788">
        <v>0</v>
      </c>
      <c r="AL1788">
        <v>1</v>
      </c>
      <c r="AM1788">
        <v>0.33333333333333331</v>
      </c>
      <c r="AN1788">
        <v>5.6046251398731117</v>
      </c>
    </row>
    <row r="1789" spans="1:40" x14ac:dyDescent="0.3">
      <c r="A1789" t="s">
        <v>517</v>
      </c>
      <c r="B1789" t="s">
        <v>49</v>
      </c>
      <c r="C1789" t="s">
        <v>10</v>
      </c>
      <c r="D1789" t="s">
        <v>14</v>
      </c>
      <c r="E1789">
        <v>202602</v>
      </c>
      <c r="F1789" t="s">
        <v>50</v>
      </c>
      <c r="G1789">
        <v>0</v>
      </c>
      <c r="H1789">
        <v>4</v>
      </c>
      <c r="I1789">
        <v>0</v>
      </c>
      <c r="J1789">
        <v>2</v>
      </c>
      <c r="K1789">
        <v>1</v>
      </c>
      <c r="L1789">
        <v>2</v>
      </c>
      <c r="M1789">
        <v>0</v>
      </c>
      <c r="N1789">
        <v>0</v>
      </c>
      <c r="O1789">
        <v>1</v>
      </c>
      <c r="P1789">
        <v>2</v>
      </c>
      <c r="Q1789">
        <v>2</v>
      </c>
      <c r="R1789">
        <v>0</v>
      </c>
      <c r="S1789">
        <v>0</v>
      </c>
      <c r="T1789">
        <v>0</v>
      </c>
      <c r="U1789">
        <v>0</v>
      </c>
      <c r="V1789">
        <v>0</v>
      </c>
      <c r="W1789">
        <v>0</v>
      </c>
      <c r="X1789">
        <v>0</v>
      </c>
      <c r="Y1789">
        <v>0</v>
      </c>
      <c r="Z1789">
        <v>0</v>
      </c>
      <c r="AA1789">
        <v>0</v>
      </c>
      <c r="AB1789">
        <v>0</v>
      </c>
      <c r="AC1789">
        <v>0</v>
      </c>
      <c r="AD1789">
        <v>0</v>
      </c>
      <c r="AE1789">
        <v>0</v>
      </c>
      <c r="AF1789">
        <v>0</v>
      </c>
      <c r="AG1789">
        <v>0</v>
      </c>
      <c r="AH1789">
        <v>0</v>
      </c>
      <c r="AI1789">
        <v>0</v>
      </c>
      <c r="AJ1789">
        <v>0</v>
      </c>
      <c r="AK1789">
        <v>0</v>
      </c>
      <c r="AL1789">
        <v>14</v>
      </c>
      <c r="AM1789">
        <v>1.6666666666666667</v>
      </c>
      <c r="AN1789">
        <v>34.20870535714306</v>
      </c>
    </row>
    <row r="1790" spans="1:40" x14ac:dyDescent="0.3">
      <c r="A1790" t="s">
        <v>517</v>
      </c>
      <c r="B1790" t="s">
        <v>49</v>
      </c>
      <c r="C1790" t="s">
        <v>10</v>
      </c>
      <c r="D1790" t="s">
        <v>14</v>
      </c>
      <c r="E1790">
        <v>202602</v>
      </c>
      <c r="F1790" t="s">
        <v>51</v>
      </c>
      <c r="G1790">
        <v>1</v>
      </c>
      <c r="H1790">
        <v>1</v>
      </c>
      <c r="I1790">
        <v>1</v>
      </c>
      <c r="J1790">
        <v>0</v>
      </c>
      <c r="K1790">
        <v>0</v>
      </c>
      <c r="L1790">
        <v>0</v>
      </c>
      <c r="M1790">
        <v>1</v>
      </c>
      <c r="N1790">
        <v>0</v>
      </c>
      <c r="O1790">
        <v>0</v>
      </c>
      <c r="P1790">
        <v>1</v>
      </c>
      <c r="Q1790">
        <v>2</v>
      </c>
      <c r="R1790">
        <v>0</v>
      </c>
      <c r="S1790">
        <v>0</v>
      </c>
      <c r="T1790">
        <v>0</v>
      </c>
      <c r="U1790">
        <v>0</v>
      </c>
      <c r="V1790">
        <v>0</v>
      </c>
      <c r="W1790">
        <v>0</v>
      </c>
      <c r="X1790">
        <v>0</v>
      </c>
      <c r="Y1790">
        <v>0</v>
      </c>
      <c r="Z1790">
        <v>0</v>
      </c>
      <c r="AA1790">
        <v>0</v>
      </c>
      <c r="AB1790">
        <v>0</v>
      </c>
      <c r="AC1790">
        <v>0</v>
      </c>
      <c r="AD1790">
        <v>0</v>
      </c>
      <c r="AE1790">
        <v>0</v>
      </c>
      <c r="AF1790">
        <v>0</v>
      </c>
      <c r="AG1790">
        <v>0</v>
      </c>
      <c r="AH1790">
        <v>0</v>
      </c>
      <c r="AI1790">
        <v>0</v>
      </c>
      <c r="AJ1790">
        <v>0</v>
      </c>
      <c r="AK1790">
        <v>0</v>
      </c>
      <c r="AL1790">
        <v>7</v>
      </c>
      <c r="AM1790">
        <v>1</v>
      </c>
      <c r="AN1790">
        <v>19.125223214285839</v>
      </c>
    </row>
    <row r="1791" spans="1:40" x14ac:dyDescent="0.3">
      <c r="A1791" t="s">
        <v>517</v>
      </c>
      <c r="B1791" t="s">
        <v>49</v>
      </c>
      <c r="C1791" t="s">
        <v>10</v>
      </c>
      <c r="D1791" t="s">
        <v>14</v>
      </c>
      <c r="E1791">
        <v>202602</v>
      </c>
      <c r="F1791" t="s">
        <v>52</v>
      </c>
      <c r="G1791">
        <v>0</v>
      </c>
      <c r="H1791">
        <v>0</v>
      </c>
      <c r="I1791">
        <v>0</v>
      </c>
      <c r="J1791">
        <v>0</v>
      </c>
      <c r="K1791">
        <v>2</v>
      </c>
      <c r="L1791">
        <v>0</v>
      </c>
      <c r="M1791">
        <v>0</v>
      </c>
      <c r="N1791">
        <v>0</v>
      </c>
      <c r="O1791">
        <v>0</v>
      </c>
      <c r="P1791">
        <v>1</v>
      </c>
      <c r="Q1791">
        <v>0</v>
      </c>
      <c r="R1791">
        <v>0</v>
      </c>
      <c r="S1791">
        <v>0</v>
      </c>
      <c r="T1791">
        <v>0</v>
      </c>
      <c r="U1791">
        <v>0</v>
      </c>
      <c r="V1791">
        <v>0</v>
      </c>
      <c r="W1791">
        <v>0</v>
      </c>
      <c r="X1791">
        <v>0</v>
      </c>
      <c r="Y1791">
        <v>0</v>
      </c>
      <c r="Z1791">
        <v>0</v>
      </c>
      <c r="AA1791">
        <v>0</v>
      </c>
      <c r="AB1791">
        <v>0</v>
      </c>
      <c r="AC1791">
        <v>0</v>
      </c>
      <c r="AD1791">
        <v>0</v>
      </c>
      <c r="AE1791">
        <v>0</v>
      </c>
      <c r="AF1791">
        <v>0</v>
      </c>
      <c r="AG1791">
        <v>0</v>
      </c>
      <c r="AH1791">
        <v>0</v>
      </c>
      <c r="AI1791">
        <v>0</v>
      </c>
      <c r="AJ1791">
        <v>0</v>
      </c>
      <c r="AK1791">
        <v>0</v>
      </c>
      <c r="AL1791">
        <v>3</v>
      </c>
      <c r="AM1791">
        <v>0.33333333333333331</v>
      </c>
      <c r="AN1791">
        <v>7.0417410714286133</v>
      </c>
    </row>
    <row r="1792" spans="1:40" x14ac:dyDescent="0.3">
      <c r="A1792" t="s">
        <v>517</v>
      </c>
      <c r="B1792" t="s">
        <v>49</v>
      </c>
      <c r="C1792" t="s">
        <v>10</v>
      </c>
      <c r="D1792" t="s">
        <v>14</v>
      </c>
      <c r="E1792">
        <v>202602</v>
      </c>
      <c r="F1792" t="s">
        <v>172</v>
      </c>
      <c r="G1792">
        <v>0</v>
      </c>
      <c r="H1792">
        <v>0</v>
      </c>
      <c r="I1792">
        <v>0</v>
      </c>
      <c r="J1792">
        <v>1</v>
      </c>
      <c r="K1792">
        <v>0</v>
      </c>
      <c r="L1792">
        <v>0</v>
      </c>
      <c r="M1792">
        <v>0</v>
      </c>
      <c r="N1792">
        <v>0</v>
      </c>
      <c r="O1792">
        <v>0</v>
      </c>
      <c r="P1792">
        <v>0</v>
      </c>
      <c r="Q1792">
        <v>0</v>
      </c>
      <c r="R1792">
        <v>0</v>
      </c>
      <c r="S1792">
        <v>0</v>
      </c>
      <c r="T1792">
        <v>0</v>
      </c>
      <c r="U1792">
        <v>0</v>
      </c>
      <c r="V1792">
        <v>0</v>
      </c>
      <c r="W1792">
        <v>0</v>
      </c>
      <c r="X1792">
        <v>0</v>
      </c>
      <c r="Y1792">
        <v>0</v>
      </c>
      <c r="Z1792">
        <v>0</v>
      </c>
      <c r="AA1792">
        <v>0</v>
      </c>
      <c r="AB1792">
        <v>0</v>
      </c>
      <c r="AC1792">
        <v>0</v>
      </c>
      <c r="AD1792">
        <v>0</v>
      </c>
      <c r="AE1792">
        <v>0</v>
      </c>
      <c r="AF1792">
        <v>0</v>
      </c>
      <c r="AG1792">
        <v>0</v>
      </c>
      <c r="AH1792">
        <v>0</v>
      </c>
      <c r="AI1792">
        <v>0</v>
      </c>
      <c r="AJ1792">
        <v>0</v>
      </c>
      <c r="AK1792">
        <v>0</v>
      </c>
      <c r="AL1792">
        <v>1</v>
      </c>
      <c r="AM1792">
        <v>0</v>
      </c>
      <c r="AN1792">
        <v>1</v>
      </c>
    </row>
    <row r="1793" spans="1:40" x14ac:dyDescent="0.3">
      <c r="A1793" t="s">
        <v>517</v>
      </c>
      <c r="B1793" t="s">
        <v>49</v>
      </c>
      <c r="C1793" t="s">
        <v>10</v>
      </c>
      <c r="D1793" t="s">
        <v>14</v>
      </c>
      <c r="E1793">
        <v>202602</v>
      </c>
      <c r="F1793" t="s">
        <v>53</v>
      </c>
      <c r="G1793">
        <v>0</v>
      </c>
      <c r="H1793">
        <v>0</v>
      </c>
      <c r="I1793">
        <v>0</v>
      </c>
      <c r="J1793">
        <v>0</v>
      </c>
      <c r="K1793">
        <v>0</v>
      </c>
      <c r="L1793">
        <v>0</v>
      </c>
      <c r="M1793">
        <v>0</v>
      </c>
      <c r="N1793">
        <v>0</v>
      </c>
      <c r="O1793">
        <v>1</v>
      </c>
      <c r="P1793">
        <v>0</v>
      </c>
      <c r="Q1793">
        <v>0</v>
      </c>
      <c r="R1793">
        <v>0</v>
      </c>
      <c r="S1793">
        <v>0</v>
      </c>
      <c r="T1793">
        <v>0</v>
      </c>
      <c r="U1793">
        <v>0</v>
      </c>
      <c r="V1793">
        <v>0</v>
      </c>
      <c r="W1793">
        <v>0</v>
      </c>
      <c r="X1793">
        <v>0</v>
      </c>
      <c r="Y1793">
        <v>0</v>
      </c>
      <c r="Z1793">
        <v>0</v>
      </c>
      <c r="AA1793">
        <v>0</v>
      </c>
      <c r="AB1793">
        <v>0</v>
      </c>
      <c r="AC1793">
        <v>0</v>
      </c>
      <c r="AD1793">
        <v>0</v>
      </c>
      <c r="AE1793">
        <v>0</v>
      </c>
      <c r="AF1793">
        <v>0</v>
      </c>
      <c r="AG1793">
        <v>0</v>
      </c>
      <c r="AH1793">
        <v>0</v>
      </c>
      <c r="AI1793">
        <v>0</v>
      </c>
      <c r="AJ1793">
        <v>0</v>
      </c>
      <c r="AK1793">
        <v>0</v>
      </c>
      <c r="AL1793">
        <v>1</v>
      </c>
      <c r="AM1793">
        <v>0.33333333333333331</v>
      </c>
      <c r="AN1793">
        <v>5.0417410714286133</v>
      </c>
    </row>
    <row r="1794" spans="1:40" x14ac:dyDescent="0.3">
      <c r="A1794" t="s">
        <v>517</v>
      </c>
      <c r="B1794" t="s">
        <v>49</v>
      </c>
      <c r="C1794" t="s">
        <v>16</v>
      </c>
      <c r="D1794" t="s">
        <v>11</v>
      </c>
      <c r="E1794">
        <v>202602</v>
      </c>
      <c r="F1794" t="s">
        <v>50</v>
      </c>
      <c r="G1794">
        <v>0</v>
      </c>
      <c r="H1794">
        <v>1</v>
      </c>
      <c r="I1794">
        <v>1</v>
      </c>
      <c r="J1794">
        <v>0</v>
      </c>
      <c r="K1794">
        <v>1</v>
      </c>
      <c r="L1794">
        <v>0</v>
      </c>
      <c r="M1794">
        <v>0</v>
      </c>
      <c r="N1794">
        <v>0</v>
      </c>
      <c r="O1794">
        <v>1</v>
      </c>
      <c r="P1794">
        <v>0</v>
      </c>
      <c r="Q1794">
        <v>0</v>
      </c>
      <c r="R1794">
        <v>0</v>
      </c>
      <c r="S1794">
        <v>0</v>
      </c>
      <c r="T1794">
        <v>0</v>
      </c>
      <c r="U1794">
        <v>0</v>
      </c>
      <c r="V1794">
        <v>0</v>
      </c>
      <c r="W1794">
        <v>0</v>
      </c>
      <c r="X1794">
        <v>0</v>
      </c>
      <c r="Y1794">
        <v>0</v>
      </c>
      <c r="Z1794">
        <v>0</v>
      </c>
      <c r="AA1794">
        <v>0</v>
      </c>
      <c r="AB1794">
        <v>0</v>
      </c>
      <c r="AC1794">
        <v>0</v>
      </c>
      <c r="AD1794">
        <v>0</v>
      </c>
      <c r="AE1794">
        <v>0</v>
      </c>
      <c r="AF1794">
        <v>0</v>
      </c>
      <c r="AG1794">
        <v>0</v>
      </c>
      <c r="AH1794">
        <v>0</v>
      </c>
      <c r="AI1794">
        <v>0</v>
      </c>
      <c r="AJ1794">
        <v>0</v>
      </c>
      <c r="AK1794">
        <v>0</v>
      </c>
      <c r="AL1794">
        <v>4</v>
      </c>
      <c r="AM1794">
        <v>0.33333333333333331</v>
      </c>
      <c r="AN1794">
        <v>8.6046251398731108</v>
      </c>
    </row>
    <row r="1795" spans="1:40" x14ac:dyDescent="0.3">
      <c r="A1795" t="s">
        <v>517</v>
      </c>
      <c r="B1795" t="s">
        <v>49</v>
      </c>
      <c r="C1795" t="s">
        <v>16</v>
      </c>
      <c r="D1795" t="s">
        <v>11</v>
      </c>
      <c r="E1795">
        <v>202602</v>
      </c>
      <c r="F1795" t="s">
        <v>51</v>
      </c>
      <c r="G1795">
        <v>0</v>
      </c>
      <c r="H1795">
        <v>0</v>
      </c>
      <c r="I1795">
        <v>0</v>
      </c>
      <c r="J1795">
        <v>1</v>
      </c>
      <c r="K1795">
        <v>1</v>
      </c>
      <c r="L1795">
        <v>1</v>
      </c>
      <c r="M1795">
        <v>1</v>
      </c>
      <c r="N1795">
        <v>1</v>
      </c>
      <c r="O1795">
        <v>0</v>
      </c>
      <c r="P1795">
        <v>1</v>
      </c>
      <c r="Q1795">
        <v>0</v>
      </c>
      <c r="R1795">
        <v>0</v>
      </c>
      <c r="S1795">
        <v>0</v>
      </c>
      <c r="T1795">
        <v>0</v>
      </c>
      <c r="U1795">
        <v>0</v>
      </c>
      <c r="V1795">
        <v>0</v>
      </c>
      <c r="W1795">
        <v>0</v>
      </c>
      <c r="X1795">
        <v>0</v>
      </c>
      <c r="Y1795">
        <v>0</v>
      </c>
      <c r="Z1795">
        <v>0</v>
      </c>
      <c r="AA1795">
        <v>0</v>
      </c>
      <c r="AB1795">
        <v>0</v>
      </c>
      <c r="AC1795">
        <v>0</v>
      </c>
      <c r="AD1795">
        <v>0</v>
      </c>
      <c r="AE1795">
        <v>0</v>
      </c>
      <c r="AF1795">
        <v>0</v>
      </c>
      <c r="AG1795">
        <v>0</v>
      </c>
      <c r="AH1795">
        <v>0</v>
      </c>
      <c r="AI1795">
        <v>0</v>
      </c>
      <c r="AJ1795">
        <v>0</v>
      </c>
      <c r="AK1795">
        <v>0</v>
      </c>
      <c r="AL1795">
        <v>6</v>
      </c>
      <c r="AM1795">
        <v>0.33333333333333331</v>
      </c>
      <c r="AN1795">
        <v>10.604625139873111</v>
      </c>
    </row>
    <row r="1796" spans="1:40" x14ac:dyDescent="0.3">
      <c r="A1796" t="s">
        <v>517</v>
      </c>
      <c r="B1796" t="s">
        <v>49</v>
      </c>
      <c r="C1796" t="s">
        <v>16</v>
      </c>
      <c r="D1796" t="s">
        <v>11</v>
      </c>
      <c r="E1796">
        <v>202602</v>
      </c>
      <c r="F1796" t="s">
        <v>52</v>
      </c>
      <c r="G1796">
        <v>0</v>
      </c>
      <c r="H1796">
        <v>0</v>
      </c>
      <c r="I1796">
        <v>0</v>
      </c>
      <c r="J1796">
        <v>0</v>
      </c>
      <c r="K1796">
        <v>0</v>
      </c>
      <c r="L1796">
        <v>1</v>
      </c>
      <c r="M1796">
        <v>0</v>
      </c>
      <c r="N1796">
        <v>0</v>
      </c>
      <c r="O1796">
        <v>0</v>
      </c>
      <c r="P1796">
        <v>0</v>
      </c>
      <c r="Q1796">
        <v>0</v>
      </c>
      <c r="R1796">
        <v>0</v>
      </c>
      <c r="S1796">
        <v>0</v>
      </c>
      <c r="T1796">
        <v>0</v>
      </c>
      <c r="U1796">
        <v>0</v>
      </c>
      <c r="V1796">
        <v>0</v>
      </c>
      <c r="W1796">
        <v>0</v>
      </c>
      <c r="X1796">
        <v>0</v>
      </c>
      <c r="Y1796">
        <v>0</v>
      </c>
      <c r="Z1796">
        <v>0</v>
      </c>
      <c r="AA1796">
        <v>0</v>
      </c>
      <c r="AB1796">
        <v>0</v>
      </c>
      <c r="AC1796">
        <v>0</v>
      </c>
      <c r="AD1796">
        <v>0</v>
      </c>
      <c r="AE1796">
        <v>0</v>
      </c>
      <c r="AF1796">
        <v>0</v>
      </c>
      <c r="AG1796">
        <v>0</v>
      </c>
      <c r="AH1796">
        <v>0</v>
      </c>
      <c r="AI1796">
        <v>0</v>
      </c>
      <c r="AJ1796">
        <v>0</v>
      </c>
      <c r="AK1796">
        <v>0</v>
      </c>
      <c r="AL1796">
        <v>1</v>
      </c>
      <c r="AM1796">
        <v>0</v>
      </c>
      <c r="AN1796">
        <v>1</v>
      </c>
    </row>
    <row r="1797" spans="1:40" x14ac:dyDescent="0.3">
      <c r="A1797" t="s">
        <v>517</v>
      </c>
      <c r="B1797" t="s">
        <v>49</v>
      </c>
      <c r="C1797" t="s">
        <v>16</v>
      </c>
      <c r="D1797" t="s">
        <v>11</v>
      </c>
      <c r="E1797">
        <v>202602</v>
      </c>
      <c r="F1797" t="s">
        <v>172</v>
      </c>
      <c r="G1797">
        <v>0</v>
      </c>
      <c r="H1797">
        <v>0</v>
      </c>
      <c r="I1797">
        <v>0</v>
      </c>
      <c r="J1797">
        <v>1</v>
      </c>
      <c r="K1797">
        <v>1</v>
      </c>
      <c r="L1797">
        <v>0</v>
      </c>
      <c r="M1797">
        <v>0</v>
      </c>
      <c r="N1797">
        <v>0</v>
      </c>
      <c r="O1797">
        <v>0</v>
      </c>
      <c r="P1797">
        <v>1</v>
      </c>
      <c r="Q1797">
        <v>0</v>
      </c>
      <c r="R1797">
        <v>0</v>
      </c>
      <c r="S1797">
        <v>0</v>
      </c>
      <c r="T1797">
        <v>0</v>
      </c>
      <c r="U1797">
        <v>0</v>
      </c>
      <c r="V1797">
        <v>0</v>
      </c>
      <c r="W1797">
        <v>0</v>
      </c>
      <c r="X1797">
        <v>0</v>
      </c>
      <c r="Y1797">
        <v>0</v>
      </c>
      <c r="Z1797">
        <v>0</v>
      </c>
      <c r="AA1797">
        <v>0</v>
      </c>
      <c r="AB1797">
        <v>0</v>
      </c>
      <c r="AC1797">
        <v>0</v>
      </c>
      <c r="AD1797">
        <v>0</v>
      </c>
      <c r="AE1797">
        <v>0</v>
      </c>
      <c r="AF1797">
        <v>0</v>
      </c>
      <c r="AG1797">
        <v>0</v>
      </c>
      <c r="AH1797">
        <v>0</v>
      </c>
      <c r="AI1797">
        <v>0</v>
      </c>
      <c r="AJ1797">
        <v>0</v>
      </c>
      <c r="AK1797">
        <v>0</v>
      </c>
      <c r="AL1797">
        <v>3</v>
      </c>
      <c r="AM1797">
        <v>0.33333333333333331</v>
      </c>
      <c r="AN1797">
        <v>7.6046251398731117</v>
      </c>
    </row>
    <row r="1798" spans="1:40" x14ac:dyDescent="0.3">
      <c r="A1798" t="s">
        <v>517</v>
      </c>
      <c r="B1798" t="s">
        <v>49</v>
      </c>
      <c r="C1798" t="s">
        <v>16</v>
      </c>
      <c r="D1798" t="s">
        <v>14</v>
      </c>
      <c r="E1798">
        <v>202602</v>
      </c>
      <c r="F1798" t="s">
        <v>50</v>
      </c>
      <c r="G1798">
        <v>1</v>
      </c>
      <c r="H1798">
        <v>1</v>
      </c>
      <c r="I1798">
        <v>1</v>
      </c>
      <c r="J1798">
        <v>2</v>
      </c>
      <c r="K1798">
        <v>0</v>
      </c>
      <c r="L1798">
        <v>1</v>
      </c>
      <c r="M1798">
        <v>0</v>
      </c>
      <c r="N1798">
        <v>0</v>
      </c>
      <c r="O1798">
        <v>3</v>
      </c>
      <c r="P1798">
        <v>1</v>
      </c>
      <c r="Q1798">
        <v>2</v>
      </c>
      <c r="R1798">
        <v>0</v>
      </c>
      <c r="S1798">
        <v>0</v>
      </c>
      <c r="T1798">
        <v>0</v>
      </c>
      <c r="U1798">
        <v>0</v>
      </c>
      <c r="V1798">
        <v>0</v>
      </c>
      <c r="W1798">
        <v>0</v>
      </c>
      <c r="X1798">
        <v>0</v>
      </c>
      <c r="Y1798">
        <v>0</v>
      </c>
      <c r="Z1798">
        <v>0</v>
      </c>
      <c r="AA1798">
        <v>0</v>
      </c>
      <c r="AB1798">
        <v>0</v>
      </c>
      <c r="AC1798">
        <v>0</v>
      </c>
      <c r="AD1798">
        <v>0</v>
      </c>
      <c r="AE1798">
        <v>0</v>
      </c>
      <c r="AF1798">
        <v>0</v>
      </c>
      <c r="AG1798">
        <v>0</v>
      </c>
      <c r="AH1798">
        <v>0</v>
      </c>
      <c r="AI1798">
        <v>0</v>
      </c>
      <c r="AJ1798">
        <v>0</v>
      </c>
      <c r="AK1798">
        <v>0</v>
      </c>
      <c r="AL1798">
        <v>12</v>
      </c>
      <c r="AM1798">
        <v>2</v>
      </c>
      <c r="AN1798">
        <v>36.250446428571678</v>
      </c>
    </row>
    <row r="1799" spans="1:40" x14ac:dyDescent="0.3">
      <c r="A1799" t="s">
        <v>517</v>
      </c>
      <c r="B1799" t="s">
        <v>49</v>
      </c>
      <c r="C1799" t="s">
        <v>16</v>
      </c>
      <c r="D1799" t="s">
        <v>14</v>
      </c>
      <c r="E1799">
        <v>202602</v>
      </c>
      <c r="F1799" t="s">
        <v>51</v>
      </c>
      <c r="G1799">
        <v>0</v>
      </c>
      <c r="H1799">
        <v>1</v>
      </c>
      <c r="I1799">
        <v>0</v>
      </c>
      <c r="J1799">
        <v>2</v>
      </c>
      <c r="K1799">
        <v>1</v>
      </c>
      <c r="L1799">
        <v>1</v>
      </c>
      <c r="M1799">
        <v>1</v>
      </c>
      <c r="N1799">
        <v>0</v>
      </c>
      <c r="O1799">
        <v>0</v>
      </c>
      <c r="P1799">
        <v>1</v>
      </c>
      <c r="Q1799">
        <v>1</v>
      </c>
      <c r="R1799">
        <v>0</v>
      </c>
      <c r="S1799">
        <v>0</v>
      </c>
      <c r="T1799">
        <v>0</v>
      </c>
      <c r="U1799">
        <v>0</v>
      </c>
      <c r="V1799">
        <v>0</v>
      </c>
      <c r="W1799">
        <v>0</v>
      </c>
      <c r="X1799">
        <v>0</v>
      </c>
      <c r="Y1799">
        <v>0</v>
      </c>
      <c r="Z1799">
        <v>0</v>
      </c>
      <c r="AA1799">
        <v>0</v>
      </c>
      <c r="AB1799">
        <v>0</v>
      </c>
      <c r="AC1799">
        <v>0</v>
      </c>
      <c r="AD1799">
        <v>0</v>
      </c>
      <c r="AE1799">
        <v>0</v>
      </c>
      <c r="AF1799">
        <v>0</v>
      </c>
      <c r="AG1799">
        <v>0</v>
      </c>
      <c r="AH1799">
        <v>0</v>
      </c>
      <c r="AI1799">
        <v>0</v>
      </c>
      <c r="AJ1799">
        <v>0</v>
      </c>
      <c r="AK1799">
        <v>0</v>
      </c>
      <c r="AL1799">
        <v>8</v>
      </c>
      <c r="AM1799">
        <v>0.66666666666666663</v>
      </c>
      <c r="AN1799">
        <v>16.083482142857228</v>
      </c>
    </row>
    <row r="1800" spans="1:40" x14ac:dyDescent="0.3">
      <c r="A1800" t="s">
        <v>517</v>
      </c>
      <c r="B1800" t="s">
        <v>49</v>
      </c>
      <c r="C1800" t="s">
        <v>16</v>
      </c>
      <c r="D1800" t="s">
        <v>14</v>
      </c>
      <c r="E1800">
        <v>202602</v>
      </c>
      <c r="F1800" t="s">
        <v>52</v>
      </c>
      <c r="G1800">
        <v>0</v>
      </c>
      <c r="H1800">
        <v>0</v>
      </c>
      <c r="I1800">
        <v>0</v>
      </c>
      <c r="J1800">
        <v>0</v>
      </c>
      <c r="K1800">
        <v>0</v>
      </c>
      <c r="L1800">
        <v>2</v>
      </c>
      <c r="M1800">
        <v>0</v>
      </c>
      <c r="N1800">
        <v>0</v>
      </c>
      <c r="O1800">
        <v>0</v>
      </c>
      <c r="P1800">
        <v>0</v>
      </c>
      <c r="Q1800">
        <v>0</v>
      </c>
      <c r="R1800">
        <v>0</v>
      </c>
      <c r="S1800">
        <v>0</v>
      </c>
      <c r="T1800">
        <v>0</v>
      </c>
      <c r="U1800">
        <v>0</v>
      </c>
      <c r="V1800">
        <v>0</v>
      </c>
      <c r="W1800">
        <v>0</v>
      </c>
      <c r="X1800">
        <v>0</v>
      </c>
      <c r="Y1800">
        <v>0</v>
      </c>
      <c r="Z1800">
        <v>0</v>
      </c>
      <c r="AA1800">
        <v>0</v>
      </c>
      <c r="AB1800">
        <v>0</v>
      </c>
      <c r="AC1800">
        <v>0</v>
      </c>
      <c r="AD1800">
        <v>0</v>
      </c>
      <c r="AE1800">
        <v>0</v>
      </c>
      <c r="AF1800">
        <v>0</v>
      </c>
      <c r="AG1800">
        <v>0</v>
      </c>
      <c r="AH1800">
        <v>0</v>
      </c>
      <c r="AI1800">
        <v>0</v>
      </c>
      <c r="AJ1800">
        <v>0</v>
      </c>
      <c r="AK1800">
        <v>0</v>
      </c>
      <c r="AL1800">
        <v>2</v>
      </c>
      <c r="AM1800">
        <v>0</v>
      </c>
      <c r="AN1800">
        <v>2</v>
      </c>
    </row>
    <row r="1801" spans="1:40" x14ac:dyDescent="0.3">
      <c r="A1801" t="s">
        <v>517</v>
      </c>
      <c r="B1801" t="s">
        <v>49</v>
      </c>
      <c r="C1801" t="s">
        <v>16</v>
      </c>
      <c r="D1801" t="s">
        <v>14</v>
      </c>
      <c r="E1801">
        <v>202602</v>
      </c>
      <c r="F1801" t="s">
        <v>172</v>
      </c>
      <c r="G1801">
        <v>0</v>
      </c>
      <c r="H1801">
        <v>0</v>
      </c>
      <c r="I1801">
        <v>0</v>
      </c>
      <c r="J1801">
        <v>0</v>
      </c>
      <c r="K1801">
        <v>1</v>
      </c>
      <c r="L1801">
        <v>1</v>
      </c>
      <c r="M1801">
        <v>0</v>
      </c>
      <c r="N1801">
        <v>0</v>
      </c>
      <c r="O1801">
        <v>0</v>
      </c>
      <c r="P1801">
        <v>0</v>
      </c>
      <c r="Q1801">
        <v>0</v>
      </c>
      <c r="R1801">
        <v>0</v>
      </c>
      <c r="S1801">
        <v>0</v>
      </c>
      <c r="T1801">
        <v>0</v>
      </c>
      <c r="U1801">
        <v>0</v>
      </c>
      <c r="V1801">
        <v>0</v>
      </c>
      <c r="W1801">
        <v>0</v>
      </c>
      <c r="X1801">
        <v>0</v>
      </c>
      <c r="Y1801">
        <v>0</v>
      </c>
      <c r="Z1801">
        <v>0</v>
      </c>
      <c r="AA1801">
        <v>0</v>
      </c>
      <c r="AB1801">
        <v>0</v>
      </c>
      <c r="AC1801">
        <v>0</v>
      </c>
      <c r="AD1801">
        <v>0</v>
      </c>
      <c r="AE1801">
        <v>0</v>
      </c>
      <c r="AF1801">
        <v>0</v>
      </c>
      <c r="AG1801">
        <v>0</v>
      </c>
      <c r="AH1801">
        <v>0</v>
      </c>
      <c r="AI1801">
        <v>0</v>
      </c>
      <c r="AJ1801">
        <v>0</v>
      </c>
      <c r="AK1801">
        <v>0</v>
      </c>
      <c r="AL1801">
        <v>2</v>
      </c>
      <c r="AM1801">
        <v>0</v>
      </c>
      <c r="AN1801">
        <v>2</v>
      </c>
    </row>
    <row r="1802" spans="1:40" x14ac:dyDescent="0.3">
      <c r="A1802" t="s">
        <v>517</v>
      </c>
      <c r="B1802" t="s">
        <v>54</v>
      </c>
      <c r="C1802" t="s">
        <v>10</v>
      </c>
      <c r="D1802" t="s">
        <v>11</v>
      </c>
      <c r="E1802">
        <v>202602</v>
      </c>
      <c r="F1802" t="s">
        <v>55</v>
      </c>
      <c r="G1802">
        <v>0</v>
      </c>
      <c r="H1802">
        <v>3</v>
      </c>
      <c r="I1802">
        <v>5</v>
      </c>
      <c r="J1802">
        <v>9</v>
      </c>
      <c r="K1802">
        <v>5</v>
      </c>
      <c r="L1802">
        <v>6</v>
      </c>
      <c r="M1802">
        <v>1</v>
      </c>
      <c r="N1802">
        <v>0</v>
      </c>
      <c r="O1802">
        <v>10</v>
      </c>
      <c r="P1802">
        <v>6</v>
      </c>
      <c r="Q1802">
        <v>1</v>
      </c>
      <c r="R1802">
        <v>0</v>
      </c>
      <c r="S1802">
        <v>0</v>
      </c>
      <c r="T1802">
        <v>0</v>
      </c>
      <c r="U1802">
        <v>0</v>
      </c>
      <c r="V1802">
        <v>0</v>
      </c>
      <c r="W1802">
        <v>0</v>
      </c>
      <c r="X1802">
        <v>0</v>
      </c>
      <c r="Y1802">
        <v>0</v>
      </c>
      <c r="Z1802">
        <v>0</v>
      </c>
      <c r="AA1802">
        <v>0</v>
      </c>
      <c r="AB1802">
        <v>0</v>
      </c>
      <c r="AC1802">
        <v>0</v>
      </c>
      <c r="AD1802">
        <v>0</v>
      </c>
      <c r="AE1802">
        <v>0</v>
      </c>
      <c r="AF1802">
        <v>0</v>
      </c>
      <c r="AG1802">
        <v>0</v>
      </c>
      <c r="AH1802">
        <v>0</v>
      </c>
      <c r="AI1802">
        <v>0</v>
      </c>
      <c r="AJ1802">
        <v>0</v>
      </c>
      <c r="AK1802">
        <v>0</v>
      </c>
      <c r="AL1802">
        <v>46</v>
      </c>
      <c r="AM1802">
        <v>5.666666666666667</v>
      </c>
      <c r="AN1802">
        <v>124.27862737784289</v>
      </c>
    </row>
    <row r="1803" spans="1:40" x14ac:dyDescent="0.3">
      <c r="A1803" t="s">
        <v>517</v>
      </c>
      <c r="B1803" t="s">
        <v>54</v>
      </c>
      <c r="C1803" t="s">
        <v>10</v>
      </c>
      <c r="D1803" t="s">
        <v>11</v>
      </c>
      <c r="E1803">
        <v>202602</v>
      </c>
      <c r="F1803" t="s">
        <v>56</v>
      </c>
      <c r="G1803">
        <v>0</v>
      </c>
      <c r="H1803">
        <v>30</v>
      </c>
      <c r="I1803">
        <v>21</v>
      </c>
      <c r="J1803">
        <v>26</v>
      </c>
      <c r="K1803">
        <v>27</v>
      </c>
      <c r="L1803">
        <v>34</v>
      </c>
      <c r="M1803">
        <v>16</v>
      </c>
      <c r="N1803">
        <v>2</v>
      </c>
      <c r="O1803">
        <v>30</v>
      </c>
      <c r="P1803">
        <v>26</v>
      </c>
      <c r="Q1803">
        <v>25</v>
      </c>
      <c r="R1803">
        <v>0</v>
      </c>
      <c r="S1803">
        <v>0</v>
      </c>
      <c r="T1803">
        <v>0</v>
      </c>
      <c r="U1803">
        <v>0</v>
      </c>
      <c r="V1803">
        <v>0</v>
      </c>
      <c r="W1803">
        <v>0</v>
      </c>
      <c r="X1803">
        <v>0</v>
      </c>
      <c r="Y1803">
        <v>0</v>
      </c>
      <c r="Z1803">
        <v>0</v>
      </c>
      <c r="AA1803">
        <v>0</v>
      </c>
      <c r="AB1803">
        <v>0</v>
      </c>
      <c r="AC1803">
        <v>0</v>
      </c>
      <c r="AD1803">
        <v>0</v>
      </c>
      <c r="AE1803">
        <v>0</v>
      </c>
      <c r="AF1803">
        <v>0</v>
      </c>
      <c r="AG1803">
        <v>0</v>
      </c>
      <c r="AH1803">
        <v>0</v>
      </c>
      <c r="AI1803">
        <v>0</v>
      </c>
      <c r="AJ1803">
        <v>0</v>
      </c>
      <c r="AK1803">
        <v>0</v>
      </c>
      <c r="AL1803">
        <v>237</v>
      </c>
      <c r="AM1803">
        <v>27</v>
      </c>
      <c r="AN1803">
        <v>609.97463632972199</v>
      </c>
    </row>
    <row r="1804" spans="1:40" x14ac:dyDescent="0.3">
      <c r="A1804" t="s">
        <v>517</v>
      </c>
      <c r="B1804" t="s">
        <v>54</v>
      </c>
      <c r="C1804" t="s">
        <v>10</v>
      </c>
      <c r="D1804" t="s">
        <v>11</v>
      </c>
      <c r="E1804">
        <v>202602</v>
      </c>
      <c r="F1804" t="s">
        <v>52</v>
      </c>
      <c r="G1804">
        <v>0</v>
      </c>
      <c r="H1804">
        <v>0</v>
      </c>
      <c r="I1804">
        <v>0</v>
      </c>
      <c r="J1804">
        <v>0</v>
      </c>
      <c r="K1804">
        <v>0</v>
      </c>
      <c r="L1804">
        <v>0</v>
      </c>
      <c r="M1804">
        <v>0</v>
      </c>
      <c r="N1804">
        <v>0</v>
      </c>
      <c r="O1804">
        <v>1</v>
      </c>
      <c r="P1804">
        <v>0</v>
      </c>
      <c r="Q1804">
        <v>0</v>
      </c>
      <c r="R1804">
        <v>0</v>
      </c>
      <c r="S1804">
        <v>0</v>
      </c>
      <c r="T1804">
        <v>0</v>
      </c>
      <c r="U1804">
        <v>0</v>
      </c>
      <c r="V1804">
        <v>0</v>
      </c>
      <c r="W1804">
        <v>0</v>
      </c>
      <c r="X1804">
        <v>0</v>
      </c>
      <c r="Y1804">
        <v>0</v>
      </c>
      <c r="Z1804">
        <v>0</v>
      </c>
      <c r="AA1804">
        <v>0</v>
      </c>
      <c r="AB1804">
        <v>0</v>
      </c>
      <c r="AC1804">
        <v>0</v>
      </c>
      <c r="AD1804">
        <v>0</v>
      </c>
      <c r="AE1804">
        <v>0</v>
      </c>
      <c r="AF1804">
        <v>0</v>
      </c>
      <c r="AG1804">
        <v>0</v>
      </c>
      <c r="AH1804">
        <v>0</v>
      </c>
      <c r="AI1804">
        <v>0</v>
      </c>
      <c r="AJ1804">
        <v>0</v>
      </c>
      <c r="AK1804">
        <v>0</v>
      </c>
      <c r="AL1804">
        <v>1</v>
      </c>
      <c r="AM1804">
        <v>0.33333333333333331</v>
      </c>
      <c r="AN1804">
        <v>5.6046251398731117</v>
      </c>
    </row>
    <row r="1805" spans="1:40" x14ac:dyDescent="0.3">
      <c r="A1805" t="s">
        <v>517</v>
      </c>
      <c r="B1805" t="s">
        <v>54</v>
      </c>
      <c r="C1805" t="s">
        <v>10</v>
      </c>
      <c r="D1805" t="s">
        <v>11</v>
      </c>
      <c r="E1805">
        <v>202602</v>
      </c>
      <c r="F1805" t="s">
        <v>57</v>
      </c>
      <c r="G1805">
        <v>0</v>
      </c>
      <c r="H1805">
        <v>6</v>
      </c>
      <c r="I1805">
        <v>4</v>
      </c>
      <c r="J1805">
        <v>10</v>
      </c>
      <c r="K1805">
        <v>1</v>
      </c>
      <c r="L1805">
        <v>11</v>
      </c>
      <c r="M1805">
        <v>3</v>
      </c>
      <c r="N1805">
        <v>0</v>
      </c>
      <c r="O1805">
        <v>7</v>
      </c>
      <c r="P1805">
        <v>6</v>
      </c>
      <c r="Q1805">
        <v>7</v>
      </c>
      <c r="R1805">
        <v>0</v>
      </c>
      <c r="S1805">
        <v>0</v>
      </c>
      <c r="T1805">
        <v>0</v>
      </c>
      <c r="U1805">
        <v>0</v>
      </c>
      <c r="V1805">
        <v>0</v>
      </c>
      <c r="W1805">
        <v>0</v>
      </c>
      <c r="X1805">
        <v>0</v>
      </c>
      <c r="Y1805">
        <v>0</v>
      </c>
      <c r="Z1805">
        <v>0</v>
      </c>
      <c r="AA1805">
        <v>0</v>
      </c>
      <c r="AB1805">
        <v>0</v>
      </c>
      <c r="AC1805">
        <v>0</v>
      </c>
      <c r="AD1805">
        <v>0</v>
      </c>
      <c r="AE1805">
        <v>0</v>
      </c>
      <c r="AF1805">
        <v>0</v>
      </c>
      <c r="AG1805">
        <v>0</v>
      </c>
      <c r="AH1805">
        <v>0</v>
      </c>
      <c r="AI1805">
        <v>0</v>
      </c>
      <c r="AJ1805">
        <v>0</v>
      </c>
      <c r="AK1805">
        <v>0</v>
      </c>
      <c r="AL1805">
        <v>55</v>
      </c>
      <c r="AM1805">
        <v>6.666666666666667</v>
      </c>
      <c r="AN1805">
        <v>147.09250279746223</v>
      </c>
    </row>
    <row r="1806" spans="1:40" x14ac:dyDescent="0.3">
      <c r="A1806" t="s">
        <v>517</v>
      </c>
      <c r="B1806" t="s">
        <v>54</v>
      </c>
      <c r="C1806" t="s">
        <v>10</v>
      </c>
      <c r="D1806" t="s">
        <v>11</v>
      </c>
      <c r="E1806">
        <v>202602</v>
      </c>
      <c r="F1806" t="s">
        <v>58</v>
      </c>
      <c r="G1806">
        <v>0</v>
      </c>
      <c r="H1806">
        <v>0</v>
      </c>
      <c r="I1806">
        <v>1</v>
      </c>
      <c r="J1806">
        <v>0</v>
      </c>
      <c r="K1806">
        <v>2</v>
      </c>
      <c r="L1806">
        <v>2</v>
      </c>
      <c r="M1806">
        <v>0</v>
      </c>
      <c r="N1806">
        <v>0</v>
      </c>
      <c r="O1806">
        <v>1</v>
      </c>
      <c r="P1806">
        <v>1</v>
      </c>
      <c r="Q1806">
        <v>1</v>
      </c>
      <c r="R1806">
        <v>0</v>
      </c>
      <c r="S1806">
        <v>0</v>
      </c>
      <c r="T1806">
        <v>0</v>
      </c>
      <c r="U1806">
        <v>0</v>
      </c>
      <c r="V1806">
        <v>0</v>
      </c>
      <c r="W1806">
        <v>0</v>
      </c>
      <c r="X1806">
        <v>0</v>
      </c>
      <c r="Y1806">
        <v>0</v>
      </c>
      <c r="Z1806">
        <v>0</v>
      </c>
      <c r="AA1806">
        <v>0</v>
      </c>
      <c r="AB1806">
        <v>0</v>
      </c>
      <c r="AC1806">
        <v>0</v>
      </c>
      <c r="AD1806">
        <v>0</v>
      </c>
      <c r="AE1806">
        <v>0</v>
      </c>
      <c r="AF1806">
        <v>0</v>
      </c>
      <c r="AG1806">
        <v>0</v>
      </c>
      <c r="AH1806">
        <v>0</v>
      </c>
      <c r="AI1806">
        <v>0</v>
      </c>
      <c r="AJ1806">
        <v>0</v>
      </c>
      <c r="AK1806">
        <v>0</v>
      </c>
      <c r="AL1806">
        <v>8</v>
      </c>
      <c r="AM1806">
        <v>1</v>
      </c>
      <c r="AN1806">
        <v>21.813875419619336</v>
      </c>
    </row>
    <row r="1807" spans="1:40" x14ac:dyDescent="0.3">
      <c r="A1807" t="s">
        <v>517</v>
      </c>
      <c r="B1807" t="s">
        <v>54</v>
      </c>
      <c r="C1807" t="s">
        <v>10</v>
      </c>
      <c r="D1807" t="s">
        <v>14</v>
      </c>
      <c r="E1807">
        <v>202602</v>
      </c>
      <c r="F1807" t="s">
        <v>55</v>
      </c>
      <c r="G1807">
        <v>2</v>
      </c>
      <c r="H1807">
        <v>11</v>
      </c>
      <c r="I1807">
        <v>8</v>
      </c>
      <c r="J1807">
        <v>9</v>
      </c>
      <c r="K1807">
        <v>8</v>
      </c>
      <c r="L1807">
        <v>6</v>
      </c>
      <c r="M1807">
        <v>1</v>
      </c>
      <c r="N1807">
        <v>0</v>
      </c>
      <c r="O1807">
        <v>7</v>
      </c>
      <c r="P1807">
        <v>12</v>
      </c>
      <c r="Q1807">
        <v>4</v>
      </c>
      <c r="R1807">
        <v>0</v>
      </c>
      <c r="S1807">
        <v>0</v>
      </c>
      <c r="T1807">
        <v>0</v>
      </c>
      <c r="U1807">
        <v>0</v>
      </c>
      <c r="V1807">
        <v>0</v>
      </c>
      <c r="W1807">
        <v>0</v>
      </c>
      <c r="X1807">
        <v>0</v>
      </c>
      <c r="Y1807">
        <v>0</v>
      </c>
      <c r="Z1807">
        <v>0</v>
      </c>
      <c r="AA1807">
        <v>0</v>
      </c>
      <c r="AB1807">
        <v>0</v>
      </c>
      <c r="AC1807">
        <v>0</v>
      </c>
      <c r="AD1807">
        <v>0</v>
      </c>
      <c r="AE1807">
        <v>0</v>
      </c>
      <c r="AF1807">
        <v>0</v>
      </c>
      <c r="AG1807">
        <v>0</v>
      </c>
      <c r="AH1807">
        <v>0</v>
      </c>
      <c r="AI1807">
        <v>0</v>
      </c>
      <c r="AJ1807">
        <v>0</v>
      </c>
      <c r="AK1807">
        <v>0</v>
      </c>
      <c r="AL1807">
        <v>68</v>
      </c>
      <c r="AM1807">
        <v>7.666666666666667</v>
      </c>
      <c r="AN1807">
        <v>160.96004464285812</v>
      </c>
    </row>
    <row r="1808" spans="1:40" x14ac:dyDescent="0.3">
      <c r="A1808" t="s">
        <v>517</v>
      </c>
      <c r="B1808" t="s">
        <v>54</v>
      </c>
      <c r="C1808" t="s">
        <v>10</v>
      </c>
      <c r="D1808" t="s">
        <v>14</v>
      </c>
      <c r="E1808">
        <v>202602</v>
      </c>
      <c r="F1808" t="s">
        <v>56</v>
      </c>
      <c r="G1808">
        <v>4</v>
      </c>
      <c r="H1808">
        <v>44</v>
      </c>
      <c r="I1808">
        <v>48</v>
      </c>
      <c r="J1808">
        <v>34</v>
      </c>
      <c r="K1808">
        <v>46</v>
      </c>
      <c r="L1808">
        <v>23</v>
      </c>
      <c r="M1808">
        <v>5</v>
      </c>
      <c r="N1808">
        <v>2</v>
      </c>
      <c r="O1808">
        <v>37</v>
      </c>
      <c r="P1808">
        <v>50</v>
      </c>
      <c r="Q1808">
        <v>40</v>
      </c>
      <c r="R1808">
        <v>0</v>
      </c>
      <c r="S1808">
        <v>0</v>
      </c>
      <c r="T1808">
        <v>0</v>
      </c>
      <c r="U1808">
        <v>0</v>
      </c>
      <c r="V1808">
        <v>0</v>
      </c>
      <c r="W1808">
        <v>0</v>
      </c>
      <c r="X1808">
        <v>0</v>
      </c>
      <c r="Y1808">
        <v>0</v>
      </c>
      <c r="Z1808">
        <v>0</v>
      </c>
      <c r="AA1808">
        <v>0</v>
      </c>
      <c r="AB1808">
        <v>0</v>
      </c>
      <c r="AC1808">
        <v>0</v>
      </c>
      <c r="AD1808">
        <v>0</v>
      </c>
      <c r="AE1808">
        <v>0</v>
      </c>
      <c r="AF1808">
        <v>0</v>
      </c>
      <c r="AG1808">
        <v>0</v>
      </c>
      <c r="AH1808">
        <v>0</v>
      </c>
      <c r="AI1808">
        <v>0</v>
      </c>
      <c r="AJ1808">
        <v>0</v>
      </c>
      <c r="AK1808">
        <v>0</v>
      </c>
      <c r="AL1808">
        <v>333</v>
      </c>
      <c r="AM1808">
        <v>42.333333333333336</v>
      </c>
      <c r="AN1808">
        <v>846.30111607143397</v>
      </c>
    </row>
    <row r="1809" spans="1:40" x14ac:dyDescent="0.3">
      <c r="A1809" t="s">
        <v>517</v>
      </c>
      <c r="B1809" t="s">
        <v>54</v>
      </c>
      <c r="C1809" t="s">
        <v>10</v>
      </c>
      <c r="D1809" t="s">
        <v>14</v>
      </c>
      <c r="E1809">
        <v>202602</v>
      </c>
      <c r="F1809" t="s">
        <v>57</v>
      </c>
      <c r="G1809">
        <v>2</v>
      </c>
      <c r="H1809">
        <v>10</v>
      </c>
      <c r="I1809">
        <v>15</v>
      </c>
      <c r="J1809">
        <v>5</v>
      </c>
      <c r="K1809">
        <v>6</v>
      </c>
      <c r="L1809">
        <v>5</v>
      </c>
      <c r="M1809">
        <v>6</v>
      </c>
      <c r="N1809">
        <v>1</v>
      </c>
      <c r="O1809">
        <v>6</v>
      </c>
      <c r="P1809">
        <v>11</v>
      </c>
      <c r="Q1809">
        <v>11</v>
      </c>
      <c r="R1809">
        <v>0</v>
      </c>
      <c r="S1809">
        <v>0</v>
      </c>
      <c r="T1809">
        <v>0</v>
      </c>
      <c r="U1809">
        <v>0</v>
      </c>
      <c r="V1809">
        <v>0</v>
      </c>
      <c r="W1809">
        <v>0</v>
      </c>
      <c r="X1809">
        <v>0</v>
      </c>
      <c r="Y1809">
        <v>0</v>
      </c>
      <c r="Z1809">
        <v>0</v>
      </c>
      <c r="AA1809">
        <v>0</v>
      </c>
      <c r="AB1809">
        <v>0</v>
      </c>
      <c r="AC1809">
        <v>0</v>
      </c>
      <c r="AD1809">
        <v>0</v>
      </c>
      <c r="AE1809">
        <v>0</v>
      </c>
      <c r="AF1809">
        <v>0</v>
      </c>
      <c r="AG1809">
        <v>0</v>
      </c>
      <c r="AH1809">
        <v>0</v>
      </c>
      <c r="AI1809">
        <v>0</v>
      </c>
      <c r="AJ1809">
        <v>0</v>
      </c>
      <c r="AK1809">
        <v>0</v>
      </c>
      <c r="AL1809">
        <v>78</v>
      </c>
      <c r="AM1809">
        <v>9.3333333333333339</v>
      </c>
      <c r="AN1809">
        <v>191.16875000000118</v>
      </c>
    </row>
    <row r="1810" spans="1:40" x14ac:dyDescent="0.3">
      <c r="A1810" t="s">
        <v>517</v>
      </c>
      <c r="B1810" t="s">
        <v>54</v>
      </c>
      <c r="C1810" t="s">
        <v>10</v>
      </c>
      <c r="D1810" t="s">
        <v>14</v>
      </c>
      <c r="E1810">
        <v>202602</v>
      </c>
      <c r="F1810" t="s">
        <v>58</v>
      </c>
      <c r="G1810">
        <v>0</v>
      </c>
      <c r="H1810">
        <v>2</v>
      </c>
      <c r="I1810">
        <v>2</v>
      </c>
      <c r="J1810">
        <v>2</v>
      </c>
      <c r="K1810">
        <v>2</v>
      </c>
      <c r="L1810">
        <v>2</v>
      </c>
      <c r="M1810">
        <v>1</v>
      </c>
      <c r="N1810">
        <v>0</v>
      </c>
      <c r="O1810">
        <v>5</v>
      </c>
      <c r="P1810">
        <v>1</v>
      </c>
      <c r="Q1810">
        <v>4</v>
      </c>
      <c r="R1810">
        <v>0</v>
      </c>
      <c r="S1810">
        <v>0</v>
      </c>
      <c r="T1810">
        <v>0</v>
      </c>
      <c r="U1810">
        <v>0</v>
      </c>
      <c r="V1810">
        <v>0</v>
      </c>
      <c r="W1810">
        <v>0</v>
      </c>
      <c r="X1810">
        <v>0</v>
      </c>
      <c r="Y1810">
        <v>0</v>
      </c>
      <c r="Z1810">
        <v>0</v>
      </c>
      <c r="AA1810">
        <v>0</v>
      </c>
      <c r="AB1810">
        <v>0</v>
      </c>
      <c r="AC1810">
        <v>0</v>
      </c>
      <c r="AD1810">
        <v>0</v>
      </c>
      <c r="AE1810">
        <v>0</v>
      </c>
      <c r="AF1810">
        <v>0</v>
      </c>
      <c r="AG1810">
        <v>0</v>
      </c>
      <c r="AH1810">
        <v>0</v>
      </c>
      <c r="AI1810">
        <v>0</v>
      </c>
      <c r="AJ1810">
        <v>0</v>
      </c>
      <c r="AK1810">
        <v>0</v>
      </c>
      <c r="AL1810">
        <v>21</v>
      </c>
      <c r="AM1810">
        <v>3.3333333333333335</v>
      </c>
      <c r="AN1810">
        <v>61.417410714286127</v>
      </c>
    </row>
    <row r="1811" spans="1:40" x14ac:dyDescent="0.3">
      <c r="A1811" t="s">
        <v>517</v>
      </c>
      <c r="B1811" t="s">
        <v>54</v>
      </c>
      <c r="C1811" t="s">
        <v>16</v>
      </c>
      <c r="D1811" t="s">
        <v>11</v>
      </c>
      <c r="E1811">
        <v>202602</v>
      </c>
      <c r="F1811" t="s">
        <v>55</v>
      </c>
      <c r="G1811">
        <v>0</v>
      </c>
      <c r="H1811">
        <v>0</v>
      </c>
      <c r="I1811">
        <v>0</v>
      </c>
      <c r="J1811">
        <v>0</v>
      </c>
      <c r="K1811">
        <v>1</v>
      </c>
      <c r="L1811">
        <v>0</v>
      </c>
      <c r="M1811">
        <v>0</v>
      </c>
      <c r="N1811">
        <v>0</v>
      </c>
      <c r="O1811">
        <v>0</v>
      </c>
      <c r="P1811">
        <v>0</v>
      </c>
      <c r="Q1811">
        <v>1</v>
      </c>
      <c r="R1811">
        <v>0</v>
      </c>
      <c r="S1811">
        <v>0</v>
      </c>
      <c r="T1811">
        <v>0</v>
      </c>
      <c r="U1811">
        <v>0</v>
      </c>
      <c r="V1811">
        <v>0</v>
      </c>
      <c r="W1811">
        <v>0</v>
      </c>
      <c r="X1811">
        <v>0</v>
      </c>
      <c r="Y1811">
        <v>0</v>
      </c>
      <c r="Z1811">
        <v>0</v>
      </c>
      <c r="AA1811">
        <v>0</v>
      </c>
      <c r="AB1811">
        <v>0</v>
      </c>
      <c r="AC1811">
        <v>0</v>
      </c>
      <c r="AD1811">
        <v>0</v>
      </c>
      <c r="AE1811">
        <v>0</v>
      </c>
      <c r="AF1811">
        <v>0</v>
      </c>
      <c r="AG1811">
        <v>0</v>
      </c>
      <c r="AH1811">
        <v>0</v>
      </c>
      <c r="AI1811">
        <v>0</v>
      </c>
      <c r="AJ1811">
        <v>0</v>
      </c>
      <c r="AK1811">
        <v>0</v>
      </c>
      <c r="AL1811">
        <v>2</v>
      </c>
      <c r="AM1811">
        <v>0.33333333333333331</v>
      </c>
      <c r="AN1811">
        <v>6.6046251398731117</v>
      </c>
    </row>
    <row r="1812" spans="1:40" x14ac:dyDescent="0.3">
      <c r="A1812" t="s">
        <v>517</v>
      </c>
      <c r="B1812" t="s">
        <v>54</v>
      </c>
      <c r="C1812" t="s">
        <v>16</v>
      </c>
      <c r="D1812" t="s">
        <v>11</v>
      </c>
      <c r="E1812">
        <v>202602</v>
      </c>
      <c r="F1812" t="s">
        <v>56</v>
      </c>
      <c r="G1812">
        <v>0</v>
      </c>
      <c r="H1812">
        <v>0</v>
      </c>
      <c r="I1812">
        <v>0</v>
      </c>
      <c r="J1812">
        <v>0</v>
      </c>
      <c r="K1812">
        <v>2</v>
      </c>
      <c r="L1812">
        <v>1</v>
      </c>
      <c r="M1812">
        <v>0</v>
      </c>
      <c r="N1812">
        <v>0</v>
      </c>
      <c r="O1812">
        <v>0</v>
      </c>
      <c r="P1812">
        <v>1</v>
      </c>
      <c r="Q1812">
        <v>0</v>
      </c>
      <c r="R1812">
        <v>0</v>
      </c>
      <c r="S1812">
        <v>0</v>
      </c>
      <c r="T1812">
        <v>0</v>
      </c>
      <c r="U1812">
        <v>0</v>
      </c>
      <c r="V1812">
        <v>0</v>
      </c>
      <c r="W1812">
        <v>0</v>
      </c>
      <c r="X1812">
        <v>0</v>
      </c>
      <c r="Y1812">
        <v>0</v>
      </c>
      <c r="Z1812">
        <v>0</v>
      </c>
      <c r="AA1812">
        <v>0</v>
      </c>
      <c r="AB1812">
        <v>0</v>
      </c>
      <c r="AC1812">
        <v>0</v>
      </c>
      <c r="AD1812">
        <v>0</v>
      </c>
      <c r="AE1812">
        <v>0</v>
      </c>
      <c r="AF1812">
        <v>0</v>
      </c>
      <c r="AG1812">
        <v>0</v>
      </c>
      <c r="AH1812">
        <v>0</v>
      </c>
      <c r="AI1812">
        <v>0</v>
      </c>
      <c r="AJ1812">
        <v>0</v>
      </c>
      <c r="AK1812">
        <v>0</v>
      </c>
      <c r="AL1812">
        <v>4</v>
      </c>
      <c r="AM1812">
        <v>0.33333333333333331</v>
      </c>
      <c r="AN1812">
        <v>8.6046251398731108</v>
      </c>
    </row>
    <row r="1813" spans="1:40" x14ac:dyDescent="0.3">
      <c r="A1813" t="s">
        <v>517</v>
      </c>
      <c r="B1813" t="s">
        <v>54</v>
      </c>
      <c r="C1813" t="s">
        <v>16</v>
      </c>
      <c r="D1813" t="s">
        <v>11</v>
      </c>
      <c r="E1813">
        <v>202602</v>
      </c>
      <c r="F1813" t="s">
        <v>57</v>
      </c>
      <c r="G1813">
        <v>0</v>
      </c>
      <c r="H1813">
        <v>0</v>
      </c>
      <c r="I1813">
        <v>0</v>
      </c>
      <c r="J1813">
        <v>0</v>
      </c>
      <c r="K1813">
        <v>0</v>
      </c>
      <c r="L1813">
        <v>0</v>
      </c>
      <c r="M1813">
        <v>0</v>
      </c>
      <c r="N1813">
        <v>0</v>
      </c>
      <c r="O1813">
        <v>2</v>
      </c>
      <c r="P1813">
        <v>0</v>
      </c>
      <c r="Q1813">
        <v>0</v>
      </c>
      <c r="R1813">
        <v>0</v>
      </c>
      <c r="S1813">
        <v>0</v>
      </c>
      <c r="T1813">
        <v>0</v>
      </c>
      <c r="U1813">
        <v>0</v>
      </c>
      <c r="V1813">
        <v>0</v>
      </c>
      <c r="W1813">
        <v>0</v>
      </c>
      <c r="X1813">
        <v>0</v>
      </c>
      <c r="Y1813">
        <v>0</v>
      </c>
      <c r="Z1813">
        <v>0</v>
      </c>
      <c r="AA1813">
        <v>0</v>
      </c>
      <c r="AB1813">
        <v>0</v>
      </c>
      <c r="AC1813">
        <v>0</v>
      </c>
      <c r="AD1813">
        <v>0</v>
      </c>
      <c r="AE1813">
        <v>0</v>
      </c>
      <c r="AF1813">
        <v>0</v>
      </c>
      <c r="AG1813">
        <v>0</v>
      </c>
      <c r="AH1813">
        <v>0</v>
      </c>
      <c r="AI1813">
        <v>0</v>
      </c>
      <c r="AJ1813">
        <v>0</v>
      </c>
      <c r="AK1813">
        <v>0</v>
      </c>
      <c r="AL1813">
        <v>2</v>
      </c>
      <c r="AM1813">
        <v>0.66666666666666663</v>
      </c>
      <c r="AN1813">
        <v>11.209250279746223</v>
      </c>
    </row>
    <row r="1814" spans="1:40" x14ac:dyDescent="0.3">
      <c r="A1814" t="s">
        <v>517</v>
      </c>
      <c r="B1814" t="s">
        <v>54</v>
      </c>
      <c r="C1814" t="s">
        <v>16</v>
      </c>
      <c r="D1814" t="s">
        <v>14</v>
      </c>
      <c r="E1814">
        <v>202602</v>
      </c>
      <c r="F1814" t="s">
        <v>55</v>
      </c>
      <c r="G1814">
        <v>0</v>
      </c>
      <c r="H1814">
        <v>0</v>
      </c>
      <c r="I1814">
        <v>1</v>
      </c>
      <c r="J1814">
        <v>1</v>
      </c>
      <c r="K1814">
        <v>0</v>
      </c>
      <c r="L1814">
        <v>0</v>
      </c>
      <c r="M1814">
        <v>0</v>
      </c>
      <c r="N1814">
        <v>0</v>
      </c>
      <c r="O1814">
        <v>1</v>
      </c>
      <c r="P1814">
        <v>0</v>
      </c>
      <c r="Q1814">
        <v>1</v>
      </c>
      <c r="R1814">
        <v>0</v>
      </c>
      <c r="S1814">
        <v>0</v>
      </c>
      <c r="T1814">
        <v>0</v>
      </c>
      <c r="U1814">
        <v>0</v>
      </c>
      <c r="V1814">
        <v>0</v>
      </c>
      <c r="W1814">
        <v>0</v>
      </c>
      <c r="X1814">
        <v>0</v>
      </c>
      <c r="Y1814">
        <v>0</v>
      </c>
      <c r="Z1814">
        <v>0</v>
      </c>
      <c r="AA1814">
        <v>0</v>
      </c>
      <c r="AB1814">
        <v>0</v>
      </c>
      <c r="AC1814">
        <v>0</v>
      </c>
      <c r="AD1814">
        <v>0</v>
      </c>
      <c r="AE1814">
        <v>0</v>
      </c>
      <c r="AF1814">
        <v>0</v>
      </c>
      <c r="AG1814">
        <v>0</v>
      </c>
      <c r="AH1814">
        <v>0</v>
      </c>
      <c r="AI1814">
        <v>0</v>
      </c>
      <c r="AJ1814">
        <v>0</v>
      </c>
      <c r="AK1814">
        <v>0</v>
      </c>
      <c r="AL1814">
        <v>4</v>
      </c>
      <c r="AM1814">
        <v>0.66666666666666663</v>
      </c>
      <c r="AN1814">
        <v>12.083482142857227</v>
      </c>
    </row>
    <row r="1815" spans="1:40" x14ac:dyDescent="0.3">
      <c r="A1815" t="s">
        <v>517</v>
      </c>
      <c r="B1815" t="s">
        <v>54</v>
      </c>
      <c r="C1815" t="s">
        <v>16</v>
      </c>
      <c r="D1815" t="s">
        <v>14</v>
      </c>
      <c r="E1815">
        <v>202602</v>
      </c>
      <c r="F1815" t="s">
        <v>56</v>
      </c>
      <c r="G1815">
        <v>0</v>
      </c>
      <c r="H1815">
        <v>1</v>
      </c>
      <c r="I1815">
        <v>2</v>
      </c>
      <c r="J1815">
        <v>1</v>
      </c>
      <c r="K1815">
        <v>0</v>
      </c>
      <c r="L1815">
        <v>1</v>
      </c>
      <c r="M1815">
        <v>0</v>
      </c>
      <c r="N1815">
        <v>0</v>
      </c>
      <c r="O1815">
        <v>3</v>
      </c>
      <c r="P1815">
        <v>1</v>
      </c>
      <c r="Q1815">
        <v>1</v>
      </c>
      <c r="R1815">
        <v>0</v>
      </c>
      <c r="S1815">
        <v>0</v>
      </c>
      <c r="T1815">
        <v>0</v>
      </c>
      <c r="U1815">
        <v>0</v>
      </c>
      <c r="V1815">
        <v>0</v>
      </c>
      <c r="W1815">
        <v>0</v>
      </c>
      <c r="X1815">
        <v>0</v>
      </c>
      <c r="Y1815">
        <v>0</v>
      </c>
      <c r="Z1815">
        <v>0</v>
      </c>
      <c r="AA1815">
        <v>0</v>
      </c>
      <c r="AB1815">
        <v>0</v>
      </c>
      <c r="AC1815">
        <v>0</v>
      </c>
      <c r="AD1815">
        <v>0</v>
      </c>
      <c r="AE1815">
        <v>0</v>
      </c>
      <c r="AF1815">
        <v>0</v>
      </c>
      <c r="AG1815">
        <v>0</v>
      </c>
      <c r="AH1815">
        <v>0</v>
      </c>
      <c r="AI1815">
        <v>0</v>
      </c>
      <c r="AJ1815">
        <v>0</v>
      </c>
      <c r="AK1815">
        <v>0</v>
      </c>
      <c r="AL1815">
        <v>10</v>
      </c>
      <c r="AM1815">
        <v>1.6666666666666667</v>
      </c>
      <c r="AN1815">
        <v>30.208705357143064</v>
      </c>
    </row>
    <row r="1816" spans="1:40" x14ac:dyDescent="0.3">
      <c r="A1816" t="s">
        <v>517</v>
      </c>
      <c r="B1816" t="s">
        <v>54</v>
      </c>
      <c r="C1816" t="s">
        <v>16</v>
      </c>
      <c r="D1816" t="s">
        <v>14</v>
      </c>
      <c r="E1816">
        <v>202602</v>
      </c>
      <c r="F1816" t="s">
        <v>57</v>
      </c>
      <c r="G1816">
        <v>0</v>
      </c>
      <c r="H1816">
        <v>0</v>
      </c>
      <c r="I1816">
        <v>1</v>
      </c>
      <c r="J1816">
        <v>1</v>
      </c>
      <c r="K1816">
        <v>0</v>
      </c>
      <c r="L1816">
        <v>0</v>
      </c>
      <c r="M1816">
        <v>1</v>
      </c>
      <c r="N1816">
        <v>0</v>
      </c>
      <c r="O1816">
        <v>0</v>
      </c>
      <c r="P1816">
        <v>0</v>
      </c>
      <c r="Q1816">
        <v>0</v>
      </c>
      <c r="R1816">
        <v>0</v>
      </c>
      <c r="S1816">
        <v>0</v>
      </c>
      <c r="T1816">
        <v>0</v>
      </c>
      <c r="U1816">
        <v>0</v>
      </c>
      <c r="V1816">
        <v>0</v>
      </c>
      <c r="W1816">
        <v>0</v>
      </c>
      <c r="X1816">
        <v>0</v>
      </c>
      <c r="Y1816">
        <v>0</v>
      </c>
      <c r="Z1816">
        <v>0</v>
      </c>
      <c r="AA1816">
        <v>0</v>
      </c>
      <c r="AB1816">
        <v>0</v>
      </c>
      <c r="AC1816">
        <v>0</v>
      </c>
      <c r="AD1816">
        <v>0</v>
      </c>
      <c r="AE1816">
        <v>0</v>
      </c>
      <c r="AF1816">
        <v>0</v>
      </c>
      <c r="AG1816">
        <v>0</v>
      </c>
      <c r="AH1816">
        <v>0</v>
      </c>
      <c r="AI1816">
        <v>0</v>
      </c>
      <c r="AJ1816">
        <v>0</v>
      </c>
      <c r="AK1816">
        <v>0</v>
      </c>
      <c r="AL1816">
        <v>3</v>
      </c>
      <c r="AM1816">
        <v>0</v>
      </c>
      <c r="AN1816">
        <v>3</v>
      </c>
    </row>
    <row r="1817" spans="1:40" x14ac:dyDescent="0.3">
      <c r="A1817" t="s">
        <v>517</v>
      </c>
      <c r="B1817" t="s">
        <v>54</v>
      </c>
      <c r="C1817" t="s">
        <v>16</v>
      </c>
      <c r="D1817" t="s">
        <v>14</v>
      </c>
      <c r="E1817">
        <v>202602</v>
      </c>
      <c r="F1817" t="s">
        <v>58</v>
      </c>
      <c r="G1817">
        <v>0</v>
      </c>
      <c r="H1817">
        <v>0</v>
      </c>
      <c r="I1817">
        <v>0</v>
      </c>
      <c r="J1817">
        <v>0</v>
      </c>
      <c r="K1817">
        <v>0</v>
      </c>
      <c r="L1817">
        <v>0</v>
      </c>
      <c r="M1817">
        <v>0</v>
      </c>
      <c r="N1817">
        <v>1</v>
      </c>
      <c r="O1817">
        <v>0</v>
      </c>
      <c r="P1817">
        <v>0</v>
      </c>
      <c r="Q1817">
        <v>0</v>
      </c>
      <c r="R1817">
        <v>0</v>
      </c>
      <c r="S1817">
        <v>0</v>
      </c>
      <c r="T1817">
        <v>0</v>
      </c>
      <c r="U1817">
        <v>0</v>
      </c>
      <c r="V1817">
        <v>0</v>
      </c>
      <c r="W1817">
        <v>0</v>
      </c>
      <c r="X1817">
        <v>0</v>
      </c>
      <c r="Y1817">
        <v>0</v>
      </c>
      <c r="Z1817">
        <v>0</v>
      </c>
      <c r="AA1817">
        <v>0</v>
      </c>
      <c r="AB1817">
        <v>0</v>
      </c>
      <c r="AC1817">
        <v>0</v>
      </c>
      <c r="AD1817">
        <v>0</v>
      </c>
      <c r="AE1817">
        <v>0</v>
      </c>
      <c r="AF1817">
        <v>0</v>
      </c>
      <c r="AG1817">
        <v>0</v>
      </c>
      <c r="AH1817">
        <v>0</v>
      </c>
      <c r="AI1817">
        <v>0</v>
      </c>
      <c r="AJ1817">
        <v>0</v>
      </c>
      <c r="AK1817">
        <v>0</v>
      </c>
      <c r="AL1817">
        <v>1</v>
      </c>
      <c r="AM1817">
        <v>0</v>
      </c>
      <c r="AN1817">
        <v>1</v>
      </c>
    </row>
    <row r="1818" spans="1:40" x14ac:dyDescent="0.3">
      <c r="A1818" t="s">
        <v>517</v>
      </c>
      <c r="B1818" t="s">
        <v>59</v>
      </c>
      <c r="C1818" t="s">
        <v>10</v>
      </c>
      <c r="D1818" t="s">
        <v>11</v>
      </c>
      <c r="E1818">
        <v>202602</v>
      </c>
      <c r="F1818" t="s">
        <v>60</v>
      </c>
      <c r="G1818">
        <v>0</v>
      </c>
      <c r="H1818">
        <v>3</v>
      </c>
      <c r="I1818">
        <v>1</v>
      </c>
      <c r="J1818">
        <v>1</v>
      </c>
      <c r="K1818">
        <v>2</v>
      </c>
      <c r="L1818">
        <v>6</v>
      </c>
      <c r="M1818">
        <v>2</v>
      </c>
      <c r="N1818">
        <v>1</v>
      </c>
      <c r="O1818">
        <v>7</v>
      </c>
      <c r="P1818">
        <v>5</v>
      </c>
      <c r="Q1818">
        <v>5</v>
      </c>
      <c r="R1818">
        <v>0</v>
      </c>
      <c r="S1818">
        <v>0</v>
      </c>
      <c r="T1818">
        <v>0</v>
      </c>
      <c r="U1818">
        <v>0</v>
      </c>
      <c r="V1818">
        <v>0</v>
      </c>
      <c r="W1818">
        <v>0</v>
      </c>
      <c r="X1818">
        <v>0</v>
      </c>
      <c r="Y1818">
        <v>0</v>
      </c>
      <c r="Z1818">
        <v>0</v>
      </c>
      <c r="AA1818">
        <v>0</v>
      </c>
      <c r="AB1818">
        <v>0</v>
      </c>
      <c r="AC1818">
        <v>0</v>
      </c>
      <c r="AD1818">
        <v>0</v>
      </c>
      <c r="AE1818">
        <v>0</v>
      </c>
      <c r="AF1818">
        <v>0</v>
      </c>
      <c r="AG1818">
        <v>0</v>
      </c>
      <c r="AH1818">
        <v>0</v>
      </c>
      <c r="AI1818">
        <v>0</v>
      </c>
      <c r="AJ1818">
        <v>0</v>
      </c>
      <c r="AK1818">
        <v>0</v>
      </c>
      <c r="AL1818">
        <v>33</v>
      </c>
      <c r="AM1818">
        <v>5.666666666666667</v>
      </c>
      <c r="AN1818">
        <v>111.27862737784289</v>
      </c>
    </row>
    <row r="1819" spans="1:40" x14ac:dyDescent="0.3">
      <c r="A1819" t="s">
        <v>517</v>
      </c>
      <c r="B1819" t="s">
        <v>59</v>
      </c>
      <c r="C1819" t="s">
        <v>10</v>
      </c>
      <c r="D1819" t="s">
        <v>11</v>
      </c>
      <c r="E1819">
        <v>202602</v>
      </c>
      <c r="F1819" t="s">
        <v>61</v>
      </c>
      <c r="G1819">
        <v>0</v>
      </c>
      <c r="H1819">
        <v>2</v>
      </c>
      <c r="I1819">
        <v>2</v>
      </c>
      <c r="J1819">
        <v>0</v>
      </c>
      <c r="K1819">
        <v>1</v>
      </c>
      <c r="L1819">
        <v>2</v>
      </c>
      <c r="M1819">
        <v>1</v>
      </c>
      <c r="N1819">
        <v>0</v>
      </c>
      <c r="O1819">
        <v>1</v>
      </c>
      <c r="P1819">
        <v>0</v>
      </c>
      <c r="Q1819">
        <v>4</v>
      </c>
      <c r="R1819">
        <v>0</v>
      </c>
      <c r="S1819">
        <v>0</v>
      </c>
      <c r="T1819">
        <v>0</v>
      </c>
      <c r="U1819">
        <v>0</v>
      </c>
      <c r="V1819">
        <v>0</v>
      </c>
      <c r="W1819">
        <v>0</v>
      </c>
      <c r="X1819">
        <v>0</v>
      </c>
      <c r="Y1819">
        <v>0</v>
      </c>
      <c r="Z1819">
        <v>0</v>
      </c>
      <c r="AA1819">
        <v>0</v>
      </c>
      <c r="AB1819">
        <v>0</v>
      </c>
      <c r="AC1819">
        <v>0</v>
      </c>
      <c r="AD1819">
        <v>0</v>
      </c>
      <c r="AE1819">
        <v>0</v>
      </c>
      <c r="AF1819">
        <v>0</v>
      </c>
      <c r="AG1819">
        <v>0</v>
      </c>
      <c r="AH1819">
        <v>0</v>
      </c>
      <c r="AI1819">
        <v>0</v>
      </c>
      <c r="AJ1819">
        <v>0</v>
      </c>
      <c r="AK1819">
        <v>0</v>
      </c>
      <c r="AL1819">
        <v>13</v>
      </c>
      <c r="AM1819">
        <v>1.6666666666666667</v>
      </c>
      <c r="AN1819">
        <v>36.023125699365558</v>
      </c>
    </row>
    <row r="1820" spans="1:40" x14ac:dyDescent="0.3">
      <c r="A1820" t="s">
        <v>517</v>
      </c>
      <c r="B1820" t="s">
        <v>59</v>
      </c>
      <c r="C1820" t="s">
        <v>10</v>
      </c>
      <c r="D1820" t="s">
        <v>11</v>
      </c>
      <c r="E1820">
        <v>202602</v>
      </c>
      <c r="F1820" t="s">
        <v>63</v>
      </c>
      <c r="G1820">
        <v>0</v>
      </c>
      <c r="H1820">
        <v>5</v>
      </c>
      <c r="I1820">
        <v>5</v>
      </c>
      <c r="J1820">
        <v>1</v>
      </c>
      <c r="K1820">
        <v>5</v>
      </c>
      <c r="L1820">
        <v>3</v>
      </c>
      <c r="M1820">
        <v>2</v>
      </c>
      <c r="N1820">
        <v>2</v>
      </c>
      <c r="O1820">
        <v>5</v>
      </c>
      <c r="P1820">
        <v>3</v>
      </c>
      <c r="Q1820">
        <v>2</v>
      </c>
      <c r="R1820">
        <v>0</v>
      </c>
      <c r="S1820">
        <v>0</v>
      </c>
      <c r="T1820">
        <v>0</v>
      </c>
      <c r="U1820">
        <v>0</v>
      </c>
      <c r="V1820">
        <v>0</v>
      </c>
      <c r="W1820">
        <v>0</v>
      </c>
      <c r="X1820">
        <v>0</v>
      </c>
      <c r="Y1820">
        <v>0</v>
      </c>
      <c r="Z1820">
        <v>0</v>
      </c>
      <c r="AA1820">
        <v>0</v>
      </c>
      <c r="AB1820">
        <v>0</v>
      </c>
      <c r="AC1820">
        <v>0</v>
      </c>
      <c r="AD1820">
        <v>0</v>
      </c>
      <c r="AE1820">
        <v>0</v>
      </c>
      <c r="AF1820">
        <v>0</v>
      </c>
      <c r="AG1820">
        <v>0</v>
      </c>
      <c r="AH1820">
        <v>0</v>
      </c>
      <c r="AI1820">
        <v>0</v>
      </c>
      <c r="AJ1820">
        <v>0</v>
      </c>
      <c r="AK1820">
        <v>0</v>
      </c>
      <c r="AL1820">
        <v>33</v>
      </c>
      <c r="AM1820">
        <v>3.3333333333333335</v>
      </c>
      <c r="AN1820">
        <v>79.046251398731116</v>
      </c>
    </row>
    <row r="1821" spans="1:40" x14ac:dyDescent="0.3">
      <c r="A1821" t="s">
        <v>517</v>
      </c>
      <c r="B1821" t="s">
        <v>59</v>
      </c>
      <c r="C1821" t="s">
        <v>10</v>
      </c>
      <c r="D1821" t="s">
        <v>11</v>
      </c>
      <c r="E1821">
        <v>202602</v>
      </c>
      <c r="F1821" t="s">
        <v>207</v>
      </c>
      <c r="G1821">
        <v>0</v>
      </c>
      <c r="H1821">
        <v>0</v>
      </c>
      <c r="I1821">
        <v>0</v>
      </c>
      <c r="J1821">
        <v>0</v>
      </c>
      <c r="K1821">
        <v>0</v>
      </c>
      <c r="L1821">
        <v>0</v>
      </c>
      <c r="M1821">
        <v>0</v>
      </c>
      <c r="N1821">
        <v>0</v>
      </c>
      <c r="O1821">
        <v>1</v>
      </c>
      <c r="P1821">
        <v>0</v>
      </c>
      <c r="Q1821">
        <v>0</v>
      </c>
      <c r="R1821">
        <v>0</v>
      </c>
      <c r="S1821">
        <v>0</v>
      </c>
      <c r="T1821">
        <v>0</v>
      </c>
      <c r="U1821">
        <v>0</v>
      </c>
      <c r="V1821">
        <v>0</v>
      </c>
      <c r="W1821">
        <v>0</v>
      </c>
      <c r="X1821">
        <v>0</v>
      </c>
      <c r="Y1821">
        <v>0</v>
      </c>
      <c r="Z1821">
        <v>0</v>
      </c>
      <c r="AA1821">
        <v>0</v>
      </c>
      <c r="AB1821">
        <v>0</v>
      </c>
      <c r="AC1821">
        <v>0</v>
      </c>
      <c r="AD1821">
        <v>0</v>
      </c>
      <c r="AE1821">
        <v>0</v>
      </c>
      <c r="AF1821">
        <v>0</v>
      </c>
      <c r="AG1821">
        <v>0</v>
      </c>
      <c r="AH1821">
        <v>0</v>
      </c>
      <c r="AI1821">
        <v>0</v>
      </c>
      <c r="AJ1821">
        <v>0</v>
      </c>
      <c r="AK1821">
        <v>0</v>
      </c>
      <c r="AL1821">
        <v>1</v>
      </c>
      <c r="AM1821">
        <v>0.33333333333333331</v>
      </c>
      <c r="AN1821">
        <v>5.6046251398731117</v>
      </c>
    </row>
    <row r="1822" spans="1:40" x14ac:dyDescent="0.3">
      <c r="A1822" t="s">
        <v>517</v>
      </c>
      <c r="B1822" t="s">
        <v>59</v>
      </c>
      <c r="C1822" t="s">
        <v>10</v>
      </c>
      <c r="D1822" t="s">
        <v>11</v>
      </c>
      <c r="E1822">
        <v>202602</v>
      </c>
      <c r="F1822" t="s">
        <v>208</v>
      </c>
      <c r="G1822">
        <v>0</v>
      </c>
      <c r="H1822">
        <v>0</v>
      </c>
      <c r="I1822">
        <v>0</v>
      </c>
      <c r="J1822">
        <v>1</v>
      </c>
      <c r="K1822">
        <v>1</v>
      </c>
      <c r="L1822">
        <v>1</v>
      </c>
      <c r="M1822">
        <v>0</v>
      </c>
      <c r="N1822">
        <v>0</v>
      </c>
      <c r="O1822">
        <v>3</v>
      </c>
      <c r="P1822">
        <v>0</v>
      </c>
      <c r="Q1822">
        <v>1</v>
      </c>
      <c r="R1822">
        <v>0</v>
      </c>
      <c r="S1822">
        <v>0</v>
      </c>
      <c r="T1822">
        <v>0</v>
      </c>
      <c r="U1822">
        <v>0</v>
      </c>
      <c r="V1822">
        <v>0</v>
      </c>
      <c r="W1822">
        <v>0</v>
      </c>
      <c r="X1822">
        <v>0</v>
      </c>
      <c r="Y1822">
        <v>0</v>
      </c>
      <c r="Z1822">
        <v>0</v>
      </c>
      <c r="AA1822">
        <v>0</v>
      </c>
      <c r="AB1822">
        <v>0</v>
      </c>
      <c r="AC1822">
        <v>0</v>
      </c>
      <c r="AD1822">
        <v>0</v>
      </c>
      <c r="AE1822">
        <v>0</v>
      </c>
      <c r="AF1822">
        <v>0</v>
      </c>
      <c r="AG1822">
        <v>0</v>
      </c>
      <c r="AH1822">
        <v>0</v>
      </c>
      <c r="AI1822">
        <v>0</v>
      </c>
      <c r="AJ1822">
        <v>0</v>
      </c>
      <c r="AK1822">
        <v>0</v>
      </c>
      <c r="AL1822">
        <v>7</v>
      </c>
      <c r="AM1822">
        <v>1.3333333333333333</v>
      </c>
      <c r="AN1822">
        <v>25.418500559492447</v>
      </c>
    </row>
    <row r="1823" spans="1:40" x14ac:dyDescent="0.3">
      <c r="A1823" t="s">
        <v>517</v>
      </c>
      <c r="B1823" t="s">
        <v>59</v>
      </c>
      <c r="C1823" t="s">
        <v>10</v>
      </c>
      <c r="D1823" t="s">
        <v>11</v>
      </c>
      <c r="E1823">
        <v>202602</v>
      </c>
      <c r="F1823" t="s">
        <v>64</v>
      </c>
      <c r="G1823">
        <v>0</v>
      </c>
      <c r="H1823">
        <v>2</v>
      </c>
      <c r="I1823">
        <v>2</v>
      </c>
      <c r="J1823">
        <v>2</v>
      </c>
      <c r="K1823">
        <v>7</v>
      </c>
      <c r="L1823">
        <v>4</v>
      </c>
      <c r="M1823">
        <v>0</v>
      </c>
      <c r="N1823">
        <v>0</v>
      </c>
      <c r="O1823">
        <v>3</v>
      </c>
      <c r="P1823">
        <v>9</v>
      </c>
      <c r="Q1823">
        <v>4</v>
      </c>
      <c r="R1823">
        <v>0</v>
      </c>
      <c r="S1823">
        <v>0</v>
      </c>
      <c r="T1823">
        <v>0</v>
      </c>
      <c r="U1823">
        <v>0</v>
      </c>
      <c r="V1823">
        <v>0</v>
      </c>
      <c r="W1823">
        <v>0</v>
      </c>
      <c r="X1823">
        <v>0</v>
      </c>
      <c r="Y1823">
        <v>0</v>
      </c>
      <c r="Z1823">
        <v>0</v>
      </c>
      <c r="AA1823">
        <v>0</v>
      </c>
      <c r="AB1823">
        <v>0</v>
      </c>
      <c r="AC1823">
        <v>0</v>
      </c>
      <c r="AD1823">
        <v>0</v>
      </c>
      <c r="AE1823">
        <v>0</v>
      </c>
      <c r="AF1823">
        <v>0</v>
      </c>
      <c r="AG1823">
        <v>0</v>
      </c>
      <c r="AH1823">
        <v>0</v>
      </c>
      <c r="AI1823">
        <v>0</v>
      </c>
      <c r="AJ1823">
        <v>0</v>
      </c>
      <c r="AK1823">
        <v>0</v>
      </c>
      <c r="AL1823">
        <v>33</v>
      </c>
      <c r="AM1823">
        <v>5.333333333333333</v>
      </c>
      <c r="AN1823">
        <v>106.67400223796979</v>
      </c>
    </row>
    <row r="1824" spans="1:40" x14ac:dyDescent="0.3">
      <c r="A1824" t="s">
        <v>517</v>
      </c>
      <c r="B1824" t="s">
        <v>59</v>
      </c>
      <c r="C1824" t="s">
        <v>10</v>
      </c>
      <c r="D1824" t="s">
        <v>11</v>
      </c>
      <c r="E1824">
        <v>202602</v>
      </c>
      <c r="F1824" t="s">
        <v>65</v>
      </c>
      <c r="G1824">
        <v>0</v>
      </c>
      <c r="H1824">
        <v>2</v>
      </c>
      <c r="I1824">
        <v>0</v>
      </c>
      <c r="J1824">
        <v>0</v>
      </c>
      <c r="K1824">
        <v>1</v>
      </c>
      <c r="L1824">
        <v>0</v>
      </c>
      <c r="M1824">
        <v>0</v>
      </c>
      <c r="N1824">
        <v>0</v>
      </c>
      <c r="O1824">
        <v>1</v>
      </c>
      <c r="P1824">
        <v>1</v>
      </c>
      <c r="Q1824">
        <v>2</v>
      </c>
      <c r="R1824">
        <v>0</v>
      </c>
      <c r="S1824">
        <v>0</v>
      </c>
      <c r="T1824">
        <v>0</v>
      </c>
      <c r="U1824">
        <v>0</v>
      </c>
      <c r="V1824">
        <v>0</v>
      </c>
      <c r="W1824">
        <v>0</v>
      </c>
      <c r="X1824">
        <v>0</v>
      </c>
      <c r="Y1824">
        <v>0</v>
      </c>
      <c r="Z1824">
        <v>0</v>
      </c>
      <c r="AA1824">
        <v>0</v>
      </c>
      <c r="AB1824">
        <v>0</v>
      </c>
      <c r="AC1824">
        <v>0</v>
      </c>
      <c r="AD1824">
        <v>0</v>
      </c>
      <c r="AE1824">
        <v>0</v>
      </c>
      <c r="AF1824">
        <v>0</v>
      </c>
      <c r="AG1824">
        <v>0</v>
      </c>
      <c r="AH1824">
        <v>0</v>
      </c>
      <c r="AI1824">
        <v>0</v>
      </c>
      <c r="AJ1824">
        <v>0</v>
      </c>
      <c r="AK1824">
        <v>0</v>
      </c>
      <c r="AL1824">
        <v>7</v>
      </c>
      <c r="AM1824">
        <v>1.3333333333333333</v>
      </c>
      <c r="AN1824">
        <v>25.418500559492447</v>
      </c>
    </row>
    <row r="1825" spans="1:40" x14ac:dyDescent="0.3">
      <c r="A1825" t="s">
        <v>517</v>
      </c>
      <c r="B1825" t="s">
        <v>59</v>
      </c>
      <c r="C1825" t="s">
        <v>10</v>
      </c>
      <c r="D1825" t="s">
        <v>11</v>
      </c>
      <c r="E1825">
        <v>202602</v>
      </c>
      <c r="F1825" t="s">
        <v>66</v>
      </c>
      <c r="G1825">
        <v>0</v>
      </c>
      <c r="H1825">
        <v>0</v>
      </c>
      <c r="I1825">
        <v>1</v>
      </c>
      <c r="J1825">
        <v>0</v>
      </c>
      <c r="K1825">
        <v>0</v>
      </c>
      <c r="L1825">
        <v>2</v>
      </c>
      <c r="M1825">
        <v>1</v>
      </c>
      <c r="N1825">
        <v>0</v>
      </c>
      <c r="O1825">
        <v>0</v>
      </c>
      <c r="P1825">
        <v>0</v>
      </c>
      <c r="Q1825">
        <v>1</v>
      </c>
      <c r="R1825">
        <v>0</v>
      </c>
      <c r="S1825">
        <v>0</v>
      </c>
      <c r="T1825">
        <v>0</v>
      </c>
      <c r="U1825">
        <v>0</v>
      </c>
      <c r="V1825">
        <v>0</v>
      </c>
      <c r="W1825">
        <v>0</v>
      </c>
      <c r="X1825">
        <v>0</v>
      </c>
      <c r="Y1825">
        <v>0</v>
      </c>
      <c r="Z1825">
        <v>0</v>
      </c>
      <c r="AA1825">
        <v>0</v>
      </c>
      <c r="AB1825">
        <v>0</v>
      </c>
      <c r="AC1825">
        <v>0</v>
      </c>
      <c r="AD1825">
        <v>0</v>
      </c>
      <c r="AE1825">
        <v>0</v>
      </c>
      <c r="AF1825">
        <v>0</v>
      </c>
      <c r="AG1825">
        <v>0</v>
      </c>
      <c r="AH1825">
        <v>0</v>
      </c>
      <c r="AI1825">
        <v>0</v>
      </c>
      <c r="AJ1825">
        <v>0</v>
      </c>
      <c r="AK1825">
        <v>0</v>
      </c>
      <c r="AL1825">
        <v>5</v>
      </c>
      <c r="AM1825">
        <v>0.33333333333333331</v>
      </c>
      <c r="AN1825">
        <v>9.6046251398731108</v>
      </c>
    </row>
    <row r="1826" spans="1:40" x14ac:dyDescent="0.3">
      <c r="A1826" t="s">
        <v>517</v>
      </c>
      <c r="B1826" t="s">
        <v>59</v>
      </c>
      <c r="C1826" t="s">
        <v>10</v>
      </c>
      <c r="D1826" t="s">
        <v>11</v>
      </c>
      <c r="E1826">
        <v>202602</v>
      </c>
      <c r="F1826" t="s">
        <v>68</v>
      </c>
      <c r="G1826">
        <v>0</v>
      </c>
      <c r="H1826">
        <v>1</v>
      </c>
      <c r="I1826">
        <v>0</v>
      </c>
      <c r="J1826">
        <v>1</v>
      </c>
      <c r="K1826">
        <v>3</v>
      </c>
      <c r="L1826">
        <v>0</v>
      </c>
      <c r="M1826">
        <v>0</v>
      </c>
      <c r="N1826">
        <v>0</v>
      </c>
      <c r="O1826">
        <v>0</v>
      </c>
      <c r="P1826">
        <v>0</v>
      </c>
      <c r="Q1826">
        <v>0</v>
      </c>
      <c r="R1826">
        <v>0</v>
      </c>
      <c r="S1826">
        <v>0</v>
      </c>
      <c r="T1826">
        <v>0</v>
      </c>
      <c r="U1826">
        <v>0</v>
      </c>
      <c r="V1826">
        <v>0</v>
      </c>
      <c r="W1826">
        <v>0</v>
      </c>
      <c r="X1826">
        <v>0</v>
      </c>
      <c r="Y1826">
        <v>0</v>
      </c>
      <c r="Z1826">
        <v>0</v>
      </c>
      <c r="AA1826">
        <v>0</v>
      </c>
      <c r="AB1826">
        <v>0</v>
      </c>
      <c r="AC1826">
        <v>0</v>
      </c>
      <c r="AD1826">
        <v>0</v>
      </c>
      <c r="AE1826">
        <v>0</v>
      </c>
      <c r="AF1826">
        <v>0</v>
      </c>
      <c r="AG1826">
        <v>0</v>
      </c>
      <c r="AH1826">
        <v>0</v>
      </c>
      <c r="AI1826">
        <v>0</v>
      </c>
      <c r="AJ1826">
        <v>0</v>
      </c>
      <c r="AK1826">
        <v>0</v>
      </c>
      <c r="AL1826">
        <v>5</v>
      </c>
      <c r="AM1826">
        <v>0</v>
      </c>
      <c r="AN1826">
        <v>5</v>
      </c>
    </row>
    <row r="1827" spans="1:40" x14ac:dyDescent="0.3">
      <c r="A1827" t="s">
        <v>517</v>
      </c>
      <c r="B1827" t="s">
        <v>59</v>
      </c>
      <c r="C1827" t="s">
        <v>10</v>
      </c>
      <c r="D1827" t="s">
        <v>11</v>
      </c>
      <c r="E1827">
        <v>202602</v>
      </c>
      <c r="F1827" t="s">
        <v>261</v>
      </c>
      <c r="G1827">
        <v>0</v>
      </c>
      <c r="H1827">
        <v>0</v>
      </c>
      <c r="I1827">
        <v>0</v>
      </c>
      <c r="J1827">
        <v>0</v>
      </c>
      <c r="K1827">
        <v>1</v>
      </c>
      <c r="L1827">
        <v>0</v>
      </c>
      <c r="M1827">
        <v>0</v>
      </c>
      <c r="N1827">
        <v>0</v>
      </c>
      <c r="O1827">
        <v>0</v>
      </c>
      <c r="P1827">
        <v>0</v>
      </c>
      <c r="Q1827">
        <v>0</v>
      </c>
      <c r="R1827">
        <v>0</v>
      </c>
      <c r="S1827">
        <v>0</v>
      </c>
      <c r="T1827">
        <v>0</v>
      </c>
      <c r="U1827">
        <v>0</v>
      </c>
      <c r="V1827">
        <v>0</v>
      </c>
      <c r="W1827">
        <v>0</v>
      </c>
      <c r="X1827">
        <v>0</v>
      </c>
      <c r="Y1827">
        <v>0</v>
      </c>
      <c r="Z1827">
        <v>0</v>
      </c>
      <c r="AA1827">
        <v>0</v>
      </c>
      <c r="AB1827">
        <v>0</v>
      </c>
      <c r="AC1827">
        <v>0</v>
      </c>
      <c r="AD1827">
        <v>0</v>
      </c>
      <c r="AE1827">
        <v>0</v>
      </c>
      <c r="AF1827">
        <v>0</v>
      </c>
      <c r="AG1827">
        <v>0</v>
      </c>
      <c r="AH1827">
        <v>0</v>
      </c>
      <c r="AI1827">
        <v>0</v>
      </c>
      <c r="AJ1827">
        <v>0</v>
      </c>
      <c r="AK1827">
        <v>0</v>
      </c>
      <c r="AL1827">
        <v>1</v>
      </c>
      <c r="AM1827">
        <v>0</v>
      </c>
      <c r="AN1827">
        <v>1</v>
      </c>
    </row>
    <row r="1828" spans="1:40" x14ac:dyDescent="0.3">
      <c r="A1828" t="s">
        <v>517</v>
      </c>
      <c r="B1828" t="s">
        <v>59</v>
      </c>
      <c r="C1828" t="s">
        <v>10</v>
      </c>
      <c r="D1828" t="s">
        <v>11</v>
      </c>
      <c r="E1828">
        <v>202602</v>
      </c>
      <c r="F1828" t="s">
        <v>69</v>
      </c>
      <c r="G1828">
        <v>0</v>
      </c>
      <c r="H1828">
        <v>2</v>
      </c>
      <c r="I1828">
        <v>4</v>
      </c>
      <c r="J1828">
        <v>3</v>
      </c>
      <c r="K1828">
        <v>4</v>
      </c>
      <c r="L1828">
        <v>8</v>
      </c>
      <c r="M1828">
        <v>6</v>
      </c>
      <c r="N1828">
        <v>1</v>
      </c>
      <c r="O1828">
        <v>3</v>
      </c>
      <c r="P1828">
        <v>3</v>
      </c>
      <c r="Q1828">
        <v>2</v>
      </c>
      <c r="R1828">
        <v>0</v>
      </c>
      <c r="S1828">
        <v>0</v>
      </c>
      <c r="T1828">
        <v>0</v>
      </c>
      <c r="U1828">
        <v>0</v>
      </c>
      <c r="V1828">
        <v>0</v>
      </c>
      <c r="W1828">
        <v>0</v>
      </c>
      <c r="X1828">
        <v>0</v>
      </c>
      <c r="Y1828">
        <v>0</v>
      </c>
      <c r="Z1828">
        <v>0</v>
      </c>
      <c r="AA1828">
        <v>0</v>
      </c>
      <c r="AB1828">
        <v>0</v>
      </c>
      <c r="AC1828">
        <v>0</v>
      </c>
      <c r="AD1828">
        <v>0</v>
      </c>
      <c r="AE1828">
        <v>0</v>
      </c>
      <c r="AF1828">
        <v>0</v>
      </c>
      <c r="AG1828">
        <v>0</v>
      </c>
      <c r="AH1828">
        <v>0</v>
      </c>
      <c r="AI1828">
        <v>0</v>
      </c>
      <c r="AJ1828">
        <v>0</v>
      </c>
      <c r="AK1828">
        <v>0</v>
      </c>
      <c r="AL1828">
        <v>36</v>
      </c>
      <c r="AM1828">
        <v>2.6666666666666665</v>
      </c>
      <c r="AN1828">
        <v>72.837001118984887</v>
      </c>
    </row>
    <row r="1829" spans="1:40" x14ac:dyDescent="0.3">
      <c r="A1829" t="s">
        <v>517</v>
      </c>
      <c r="B1829" t="s">
        <v>59</v>
      </c>
      <c r="C1829" t="s">
        <v>10</v>
      </c>
      <c r="D1829" t="s">
        <v>11</v>
      </c>
      <c r="E1829">
        <v>202602</v>
      </c>
      <c r="F1829" t="s">
        <v>70</v>
      </c>
      <c r="G1829">
        <v>0</v>
      </c>
      <c r="H1829">
        <v>3</v>
      </c>
      <c r="I1829">
        <v>1</v>
      </c>
      <c r="J1829">
        <v>1</v>
      </c>
      <c r="K1829">
        <v>0</v>
      </c>
      <c r="L1829">
        <v>0</v>
      </c>
      <c r="M1829">
        <v>0</v>
      </c>
      <c r="N1829">
        <v>0</v>
      </c>
      <c r="O1829">
        <v>0</v>
      </c>
      <c r="P1829">
        <v>1</v>
      </c>
      <c r="Q1829">
        <v>1</v>
      </c>
      <c r="R1829">
        <v>0</v>
      </c>
      <c r="S1829">
        <v>0</v>
      </c>
      <c r="T1829">
        <v>0</v>
      </c>
      <c r="U1829">
        <v>0</v>
      </c>
      <c r="V1829">
        <v>0</v>
      </c>
      <c r="W1829">
        <v>0</v>
      </c>
      <c r="X1829">
        <v>0</v>
      </c>
      <c r="Y1829">
        <v>0</v>
      </c>
      <c r="Z1829">
        <v>0</v>
      </c>
      <c r="AA1829">
        <v>0</v>
      </c>
      <c r="AB1829">
        <v>0</v>
      </c>
      <c r="AC1829">
        <v>0</v>
      </c>
      <c r="AD1829">
        <v>0</v>
      </c>
      <c r="AE1829">
        <v>0</v>
      </c>
      <c r="AF1829">
        <v>0</v>
      </c>
      <c r="AG1829">
        <v>0</v>
      </c>
      <c r="AH1829">
        <v>0</v>
      </c>
      <c r="AI1829">
        <v>0</v>
      </c>
      <c r="AJ1829">
        <v>0</v>
      </c>
      <c r="AK1829">
        <v>0</v>
      </c>
      <c r="AL1829">
        <v>7</v>
      </c>
      <c r="AM1829">
        <v>0.66666666666666663</v>
      </c>
      <c r="AN1829">
        <v>16.209250279746222</v>
      </c>
    </row>
    <row r="1830" spans="1:40" x14ac:dyDescent="0.3">
      <c r="A1830" t="s">
        <v>517</v>
      </c>
      <c r="B1830" t="s">
        <v>59</v>
      </c>
      <c r="C1830" t="s">
        <v>10</v>
      </c>
      <c r="D1830" t="s">
        <v>11</v>
      </c>
      <c r="E1830">
        <v>202602</v>
      </c>
      <c r="F1830" t="s">
        <v>72</v>
      </c>
      <c r="G1830">
        <v>0</v>
      </c>
      <c r="H1830">
        <v>2</v>
      </c>
      <c r="I1830">
        <v>0</v>
      </c>
      <c r="J1830">
        <v>0</v>
      </c>
      <c r="K1830">
        <v>2</v>
      </c>
      <c r="L1830">
        <v>0</v>
      </c>
      <c r="M1830">
        <v>0</v>
      </c>
      <c r="N1830">
        <v>0</v>
      </c>
      <c r="O1830">
        <v>2</v>
      </c>
      <c r="P1830">
        <v>1</v>
      </c>
      <c r="Q1830">
        <v>3</v>
      </c>
      <c r="R1830">
        <v>0</v>
      </c>
      <c r="S1830">
        <v>0</v>
      </c>
      <c r="T1830">
        <v>0</v>
      </c>
      <c r="U1830">
        <v>0</v>
      </c>
      <c r="V1830">
        <v>0</v>
      </c>
      <c r="W1830">
        <v>0</v>
      </c>
      <c r="X1830">
        <v>0</v>
      </c>
      <c r="Y1830">
        <v>0</v>
      </c>
      <c r="Z1830">
        <v>0</v>
      </c>
      <c r="AA1830">
        <v>0</v>
      </c>
      <c r="AB1830">
        <v>0</v>
      </c>
      <c r="AC1830">
        <v>0</v>
      </c>
      <c r="AD1830">
        <v>0</v>
      </c>
      <c r="AE1830">
        <v>0</v>
      </c>
      <c r="AF1830">
        <v>0</v>
      </c>
      <c r="AG1830">
        <v>0</v>
      </c>
      <c r="AH1830">
        <v>0</v>
      </c>
      <c r="AI1830">
        <v>0</v>
      </c>
      <c r="AJ1830">
        <v>0</v>
      </c>
      <c r="AK1830">
        <v>0</v>
      </c>
      <c r="AL1830">
        <v>10</v>
      </c>
      <c r="AM1830">
        <v>2</v>
      </c>
      <c r="AN1830">
        <v>37.627750839238672</v>
      </c>
    </row>
    <row r="1831" spans="1:40" x14ac:dyDescent="0.3">
      <c r="A1831" t="s">
        <v>517</v>
      </c>
      <c r="B1831" t="s">
        <v>59</v>
      </c>
      <c r="C1831" t="s">
        <v>10</v>
      </c>
      <c r="D1831" t="s">
        <v>11</v>
      </c>
      <c r="E1831">
        <v>202602</v>
      </c>
      <c r="F1831" t="s">
        <v>73</v>
      </c>
      <c r="G1831">
        <v>0</v>
      </c>
      <c r="H1831">
        <v>3</v>
      </c>
      <c r="I1831">
        <v>1</v>
      </c>
      <c r="J1831">
        <v>2</v>
      </c>
      <c r="K1831">
        <v>2</v>
      </c>
      <c r="L1831">
        <v>1</v>
      </c>
      <c r="M1831">
        <v>0</v>
      </c>
      <c r="N1831">
        <v>0</v>
      </c>
      <c r="O1831">
        <v>5</v>
      </c>
      <c r="P1831">
        <v>2</v>
      </c>
      <c r="Q1831">
        <v>0</v>
      </c>
      <c r="R1831">
        <v>0</v>
      </c>
      <c r="S1831">
        <v>0</v>
      </c>
      <c r="T1831">
        <v>0</v>
      </c>
      <c r="U1831">
        <v>0</v>
      </c>
      <c r="V1831">
        <v>0</v>
      </c>
      <c r="W1831">
        <v>0</v>
      </c>
      <c r="X1831">
        <v>0</v>
      </c>
      <c r="Y1831">
        <v>0</v>
      </c>
      <c r="Z1831">
        <v>0</v>
      </c>
      <c r="AA1831">
        <v>0</v>
      </c>
      <c r="AB1831">
        <v>0</v>
      </c>
      <c r="AC1831">
        <v>0</v>
      </c>
      <c r="AD1831">
        <v>0</v>
      </c>
      <c r="AE1831">
        <v>0</v>
      </c>
      <c r="AF1831">
        <v>0</v>
      </c>
      <c r="AG1831">
        <v>0</v>
      </c>
      <c r="AH1831">
        <v>0</v>
      </c>
      <c r="AI1831">
        <v>0</v>
      </c>
      <c r="AJ1831">
        <v>0</v>
      </c>
      <c r="AK1831">
        <v>0</v>
      </c>
      <c r="AL1831">
        <v>16</v>
      </c>
      <c r="AM1831">
        <v>2.3333333333333335</v>
      </c>
      <c r="AN1831">
        <v>48.232375979111779</v>
      </c>
    </row>
    <row r="1832" spans="1:40" x14ac:dyDescent="0.3">
      <c r="A1832" t="s">
        <v>517</v>
      </c>
      <c r="B1832" t="s">
        <v>59</v>
      </c>
      <c r="C1832" t="s">
        <v>10</v>
      </c>
      <c r="D1832" t="s">
        <v>11</v>
      </c>
      <c r="E1832">
        <v>202602</v>
      </c>
      <c r="F1832" t="s">
        <v>77</v>
      </c>
      <c r="G1832">
        <v>0</v>
      </c>
      <c r="H1832">
        <v>0</v>
      </c>
      <c r="I1832">
        <v>0</v>
      </c>
      <c r="J1832">
        <v>2</v>
      </c>
      <c r="K1832">
        <v>2</v>
      </c>
      <c r="L1832">
        <v>1</v>
      </c>
      <c r="M1832">
        <v>4</v>
      </c>
      <c r="N1832">
        <v>1</v>
      </c>
      <c r="O1832">
        <v>1</v>
      </c>
      <c r="P1832">
        <v>3</v>
      </c>
      <c r="Q1832">
        <v>0</v>
      </c>
      <c r="R1832">
        <v>0</v>
      </c>
      <c r="S1832">
        <v>0</v>
      </c>
      <c r="T1832">
        <v>0</v>
      </c>
      <c r="U1832">
        <v>0</v>
      </c>
      <c r="V1832">
        <v>0</v>
      </c>
      <c r="W1832">
        <v>0</v>
      </c>
      <c r="X1832">
        <v>0</v>
      </c>
      <c r="Y1832">
        <v>0</v>
      </c>
      <c r="Z1832">
        <v>0</v>
      </c>
      <c r="AA1832">
        <v>0</v>
      </c>
      <c r="AB1832">
        <v>0</v>
      </c>
      <c r="AC1832">
        <v>0</v>
      </c>
      <c r="AD1832">
        <v>0</v>
      </c>
      <c r="AE1832">
        <v>0</v>
      </c>
      <c r="AF1832">
        <v>0</v>
      </c>
      <c r="AG1832">
        <v>0</v>
      </c>
      <c r="AH1832">
        <v>0</v>
      </c>
      <c r="AI1832">
        <v>0</v>
      </c>
      <c r="AJ1832">
        <v>0</v>
      </c>
      <c r="AK1832">
        <v>0</v>
      </c>
      <c r="AL1832">
        <v>14</v>
      </c>
      <c r="AM1832">
        <v>1.3333333333333333</v>
      </c>
      <c r="AN1832">
        <v>32.418500559492443</v>
      </c>
    </row>
    <row r="1833" spans="1:40" x14ac:dyDescent="0.3">
      <c r="A1833" t="s">
        <v>517</v>
      </c>
      <c r="B1833" t="s">
        <v>59</v>
      </c>
      <c r="C1833" t="s">
        <v>10</v>
      </c>
      <c r="D1833" t="s">
        <v>11</v>
      </c>
      <c r="E1833">
        <v>202602</v>
      </c>
      <c r="F1833" t="s">
        <v>552</v>
      </c>
      <c r="G1833">
        <v>0</v>
      </c>
      <c r="H1833">
        <v>1</v>
      </c>
      <c r="I1833">
        <v>0</v>
      </c>
      <c r="J1833">
        <v>1</v>
      </c>
      <c r="K1833">
        <v>0</v>
      </c>
      <c r="L1833">
        <v>1</v>
      </c>
      <c r="M1833">
        <v>0</v>
      </c>
      <c r="N1833">
        <v>0</v>
      </c>
      <c r="O1833">
        <v>0</v>
      </c>
      <c r="P1833">
        <v>2</v>
      </c>
      <c r="Q1833">
        <v>0</v>
      </c>
      <c r="R1833">
        <v>0</v>
      </c>
      <c r="S1833">
        <v>0</v>
      </c>
      <c r="T1833">
        <v>0</v>
      </c>
      <c r="U1833">
        <v>0</v>
      </c>
      <c r="V1833">
        <v>0</v>
      </c>
      <c r="W1833">
        <v>0</v>
      </c>
      <c r="X1833">
        <v>0</v>
      </c>
      <c r="Y1833">
        <v>0</v>
      </c>
      <c r="Z1833">
        <v>0</v>
      </c>
      <c r="AA1833">
        <v>0</v>
      </c>
      <c r="AB1833">
        <v>0</v>
      </c>
      <c r="AC1833">
        <v>0</v>
      </c>
      <c r="AD1833">
        <v>0</v>
      </c>
      <c r="AE1833">
        <v>0</v>
      </c>
      <c r="AF1833">
        <v>0</v>
      </c>
      <c r="AG1833">
        <v>0</v>
      </c>
      <c r="AH1833">
        <v>0</v>
      </c>
      <c r="AI1833">
        <v>0</v>
      </c>
      <c r="AJ1833">
        <v>0</v>
      </c>
      <c r="AK1833">
        <v>0</v>
      </c>
      <c r="AL1833">
        <v>5</v>
      </c>
      <c r="AM1833">
        <v>0.66666666666666663</v>
      </c>
      <c r="AN1833">
        <v>14.209250279746223</v>
      </c>
    </row>
    <row r="1834" spans="1:40" x14ac:dyDescent="0.3">
      <c r="A1834" t="s">
        <v>517</v>
      </c>
      <c r="B1834" t="s">
        <v>59</v>
      </c>
      <c r="C1834" t="s">
        <v>10</v>
      </c>
      <c r="D1834" t="s">
        <v>11</v>
      </c>
      <c r="E1834">
        <v>202602</v>
      </c>
      <c r="F1834" t="s">
        <v>554</v>
      </c>
      <c r="G1834">
        <v>0</v>
      </c>
      <c r="H1834">
        <v>0</v>
      </c>
      <c r="I1834">
        <v>0</v>
      </c>
      <c r="J1834">
        <v>0</v>
      </c>
      <c r="K1834">
        <v>0</v>
      </c>
      <c r="L1834">
        <v>0</v>
      </c>
      <c r="M1834">
        <v>0</v>
      </c>
      <c r="N1834">
        <v>0</v>
      </c>
      <c r="O1834">
        <v>0</v>
      </c>
      <c r="P1834">
        <v>0</v>
      </c>
      <c r="Q1834">
        <v>1</v>
      </c>
      <c r="R1834">
        <v>0</v>
      </c>
      <c r="S1834">
        <v>0</v>
      </c>
      <c r="T1834">
        <v>0</v>
      </c>
      <c r="U1834">
        <v>0</v>
      </c>
      <c r="V1834">
        <v>0</v>
      </c>
      <c r="W1834">
        <v>0</v>
      </c>
      <c r="X1834">
        <v>0</v>
      </c>
      <c r="Y1834">
        <v>0</v>
      </c>
      <c r="Z1834">
        <v>0</v>
      </c>
      <c r="AA1834">
        <v>0</v>
      </c>
      <c r="AB1834">
        <v>0</v>
      </c>
      <c r="AC1834">
        <v>0</v>
      </c>
      <c r="AD1834">
        <v>0</v>
      </c>
      <c r="AE1834">
        <v>0</v>
      </c>
      <c r="AF1834">
        <v>0</v>
      </c>
      <c r="AG1834">
        <v>0</v>
      </c>
      <c r="AH1834">
        <v>0</v>
      </c>
      <c r="AI1834">
        <v>0</v>
      </c>
      <c r="AJ1834">
        <v>0</v>
      </c>
      <c r="AK1834">
        <v>0</v>
      </c>
      <c r="AL1834">
        <v>1</v>
      </c>
      <c r="AM1834">
        <v>0.33333333333333331</v>
      </c>
      <c r="AN1834">
        <v>5.6046251398731117</v>
      </c>
    </row>
    <row r="1835" spans="1:40" x14ac:dyDescent="0.3">
      <c r="A1835" t="s">
        <v>517</v>
      </c>
      <c r="B1835" t="s">
        <v>59</v>
      </c>
      <c r="C1835" t="s">
        <v>10</v>
      </c>
      <c r="D1835" t="s">
        <v>14</v>
      </c>
      <c r="E1835">
        <v>202602</v>
      </c>
      <c r="F1835" t="s">
        <v>60</v>
      </c>
      <c r="G1835">
        <v>0</v>
      </c>
      <c r="H1835">
        <v>2</v>
      </c>
      <c r="I1835">
        <v>11</v>
      </c>
      <c r="J1835">
        <v>10</v>
      </c>
      <c r="K1835">
        <v>12</v>
      </c>
      <c r="L1835">
        <v>4</v>
      </c>
      <c r="M1835">
        <v>0</v>
      </c>
      <c r="N1835">
        <v>0</v>
      </c>
      <c r="O1835">
        <v>8</v>
      </c>
      <c r="P1835">
        <v>7</v>
      </c>
      <c r="Q1835">
        <v>7</v>
      </c>
      <c r="R1835">
        <v>0</v>
      </c>
      <c r="S1835">
        <v>0</v>
      </c>
      <c r="T1835">
        <v>0</v>
      </c>
      <c r="U1835">
        <v>0</v>
      </c>
      <c r="V1835">
        <v>0</v>
      </c>
      <c r="W1835">
        <v>0</v>
      </c>
      <c r="X1835">
        <v>0</v>
      </c>
      <c r="Y1835">
        <v>0</v>
      </c>
      <c r="Z1835">
        <v>0</v>
      </c>
      <c r="AA1835">
        <v>0</v>
      </c>
      <c r="AB1835">
        <v>0</v>
      </c>
      <c r="AC1835">
        <v>0</v>
      </c>
      <c r="AD1835">
        <v>0</v>
      </c>
      <c r="AE1835">
        <v>0</v>
      </c>
      <c r="AF1835">
        <v>0</v>
      </c>
      <c r="AG1835">
        <v>0</v>
      </c>
      <c r="AH1835">
        <v>0</v>
      </c>
      <c r="AI1835">
        <v>0</v>
      </c>
      <c r="AJ1835">
        <v>0</v>
      </c>
      <c r="AK1835">
        <v>0</v>
      </c>
      <c r="AL1835">
        <v>61</v>
      </c>
      <c r="AM1835">
        <v>7.333333333333333</v>
      </c>
      <c r="AN1835">
        <v>149.91830357142948</v>
      </c>
    </row>
    <row r="1836" spans="1:40" x14ac:dyDescent="0.3">
      <c r="A1836" t="s">
        <v>517</v>
      </c>
      <c r="B1836" t="s">
        <v>59</v>
      </c>
      <c r="C1836" t="s">
        <v>10</v>
      </c>
      <c r="D1836" t="s">
        <v>14</v>
      </c>
      <c r="E1836">
        <v>202602</v>
      </c>
      <c r="F1836" t="s">
        <v>61</v>
      </c>
      <c r="G1836">
        <v>0</v>
      </c>
      <c r="H1836">
        <v>0</v>
      </c>
      <c r="I1836">
        <v>2</v>
      </c>
      <c r="J1836">
        <v>6</v>
      </c>
      <c r="K1836">
        <v>3</v>
      </c>
      <c r="L1836">
        <v>2</v>
      </c>
      <c r="M1836">
        <v>0</v>
      </c>
      <c r="N1836">
        <v>0</v>
      </c>
      <c r="O1836">
        <v>7</v>
      </c>
      <c r="P1836">
        <v>1</v>
      </c>
      <c r="Q1836">
        <v>4</v>
      </c>
      <c r="R1836">
        <v>0</v>
      </c>
      <c r="S1836">
        <v>0</v>
      </c>
      <c r="T1836">
        <v>0</v>
      </c>
      <c r="U1836">
        <v>0</v>
      </c>
      <c r="V1836">
        <v>0</v>
      </c>
      <c r="W1836">
        <v>0</v>
      </c>
      <c r="X1836">
        <v>0</v>
      </c>
      <c r="Y1836">
        <v>0</v>
      </c>
      <c r="Z1836">
        <v>0</v>
      </c>
      <c r="AA1836">
        <v>0</v>
      </c>
      <c r="AB1836">
        <v>0</v>
      </c>
      <c r="AC1836">
        <v>0</v>
      </c>
      <c r="AD1836">
        <v>0</v>
      </c>
      <c r="AE1836">
        <v>0</v>
      </c>
      <c r="AF1836">
        <v>0</v>
      </c>
      <c r="AG1836">
        <v>0</v>
      </c>
      <c r="AH1836">
        <v>0</v>
      </c>
      <c r="AI1836">
        <v>0</v>
      </c>
      <c r="AJ1836">
        <v>0</v>
      </c>
      <c r="AK1836">
        <v>0</v>
      </c>
      <c r="AL1836">
        <v>25</v>
      </c>
      <c r="AM1836">
        <v>4</v>
      </c>
      <c r="AN1836">
        <v>73.500892857143356</v>
      </c>
    </row>
    <row r="1837" spans="1:40" x14ac:dyDescent="0.3">
      <c r="A1837" t="s">
        <v>517</v>
      </c>
      <c r="B1837" t="s">
        <v>59</v>
      </c>
      <c r="C1837" t="s">
        <v>10</v>
      </c>
      <c r="D1837" t="s">
        <v>14</v>
      </c>
      <c r="E1837">
        <v>202602</v>
      </c>
      <c r="F1837" t="s">
        <v>63</v>
      </c>
      <c r="G1837">
        <v>0</v>
      </c>
      <c r="H1837">
        <v>5</v>
      </c>
      <c r="I1837">
        <v>9</v>
      </c>
      <c r="J1837">
        <v>4</v>
      </c>
      <c r="K1837">
        <v>8</v>
      </c>
      <c r="L1837">
        <v>4</v>
      </c>
      <c r="M1837">
        <v>0</v>
      </c>
      <c r="N1837">
        <v>0</v>
      </c>
      <c r="O1837">
        <v>5</v>
      </c>
      <c r="P1837">
        <v>8</v>
      </c>
      <c r="Q1837">
        <v>6</v>
      </c>
      <c r="R1837">
        <v>0</v>
      </c>
      <c r="S1837">
        <v>0</v>
      </c>
      <c r="T1837">
        <v>0</v>
      </c>
      <c r="U1837">
        <v>0</v>
      </c>
      <c r="V1837">
        <v>0</v>
      </c>
      <c r="W1837">
        <v>0</v>
      </c>
      <c r="X1837">
        <v>0</v>
      </c>
      <c r="Y1837">
        <v>0</v>
      </c>
      <c r="Z1837">
        <v>0</v>
      </c>
      <c r="AA1837">
        <v>0</v>
      </c>
      <c r="AB1837">
        <v>0</v>
      </c>
      <c r="AC1837">
        <v>0</v>
      </c>
      <c r="AD1837">
        <v>0</v>
      </c>
      <c r="AE1837">
        <v>0</v>
      </c>
      <c r="AF1837">
        <v>0</v>
      </c>
      <c r="AG1837">
        <v>0</v>
      </c>
      <c r="AH1837">
        <v>0</v>
      </c>
      <c r="AI1837">
        <v>0</v>
      </c>
      <c r="AJ1837">
        <v>0</v>
      </c>
      <c r="AK1837">
        <v>0</v>
      </c>
      <c r="AL1837">
        <v>49</v>
      </c>
      <c r="AM1837">
        <v>6.333333333333333</v>
      </c>
      <c r="AN1837">
        <v>125.79308035714364</v>
      </c>
    </row>
    <row r="1838" spans="1:40" x14ac:dyDescent="0.3">
      <c r="A1838" t="s">
        <v>517</v>
      </c>
      <c r="B1838" t="s">
        <v>59</v>
      </c>
      <c r="C1838" t="s">
        <v>10</v>
      </c>
      <c r="D1838" t="s">
        <v>14</v>
      </c>
      <c r="E1838">
        <v>202602</v>
      </c>
      <c r="F1838" t="s">
        <v>75</v>
      </c>
      <c r="G1838">
        <v>0</v>
      </c>
      <c r="H1838">
        <v>0</v>
      </c>
      <c r="I1838">
        <v>1</v>
      </c>
      <c r="J1838">
        <v>0</v>
      </c>
      <c r="K1838">
        <v>0</v>
      </c>
      <c r="L1838">
        <v>0</v>
      </c>
      <c r="M1838">
        <v>0</v>
      </c>
      <c r="N1838">
        <v>0</v>
      </c>
      <c r="O1838">
        <v>0</v>
      </c>
      <c r="P1838">
        <v>0</v>
      </c>
      <c r="Q1838">
        <v>1</v>
      </c>
      <c r="R1838">
        <v>0</v>
      </c>
      <c r="S1838">
        <v>0</v>
      </c>
      <c r="T1838">
        <v>0</v>
      </c>
      <c r="U1838">
        <v>0</v>
      </c>
      <c r="V1838">
        <v>0</v>
      </c>
      <c r="W1838">
        <v>0</v>
      </c>
      <c r="X1838">
        <v>0</v>
      </c>
      <c r="Y1838">
        <v>0</v>
      </c>
      <c r="Z1838">
        <v>0</v>
      </c>
      <c r="AA1838">
        <v>0</v>
      </c>
      <c r="AB1838">
        <v>0</v>
      </c>
      <c r="AC1838">
        <v>0</v>
      </c>
      <c r="AD1838">
        <v>0</v>
      </c>
      <c r="AE1838">
        <v>0</v>
      </c>
      <c r="AF1838">
        <v>0</v>
      </c>
      <c r="AG1838">
        <v>0</v>
      </c>
      <c r="AH1838">
        <v>0</v>
      </c>
      <c r="AI1838">
        <v>0</v>
      </c>
      <c r="AJ1838">
        <v>0</v>
      </c>
      <c r="AK1838">
        <v>0</v>
      </c>
      <c r="AL1838">
        <v>2</v>
      </c>
      <c r="AM1838">
        <v>0.33333333333333331</v>
      </c>
      <c r="AN1838">
        <v>6.0417410714286133</v>
      </c>
    </row>
    <row r="1839" spans="1:40" x14ac:dyDescent="0.3">
      <c r="A1839" t="s">
        <v>517</v>
      </c>
      <c r="B1839" t="s">
        <v>59</v>
      </c>
      <c r="C1839" t="s">
        <v>10</v>
      </c>
      <c r="D1839" t="s">
        <v>14</v>
      </c>
      <c r="E1839">
        <v>202602</v>
      </c>
      <c r="F1839" t="s">
        <v>207</v>
      </c>
      <c r="G1839">
        <v>0</v>
      </c>
      <c r="H1839">
        <v>1</v>
      </c>
      <c r="I1839">
        <v>0</v>
      </c>
      <c r="J1839">
        <v>0</v>
      </c>
      <c r="K1839">
        <v>0</v>
      </c>
      <c r="L1839">
        <v>0</v>
      </c>
      <c r="M1839">
        <v>0</v>
      </c>
      <c r="N1839">
        <v>0</v>
      </c>
      <c r="O1839">
        <v>0</v>
      </c>
      <c r="P1839">
        <v>0</v>
      </c>
      <c r="Q1839">
        <v>0</v>
      </c>
      <c r="R1839">
        <v>0</v>
      </c>
      <c r="S1839">
        <v>0</v>
      </c>
      <c r="T1839">
        <v>0</v>
      </c>
      <c r="U1839">
        <v>0</v>
      </c>
      <c r="V1839">
        <v>0</v>
      </c>
      <c r="W1839">
        <v>0</v>
      </c>
      <c r="X1839">
        <v>0</v>
      </c>
      <c r="Y1839">
        <v>0</v>
      </c>
      <c r="Z1839">
        <v>0</v>
      </c>
      <c r="AA1839">
        <v>0</v>
      </c>
      <c r="AB1839">
        <v>0</v>
      </c>
      <c r="AC1839">
        <v>0</v>
      </c>
      <c r="AD1839">
        <v>0</v>
      </c>
      <c r="AE1839">
        <v>0</v>
      </c>
      <c r="AF1839">
        <v>0</v>
      </c>
      <c r="AG1839">
        <v>0</v>
      </c>
      <c r="AH1839">
        <v>0</v>
      </c>
      <c r="AI1839">
        <v>0</v>
      </c>
      <c r="AJ1839">
        <v>0</v>
      </c>
      <c r="AK1839">
        <v>0</v>
      </c>
      <c r="AL1839">
        <v>1</v>
      </c>
      <c r="AM1839">
        <v>0</v>
      </c>
      <c r="AN1839">
        <v>1</v>
      </c>
    </row>
    <row r="1840" spans="1:40" x14ac:dyDescent="0.3">
      <c r="A1840" t="s">
        <v>517</v>
      </c>
      <c r="B1840" t="s">
        <v>59</v>
      </c>
      <c r="C1840" t="s">
        <v>10</v>
      </c>
      <c r="D1840" t="s">
        <v>14</v>
      </c>
      <c r="E1840">
        <v>202602</v>
      </c>
      <c r="F1840" t="s">
        <v>76</v>
      </c>
      <c r="G1840">
        <v>0</v>
      </c>
      <c r="H1840">
        <v>0</v>
      </c>
      <c r="I1840">
        <v>0</v>
      </c>
      <c r="J1840">
        <v>0</v>
      </c>
      <c r="K1840">
        <v>1</v>
      </c>
      <c r="L1840">
        <v>0</v>
      </c>
      <c r="M1840">
        <v>0</v>
      </c>
      <c r="N1840">
        <v>0</v>
      </c>
      <c r="O1840">
        <v>0</v>
      </c>
      <c r="P1840">
        <v>0</v>
      </c>
      <c r="Q1840">
        <v>0</v>
      </c>
      <c r="R1840">
        <v>0</v>
      </c>
      <c r="S1840">
        <v>0</v>
      </c>
      <c r="T1840">
        <v>0</v>
      </c>
      <c r="U1840">
        <v>0</v>
      </c>
      <c r="V1840">
        <v>0</v>
      </c>
      <c r="W1840">
        <v>0</v>
      </c>
      <c r="X1840">
        <v>0</v>
      </c>
      <c r="Y1840">
        <v>0</v>
      </c>
      <c r="Z1840">
        <v>0</v>
      </c>
      <c r="AA1840">
        <v>0</v>
      </c>
      <c r="AB1840">
        <v>0</v>
      </c>
      <c r="AC1840">
        <v>0</v>
      </c>
      <c r="AD1840">
        <v>0</v>
      </c>
      <c r="AE1840">
        <v>0</v>
      </c>
      <c r="AF1840">
        <v>0</v>
      </c>
      <c r="AG1840">
        <v>0</v>
      </c>
      <c r="AH1840">
        <v>0</v>
      </c>
      <c r="AI1840">
        <v>0</v>
      </c>
      <c r="AJ1840">
        <v>0</v>
      </c>
      <c r="AK1840">
        <v>0</v>
      </c>
      <c r="AL1840">
        <v>1</v>
      </c>
      <c r="AM1840">
        <v>0</v>
      </c>
      <c r="AN1840">
        <v>1</v>
      </c>
    </row>
    <row r="1841" spans="1:40" x14ac:dyDescent="0.3">
      <c r="A1841" t="s">
        <v>517</v>
      </c>
      <c r="B1841" t="s">
        <v>59</v>
      </c>
      <c r="C1841" t="s">
        <v>10</v>
      </c>
      <c r="D1841" t="s">
        <v>14</v>
      </c>
      <c r="E1841">
        <v>202602</v>
      </c>
      <c r="F1841" t="s">
        <v>208</v>
      </c>
      <c r="G1841">
        <v>0</v>
      </c>
      <c r="H1841">
        <v>2</v>
      </c>
      <c r="I1841">
        <v>2</v>
      </c>
      <c r="J1841">
        <v>0</v>
      </c>
      <c r="K1841">
        <v>3</v>
      </c>
      <c r="L1841">
        <v>0</v>
      </c>
      <c r="M1841">
        <v>0</v>
      </c>
      <c r="N1841">
        <v>0</v>
      </c>
      <c r="O1841">
        <v>0</v>
      </c>
      <c r="P1841">
        <v>2</v>
      </c>
      <c r="Q1841">
        <v>0</v>
      </c>
      <c r="R1841">
        <v>0</v>
      </c>
      <c r="S1841">
        <v>0</v>
      </c>
      <c r="T1841">
        <v>0</v>
      </c>
      <c r="U1841">
        <v>0</v>
      </c>
      <c r="V1841">
        <v>0</v>
      </c>
      <c r="W1841">
        <v>0</v>
      </c>
      <c r="X1841">
        <v>0</v>
      </c>
      <c r="Y1841">
        <v>0</v>
      </c>
      <c r="Z1841">
        <v>0</v>
      </c>
      <c r="AA1841">
        <v>0</v>
      </c>
      <c r="AB1841">
        <v>0</v>
      </c>
      <c r="AC1841">
        <v>0</v>
      </c>
      <c r="AD1841">
        <v>0</v>
      </c>
      <c r="AE1841">
        <v>0</v>
      </c>
      <c r="AF1841">
        <v>0</v>
      </c>
      <c r="AG1841">
        <v>0</v>
      </c>
      <c r="AH1841">
        <v>0</v>
      </c>
      <c r="AI1841">
        <v>0</v>
      </c>
      <c r="AJ1841">
        <v>0</v>
      </c>
      <c r="AK1841">
        <v>0</v>
      </c>
      <c r="AL1841">
        <v>9</v>
      </c>
      <c r="AM1841">
        <v>0.66666666666666663</v>
      </c>
      <c r="AN1841">
        <v>17.083482142857228</v>
      </c>
    </row>
    <row r="1842" spans="1:40" x14ac:dyDescent="0.3">
      <c r="A1842" t="s">
        <v>517</v>
      </c>
      <c r="B1842" t="s">
        <v>59</v>
      </c>
      <c r="C1842" t="s">
        <v>10</v>
      </c>
      <c r="D1842" t="s">
        <v>14</v>
      </c>
      <c r="E1842">
        <v>202602</v>
      </c>
      <c r="F1842" t="s">
        <v>64</v>
      </c>
      <c r="G1842">
        <v>0</v>
      </c>
      <c r="H1842">
        <v>6</v>
      </c>
      <c r="I1842">
        <v>4</v>
      </c>
      <c r="J1842">
        <v>6</v>
      </c>
      <c r="K1842">
        <v>4</v>
      </c>
      <c r="L1842">
        <v>5</v>
      </c>
      <c r="M1842">
        <v>0</v>
      </c>
      <c r="N1842">
        <v>0</v>
      </c>
      <c r="O1842">
        <v>11</v>
      </c>
      <c r="P1842">
        <v>5</v>
      </c>
      <c r="Q1842">
        <v>4</v>
      </c>
      <c r="R1842">
        <v>0</v>
      </c>
      <c r="S1842">
        <v>0</v>
      </c>
      <c r="T1842">
        <v>0</v>
      </c>
      <c r="U1842">
        <v>0</v>
      </c>
      <c r="V1842">
        <v>0</v>
      </c>
      <c r="W1842">
        <v>0</v>
      </c>
      <c r="X1842">
        <v>0</v>
      </c>
      <c r="Y1842">
        <v>0</v>
      </c>
      <c r="Z1842">
        <v>0</v>
      </c>
      <c r="AA1842">
        <v>0</v>
      </c>
      <c r="AB1842">
        <v>0</v>
      </c>
      <c r="AC1842">
        <v>0</v>
      </c>
      <c r="AD1842">
        <v>0</v>
      </c>
      <c r="AE1842">
        <v>0</v>
      </c>
      <c r="AF1842">
        <v>0</v>
      </c>
      <c r="AG1842">
        <v>0</v>
      </c>
      <c r="AH1842">
        <v>0</v>
      </c>
      <c r="AI1842">
        <v>0</v>
      </c>
      <c r="AJ1842">
        <v>0</v>
      </c>
      <c r="AK1842">
        <v>0</v>
      </c>
      <c r="AL1842">
        <v>45</v>
      </c>
      <c r="AM1842">
        <v>6.666666666666667</v>
      </c>
      <c r="AN1842">
        <v>125.83482142857225</v>
      </c>
    </row>
    <row r="1843" spans="1:40" x14ac:dyDescent="0.3">
      <c r="A1843" t="s">
        <v>517</v>
      </c>
      <c r="B1843" t="s">
        <v>59</v>
      </c>
      <c r="C1843" t="s">
        <v>10</v>
      </c>
      <c r="D1843" t="s">
        <v>14</v>
      </c>
      <c r="E1843">
        <v>202602</v>
      </c>
      <c r="F1843" t="s">
        <v>65</v>
      </c>
      <c r="G1843">
        <v>0</v>
      </c>
      <c r="H1843">
        <v>3</v>
      </c>
      <c r="I1843">
        <v>0</v>
      </c>
      <c r="J1843">
        <v>3</v>
      </c>
      <c r="K1843">
        <v>0</v>
      </c>
      <c r="L1843">
        <v>3</v>
      </c>
      <c r="M1843">
        <v>0</v>
      </c>
      <c r="N1843">
        <v>0</v>
      </c>
      <c r="O1843">
        <v>1</v>
      </c>
      <c r="P1843">
        <v>0</v>
      </c>
      <c r="Q1843">
        <v>2</v>
      </c>
      <c r="R1843">
        <v>0</v>
      </c>
      <c r="S1843">
        <v>0</v>
      </c>
      <c r="T1843">
        <v>0</v>
      </c>
      <c r="U1843">
        <v>0</v>
      </c>
      <c r="V1843">
        <v>0</v>
      </c>
      <c r="W1843">
        <v>0</v>
      </c>
      <c r="X1843">
        <v>0</v>
      </c>
      <c r="Y1843">
        <v>0</v>
      </c>
      <c r="Z1843">
        <v>0</v>
      </c>
      <c r="AA1843">
        <v>0</v>
      </c>
      <c r="AB1843">
        <v>0</v>
      </c>
      <c r="AC1843">
        <v>0</v>
      </c>
      <c r="AD1843">
        <v>0</v>
      </c>
      <c r="AE1843">
        <v>0</v>
      </c>
      <c r="AF1843">
        <v>0</v>
      </c>
      <c r="AG1843">
        <v>0</v>
      </c>
      <c r="AH1843">
        <v>0</v>
      </c>
      <c r="AI1843">
        <v>0</v>
      </c>
      <c r="AJ1843">
        <v>0</v>
      </c>
      <c r="AK1843">
        <v>0</v>
      </c>
      <c r="AL1843">
        <v>12</v>
      </c>
      <c r="AM1843">
        <v>1</v>
      </c>
      <c r="AN1843">
        <v>24.125223214285839</v>
      </c>
    </row>
    <row r="1844" spans="1:40" x14ac:dyDescent="0.3">
      <c r="A1844" t="s">
        <v>517</v>
      </c>
      <c r="B1844" t="s">
        <v>59</v>
      </c>
      <c r="C1844" t="s">
        <v>10</v>
      </c>
      <c r="D1844" t="s">
        <v>14</v>
      </c>
      <c r="E1844">
        <v>202602</v>
      </c>
      <c r="F1844" t="s">
        <v>66</v>
      </c>
      <c r="G1844">
        <v>0</v>
      </c>
      <c r="H1844">
        <v>3</v>
      </c>
      <c r="I1844">
        <v>3</v>
      </c>
      <c r="J1844">
        <v>3</v>
      </c>
      <c r="K1844">
        <v>0</v>
      </c>
      <c r="L1844">
        <v>0</v>
      </c>
      <c r="M1844">
        <v>0</v>
      </c>
      <c r="N1844">
        <v>0</v>
      </c>
      <c r="O1844">
        <v>1</v>
      </c>
      <c r="P1844">
        <v>0</v>
      </c>
      <c r="Q1844">
        <v>0</v>
      </c>
      <c r="R1844">
        <v>0</v>
      </c>
      <c r="S1844">
        <v>0</v>
      </c>
      <c r="T1844">
        <v>0</v>
      </c>
      <c r="U1844">
        <v>0</v>
      </c>
      <c r="V1844">
        <v>0</v>
      </c>
      <c r="W1844">
        <v>0</v>
      </c>
      <c r="X1844">
        <v>0</v>
      </c>
      <c r="Y1844">
        <v>0</v>
      </c>
      <c r="Z1844">
        <v>0</v>
      </c>
      <c r="AA1844">
        <v>0</v>
      </c>
      <c r="AB1844">
        <v>0</v>
      </c>
      <c r="AC1844">
        <v>0</v>
      </c>
      <c r="AD1844">
        <v>0</v>
      </c>
      <c r="AE1844">
        <v>0</v>
      </c>
      <c r="AF1844">
        <v>0</v>
      </c>
      <c r="AG1844">
        <v>0</v>
      </c>
      <c r="AH1844">
        <v>0</v>
      </c>
      <c r="AI1844">
        <v>0</v>
      </c>
      <c r="AJ1844">
        <v>0</v>
      </c>
      <c r="AK1844">
        <v>0</v>
      </c>
      <c r="AL1844">
        <v>10</v>
      </c>
      <c r="AM1844">
        <v>0.33333333333333331</v>
      </c>
      <c r="AN1844">
        <v>14.041741071428614</v>
      </c>
    </row>
    <row r="1845" spans="1:40" x14ac:dyDescent="0.3">
      <c r="A1845" t="s">
        <v>517</v>
      </c>
      <c r="B1845" t="s">
        <v>59</v>
      </c>
      <c r="C1845" t="s">
        <v>10</v>
      </c>
      <c r="D1845" t="s">
        <v>14</v>
      </c>
      <c r="E1845">
        <v>202602</v>
      </c>
      <c r="F1845" t="s">
        <v>68</v>
      </c>
      <c r="G1845">
        <v>0</v>
      </c>
      <c r="H1845">
        <v>4</v>
      </c>
      <c r="I1845">
        <v>1</v>
      </c>
      <c r="J1845">
        <v>0</v>
      </c>
      <c r="K1845">
        <v>0</v>
      </c>
      <c r="L1845">
        <v>0</v>
      </c>
      <c r="M1845">
        <v>0</v>
      </c>
      <c r="N1845">
        <v>0</v>
      </c>
      <c r="O1845">
        <v>2</v>
      </c>
      <c r="P1845">
        <v>2</v>
      </c>
      <c r="Q1845">
        <v>0</v>
      </c>
      <c r="R1845">
        <v>0</v>
      </c>
      <c r="S1845">
        <v>0</v>
      </c>
      <c r="T1845">
        <v>0</v>
      </c>
      <c r="U1845">
        <v>0</v>
      </c>
      <c r="V1845">
        <v>0</v>
      </c>
      <c r="W1845">
        <v>0</v>
      </c>
      <c r="X1845">
        <v>0</v>
      </c>
      <c r="Y1845">
        <v>0</v>
      </c>
      <c r="Z1845">
        <v>0</v>
      </c>
      <c r="AA1845">
        <v>0</v>
      </c>
      <c r="AB1845">
        <v>0</v>
      </c>
      <c r="AC1845">
        <v>0</v>
      </c>
      <c r="AD1845">
        <v>0</v>
      </c>
      <c r="AE1845">
        <v>0</v>
      </c>
      <c r="AF1845">
        <v>0</v>
      </c>
      <c r="AG1845">
        <v>0</v>
      </c>
      <c r="AH1845">
        <v>0</v>
      </c>
      <c r="AI1845">
        <v>0</v>
      </c>
      <c r="AJ1845">
        <v>0</v>
      </c>
      <c r="AK1845">
        <v>0</v>
      </c>
      <c r="AL1845">
        <v>9</v>
      </c>
      <c r="AM1845">
        <v>1.3333333333333333</v>
      </c>
      <c r="AN1845">
        <v>25.166964285714453</v>
      </c>
    </row>
    <row r="1846" spans="1:40" x14ac:dyDescent="0.3">
      <c r="A1846" t="s">
        <v>517</v>
      </c>
      <c r="B1846" t="s">
        <v>59</v>
      </c>
      <c r="C1846" t="s">
        <v>10</v>
      </c>
      <c r="D1846" t="s">
        <v>14</v>
      </c>
      <c r="E1846">
        <v>202602</v>
      </c>
      <c r="F1846" t="s">
        <v>697</v>
      </c>
      <c r="G1846">
        <v>0</v>
      </c>
      <c r="H1846">
        <v>0</v>
      </c>
      <c r="I1846">
        <v>0</v>
      </c>
      <c r="J1846">
        <v>0</v>
      </c>
      <c r="K1846">
        <v>0</v>
      </c>
      <c r="L1846">
        <v>0</v>
      </c>
      <c r="M1846">
        <v>0</v>
      </c>
      <c r="N1846">
        <v>0</v>
      </c>
      <c r="O1846">
        <v>0</v>
      </c>
      <c r="P1846">
        <v>0</v>
      </c>
      <c r="Q1846">
        <v>1</v>
      </c>
      <c r="R1846">
        <v>0</v>
      </c>
      <c r="S1846">
        <v>0</v>
      </c>
      <c r="T1846">
        <v>0</v>
      </c>
      <c r="U1846">
        <v>0</v>
      </c>
      <c r="V1846">
        <v>0</v>
      </c>
      <c r="W1846">
        <v>0</v>
      </c>
      <c r="X1846">
        <v>0</v>
      </c>
      <c r="Y1846">
        <v>0</v>
      </c>
      <c r="Z1846">
        <v>0</v>
      </c>
      <c r="AA1846">
        <v>0</v>
      </c>
      <c r="AB1846">
        <v>0</v>
      </c>
      <c r="AC1846">
        <v>0</v>
      </c>
      <c r="AD1846">
        <v>0</v>
      </c>
      <c r="AE1846">
        <v>0</v>
      </c>
      <c r="AF1846">
        <v>0</v>
      </c>
      <c r="AG1846">
        <v>0</v>
      </c>
      <c r="AH1846">
        <v>0</v>
      </c>
      <c r="AI1846">
        <v>0</v>
      </c>
      <c r="AJ1846">
        <v>0</v>
      </c>
      <c r="AK1846">
        <v>0</v>
      </c>
      <c r="AL1846">
        <v>1</v>
      </c>
      <c r="AM1846">
        <v>0.33333333333333331</v>
      </c>
      <c r="AN1846">
        <v>5.0417410714286133</v>
      </c>
    </row>
    <row r="1847" spans="1:40" x14ac:dyDescent="0.3">
      <c r="A1847" t="s">
        <v>517</v>
      </c>
      <c r="B1847" t="s">
        <v>59</v>
      </c>
      <c r="C1847" t="s">
        <v>10</v>
      </c>
      <c r="D1847" t="s">
        <v>14</v>
      </c>
      <c r="E1847">
        <v>202602</v>
      </c>
      <c r="F1847" t="s">
        <v>261</v>
      </c>
      <c r="G1847">
        <v>0</v>
      </c>
      <c r="H1847">
        <v>1</v>
      </c>
      <c r="I1847">
        <v>0</v>
      </c>
      <c r="J1847">
        <v>0</v>
      </c>
      <c r="K1847">
        <v>0</v>
      </c>
      <c r="L1847">
        <v>0</v>
      </c>
      <c r="M1847">
        <v>0</v>
      </c>
      <c r="N1847">
        <v>0</v>
      </c>
      <c r="O1847">
        <v>0</v>
      </c>
      <c r="P1847">
        <v>0</v>
      </c>
      <c r="Q1847">
        <v>0</v>
      </c>
      <c r="R1847">
        <v>0</v>
      </c>
      <c r="S1847">
        <v>0</v>
      </c>
      <c r="T1847">
        <v>0</v>
      </c>
      <c r="U1847">
        <v>0</v>
      </c>
      <c r="V1847">
        <v>0</v>
      </c>
      <c r="W1847">
        <v>0</v>
      </c>
      <c r="X1847">
        <v>0</v>
      </c>
      <c r="Y1847">
        <v>0</v>
      </c>
      <c r="Z1847">
        <v>0</v>
      </c>
      <c r="AA1847">
        <v>0</v>
      </c>
      <c r="AB1847">
        <v>0</v>
      </c>
      <c r="AC1847">
        <v>0</v>
      </c>
      <c r="AD1847">
        <v>0</v>
      </c>
      <c r="AE1847">
        <v>0</v>
      </c>
      <c r="AF1847">
        <v>0</v>
      </c>
      <c r="AG1847">
        <v>0</v>
      </c>
      <c r="AH1847">
        <v>0</v>
      </c>
      <c r="AI1847">
        <v>0</v>
      </c>
      <c r="AJ1847">
        <v>0</v>
      </c>
      <c r="AK1847">
        <v>0</v>
      </c>
      <c r="AL1847">
        <v>1</v>
      </c>
      <c r="AM1847">
        <v>0</v>
      </c>
      <c r="AN1847">
        <v>1</v>
      </c>
    </row>
    <row r="1848" spans="1:40" x14ac:dyDescent="0.3">
      <c r="A1848" t="s">
        <v>517</v>
      </c>
      <c r="B1848" t="s">
        <v>59</v>
      </c>
      <c r="C1848" t="s">
        <v>10</v>
      </c>
      <c r="D1848" t="s">
        <v>14</v>
      </c>
      <c r="E1848">
        <v>202602</v>
      </c>
      <c r="F1848" t="s">
        <v>69</v>
      </c>
      <c r="G1848">
        <v>0</v>
      </c>
      <c r="H1848">
        <v>11</v>
      </c>
      <c r="I1848">
        <v>7</v>
      </c>
      <c r="J1848">
        <v>10</v>
      </c>
      <c r="K1848">
        <v>5</v>
      </c>
      <c r="L1848">
        <v>3</v>
      </c>
      <c r="M1848">
        <v>0</v>
      </c>
      <c r="N1848">
        <v>0</v>
      </c>
      <c r="O1848">
        <v>10</v>
      </c>
      <c r="P1848">
        <v>6</v>
      </c>
      <c r="Q1848">
        <v>4</v>
      </c>
      <c r="R1848">
        <v>0</v>
      </c>
      <c r="S1848">
        <v>0</v>
      </c>
      <c r="T1848">
        <v>0</v>
      </c>
      <c r="U1848">
        <v>0</v>
      </c>
      <c r="V1848">
        <v>0</v>
      </c>
      <c r="W1848">
        <v>0</v>
      </c>
      <c r="X1848">
        <v>0</v>
      </c>
      <c r="Y1848">
        <v>0</v>
      </c>
      <c r="Z1848">
        <v>0</v>
      </c>
      <c r="AA1848">
        <v>0</v>
      </c>
      <c r="AB1848">
        <v>0</v>
      </c>
      <c r="AC1848">
        <v>0</v>
      </c>
      <c r="AD1848">
        <v>0</v>
      </c>
      <c r="AE1848">
        <v>0</v>
      </c>
      <c r="AF1848">
        <v>0</v>
      </c>
      <c r="AG1848">
        <v>0</v>
      </c>
      <c r="AH1848">
        <v>0</v>
      </c>
      <c r="AI1848">
        <v>0</v>
      </c>
      <c r="AJ1848">
        <v>0</v>
      </c>
      <c r="AK1848">
        <v>0</v>
      </c>
      <c r="AL1848">
        <v>56</v>
      </c>
      <c r="AM1848">
        <v>6.666666666666667</v>
      </c>
      <c r="AN1848">
        <v>136.83482142857224</v>
      </c>
    </row>
    <row r="1849" spans="1:40" x14ac:dyDescent="0.3">
      <c r="A1849" t="s">
        <v>517</v>
      </c>
      <c r="B1849" t="s">
        <v>59</v>
      </c>
      <c r="C1849" t="s">
        <v>10</v>
      </c>
      <c r="D1849" t="s">
        <v>14</v>
      </c>
      <c r="E1849">
        <v>202602</v>
      </c>
      <c r="F1849" t="s">
        <v>70</v>
      </c>
      <c r="G1849">
        <v>0</v>
      </c>
      <c r="H1849">
        <v>1</v>
      </c>
      <c r="I1849">
        <v>1</v>
      </c>
      <c r="J1849">
        <v>0</v>
      </c>
      <c r="K1849">
        <v>0</v>
      </c>
      <c r="L1849">
        <v>1</v>
      </c>
      <c r="M1849">
        <v>0</v>
      </c>
      <c r="N1849">
        <v>0</v>
      </c>
      <c r="O1849">
        <v>1</v>
      </c>
      <c r="P1849">
        <v>2</v>
      </c>
      <c r="Q1849">
        <v>0</v>
      </c>
      <c r="R1849">
        <v>0</v>
      </c>
      <c r="S1849">
        <v>0</v>
      </c>
      <c r="T1849">
        <v>0</v>
      </c>
      <c r="U1849">
        <v>0</v>
      </c>
      <c r="V1849">
        <v>0</v>
      </c>
      <c r="W1849">
        <v>0</v>
      </c>
      <c r="X1849">
        <v>0</v>
      </c>
      <c r="Y1849">
        <v>0</v>
      </c>
      <c r="Z1849">
        <v>0</v>
      </c>
      <c r="AA1849">
        <v>0</v>
      </c>
      <c r="AB1849">
        <v>0</v>
      </c>
      <c r="AC1849">
        <v>0</v>
      </c>
      <c r="AD1849">
        <v>0</v>
      </c>
      <c r="AE1849">
        <v>0</v>
      </c>
      <c r="AF1849">
        <v>0</v>
      </c>
      <c r="AG1849">
        <v>0</v>
      </c>
      <c r="AH1849">
        <v>0</v>
      </c>
      <c r="AI1849">
        <v>0</v>
      </c>
      <c r="AJ1849">
        <v>0</v>
      </c>
      <c r="AK1849">
        <v>0</v>
      </c>
      <c r="AL1849">
        <v>6</v>
      </c>
      <c r="AM1849">
        <v>1</v>
      </c>
      <c r="AN1849">
        <v>18.125223214285839</v>
      </c>
    </row>
    <row r="1850" spans="1:40" x14ac:dyDescent="0.3">
      <c r="A1850" t="s">
        <v>517</v>
      </c>
      <c r="B1850" t="s">
        <v>59</v>
      </c>
      <c r="C1850" t="s">
        <v>10</v>
      </c>
      <c r="D1850" t="s">
        <v>14</v>
      </c>
      <c r="E1850">
        <v>202602</v>
      </c>
      <c r="F1850" t="s">
        <v>72</v>
      </c>
      <c r="G1850">
        <v>0</v>
      </c>
      <c r="H1850">
        <v>0</v>
      </c>
      <c r="I1850">
        <v>2</v>
      </c>
      <c r="J1850">
        <v>1</v>
      </c>
      <c r="K1850">
        <v>1</v>
      </c>
      <c r="L1850">
        <v>2</v>
      </c>
      <c r="M1850">
        <v>0</v>
      </c>
      <c r="N1850">
        <v>0</v>
      </c>
      <c r="O1850">
        <v>0</v>
      </c>
      <c r="P1850">
        <v>2</v>
      </c>
      <c r="Q1850">
        <v>1</v>
      </c>
      <c r="R1850">
        <v>0</v>
      </c>
      <c r="S1850">
        <v>0</v>
      </c>
      <c r="T1850">
        <v>0</v>
      </c>
      <c r="U1850">
        <v>0</v>
      </c>
      <c r="V1850">
        <v>0</v>
      </c>
      <c r="W1850">
        <v>0</v>
      </c>
      <c r="X1850">
        <v>0</v>
      </c>
      <c r="Y1850">
        <v>0</v>
      </c>
      <c r="Z1850">
        <v>0</v>
      </c>
      <c r="AA1850">
        <v>0</v>
      </c>
      <c r="AB1850">
        <v>0</v>
      </c>
      <c r="AC1850">
        <v>0</v>
      </c>
      <c r="AD1850">
        <v>0</v>
      </c>
      <c r="AE1850">
        <v>0</v>
      </c>
      <c r="AF1850">
        <v>0</v>
      </c>
      <c r="AG1850">
        <v>0</v>
      </c>
      <c r="AH1850">
        <v>0</v>
      </c>
      <c r="AI1850">
        <v>0</v>
      </c>
      <c r="AJ1850">
        <v>0</v>
      </c>
      <c r="AK1850">
        <v>0</v>
      </c>
      <c r="AL1850">
        <v>9</v>
      </c>
      <c r="AM1850">
        <v>1</v>
      </c>
      <c r="AN1850">
        <v>21.125223214285839</v>
      </c>
    </row>
    <row r="1851" spans="1:40" x14ac:dyDescent="0.3">
      <c r="A1851" t="s">
        <v>517</v>
      </c>
      <c r="B1851" t="s">
        <v>59</v>
      </c>
      <c r="C1851" t="s">
        <v>10</v>
      </c>
      <c r="D1851" t="s">
        <v>14</v>
      </c>
      <c r="E1851">
        <v>202602</v>
      </c>
      <c r="F1851" t="s">
        <v>73</v>
      </c>
      <c r="G1851">
        <v>0</v>
      </c>
      <c r="H1851">
        <v>5</v>
      </c>
      <c r="I1851">
        <v>0</v>
      </c>
      <c r="J1851">
        <v>3</v>
      </c>
      <c r="K1851">
        <v>4</v>
      </c>
      <c r="L1851">
        <v>3</v>
      </c>
      <c r="M1851">
        <v>0</v>
      </c>
      <c r="N1851">
        <v>0</v>
      </c>
      <c r="O1851">
        <v>0</v>
      </c>
      <c r="P1851">
        <v>4</v>
      </c>
      <c r="Q1851">
        <v>1</v>
      </c>
      <c r="R1851">
        <v>0</v>
      </c>
      <c r="S1851">
        <v>0</v>
      </c>
      <c r="T1851">
        <v>0</v>
      </c>
      <c r="U1851">
        <v>0</v>
      </c>
      <c r="V1851">
        <v>0</v>
      </c>
      <c r="W1851">
        <v>0</v>
      </c>
      <c r="X1851">
        <v>0</v>
      </c>
      <c r="Y1851">
        <v>0</v>
      </c>
      <c r="Z1851">
        <v>0</v>
      </c>
      <c r="AA1851">
        <v>0</v>
      </c>
      <c r="AB1851">
        <v>0</v>
      </c>
      <c r="AC1851">
        <v>0</v>
      </c>
      <c r="AD1851">
        <v>0</v>
      </c>
      <c r="AE1851">
        <v>0</v>
      </c>
      <c r="AF1851">
        <v>0</v>
      </c>
      <c r="AG1851">
        <v>0</v>
      </c>
      <c r="AH1851">
        <v>0</v>
      </c>
      <c r="AI1851">
        <v>0</v>
      </c>
      <c r="AJ1851">
        <v>0</v>
      </c>
      <c r="AK1851">
        <v>0</v>
      </c>
      <c r="AL1851">
        <v>20</v>
      </c>
      <c r="AM1851">
        <v>1.6666666666666667</v>
      </c>
      <c r="AN1851">
        <v>40.20870535714306</v>
      </c>
    </row>
    <row r="1852" spans="1:40" x14ac:dyDescent="0.3">
      <c r="A1852" t="s">
        <v>517</v>
      </c>
      <c r="B1852" t="s">
        <v>59</v>
      </c>
      <c r="C1852" t="s">
        <v>10</v>
      </c>
      <c r="D1852" t="s">
        <v>14</v>
      </c>
      <c r="E1852">
        <v>202602</v>
      </c>
      <c r="F1852" t="s">
        <v>77</v>
      </c>
      <c r="G1852">
        <v>0</v>
      </c>
      <c r="H1852">
        <v>4</v>
      </c>
      <c r="I1852">
        <v>1</v>
      </c>
      <c r="J1852">
        <v>7</v>
      </c>
      <c r="K1852">
        <v>4</v>
      </c>
      <c r="L1852">
        <v>3</v>
      </c>
      <c r="M1852">
        <v>0</v>
      </c>
      <c r="N1852">
        <v>0</v>
      </c>
      <c r="O1852">
        <v>4</v>
      </c>
      <c r="P1852">
        <v>1</v>
      </c>
      <c r="Q1852">
        <v>4</v>
      </c>
      <c r="R1852">
        <v>0</v>
      </c>
      <c r="S1852">
        <v>0</v>
      </c>
      <c r="T1852">
        <v>0</v>
      </c>
      <c r="U1852">
        <v>0</v>
      </c>
      <c r="V1852">
        <v>0</v>
      </c>
      <c r="W1852">
        <v>0</v>
      </c>
      <c r="X1852">
        <v>0</v>
      </c>
      <c r="Y1852">
        <v>0</v>
      </c>
      <c r="Z1852">
        <v>0</v>
      </c>
      <c r="AA1852">
        <v>0</v>
      </c>
      <c r="AB1852">
        <v>0</v>
      </c>
      <c r="AC1852">
        <v>0</v>
      </c>
      <c r="AD1852">
        <v>0</v>
      </c>
      <c r="AE1852">
        <v>0</v>
      </c>
      <c r="AF1852">
        <v>0</v>
      </c>
      <c r="AG1852">
        <v>0</v>
      </c>
      <c r="AH1852">
        <v>0</v>
      </c>
      <c r="AI1852">
        <v>0</v>
      </c>
      <c r="AJ1852">
        <v>0</v>
      </c>
      <c r="AK1852">
        <v>0</v>
      </c>
      <c r="AL1852">
        <v>28</v>
      </c>
      <c r="AM1852">
        <v>3</v>
      </c>
      <c r="AN1852">
        <v>64.375669642857517</v>
      </c>
    </row>
    <row r="1853" spans="1:40" x14ac:dyDescent="0.3">
      <c r="A1853" t="s">
        <v>517</v>
      </c>
      <c r="B1853" t="s">
        <v>59</v>
      </c>
      <c r="C1853" t="s">
        <v>10</v>
      </c>
      <c r="D1853" t="s">
        <v>14</v>
      </c>
      <c r="E1853">
        <v>202602</v>
      </c>
      <c r="F1853" t="s">
        <v>553</v>
      </c>
      <c r="G1853">
        <v>0</v>
      </c>
      <c r="H1853">
        <v>0</v>
      </c>
      <c r="I1853">
        <v>0</v>
      </c>
      <c r="J1853">
        <v>0</v>
      </c>
      <c r="K1853">
        <v>0</v>
      </c>
      <c r="L1853">
        <v>0</v>
      </c>
      <c r="M1853">
        <v>0</v>
      </c>
      <c r="N1853">
        <v>0</v>
      </c>
      <c r="O1853">
        <v>0</v>
      </c>
      <c r="P1853">
        <v>1</v>
      </c>
      <c r="Q1853">
        <v>0</v>
      </c>
      <c r="R1853">
        <v>0</v>
      </c>
      <c r="S1853">
        <v>0</v>
      </c>
      <c r="T1853">
        <v>0</v>
      </c>
      <c r="U1853">
        <v>0</v>
      </c>
      <c r="V1853">
        <v>0</v>
      </c>
      <c r="W1853">
        <v>0</v>
      </c>
      <c r="X1853">
        <v>0</v>
      </c>
      <c r="Y1853">
        <v>0</v>
      </c>
      <c r="Z1853">
        <v>0</v>
      </c>
      <c r="AA1853">
        <v>0</v>
      </c>
      <c r="AB1853">
        <v>0</v>
      </c>
      <c r="AC1853">
        <v>0</v>
      </c>
      <c r="AD1853">
        <v>0</v>
      </c>
      <c r="AE1853">
        <v>0</v>
      </c>
      <c r="AF1853">
        <v>0</v>
      </c>
      <c r="AG1853">
        <v>0</v>
      </c>
      <c r="AH1853">
        <v>0</v>
      </c>
      <c r="AI1853">
        <v>0</v>
      </c>
      <c r="AJ1853">
        <v>0</v>
      </c>
      <c r="AK1853">
        <v>0</v>
      </c>
      <c r="AL1853">
        <v>1</v>
      </c>
      <c r="AM1853">
        <v>0.33333333333333331</v>
      </c>
      <c r="AN1853">
        <v>5.0417410714286133</v>
      </c>
    </row>
    <row r="1854" spans="1:40" x14ac:dyDescent="0.3">
      <c r="A1854" t="s">
        <v>517</v>
      </c>
      <c r="B1854" t="s">
        <v>59</v>
      </c>
      <c r="C1854" t="s">
        <v>10</v>
      </c>
      <c r="D1854" t="s">
        <v>14</v>
      </c>
      <c r="E1854">
        <v>202602</v>
      </c>
      <c r="F1854" t="s">
        <v>552</v>
      </c>
      <c r="G1854">
        <v>0</v>
      </c>
      <c r="H1854">
        <v>3</v>
      </c>
      <c r="I1854">
        <v>4</v>
      </c>
      <c r="J1854">
        <v>3</v>
      </c>
      <c r="K1854">
        <v>1</v>
      </c>
      <c r="L1854">
        <v>0</v>
      </c>
      <c r="M1854">
        <v>0</v>
      </c>
      <c r="N1854">
        <v>0</v>
      </c>
      <c r="O1854">
        <v>1</v>
      </c>
      <c r="P1854">
        <v>2</v>
      </c>
      <c r="Q1854">
        <v>3</v>
      </c>
      <c r="R1854">
        <v>0</v>
      </c>
      <c r="S1854">
        <v>0</v>
      </c>
      <c r="T1854">
        <v>0</v>
      </c>
      <c r="U1854">
        <v>0</v>
      </c>
      <c r="V1854">
        <v>0</v>
      </c>
      <c r="W1854">
        <v>0</v>
      </c>
      <c r="X1854">
        <v>0</v>
      </c>
      <c r="Y1854">
        <v>0</v>
      </c>
      <c r="Z1854">
        <v>0</v>
      </c>
      <c r="AA1854">
        <v>0</v>
      </c>
      <c r="AB1854">
        <v>0</v>
      </c>
      <c r="AC1854">
        <v>0</v>
      </c>
      <c r="AD1854">
        <v>0</v>
      </c>
      <c r="AE1854">
        <v>0</v>
      </c>
      <c r="AF1854">
        <v>0</v>
      </c>
      <c r="AG1854">
        <v>0</v>
      </c>
      <c r="AH1854">
        <v>0</v>
      </c>
      <c r="AI1854">
        <v>0</v>
      </c>
      <c r="AJ1854">
        <v>0</v>
      </c>
      <c r="AK1854">
        <v>0</v>
      </c>
      <c r="AL1854">
        <v>17</v>
      </c>
      <c r="AM1854">
        <v>2</v>
      </c>
      <c r="AN1854">
        <v>41.250446428571678</v>
      </c>
    </row>
    <row r="1855" spans="1:40" x14ac:dyDescent="0.3">
      <c r="A1855" t="s">
        <v>517</v>
      </c>
      <c r="B1855" t="s">
        <v>59</v>
      </c>
      <c r="C1855" t="s">
        <v>10</v>
      </c>
      <c r="D1855" t="s">
        <v>14</v>
      </c>
      <c r="E1855">
        <v>202602</v>
      </c>
      <c r="F1855" t="s">
        <v>554</v>
      </c>
      <c r="G1855">
        <v>0</v>
      </c>
      <c r="H1855">
        <v>0</v>
      </c>
      <c r="I1855">
        <v>0</v>
      </c>
      <c r="J1855">
        <v>0</v>
      </c>
      <c r="K1855">
        <v>0</v>
      </c>
      <c r="L1855">
        <v>0</v>
      </c>
      <c r="M1855">
        <v>0</v>
      </c>
      <c r="N1855">
        <v>0</v>
      </c>
      <c r="O1855">
        <v>0</v>
      </c>
      <c r="P1855">
        <v>1</v>
      </c>
      <c r="Q1855">
        <v>0</v>
      </c>
      <c r="R1855">
        <v>0</v>
      </c>
      <c r="S1855">
        <v>0</v>
      </c>
      <c r="T1855">
        <v>0</v>
      </c>
      <c r="U1855">
        <v>0</v>
      </c>
      <c r="V1855">
        <v>0</v>
      </c>
      <c r="W1855">
        <v>0</v>
      </c>
      <c r="X1855">
        <v>0</v>
      </c>
      <c r="Y1855">
        <v>0</v>
      </c>
      <c r="Z1855">
        <v>0</v>
      </c>
      <c r="AA1855">
        <v>0</v>
      </c>
      <c r="AB1855">
        <v>0</v>
      </c>
      <c r="AC1855">
        <v>0</v>
      </c>
      <c r="AD1855">
        <v>0</v>
      </c>
      <c r="AE1855">
        <v>0</v>
      </c>
      <c r="AF1855">
        <v>0</v>
      </c>
      <c r="AG1855">
        <v>0</v>
      </c>
      <c r="AH1855">
        <v>0</v>
      </c>
      <c r="AI1855">
        <v>0</v>
      </c>
      <c r="AJ1855">
        <v>0</v>
      </c>
      <c r="AK1855">
        <v>0</v>
      </c>
      <c r="AL1855">
        <v>1</v>
      </c>
      <c r="AM1855">
        <v>0.33333333333333331</v>
      </c>
      <c r="AN1855">
        <v>5.0417410714286133</v>
      </c>
    </row>
    <row r="1856" spans="1:40" x14ac:dyDescent="0.3">
      <c r="A1856" t="s">
        <v>517</v>
      </c>
      <c r="B1856" t="s">
        <v>59</v>
      </c>
      <c r="C1856" t="s">
        <v>10</v>
      </c>
      <c r="D1856" t="s">
        <v>14</v>
      </c>
      <c r="E1856">
        <v>202602</v>
      </c>
      <c r="F1856" t="s">
        <v>78</v>
      </c>
      <c r="G1856">
        <v>0</v>
      </c>
      <c r="H1856">
        <v>0</v>
      </c>
      <c r="I1856">
        <v>1</v>
      </c>
      <c r="J1856">
        <v>0</v>
      </c>
      <c r="K1856">
        <v>0</v>
      </c>
      <c r="L1856">
        <v>0</v>
      </c>
      <c r="M1856">
        <v>0</v>
      </c>
      <c r="N1856">
        <v>0</v>
      </c>
      <c r="O1856">
        <v>1</v>
      </c>
      <c r="P1856">
        <v>1</v>
      </c>
      <c r="Q1856">
        <v>0</v>
      </c>
      <c r="R1856">
        <v>0</v>
      </c>
      <c r="S1856">
        <v>0</v>
      </c>
      <c r="T1856">
        <v>0</v>
      </c>
      <c r="U1856">
        <v>0</v>
      </c>
      <c r="V1856">
        <v>0</v>
      </c>
      <c r="W1856">
        <v>0</v>
      </c>
      <c r="X1856">
        <v>0</v>
      </c>
      <c r="Y1856">
        <v>0</v>
      </c>
      <c r="Z1856">
        <v>0</v>
      </c>
      <c r="AA1856">
        <v>0</v>
      </c>
      <c r="AB1856">
        <v>0</v>
      </c>
      <c r="AC1856">
        <v>0</v>
      </c>
      <c r="AD1856">
        <v>0</v>
      </c>
      <c r="AE1856">
        <v>0</v>
      </c>
      <c r="AF1856">
        <v>0</v>
      </c>
      <c r="AG1856">
        <v>0</v>
      </c>
      <c r="AH1856">
        <v>0</v>
      </c>
      <c r="AI1856">
        <v>0</v>
      </c>
      <c r="AJ1856">
        <v>0</v>
      </c>
      <c r="AK1856">
        <v>0</v>
      </c>
      <c r="AL1856">
        <v>3</v>
      </c>
      <c r="AM1856">
        <v>0.66666666666666663</v>
      </c>
      <c r="AN1856">
        <v>11.083482142857227</v>
      </c>
    </row>
    <row r="1857" spans="1:40" x14ac:dyDescent="0.3">
      <c r="A1857" t="s">
        <v>517</v>
      </c>
      <c r="B1857" t="s">
        <v>81</v>
      </c>
      <c r="C1857" t="s">
        <v>10</v>
      </c>
      <c r="D1857" t="s">
        <v>11</v>
      </c>
      <c r="E1857">
        <v>202602</v>
      </c>
      <c r="F1857" t="s">
        <v>555</v>
      </c>
      <c r="G1857">
        <v>0</v>
      </c>
      <c r="H1857">
        <v>0</v>
      </c>
      <c r="I1857">
        <v>1</v>
      </c>
      <c r="J1857">
        <v>0</v>
      </c>
      <c r="K1857">
        <v>0</v>
      </c>
      <c r="L1857">
        <v>0</v>
      </c>
      <c r="M1857">
        <v>0</v>
      </c>
      <c r="N1857">
        <v>0</v>
      </c>
      <c r="O1857">
        <v>3</v>
      </c>
      <c r="P1857">
        <v>0</v>
      </c>
      <c r="Q1857">
        <v>1</v>
      </c>
      <c r="R1857">
        <v>0</v>
      </c>
      <c r="S1857">
        <v>0</v>
      </c>
      <c r="T1857">
        <v>0</v>
      </c>
      <c r="U1857">
        <v>0</v>
      </c>
      <c r="V1857">
        <v>0</v>
      </c>
      <c r="W1857">
        <v>0</v>
      </c>
      <c r="X1857">
        <v>0</v>
      </c>
      <c r="Y1857">
        <v>0</v>
      </c>
      <c r="Z1857">
        <v>0</v>
      </c>
      <c r="AA1857">
        <v>0</v>
      </c>
      <c r="AB1857">
        <v>0</v>
      </c>
      <c r="AC1857">
        <v>0</v>
      </c>
      <c r="AD1857">
        <v>0</v>
      </c>
      <c r="AE1857">
        <v>0</v>
      </c>
      <c r="AF1857">
        <v>0</v>
      </c>
      <c r="AG1857">
        <v>0</v>
      </c>
      <c r="AH1857">
        <v>0</v>
      </c>
      <c r="AI1857">
        <v>0</v>
      </c>
      <c r="AJ1857">
        <v>0</v>
      </c>
      <c r="AK1857">
        <v>0</v>
      </c>
      <c r="AL1857">
        <v>5</v>
      </c>
      <c r="AM1857">
        <v>1.3333333333333333</v>
      </c>
      <c r="AN1857">
        <v>23.418500559492447</v>
      </c>
    </row>
    <row r="1858" spans="1:40" x14ac:dyDescent="0.3">
      <c r="A1858" t="s">
        <v>517</v>
      </c>
      <c r="B1858" t="s">
        <v>81</v>
      </c>
      <c r="C1858" t="s">
        <v>10</v>
      </c>
      <c r="D1858" t="s">
        <v>11</v>
      </c>
      <c r="E1858">
        <v>202602</v>
      </c>
      <c r="F1858" t="s">
        <v>83</v>
      </c>
      <c r="G1858">
        <v>0</v>
      </c>
      <c r="H1858">
        <v>0</v>
      </c>
      <c r="I1858">
        <v>0</v>
      </c>
      <c r="J1858">
        <v>0</v>
      </c>
      <c r="K1858">
        <v>0</v>
      </c>
      <c r="L1858">
        <v>0</v>
      </c>
      <c r="M1858">
        <v>0</v>
      </c>
      <c r="N1858">
        <v>0</v>
      </c>
      <c r="O1858">
        <v>1</v>
      </c>
      <c r="P1858">
        <v>0</v>
      </c>
      <c r="Q1858">
        <v>0</v>
      </c>
      <c r="R1858">
        <v>0</v>
      </c>
      <c r="S1858">
        <v>0</v>
      </c>
      <c r="T1858">
        <v>0</v>
      </c>
      <c r="U1858">
        <v>0</v>
      </c>
      <c r="V1858">
        <v>0</v>
      </c>
      <c r="W1858">
        <v>0</v>
      </c>
      <c r="X1858">
        <v>0</v>
      </c>
      <c r="Y1858">
        <v>0</v>
      </c>
      <c r="Z1858">
        <v>0</v>
      </c>
      <c r="AA1858">
        <v>0</v>
      </c>
      <c r="AB1858">
        <v>0</v>
      </c>
      <c r="AC1858">
        <v>0</v>
      </c>
      <c r="AD1858">
        <v>0</v>
      </c>
      <c r="AE1858">
        <v>0</v>
      </c>
      <c r="AF1858">
        <v>0</v>
      </c>
      <c r="AG1858">
        <v>0</v>
      </c>
      <c r="AH1858">
        <v>0</v>
      </c>
      <c r="AI1858">
        <v>0</v>
      </c>
      <c r="AJ1858">
        <v>0</v>
      </c>
      <c r="AK1858">
        <v>0</v>
      </c>
      <c r="AL1858">
        <v>1</v>
      </c>
      <c r="AM1858">
        <v>0.33333333333333331</v>
      </c>
      <c r="AN1858">
        <v>5.6046251398731117</v>
      </c>
    </row>
    <row r="1859" spans="1:40" x14ac:dyDescent="0.3">
      <c r="A1859" t="s">
        <v>517</v>
      </c>
      <c r="B1859" t="s">
        <v>81</v>
      </c>
      <c r="C1859" t="s">
        <v>10</v>
      </c>
      <c r="D1859" t="s">
        <v>11</v>
      </c>
      <c r="E1859">
        <v>202602</v>
      </c>
      <c r="F1859" t="s">
        <v>84</v>
      </c>
      <c r="G1859">
        <v>0</v>
      </c>
      <c r="H1859">
        <v>0</v>
      </c>
      <c r="I1859">
        <v>0</v>
      </c>
      <c r="J1859">
        <v>0</v>
      </c>
      <c r="K1859">
        <v>0</v>
      </c>
      <c r="L1859">
        <v>0</v>
      </c>
      <c r="M1859">
        <v>0</v>
      </c>
      <c r="N1859">
        <v>0</v>
      </c>
      <c r="O1859">
        <v>0</v>
      </c>
      <c r="P1859">
        <v>1</v>
      </c>
      <c r="Q1859">
        <v>0</v>
      </c>
      <c r="R1859">
        <v>0</v>
      </c>
      <c r="S1859">
        <v>0</v>
      </c>
      <c r="T1859">
        <v>0</v>
      </c>
      <c r="U1859">
        <v>0</v>
      </c>
      <c r="V1859">
        <v>0</v>
      </c>
      <c r="W1859">
        <v>0</v>
      </c>
      <c r="X1859">
        <v>0</v>
      </c>
      <c r="Y1859">
        <v>0</v>
      </c>
      <c r="Z1859">
        <v>0</v>
      </c>
      <c r="AA1859">
        <v>0</v>
      </c>
      <c r="AB1859">
        <v>0</v>
      </c>
      <c r="AC1859">
        <v>0</v>
      </c>
      <c r="AD1859">
        <v>0</v>
      </c>
      <c r="AE1859">
        <v>0</v>
      </c>
      <c r="AF1859">
        <v>0</v>
      </c>
      <c r="AG1859">
        <v>0</v>
      </c>
      <c r="AH1859">
        <v>0</v>
      </c>
      <c r="AI1859">
        <v>0</v>
      </c>
      <c r="AJ1859">
        <v>0</v>
      </c>
      <c r="AK1859">
        <v>0</v>
      </c>
      <c r="AL1859">
        <v>1</v>
      </c>
      <c r="AM1859">
        <v>0.33333333333333331</v>
      </c>
      <c r="AN1859">
        <v>5.6046251398731117</v>
      </c>
    </row>
    <row r="1860" spans="1:40" x14ac:dyDescent="0.3">
      <c r="A1860" t="s">
        <v>517</v>
      </c>
      <c r="B1860" t="s">
        <v>81</v>
      </c>
      <c r="C1860" t="s">
        <v>10</v>
      </c>
      <c r="D1860" t="s">
        <v>11</v>
      </c>
      <c r="E1860">
        <v>202602</v>
      </c>
      <c r="F1860" t="s">
        <v>556</v>
      </c>
      <c r="G1860">
        <v>0</v>
      </c>
      <c r="H1860">
        <v>0</v>
      </c>
      <c r="I1860">
        <v>2</v>
      </c>
      <c r="J1860">
        <v>0</v>
      </c>
      <c r="K1860">
        <v>0</v>
      </c>
      <c r="L1860">
        <v>1</v>
      </c>
      <c r="M1860">
        <v>1</v>
      </c>
      <c r="N1860">
        <v>0</v>
      </c>
      <c r="O1860">
        <v>3</v>
      </c>
      <c r="P1860">
        <v>1</v>
      </c>
      <c r="Q1860">
        <v>1</v>
      </c>
      <c r="R1860">
        <v>0</v>
      </c>
      <c r="S1860">
        <v>0</v>
      </c>
      <c r="T1860">
        <v>0</v>
      </c>
      <c r="U1860">
        <v>0</v>
      </c>
      <c r="V1860">
        <v>0</v>
      </c>
      <c r="W1860">
        <v>0</v>
      </c>
      <c r="X1860">
        <v>0</v>
      </c>
      <c r="Y1860">
        <v>0</v>
      </c>
      <c r="Z1860">
        <v>0</v>
      </c>
      <c r="AA1860">
        <v>0</v>
      </c>
      <c r="AB1860">
        <v>0</v>
      </c>
      <c r="AC1860">
        <v>0</v>
      </c>
      <c r="AD1860">
        <v>0</v>
      </c>
      <c r="AE1860">
        <v>0</v>
      </c>
      <c r="AF1860">
        <v>0</v>
      </c>
      <c r="AG1860">
        <v>0</v>
      </c>
      <c r="AH1860">
        <v>0</v>
      </c>
      <c r="AI1860">
        <v>0</v>
      </c>
      <c r="AJ1860">
        <v>0</v>
      </c>
      <c r="AK1860">
        <v>0</v>
      </c>
      <c r="AL1860">
        <v>9</v>
      </c>
      <c r="AM1860">
        <v>1.6666666666666667</v>
      </c>
      <c r="AN1860">
        <v>32.023125699365558</v>
      </c>
    </row>
    <row r="1861" spans="1:40" x14ac:dyDescent="0.3">
      <c r="A1861" t="s">
        <v>517</v>
      </c>
      <c r="B1861" t="s">
        <v>81</v>
      </c>
      <c r="C1861" t="s">
        <v>10</v>
      </c>
      <c r="D1861" t="s">
        <v>11</v>
      </c>
      <c r="E1861">
        <v>202602</v>
      </c>
      <c r="F1861" t="s">
        <v>86</v>
      </c>
      <c r="G1861">
        <v>0</v>
      </c>
      <c r="H1861">
        <v>1</v>
      </c>
      <c r="I1861">
        <v>3</v>
      </c>
      <c r="J1861">
        <v>2</v>
      </c>
      <c r="K1861">
        <v>3</v>
      </c>
      <c r="L1861">
        <v>2</v>
      </c>
      <c r="M1861">
        <v>2</v>
      </c>
      <c r="N1861">
        <v>2</v>
      </c>
      <c r="O1861">
        <v>3</v>
      </c>
      <c r="P1861">
        <v>1</v>
      </c>
      <c r="Q1861">
        <v>2</v>
      </c>
      <c r="R1861">
        <v>0</v>
      </c>
      <c r="S1861">
        <v>0</v>
      </c>
      <c r="T1861">
        <v>0</v>
      </c>
      <c r="U1861">
        <v>0</v>
      </c>
      <c r="V1861">
        <v>0</v>
      </c>
      <c r="W1861">
        <v>0</v>
      </c>
      <c r="X1861">
        <v>0</v>
      </c>
      <c r="Y1861">
        <v>0</v>
      </c>
      <c r="Z1861">
        <v>0</v>
      </c>
      <c r="AA1861">
        <v>0</v>
      </c>
      <c r="AB1861">
        <v>0</v>
      </c>
      <c r="AC1861">
        <v>0</v>
      </c>
      <c r="AD1861">
        <v>0</v>
      </c>
      <c r="AE1861">
        <v>0</v>
      </c>
      <c r="AF1861">
        <v>0</v>
      </c>
      <c r="AG1861">
        <v>0</v>
      </c>
      <c r="AH1861">
        <v>0</v>
      </c>
      <c r="AI1861">
        <v>0</v>
      </c>
      <c r="AJ1861">
        <v>0</v>
      </c>
      <c r="AK1861">
        <v>0</v>
      </c>
      <c r="AL1861">
        <v>21</v>
      </c>
      <c r="AM1861">
        <v>2</v>
      </c>
      <c r="AN1861">
        <v>48.627750839238672</v>
      </c>
    </row>
    <row r="1862" spans="1:40" x14ac:dyDescent="0.3">
      <c r="A1862" t="s">
        <v>517</v>
      </c>
      <c r="B1862" t="s">
        <v>81</v>
      </c>
      <c r="C1862" t="s">
        <v>10</v>
      </c>
      <c r="D1862" t="s">
        <v>11</v>
      </c>
      <c r="E1862">
        <v>202602</v>
      </c>
      <c r="F1862" t="s">
        <v>557</v>
      </c>
      <c r="G1862">
        <v>0</v>
      </c>
      <c r="H1862">
        <v>1</v>
      </c>
      <c r="I1862">
        <v>1</v>
      </c>
      <c r="J1862">
        <v>0</v>
      </c>
      <c r="K1862">
        <v>1</v>
      </c>
      <c r="L1862">
        <v>0</v>
      </c>
      <c r="M1862">
        <v>0</v>
      </c>
      <c r="N1862">
        <v>0</v>
      </c>
      <c r="O1862">
        <v>1</v>
      </c>
      <c r="P1862">
        <v>0</v>
      </c>
      <c r="Q1862">
        <v>1</v>
      </c>
      <c r="R1862">
        <v>0</v>
      </c>
      <c r="S1862">
        <v>0</v>
      </c>
      <c r="T1862">
        <v>0</v>
      </c>
      <c r="U1862">
        <v>0</v>
      </c>
      <c r="V1862">
        <v>0</v>
      </c>
      <c r="W1862">
        <v>0</v>
      </c>
      <c r="X1862">
        <v>0</v>
      </c>
      <c r="Y1862">
        <v>0</v>
      </c>
      <c r="Z1862">
        <v>0</v>
      </c>
      <c r="AA1862">
        <v>0</v>
      </c>
      <c r="AB1862">
        <v>0</v>
      </c>
      <c r="AC1862">
        <v>0</v>
      </c>
      <c r="AD1862">
        <v>0</v>
      </c>
      <c r="AE1862">
        <v>0</v>
      </c>
      <c r="AF1862">
        <v>0</v>
      </c>
      <c r="AG1862">
        <v>0</v>
      </c>
      <c r="AH1862">
        <v>0</v>
      </c>
      <c r="AI1862">
        <v>0</v>
      </c>
      <c r="AJ1862">
        <v>0</v>
      </c>
      <c r="AK1862">
        <v>0</v>
      </c>
      <c r="AL1862">
        <v>5</v>
      </c>
      <c r="AM1862">
        <v>0.66666666666666663</v>
      </c>
      <c r="AN1862">
        <v>14.209250279746223</v>
      </c>
    </row>
    <row r="1863" spans="1:40" x14ac:dyDescent="0.3">
      <c r="A1863" t="s">
        <v>517</v>
      </c>
      <c r="B1863" t="s">
        <v>81</v>
      </c>
      <c r="C1863" t="s">
        <v>10</v>
      </c>
      <c r="D1863" t="s">
        <v>11</v>
      </c>
      <c r="E1863">
        <v>202602</v>
      </c>
      <c r="F1863" t="s">
        <v>558</v>
      </c>
      <c r="G1863">
        <v>0</v>
      </c>
      <c r="H1863">
        <v>0</v>
      </c>
      <c r="I1863">
        <v>2</v>
      </c>
      <c r="J1863">
        <v>1</v>
      </c>
      <c r="K1863">
        <v>0</v>
      </c>
      <c r="L1863">
        <v>4</v>
      </c>
      <c r="M1863">
        <v>1</v>
      </c>
      <c r="N1863">
        <v>0</v>
      </c>
      <c r="O1863">
        <v>0</v>
      </c>
      <c r="P1863">
        <v>4</v>
      </c>
      <c r="Q1863">
        <v>1</v>
      </c>
      <c r="R1863">
        <v>0</v>
      </c>
      <c r="S1863">
        <v>0</v>
      </c>
      <c r="T1863">
        <v>0</v>
      </c>
      <c r="U1863">
        <v>0</v>
      </c>
      <c r="V1863">
        <v>0</v>
      </c>
      <c r="W1863">
        <v>0</v>
      </c>
      <c r="X1863">
        <v>0</v>
      </c>
      <c r="Y1863">
        <v>0</v>
      </c>
      <c r="Z1863">
        <v>0</v>
      </c>
      <c r="AA1863">
        <v>0</v>
      </c>
      <c r="AB1863">
        <v>0</v>
      </c>
      <c r="AC1863">
        <v>0</v>
      </c>
      <c r="AD1863">
        <v>0</v>
      </c>
      <c r="AE1863">
        <v>0</v>
      </c>
      <c r="AF1863">
        <v>0</v>
      </c>
      <c r="AG1863">
        <v>0</v>
      </c>
      <c r="AH1863">
        <v>0</v>
      </c>
      <c r="AI1863">
        <v>0</v>
      </c>
      <c r="AJ1863">
        <v>0</v>
      </c>
      <c r="AK1863">
        <v>0</v>
      </c>
      <c r="AL1863">
        <v>13</v>
      </c>
      <c r="AM1863">
        <v>1.6666666666666667</v>
      </c>
      <c r="AN1863">
        <v>36.023125699365558</v>
      </c>
    </row>
    <row r="1864" spans="1:40" x14ac:dyDescent="0.3">
      <c r="A1864" t="s">
        <v>517</v>
      </c>
      <c r="B1864" t="s">
        <v>81</v>
      </c>
      <c r="C1864" t="s">
        <v>10</v>
      </c>
      <c r="D1864" t="s">
        <v>11</v>
      </c>
      <c r="E1864">
        <v>202602</v>
      </c>
      <c r="F1864" t="s">
        <v>559</v>
      </c>
      <c r="G1864">
        <v>0</v>
      </c>
      <c r="H1864">
        <v>0</v>
      </c>
      <c r="I1864">
        <v>0</v>
      </c>
      <c r="J1864">
        <v>0</v>
      </c>
      <c r="K1864">
        <v>0</v>
      </c>
      <c r="L1864">
        <v>1</v>
      </c>
      <c r="M1864">
        <v>0</v>
      </c>
      <c r="N1864">
        <v>1</v>
      </c>
      <c r="O1864">
        <v>0</v>
      </c>
      <c r="P1864">
        <v>0</v>
      </c>
      <c r="Q1864">
        <v>0</v>
      </c>
      <c r="R1864">
        <v>0</v>
      </c>
      <c r="S1864">
        <v>0</v>
      </c>
      <c r="T1864">
        <v>0</v>
      </c>
      <c r="U1864">
        <v>0</v>
      </c>
      <c r="V1864">
        <v>0</v>
      </c>
      <c r="W1864">
        <v>0</v>
      </c>
      <c r="X1864">
        <v>0</v>
      </c>
      <c r="Y1864">
        <v>0</v>
      </c>
      <c r="Z1864">
        <v>0</v>
      </c>
      <c r="AA1864">
        <v>0</v>
      </c>
      <c r="AB1864">
        <v>0</v>
      </c>
      <c r="AC1864">
        <v>0</v>
      </c>
      <c r="AD1864">
        <v>0</v>
      </c>
      <c r="AE1864">
        <v>0</v>
      </c>
      <c r="AF1864">
        <v>0</v>
      </c>
      <c r="AG1864">
        <v>0</v>
      </c>
      <c r="AH1864">
        <v>0</v>
      </c>
      <c r="AI1864">
        <v>0</v>
      </c>
      <c r="AJ1864">
        <v>0</v>
      </c>
      <c r="AK1864">
        <v>0</v>
      </c>
      <c r="AL1864">
        <v>2</v>
      </c>
      <c r="AM1864">
        <v>0</v>
      </c>
      <c r="AN1864">
        <v>2</v>
      </c>
    </row>
    <row r="1865" spans="1:40" x14ac:dyDescent="0.3">
      <c r="A1865" t="s">
        <v>517</v>
      </c>
      <c r="B1865" t="s">
        <v>81</v>
      </c>
      <c r="C1865" t="s">
        <v>10</v>
      </c>
      <c r="D1865" t="s">
        <v>11</v>
      </c>
      <c r="E1865">
        <v>202602</v>
      </c>
      <c r="F1865" t="s">
        <v>560</v>
      </c>
      <c r="G1865">
        <v>0</v>
      </c>
      <c r="H1865">
        <v>1</v>
      </c>
      <c r="I1865">
        <v>0</v>
      </c>
      <c r="J1865">
        <v>0</v>
      </c>
      <c r="K1865">
        <v>0</v>
      </c>
      <c r="L1865">
        <v>0</v>
      </c>
      <c r="M1865">
        <v>0</v>
      </c>
      <c r="N1865">
        <v>0</v>
      </c>
      <c r="O1865">
        <v>0</v>
      </c>
      <c r="P1865">
        <v>0</v>
      </c>
      <c r="Q1865">
        <v>0</v>
      </c>
      <c r="R1865">
        <v>0</v>
      </c>
      <c r="S1865">
        <v>0</v>
      </c>
      <c r="T1865">
        <v>0</v>
      </c>
      <c r="U1865">
        <v>0</v>
      </c>
      <c r="V1865">
        <v>0</v>
      </c>
      <c r="W1865">
        <v>0</v>
      </c>
      <c r="X1865">
        <v>0</v>
      </c>
      <c r="Y1865">
        <v>0</v>
      </c>
      <c r="Z1865">
        <v>0</v>
      </c>
      <c r="AA1865">
        <v>0</v>
      </c>
      <c r="AB1865">
        <v>0</v>
      </c>
      <c r="AC1865">
        <v>0</v>
      </c>
      <c r="AD1865">
        <v>0</v>
      </c>
      <c r="AE1865">
        <v>0</v>
      </c>
      <c r="AF1865">
        <v>0</v>
      </c>
      <c r="AG1865">
        <v>0</v>
      </c>
      <c r="AH1865">
        <v>0</v>
      </c>
      <c r="AI1865">
        <v>0</v>
      </c>
      <c r="AJ1865">
        <v>0</v>
      </c>
      <c r="AK1865">
        <v>0</v>
      </c>
      <c r="AL1865">
        <v>1</v>
      </c>
      <c r="AM1865">
        <v>0</v>
      </c>
      <c r="AN1865">
        <v>1</v>
      </c>
    </row>
    <row r="1866" spans="1:40" x14ac:dyDescent="0.3">
      <c r="A1866" t="s">
        <v>517</v>
      </c>
      <c r="B1866" t="s">
        <v>81</v>
      </c>
      <c r="C1866" t="s">
        <v>10</v>
      </c>
      <c r="D1866" t="s">
        <v>11</v>
      </c>
      <c r="E1866">
        <v>202602</v>
      </c>
      <c r="F1866" t="s">
        <v>561</v>
      </c>
      <c r="G1866">
        <v>0</v>
      </c>
      <c r="H1866">
        <v>0</v>
      </c>
      <c r="I1866">
        <v>0</v>
      </c>
      <c r="J1866">
        <v>3</v>
      </c>
      <c r="K1866">
        <v>2</v>
      </c>
      <c r="L1866">
        <v>7</v>
      </c>
      <c r="M1866">
        <v>2</v>
      </c>
      <c r="N1866">
        <v>1</v>
      </c>
      <c r="O1866">
        <v>4</v>
      </c>
      <c r="P1866">
        <v>0</v>
      </c>
      <c r="Q1866">
        <v>0</v>
      </c>
      <c r="R1866">
        <v>0</v>
      </c>
      <c r="S1866">
        <v>0</v>
      </c>
      <c r="T1866">
        <v>0</v>
      </c>
      <c r="U1866">
        <v>0</v>
      </c>
      <c r="V1866">
        <v>0</v>
      </c>
      <c r="W1866">
        <v>0</v>
      </c>
      <c r="X1866">
        <v>0</v>
      </c>
      <c r="Y1866">
        <v>0</v>
      </c>
      <c r="Z1866">
        <v>0</v>
      </c>
      <c r="AA1866">
        <v>0</v>
      </c>
      <c r="AB1866">
        <v>0</v>
      </c>
      <c r="AC1866">
        <v>0</v>
      </c>
      <c r="AD1866">
        <v>0</v>
      </c>
      <c r="AE1866">
        <v>0</v>
      </c>
      <c r="AF1866">
        <v>0</v>
      </c>
      <c r="AG1866">
        <v>0</v>
      </c>
      <c r="AH1866">
        <v>0</v>
      </c>
      <c r="AI1866">
        <v>0</v>
      </c>
      <c r="AJ1866">
        <v>0</v>
      </c>
      <c r="AK1866">
        <v>0</v>
      </c>
      <c r="AL1866">
        <v>19</v>
      </c>
      <c r="AM1866">
        <v>1.3333333333333333</v>
      </c>
      <c r="AN1866">
        <v>37.418500559492443</v>
      </c>
    </row>
    <row r="1867" spans="1:40" x14ac:dyDescent="0.3">
      <c r="A1867" t="s">
        <v>517</v>
      </c>
      <c r="B1867" t="s">
        <v>81</v>
      </c>
      <c r="C1867" t="s">
        <v>10</v>
      </c>
      <c r="D1867" t="s">
        <v>14</v>
      </c>
      <c r="E1867">
        <v>202602</v>
      </c>
      <c r="F1867" t="s">
        <v>555</v>
      </c>
      <c r="G1867">
        <v>0</v>
      </c>
      <c r="H1867">
        <v>1</v>
      </c>
      <c r="I1867">
        <v>1</v>
      </c>
      <c r="J1867">
        <v>1</v>
      </c>
      <c r="K1867">
        <v>2</v>
      </c>
      <c r="L1867">
        <v>0</v>
      </c>
      <c r="M1867">
        <v>0</v>
      </c>
      <c r="N1867">
        <v>0</v>
      </c>
      <c r="O1867">
        <v>1</v>
      </c>
      <c r="P1867">
        <v>1</v>
      </c>
      <c r="Q1867">
        <v>1</v>
      </c>
      <c r="R1867">
        <v>0</v>
      </c>
      <c r="S1867">
        <v>0</v>
      </c>
      <c r="T1867">
        <v>0</v>
      </c>
      <c r="U1867">
        <v>0</v>
      </c>
      <c r="V1867">
        <v>0</v>
      </c>
      <c r="W1867">
        <v>0</v>
      </c>
      <c r="X1867">
        <v>0</v>
      </c>
      <c r="Y1867">
        <v>0</v>
      </c>
      <c r="Z1867">
        <v>0</v>
      </c>
      <c r="AA1867">
        <v>0</v>
      </c>
      <c r="AB1867">
        <v>0</v>
      </c>
      <c r="AC1867">
        <v>0</v>
      </c>
      <c r="AD1867">
        <v>0</v>
      </c>
      <c r="AE1867">
        <v>0</v>
      </c>
      <c r="AF1867">
        <v>0</v>
      </c>
      <c r="AG1867">
        <v>0</v>
      </c>
      <c r="AH1867">
        <v>0</v>
      </c>
      <c r="AI1867">
        <v>0</v>
      </c>
      <c r="AJ1867">
        <v>0</v>
      </c>
      <c r="AK1867">
        <v>0</v>
      </c>
      <c r="AL1867">
        <v>8</v>
      </c>
      <c r="AM1867">
        <v>1</v>
      </c>
      <c r="AN1867">
        <v>20.125223214285839</v>
      </c>
    </row>
    <row r="1868" spans="1:40" x14ac:dyDescent="0.3">
      <c r="A1868" t="s">
        <v>517</v>
      </c>
      <c r="B1868" t="s">
        <v>81</v>
      </c>
      <c r="C1868" t="s">
        <v>10</v>
      </c>
      <c r="D1868" t="s">
        <v>14</v>
      </c>
      <c r="E1868">
        <v>202602</v>
      </c>
      <c r="F1868" t="s">
        <v>83</v>
      </c>
      <c r="G1868">
        <v>0</v>
      </c>
      <c r="H1868">
        <v>0</v>
      </c>
      <c r="I1868">
        <v>0</v>
      </c>
      <c r="J1868">
        <v>0</v>
      </c>
      <c r="K1868">
        <v>0</v>
      </c>
      <c r="L1868">
        <v>1</v>
      </c>
      <c r="M1868">
        <v>0</v>
      </c>
      <c r="N1868">
        <v>0</v>
      </c>
      <c r="O1868">
        <v>1</v>
      </c>
      <c r="P1868">
        <v>0</v>
      </c>
      <c r="Q1868">
        <v>0</v>
      </c>
      <c r="R1868">
        <v>0</v>
      </c>
      <c r="S1868">
        <v>0</v>
      </c>
      <c r="T1868">
        <v>0</v>
      </c>
      <c r="U1868">
        <v>0</v>
      </c>
      <c r="V1868">
        <v>0</v>
      </c>
      <c r="W1868">
        <v>0</v>
      </c>
      <c r="X1868">
        <v>0</v>
      </c>
      <c r="Y1868">
        <v>0</v>
      </c>
      <c r="Z1868">
        <v>0</v>
      </c>
      <c r="AA1868">
        <v>0</v>
      </c>
      <c r="AB1868">
        <v>0</v>
      </c>
      <c r="AC1868">
        <v>0</v>
      </c>
      <c r="AD1868">
        <v>0</v>
      </c>
      <c r="AE1868">
        <v>0</v>
      </c>
      <c r="AF1868">
        <v>0</v>
      </c>
      <c r="AG1868">
        <v>0</v>
      </c>
      <c r="AH1868">
        <v>0</v>
      </c>
      <c r="AI1868">
        <v>0</v>
      </c>
      <c r="AJ1868">
        <v>0</v>
      </c>
      <c r="AK1868">
        <v>0</v>
      </c>
      <c r="AL1868">
        <v>2</v>
      </c>
      <c r="AM1868">
        <v>0.33333333333333331</v>
      </c>
      <c r="AN1868">
        <v>6.0417410714286133</v>
      </c>
    </row>
    <row r="1869" spans="1:40" x14ac:dyDescent="0.3">
      <c r="A1869" t="s">
        <v>517</v>
      </c>
      <c r="B1869" t="s">
        <v>81</v>
      </c>
      <c r="C1869" t="s">
        <v>10</v>
      </c>
      <c r="D1869" t="s">
        <v>14</v>
      </c>
      <c r="E1869">
        <v>202602</v>
      </c>
      <c r="F1869" t="s">
        <v>84</v>
      </c>
      <c r="G1869">
        <v>0</v>
      </c>
      <c r="H1869">
        <v>0</v>
      </c>
      <c r="I1869">
        <v>0</v>
      </c>
      <c r="J1869">
        <v>0</v>
      </c>
      <c r="K1869">
        <v>0</v>
      </c>
      <c r="L1869">
        <v>1</v>
      </c>
      <c r="M1869">
        <v>0</v>
      </c>
      <c r="N1869">
        <v>0</v>
      </c>
      <c r="O1869">
        <v>0</v>
      </c>
      <c r="P1869">
        <v>0</v>
      </c>
      <c r="Q1869">
        <v>0</v>
      </c>
      <c r="R1869">
        <v>0</v>
      </c>
      <c r="S1869">
        <v>0</v>
      </c>
      <c r="T1869">
        <v>0</v>
      </c>
      <c r="U1869">
        <v>0</v>
      </c>
      <c r="V1869">
        <v>0</v>
      </c>
      <c r="W1869">
        <v>0</v>
      </c>
      <c r="X1869">
        <v>0</v>
      </c>
      <c r="Y1869">
        <v>0</v>
      </c>
      <c r="Z1869">
        <v>0</v>
      </c>
      <c r="AA1869">
        <v>0</v>
      </c>
      <c r="AB1869">
        <v>0</v>
      </c>
      <c r="AC1869">
        <v>0</v>
      </c>
      <c r="AD1869">
        <v>0</v>
      </c>
      <c r="AE1869">
        <v>0</v>
      </c>
      <c r="AF1869">
        <v>0</v>
      </c>
      <c r="AG1869">
        <v>0</v>
      </c>
      <c r="AH1869">
        <v>0</v>
      </c>
      <c r="AI1869">
        <v>0</v>
      </c>
      <c r="AJ1869">
        <v>0</v>
      </c>
      <c r="AK1869">
        <v>0</v>
      </c>
      <c r="AL1869">
        <v>1</v>
      </c>
      <c r="AM1869">
        <v>0</v>
      </c>
      <c r="AN1869">
        <v>1</v>
      </c>
    </row>
    <row r="1870" spans="1:40" x14ac:dyDescent="0.3">
      <c r="A1870" t="s">
        <v>517</v>
      </c>
      <c r="B1870" t="s">
        <v>81</v>
      </c>
      <c r="C1870" t="s">
        <v>10</v>
      </c>
      <c r="D1870" t="s">
        <v>14</v>
      </c>
      <c r="E1870">
        <v>202602</v>
      </c>
      <c r="F1870" t="s">
        <v>556</v>
      </c>
      <c r="G1870">
        <v>0</v>
      </c>
      <c r="H1870">
        <v>3</v>
      </c>
      <c r="I1870">
        <v>5</v>
      </c>
      <c r="J1870">
        <v>2</v>
      </c>
      <c r="K1870">
        <v>2</v>
      </c>
      <c r="L1870">
        <v>0</v>
      </c>
      <c r="M1870">
        <v>2</v>
      </c>
      <c r="N1870">
        <v>0</v>
      </c>
      <c r="O1870">
        <v>1</v>
      </c>
      <c r="P1870">
        <v>2</v>
      </c>
      <c r="Q1870">
        <v>1</v>
      </c>
      <c r="R1870">
        <v>0</v>
      </c>
      <c r="S1870">
        <v>0</v>
      </c>
      <c r="T1870">
        <v>0</v>
      </c>
      <c r="U1870">
        <v>0</v>
      </c>
      <c r="V1870">
        <v>0</v>
      </c>
      <c r="W1870">
        <v>0</v>
      </c>
      <c r="X1870">
        <v>0</v>
      </c>
      <c r="Y1870">
        <v>0</v>
      </c>
      <c r="Z1870">
        <v>0</v>
      </c>
      <c r="AA1870">
        <v>0</v>
      </c>
      <c r="AB1870">
        <v>0</v>
      </c>
      <c r="AC1870">
        <v>0</v>
      </c>
      <c r="AD1870">
        <v>0</v>
      </c>
      <c r="AE1870">
        <v>0</v>
      </c>
      <c r="AF1870">
        <v>0</v>
      </c>
      <c r="AG1870">
        <v>0</v>
      </c>
      <c r="AH1870">
        <v>0</v>
      </c>
      <c r="AI1870">
        <v>0</v>
      </c>
      <c r="AJ1870">
        <v>0</v>
      </c>
      <c r="AK1870">
        <v>0</v>
      </c>
      <c r="AL1870">
        <v>18</v>
      </c>
      <c r="AM1870">
        <v>1.3333333333333333</v>
      </c>
      <c r="AN1870">
        <v>34.166964285714457</v>
      </c>
    </row>
    <row r="1871" spans="1:40" x14ac:dyDescent="0.3">
      <c r="A1871" t="s">
        <v>517</v>
      </c>
      <c r="B1871" t="s">
        <v>81</v>
      </c>
      <c r="C1871" t="s">
        <v>10</v>
      </c>
      <c r="D1871" t="s">
        <v>14</v>
      </c>
      <c r="E1871">
        <v>202602</v>
      </c>
      <c r="F1871" t="s">
        <v>86</v>
      </c>
      <c r="G1871">
        <v>0</v>
      </c>
      <c r="H1871">
        <v>5</v>
      </c>
      <c r="I1871">
        <v>5</v>
      </c>
      <c r="J1871">
        <v>4</v>
      </c>
      <c r="K1871">
        <v>1</v>
      </c>
      <c r="L1871">
        <v>4</v>
      </c>
      <c r="M1871">
        <v>1</v>
      </c>
      <c r="N1871">
        <v>0</v>
      </c>
      <c r="O1871">
        <v>4</v>
      </c>
      <c r="P1871">
        <v>5</v>
      </c>
      <c r="Q1871">
        <v>2</v>
      </c>
      <c r="R1871">
        <v>0</v>
      </c>
      <c r="S1871">
        <v>0</v>
      </c>
      <c r="T1871">
        <v>0</v>
      </c>
      <c r="U1871">
        <v>0</v>
      </c>
      <c r="V1871">
        <v>0</v>
      </c>
      <c r="W1871">
        <v>0</v>
      </c>
      <c r="X1871">
        <v>0</v>
      </c>
      <c r="Y1871">
        <v>0</v>
      </c>
      <c r="Z1871">
        <v>0</v>
      </c>
      <c r="AA1871">
        <v>0</v>
      </c>
      <c r="AB1871">
        <v>0</v>
      </c>
      <c r="AC1871">
        <v>0</v>
      </c>
      <c r="AD1871">
        <v>0</v>
      </c>
      <c r="AE1871">
        <v>0</v>
      </c>
      <c r="AF1871">
        <v>0</v>
      </c>
      <c r="AG1871">
        <v>0</v>
      </c>
      <c r="AH1871">
        <v>0</v>
      </c>
      <c r="AI1871">
        <v>0</v>
      </c>
      <c r="AJ1871">
        <v>0</v>
      </c>
      <c r="AK1871">
        <v>0</v>
      </c>
      <c r="AL1871">
        <v>31</v>
      </c>
      <c r="AM1871">
        <v>3.6666666666666665</v>
      </c>
      <c r="AN1871">
        <v>75.459151785714738</v>
      </c>
    </row>
    <row r="1872" spans="1:40" x14ac:dyDescent="0.3">
      <c r="A1872" t="s">
        <v>517</v>
      </c>
      <c r="B1872" t="s">
        <v>81</v>
      </c>
      <c r="C1872" t="s">
        <v>10</v>
      </c>
      <c r="D1872" t="s">
        <v>14</v>
      </c>
      <c r="E1872">
        <v>202602</v>
      </c>
      <c r="F1872" t="s">
        <v>557</v>
      </c>
      <c r="G1872">
        <v>0</v>
      </c>
      <c r="H1872">
        <v>0</v>
      </c>
      <c r="I1872">
        <v>1</v>
      </c>
      <c r="J1872">
        <v>0</v>
      </c>
      <c r="K1872">
        <v>0</v>
      </c>
      <c r="L1872">
        <v>1</v>
      </c>
      <c r="M1872">
        <v>0</v>
      </c>
      <c r="N1872">
        <v>0</v>
      </c>
      <c r="O1872">
        <v>2</v>
      </c>
      <c r="P1872">
        <v>1</v>
      </c>
      <c r="Q1872">
        <v>2</v>
      </c>
      <c r="R1872">
        <v>0</v>
      </c>
      <c r="S1872">
        <v>0</v>
      </c>
      <c r="T1872">
        <v>0</v>
      </c>
      <c r="U1872">
        <v>0</v>
      </c>
      <c r="V1872">
        <v>0</v>
      </c>
      <c r="W1872">
        <v>0</v>
      </c>
      <c r="X1872">
        <v>0</v>
      </c>
      <c r="Y1872">
        <v>0</v>
      </c>
      <c r="Z1872">
        <v>0</v>
      </c>
      <c r="AA1872">
        <v>0</v>
      </c>
      <c r="AB1872">
        <v>0</v>
      </c>
      <c r="AC1872">
        <v>0</v>
      </c>
      <c r="AD1872">
        <v>0</v>
      </c>
      <c r="AE1872">
        <v>0</v>
      </c>
      <c r="AF1872">
        <v>0</v>
      </c>
      <c r="AG1872">
        <v>0</v>
      </c>
      <c r="AH1872">
        <v>0</v>
      </c>
      <c r="AI1872">
        <v>0</v>
      </c>
      <c r="AJ1872">
        <v>0</v>
      </c>
      <c r="AK1872">
        <v>0</v>
      </c>
      <c r="AL1872">
        <v>7</v>
      </c>
      <c r="AM1872">
        <v>1.6666666666666667</v>
      </c>
      <c r="AN1872">
        <v>27.208705357143064</v>
      </c>
    </row>
    <row r="1873" spans="1:40" x14ac:dyDescent="0.3">
      <c r="A1873" t="s">
        <v>517</v>
      </c>
      <c r="B1873" t="s">
        <v>81</v>
      </c>
      <c r="C1873" t="s">
        <v>10</v>
      </c>
      <c r="D1873" t="s">
        <v>14</v>
      </c>
      <c r="E1873">
        <v>202602</v>
      </c>
      <c r="F1873" t="s">
        <v>558</v>
      </c>
      <c r="G1873">
        <v>0</v>
      </c>
      <c r="H1873">
        <v>2</v>
      </c>
      <c r="I1873">
        <v>4</v>
      </c>
      <c r="J1873">
        <v>4</v>
      </c>
      <c r="K1873">
        <v>3</v>
      </c>
      <c r="L1873">
        <v>0</v>
      </c>
      <c r="M1873">
        <v>0</v>
      </c>
      <c r="N1873">
        <v>0</v>
      </c>
      <c r="O1873">
        <v>1</v>
      </c>
      <c r="P1873">
        <v>0</v>
      </c>
      <c r="Q1873">
        <v>2</v>
      </c>
      <c r="R1873">
        <v>0</v>
      </c>
      <c r="S1873">
        <v>0</v>
      </c>
      <c r="T1873">
        <v>0</v>
      </c>
      <c r="U1873">
        <v>0</v>
      </c>
      <c r="V1873">
        <v>0</v>
      </c>
      <c r="W1873">
        <v>0</v>
      </c>
      <c r="X1873">
        <v>0</v>
      </c>
      <c r="Y1873">
        <v>0</v>
      </c>
      <c r="Z1873">
        <v>0</v>
      </c>
      <c r="AA1873">
        <v>0</v>
      </c>
      <c r="AB1873">
        <v>0</v>
      </c>
      <c r="AC1873">
        <v>0</v>
      </c>
      <c r="AD1873">
        <v>0</v>
      </c>
      <c r="AE1873">
        <v>0</v>
      </c>
      <c r="AF1873">
        <v>0</v>
      </c>
      <c r="AG1873">
        <v>0</v>
      </c>
      <c r="AH1873">
        <v>0</v>
      </c>
      <c r="AI1873">
        <v>0</v>
      </c>
      <c r="AJ1873">
        <v>0</v>
      </c>
      <c r="AK1873">
        <v>0</v>
      </c>
      <c r="AL1873">
        <v>16</v>
      </c>
      <c r="AM1873">
        <v>1</v>
      </c>
      <c r="AN1873">
        <v>28.125223214285839</v>
      </c>
    </row>
    <row r="1874" spans="1:40" x14ac:dyDescent="0.3">
      <c r="A1874" t="s">
        <v>517</v>
      </c>
      <c r="B1874" t="s">
        <v>81</v>
      </c>
      <c r="C1874" t="s">
        <v>10</v>
      </c>
      <c r="D1874" t="s">
        <v>14</v>
      </c>
      <c r="E1874">
        <v>202602</v>
      </c>
      <c r="F1874" t="s">
        <v>559</v>
      </c>
      <c r="G1874">
        <v>0</v>
      </c>
      <c r="H1874">
        <v>0</v>
      </c>
      <c r="I1874">
        <v>0</v>
      </c>
      <c r="J1874">
        <v>1</v>
      </c>
      <c r="K1874">
        <v>1</v>
      </c>
      <c r="L1874">
        <v>0</v>
      </c>
      <c r="M1874">
        <v>0</v>
      </c>
      <c r="N1874">
        <v>0</v>
      </c>
      <c r="O1874">
        <v>1</v>
      </c>
      <c r="P1874">
        <v>0</v>
      </c>
      <c r="Q1874">
        <v>0</v>
      </c>
      <c r="R1874">
        <v>0</v>
      </c>
      <c r="S1874">
        <v>0</v>
      </c>
      <c r="T1874">
        <v>0</v>
      </c>
      <c r="U1874">
        <v>0</v>
      </c>
      <c r="V1874">
        <v>0</v>
      </c>
      <c r="W1874">
        <v>0</v>
      </c>
      <c r="X1874">
        <v>0</v>
      </c>
      <c r="Y1874">
        <v>0</v>
      </c>
      <c r="Z1874">
        <v>0</v>
      </c>
      <c r="AA1874">
        <v>0</v>
      </c>
      <c r="AB1874">
        <v>0</v>
      </c>
      <c r="AC1874">
        <v>0</v>
      </c>
      <c r="AD1874">
        <v>0</v>
      </c>
      <c r="AE1874">
        <v>0</v>
      </c>
      <c r="AF1874">
        <v>0</v>
      </c>
      <c r="AG1874">
        <v>0</v>
      </c>
      <c r="AH1874">
        <v>0</v>
      </c>
      <c r="AI1874">
        <v>0</v>
      </c>
      <c r="AJ1874">
        <v>0</v>
      </c>
      <c r="AK1874">
        <v>0</v>
      </c>
      <c r="AL1874">
        <v>3</v>
      </c>
      <c r="AM1874">
        <v>0.33333333333333331</v>
      </c>
      <c r="AN1874">
        <v>7.0417410714286133</v>
      </c>
    </row>
    <row r="1875" spans="1:40" x14ac:dyDescent="0.3">
      <c r="A1875" t="s">
        <v>517</v>
      </c>
      <c r="B1875" t="s">
        <v>81</v>
      </c>
      <c r="C1875" t="s">
        <v>10</v>
      </c>
      <c r="D1875" t="s">
        <v>14</v>
      </c>
      <c r="E1875">
        <v>202602</v>
      </c>
      <c r="F1875" t="s">
        <v>560</v>
      </c>
      <c r="G1875">
        <v>0</v>
      </c>
      <c r="H1875">
        <v>0</v>
      </c>
      <c r="I1875">
        <v>1</v>
      </c>
      <c r="J1875">
        <v>0</v>
      </c>
      <c r="K1875">
        <v>0</v>
      </c>
      <c r="L1875">
        <v>0</v>
      </c>
      <c r="M1875">
        <v>0</v>
      </c>
      <c r="N1875">
        <v>0</v>
      </c>
      <c r="O1875">
        <v>0</v>
      </c>
      <c r="P1875">
        <v>0</v>
      </c>
      <c r="Q1875">
        <v>0</v>
      </c>
      <c r="R1875">
        <v>0</v>
      </c>
      <c r="S1875">
        <v>0</v>
      </c>
      <c r="T1875">
        <v>0</v>
      </c>
      <c r="U1875">
        <v>0</v>
      </c>
      <c r="V1875">
        <v>0</v>
      </c>
      <c r="W1875">
        <v>0</v>
      </c>
      <c r="X1875">
        <v>0</v>
      </c>
      <c r="Y1875">
        <v>0</v>
      </c>
      <c r="Z1875">
        <v>0</v>
      </c>
      <c r="AA1875">
        <v>0</v>
      </c>
      <c r="AB1875">
        <v>0</v>
      </c>
      <c r="AC1875">
        <v>0</v>
      </c>
      <c r="AD1875">
        <v>0</v>
      </c>
      <c r="AE1875">
        <v>0</v>
      </c>
      <c r="AF1875">
        <v>0</v>
      </c>
      <c r="AG1875">
        <v>0</v>
      </c>
      <c r="AH1875">
        <v>0</v>
      </c>
      <c r="AI1875">
        <v>0</v>
      </c>
      <c r="AJ1875">
        <v>0</v>
      </c>
      <c r="AK1875">
        <v>0</v>
      </c>
      <c r="AL1875">
        <v>1</v>
      </c>
      <c r="AM1875">
        <v>0</v>
      </c>
      <c r="AN1875">
        <v>1</v>
      </c>
    </row>
    <row r="1876" spans="1:40" x14ac:dyDescent="0.3">
      <c r="A1876" t="s">
        <v>517</v>
      </c>
      <c r="B1876" t="s">
        <v>81</v>
      </c>
      <c r="C1876" t="s">
        <v>10</v>
      </c>
      <c r="D1876" t="s">
        <v>14</v>
      </c>
      <c r="E1876">
        <v>202602</v>
      </c>
      <c r="F1876" t="s">
        <v>561</v>
      </c>
      <c r="G1876">
        <v>0</v>
      </c>
      <c r="H1876">
        <v>6</v>
      </c>
      <c r="I1876">
        <v>7</v>
      </c>
      <c r="J1876">
        <v>7</v>
      </c>
      <c r="K1876">
        <v>4</v>
      </c>
      <c r="L1876">
        <v>3</v>
      </c>
      <c r="M1876">
        <v>0</v>
      </c>
      <c r="N1876">
        <v>0</v>
      </c>
      <c r="O1876">
        <v>1</v>
      </c>
      <c r="P1876">
        <v>4</v>
      </c>
      <c r="Q1876">
        <v>3</v>
      </c>
      <c r="R1876">
        <v>0</v>
      </c>
      <c r="S1876">
        <v>0</v>
      </c>
      <c r="T1876">
        <v>0</v>
      </c>
      <c r="U1876">
        <v>0</v>
      </c>
      <c r="V1876">
        <v>0</v>
      </c>
      <c r="W1876">
        <v>0</v>
      </c>
      <c r="X1876">
        <v>0</v>
      </c>
      <c r="Y1876">
        <v>0</v>
      </c>
      <c r="Z1876">
        <v>0</v>
      </c>
      <c r="AA1876">
        <v>0</v>
      </c>
      <c r="AB1876">
        <v>0</v>
      </c>
      <c r="AC1876">
        <v>0</v>
      </c>
      <c r="AD1876">
        <v>0</v>
      </c>
      <c r="AE1876">
        <v>0</v>
      </c>
      <c r="AF1876">
        <v>0</v>
      </c>
      <c r="AG1876">
        <v>0</v>
      </c>
      <c r="AH1876">
        <v>0</v>
      </c>
      <c r="AI1876">
        <v>0</v>
      </c>
      <c r="AJ1876">
        <v>0</v>
      </c>
      <c r="AK1876">
        <v>0</v>
      </c>
      <c r="AL1876">
        <v>35</v>
      </c>
      <c r="AM1876">
        <v>2.6666666666666665</v>
      </c>
      <c r="AN1876">
        <v>67.333928571428913</v>
      </c>
    </row>
    <row r="1877" spans="1:40" x14ac:dyDescent="0.3">
      <c r="A1877" t="s">
        <v>517</v>
      </c>
      <c r="B1877" t="s">
        <v>81</v>
      </c>
      <c r="C1877" t="s">
        <v>16</v>
      </c>
      <c r="D1877" t="s">
        <v>11</v>
      </c>
      <c r="E1877">
        <v>202602</v>
      </c>
      <c r="F1877" t="s">
        <v>50</v>
      </c>
      <c r="G1877">
        <v>0</v>
      </c>
      <c r="H1877">
        <v>0</v>
      </c>
      <c r="I1877">
        <v>0</v>
      </c>
      <c r="J1877">
        <v>0</v>
      </c>
      <c r="K1877">
        <v>0</v>
      </c>
      <c r="L1877">
        <v>0</v>
      </c>
      <c r="M1877">
        <v>0</v>
      </c>
      <c r="N1877">
        <v>1</v>
      </c>
      <c r="O1877">
        <v>0</v>
      </c>
      <c r="P1877">
        <v>0</v>
      </c>
      <c r="Q1877">
        <v>0</v>
      </c>
      <c r="R1877">
        <v>0</v>
      </c>
      <c r="S1877">
        <v>0</v>
      </c>
      <c r="T1877">
        <v>0</v>
      </c>
      <c r="U1877">
        <v>0</v>
      </c>
      <c r="V1877">
        <v>0</v>
      </c>
      <c r="W1877">
        <v>0</v>
      </c>
      <c r="X1877">
        <v>0</v>
      </c>
      <c r="Y1877">
        <v>0</v>
      </c>
      <c r="Z1877">
        <v>0</v>
      </c>
      <c r="AA1877">
        <v>0</v>
      </c>
      <c r="AB1877">
        <v>0</v>
      </c>
      <c r="AC1877">
        <v>0</v>
      </c>
      <c r="AD1877">
        <v>0</v>
      </c>
      <c r="AE1877">
        <v>0</v>
      </c>
      <c r="AF1877">
        <v>0</v>
      </c>
      <c r="AG1877">
        <v>0</v>
      </c>
      <c r="AH1877">
        <v>0</v>
      </c>
      <c r="AI1877">
        <v>0</v>
      </c>
      <c r="AJ1877">
        <v>0</v>
      </c>
      <c r="AK1877">
        <v>0</v>
      </c>
      <c r="AL1877">
        <v>1</v>
      </c>
      <c r="AM1877">
        <v>0</v>
      </c>
      <c r="AN1877">
        <v>1</v>
      </c>
    </row>
    <row r="1878" spans="1:40" x14ac:dyDescent="0.3">
      <c r="A1878" t="s">
        <v>517</v>
      </c>
      <c r="B1878" t="s">
        <v>81</v>
      </c>
      <c r="C1878" t="s">
        <v>16</v>
      </c>
      <c r="D1878" t="s">
        <v>14</v>
      </c>
      <c r="E1878">
        <v>202602</v>
      </c>
      <c r="F1878" t="s">
        <v>50</v>
      </c>
      <c r="G1878">
        <v>0</v>
      </c>
      <c r="H1878">
        <v>0</v>
      </c>
      <c r="I1878">
        <v>0</v>
      </c>
      <c r="J1878">
        <v>0</v>
      </c>
      <c r="K1878">
        <v>0</v>
      </c>
      <c r="L1878">
        <v>0</v>
      </c>
      <c r="M1878">
        <v>0</v>
      </c>
      <c r="N1878">
        <v>1</v>
      </c>
      <c r="O1878">
        <v>0</v>
      </c>
      <c r="P1878">
        <v>0</v>
      </c>
      <c r="Q1878">
        <v>0</v>
      </c>
      <c r="R1878">
        <v>0</v>
      </c>
      <c r="S1878">
        <v>0</v>
      </c>
      <c r="T1878">
        <v>0</v>
      </c>
      <c r="U1878">
        <v>0</v>
      </c>
      <c r="V1878">
        <v>0</v>
      </c>
      <c r="W1878">
        <v>0</v>
      </c>
      <c r="X1878">
        <v>0</v>
      </c>
      <c r="Y1878">
        <v>0</v>
      </c>
      <c r="Z1878">
        <v>0</v>
      </c>
      <c r="AA1878">
        <v>0</v>
      </c>
      <c r="AB1878">
        <v>0</v>
      </c>
      <c r="AC1878">
        <v>0</v>
      </c>
      <c r="AD1878">
        <v>0</v>
      </c>
      <c r="AE1878">
        <v>0</v>
      </c>
      <c r="AF1878">
        <v>0</v>
      </c>
      <c r="AG1878">
        <v>0</v>
      </c>
      <c r="AH1878">
        <v>0</v>
      </c>
      <c r="AI1878">
        <v>0</v>
      </c>
      <c r="AJ1878">
        <v>0</v>
      </c>
      <c r="AK1878">
        <v>0</v>
      </c>
      <c r="AL1878">
        <v>1</v>
      </c>
      <c r="AM1878">
        <v>0</v>
      </c>
      <c r="AN1878">
        <v>1</v>
      </c>
    </row>
    <row r="1879" spans="1:40" x14ac:dyDescent="0.3">
      <c r="A1879" t="s">
        <v>517</v>
      </c>
      <c r="B1879" t="s">
        <v>81</v>
      </c>
      <c r="C1879" t="s">
        <v>16</v>
      </c>
      <c r="D1879" t="s">
        <v>14</v>
      </c>
      <c r="E1879">
        <v>202602</v>
      </c>
      <c r="F1879" t="s">
        <v>558</v>
      </c>
      <c r="G1879">
        <v>0</v>
      </c>
      <c r="H1879">
        <v>0</v>
      </c>
      <c r="I1879">
        <v>1</v>
      </c>
      <c r="J1879">
        <v>0</v>
      </c>
      <c r="K1879">
        <v>0</v>
      </c>
      <c r="L1879">
        <v>0</v>
      </c>
      <c r="M1879">
        <v>0</v>
      </c>
      <c r="N1879">
        <v>0</v>
      </c>
      <c r="O1879">
        <v>0</v>
      </c>
      <c r="P1879">
        <v>0</v>
      </c>
      <c r="Q1879">
        <v>0</v>
      </c>
      <c r="R1879">
        <v>0</v>
      </c>
      <c r="S1879">
        <v>0</v>
      </c>
      <c r="T1879">
        <v>0</v>
      </c>
      <c r="U1879">
        <v>0</v>
      </c>
      <c r="V1879">
        <v>0</v>
      </c>
      <c r="W1879">
        <v>0</v>
      </c>
      <c r="X1879">
        <v>0</v>
      </c>
      <c r="Y1879">
        <v>0</v>
      </c>
      <c r="Z1879">
        <v>0</v>
      </c>
      <c r="AA1879">
        <v>0</v>
      </c>
      <c r="AB1879">
        <v>0</v>
      </c>
      <c r="AC1879">
        <v>0</v>
      </c>
      <c r="AD1879">
        <v>0</v>
      </c>
      <c r="AE1879">
        <v>0</v>
      </c>
      <c r="AF1879">
        <v>0</v>
      </c>
      <c r="AG1879">
        <v>0</v>
      </c>
      <c r="AH1879">
        <v>0</v>
      </c>
      <c r="AI1879">
        <v>0</v>
      </c>
      <c r="AJ1879">
        <v>0</v>
      </c>
      <c r="AK1879">
        <v>0</v>
      </c>
      <c r="AL1879">
        <v>1</v>
      </c>
      <c r="AM1879">
        <v>0</v>
      </c>
      <c r="AN1879">
        <v>1</v>
      </c>
    </row>
    <row r="1880" spans="1:40" x14ac:dyDescent="0.3">
      <c r="A1880" t="s">
        <v>517</v>
      </c>
      <c r="B1880" t="s">
        <v>100</v>
      </c>
      <c r="C1880" t="s">
        <v>10</v>
      </c>
      <c r="D1880" t="s">
        <v>11</v>
      </c>
      <c r="E1880">
        <v>202602</v>
      </c>
      <c r="F1880" t="s">
        <v>42</v>
      </c>
      <c r="G1880">
        <v>0</v>
      </c>
      <c r="H1880">
        <v>0</v>
      </c>
      <c r="I1880">
        <v>0</v>
      </c>
      <c r="J1880">
        <v>1</v>
      </c>
      <c r="K1880">
        <v>0</v>
      </c>
      <c r="L1880">
        <v>0</v>
      </c>
      <c r="M1880">
        <v>0</v>
      </c>
      <c r="N1880">
        <v>0</v>
      </c>
      <c r="O1880">
        <v>0</v>
      </c>
      <c r="P1880">
        <v>0</v>
      </c>
      <c r="Q1880">
        <v>0</v>
      </c>
      <c r="R1880">
        <v>0</v>
      </c>
      <c r="S1880">
        <v>0</v>
      </c>
      <c r="T1880">
        <v>0</v>
      </c>
      <c r="U1880">
        <v>0</v>
      </c>
      <c r="V1880">
        <v>0</v>
      </c>
      <c r="W1880">
        <v>0</v>
      </c>
      <c r="X1880">
        <v>0</v>
      </c>
      <c r="Y1880">
        <v>0</v>
      </c>
      <c r="Z1880">
        <v>0</v>
      </c>
      <c r="AA1880">
        <v>0</v>
      </c>
      <c r="AB1880">
        <v>0</v>
      </c>
      <c r="AC1880">
        <v>0</v>
      </c>
      <c r="AD1880">
        <v>0</v>
      </c>
      <c r="AE1880">
        <v>0</v>
      </c>
      <c r="AF1880">
        <v>0</v>
      </c>
      <c r="AG1880">
        <v>0</v>
      </c>
      <c r="AH1880">
        <v>0</v>
      </c>
      <c r="AI1880">
        <v>0</v>
      </c>
      <c r="AJ1880">
        <v>0</v>
      </c>
      <c r="AK1880">
        <v>0</v>
      </c>
      <c r="AL1880">
        <v>1</v>
      </c>
      <c r="AM1880">
        <v>0</v>
      </c>
      <c r="AN1880">
        <v>1</v>
      </c>
    </row>
    <row r="1881" spans="1:40" x14ac:dyDescent="0.3">
      <c r="A1881" t="s">
        <v>517</v>
      </c>
      <c r="B1881" t="s">
        <v>100</v>
      </c>
      <c r="C1881" t="s">
        <v>10</v>
      </c>
      <c r="D1881" t="s">
        <v>11</v>
      </c>
      <c r="E1881">
        <v>202602</v>
      </c>
      <c r="F1881" t="s">
        <v>101</v>
      </c>
      <c r="G1881">
        <v>0</v>
      </c>
      <c r="H1881">
        <v>8</v>
      </c>
      <c r="I1881">
        <v>12</v>
      </c>
      <c r="J1881">
        <v>8</v>
      </c>
      <c r="K1881">
        <v>12</v>
      </c>
      <c r="L1881">
        <v>14</v>
      </c>
      <c r="M1881">
        <v>6</v>
      </c>
      <c r="N1881">
        <v>1</v>
      </c>
      <c r="O1881">
        <v>11</v>
      </c>
      <c r="P1881">
        <v>19</v>
      </c>
      <c r="Q1881">
        <v>11</v>
      </c>
      <c r="R1881">
        <v>0</v>
      </c>
      <c r="S1881">
        <v>0</v>
      </c>
      <c r="T1881">
        <v>0</v>
      </c>
      <c r="U1881">
        <v>0</v>
      </c>
      <c r="V1881">
        <v>0</v>
      </c>
      <c r="W1881">
        <v>0</v>
      </c>
      <c r="X1881">
        <v>0</v>
      </c>
      <c r="Y1881">
        <v>0</v>
      </c>
      <c r="Z1881">
        <v>0</v>
      </c>
      <c r="AA1881">
        <v>0</v>
      </c>
      <c r="AB1881">
        <v>0</v>
      </c>
      <c r="AC1881">
        <v>0</v>
      </c>
      <c r="AD1881">
        <v>0</v>
      </c>
      <c r="AE1881">
        <v>0</v>
      </c>
      <c r="AF1881">
        <v>0</v>
      </c>
      <c r="AG1881">
        <v>0</v>
      </c>
      <c r="AH1881">
        <v>0</v>
      </c>
      <c r="AI1881">
        <v>0</v>
      </c>
      <c r="AJ1881">
        <v>0</v>
      </c>
      <c r="AK1881">
        <v>0</v>
      </c>
      <c r="AL1881">
        <v>102</v>
      </c>
      <c r="AM1881">
        <v>13.666666666666666</v>
      </c>
      <c r="AN1881">
        <v>290.78963073479758</v>
      </c>
    </row>
    <row r="1882" spans="1:40" x14ac:dyDescent="0.3">
      <c r="A1882" t="s">
        <v>517</v>
      </c>
      <c r="B1882" t="s">
        <v>100</v>
      </c>
      <c r="C1882" t="s">
        <v>10</v>
      </c>
      <c r="D1882" t="s">
        <v>14</v>
      </c>
      <c r="E1882">
        <v>202602</v>
      </c>
      <c r="F1882" t="s">
        <v>101</v>
      </c>
      <c r="G1882">
        <v>0</v>
      </c>
      <c r="H1882">
        <v>14</v>
      </c>
      <c r="I1882">
        <v>23</v>
      </c>
      <c r="J1882">
        <v>19</v>
      </c>
      <c r="K1882">
        <v>21</v>
      </c>
      <c r="L1882">
        <v>27</v>
      </c>
      <c r="M1882">
        <v>7</v>
      </c>
      <c r="N1882">
        <v>0</v>
      </c>
      <c r="O1882">
        <v>19</v>
      </c>
      <c r="P1882">
        <v>26</v>
      </c>
      <c r="Q1882">
        <v>24</v>
      </c>
      <c r="R1882">
        <v>0</v>
      </c>
      <c r="S1882">
        <v>0</v>
      </c>
      <c r="T1882">
        <v>0</v>
      </c>
      <c r="U1882">
        <v>0</v>
      </c>
      <c r="V1882">
        <v>0</v>
      </c>
      <c r="W1882">
        <v>0</v>
      </c>
      <c r="X1882">
        <v>0</v>
      </c>
      <c r="Y1882">
        <v>0</v>
      </c>
      <c r="Z1882">
        <v>0</v>
      </c>
      <c r="AA1882">
        <v>0</v>
      </c>
      <c r="AB1882">
        <v>0</v>
      </c>
      <c r="AC1882">
        <v>0</v>
      </c>
      <c r="AD1882">
        <v>0</v>
      </c>
      <c r="AE1882">
        <v>0</v>
      </c>
      <c r="AF1882">
        <v>0</v>
      </c>
      <c r="AG1882">
        <v>0</v>
      </c>
      <c r="AH1882">
        <v>0</v>
      </c>
      <c r="AI1882">
        <v>0</v>
      </c>
      <c r="AJ1882">
        <v>0</v>
      </c>
      <c r="AK1882">
        <v>0</v>
      </c>
      <c r="AL1882">
        <v>180</v>
      </c>
      <c r="AM1882">
        <v>23</v>
      </c>
      <c r="AN1882">
        <v>458.88013392857425</v>
      </c>
    </row>
    <row r="1883" spans="1:40" x14ac:dyDescent="0.3">
      <c r="A1883" t="s">
        <v>517</v>
      </c>
      <c r="B1883" t="s">
        <v>100</v>
      </c>
      <c r="C1883" t="s">
        <v>16</v>
      </c>
      <c r="D1883" t="s">
        <v>11</v>
      </c>
      <c r="E1883">
        <v>202602</v>
      </c>
      <c r="F1883" t="s">
        <v>102</v>
      </c>
      <c r="G1883">
        <v>0</v>
      </c>
      <c r="H1883">
        <v>0</v>
      </c>
      <c r="I1883">
        <v>0</v>
      </c>
      <c r="J1883">
        <v>0</v>
      </c>
      <c r="K1883">
        <v>2</v>
      </c>
      <c r="L1883">
        <v>0</v>
      </c>
      <c r="M1883">
        <v>0</v>
      </c>
      <c r="N1883">
        <v>0</v>
      </c>
      <c r="O1883">
        <v>1</v>
      </c>
      <c r="P1883">
        <v>0</v>
      </c>
      <c r="Q1883">
        <v>0</v>
      </c>
      <c r="R1883">
        <v>0</v>
      </c>
      <c r="S1883">
        <v>0</v>
      </c>
      <c r="T1883">
        <v>0</v>
      </c>
      <c r="U1883">
        <v>0</v>
      </c>
      <c r="V1883">
        <v>0</v>
      </c>
      <c r="W1883">
        <v>0</v>
      </c>
      <c r="X1883">
        <v>0</v>
      </c>
      <c r="Y1883">
        <v>0</v>
      </c>
      <c r="Z1883">
        <v>0</v>
      </c>
      <c r="AA1883">
        <v>0</v>
      </c>
      <c r="AB1883">
        <v>0</v>
      </c>
      <c r="AC1883">
        <v>0</v>
      </c>
      <c r="AD1883">
        <v>0</v>
      </c>
      <c r="AE1883">
        <v>0</v>
      </c>
      <c r="AF1883">
        <v>0</v>
      </c>
      <c r="AG1883">
        <v>0</v>
      </c>
      <c r="AH1883">
        <v>0</v>
      </c>
      <c r="AI1883">
        <v>0</v>
      </c>
      <c r="AJ1883">
        <v>0</v>
      </c>
      <c r="AK1883">
        <v>0</v>
      </c>
      <c r="AL1883">
        <v>3</v>
      </c>
      <c r="AM1883">
        <v>0.33333333333333331</v>
      </c>
      <c r="AN1883">
        <v>7.6046251398731117</v>
      </c>
    </row>
    <row r="1884" spans="1:40" x14ac:dyDescent="0.3">
      <c r="A1884" t="s">
        <v>517</v>
      </c>
      <c r="B1884" t="s">
        <v>100</v>
      </c>
      <c r="C1884" t="s">
        <v>16</v>
      </c>
      <c r="D1884" t="s">
        <v>11</v>
      </c>
      <c r="E1884">
        <v>202602</v>
      </c>
      <c r="F1884" t="s">
        <v>101</v>
      </c>
      <c r="G1884">
        <v>0</v>
      </c>
      <c r="H1884">
        <v>2</v>
      </c>
      <c r="I1884">
        <v>1</v>
      </c>
      <c r="J1884">
        <v>0</v>
      </c>
      <c r="K1884">
        <v>0</v>
      </c>
      <c r="L1884">
        <v>1</v>
      </c>
      <c r="M1884">
        <v>1</v>
      </c>
      <c r="N1884">
        <v>0</v>
      </c>
      <c r="O1884">
        <v>1</v>
      </c>
      <c r="P1884">
        <v>2</v>
      </c>
      <c r="Q1884">
        <v>3</v>
      </c>
      <c r="R1884">
        <v>0</v>
      </c>
      <c r="S1884">
        <v>0</v>
      </c>
      <c r="T1884">
        <v>0</v>
      </c>
      <c r="U1884">
        <v>0</v>
      </c>
      <c r="V1884">
        <v>0</v>
      </c>
      <c r="W1884">
        <v>0</v>
      </c>
      <c r="X1884">
        <v>0</v>
      </c>
      <c r="Y1884">
        <v>0</v>
      </c>
      <c r="Z1884">
        <v>0</v>
      </c>
      <c r="AA1884">
        <v>0</v>
      </c>
      <c r="AB1884">
        <v>0</v>
      </c>
      <c r="AC1884">
        <v>0</v>
      </c>
      <c r="AD1884">
        <v>0</v>
      </c>
      <c r="AE1884">
        <v>0</v>
      </c>
      <c r="AF1884">
        <v>0</v>
      </c>
      <c r="AG1884">
        <v>0</v>
      </c>
      <c r="AH1884">
        <v>0</v>
      </c>
      <c r="AI1884">
        <v>0</v>
      </c>
      <c r="AJ1884">
        <v>0</v>
      </c>
      <c r="AK1884">
        <v>0</v>
      </c>
      <c r="AL1884">
        <v>11</v>
      </c>
      <c r="AM1884">
        <v>2</v>
      </c>
      <c r="AN1884">
        <v>38.627750839238672</v>
      </c>
    </row>
    <row r="1885" spans="1:40" x14ac:dyDescent="0.3">
      <c r="A1885" t="s">
        <v>517</v>
      </c>
      <c r="B1885" t="s">
        <v>100</v>
      </c>
      <c r="C1885" t="s">
        <v>16</v>
      </c>
      <c r="D1885" t="s">
        <v>14</v>
      </c>
      <c r="E1885">
        <v>202602</v>
      </c>
      <c r="F1885" t="s">
        <v>102</v>
      </c>
      <c r="G1885">
        <v>0</v>
      </c>
      <c r="H1885">
        <v>1</v>
      </c>
      <c r="I1885">
        <v>0</v>
      </c>
      <c r="J1885">
        <v>1</v>
      </c>
      <c r="K1885">
        <v>1</v>
      </c>
      <c r="L1885">
        <v>0</v>
      </c>
      <c r="M1885">
        <v>0</v>
      </c>
      <c r="N1885">
        <v>0</v>
      </c>
      <c r="O1885">
        <v>0</v>
      </c>
      <c r="P1885">
        <v>0</v>
      </c>
      <c r="Q1885">
        <v>0</v>
      </c>
      <c r="R1885">
        <v>0</v>
      </c>
      <c r="S1885">
        <v>0</v>
      </c>
      <c r="T1885">
        <v>0</v>
      </c>
      <c r="U1885">
        <v>0</v>
      </c>
      <c r="V1885">
        <v>0</v>
      </c>
      <c r="W1885">
        <v>0</v>
      </c>
      <c r="X1885">
        <v>0</v>
      </c>
      <c r="Y1885">
        <v>0</v>
      </c>
      <c r="Z1885">
        <v>0</v>
      </c>
      <c r="AA1885">
        <v>0</v>
      </c>
      <c r="AB1885">
        <v>0</v>
      </c>
      <c r="AC1885">
        <v>0</v>
      </c>
      <c r="AD1885">
        <v>0</v>
      </c>
      <c r="AE1885">
        <v>0</v>
      </c>
      <c r="AF1885">
        <v>0</v>
      </c>
      <c r="AG1885">
        <v>0</v>
      </c>
      <c r="AH1885">
        <v>0</v>
      </c>
      <c r="AI1885">
        <v>0</v>
      </c>
      <c r="AJ1885">
        <v>0</v>
      </c>
      <c r="AK1885">
        <v>0</v>
      </c>
      <c r="AL1885">
        <v>3</v>
      </c>
      <c r="AM1885">
        <v>0</v>
      </c>
      <c r="AN1885">
        <v>3</v>
      </c>
    </row>
    <row r="1886" spans="1:40" x14ac:dyDescent="0.3">
      <c r="A1886" t="s">
        <v>517</v>
      </c>
      <c r="B1886" t="s">
        <v>100</v>
      </c>
      <c r="C1886" t="s">
        <v>16</v>
      </c>
      <c r="D1886" t="s">
        <v>14</v>
      </c>
      <c r="E1886">
        <v>202602</v>
      </c>
      <c r="F1886" t="s">
        <v>101</v>
      </c>
      <c r="G1886">
        <v>0</v>
      </c>
      <c r="H1886">
        <v>0</v>
      </c>
      <c r="I1886">
        <v>1</v>
      </c>
      <c r="J1886">
        <v>2</v>
      </c>
      <c r="K1886">
        <v>2</v>
      </c>
      <c r="L1886">
        <v>0</v>
      </c>
      <c r="M1886">
        <v>2</v>
      </c>
      <c r="N1886">
        <v>0</v>
      </c>
      <c r="O1886">
        <v>4</v>
      </c>
      <c r="P1886">
        <v>2</v>
      </c>
      <c r="Q1886">
        <v>0</v>
      </c>
      <c r="R1886">
        <v>0</v>
      </c>
      <c r="S1886">
        <v>0</v>
      </c>
      <c r="T1886">
        <v>0</v>
      </c>
      <c r="U1886">
        <v>0</v>
      </c>
      <c r="V1886">
        <v>0</v>
      </c>
      <c r="W1886">
        <v>0</v>
      </c>
      <c r="X1886">
        <v>0</v>
      </c>
      <c r="Y1886">
        <v>0</v>
      </c>
      <c r="Z1886">
        <v>0</v>
      </c>
      <c r="AA1886">
        <v>0</v>
      </c>
      <c r="AB1886">
        <v>0</v>
      </c>
      <c r="AC1886">
        <v>0</v>
      </c>
      <c r="AD1886">
        <v>0</v>
      </c>
      <c r="AE1886">
        <v>0</v>
      </c>
      <c r="AF1886">
        <v>0</v>
      </c>
      <c r="AG1886">
        <v>0</v>
      </c>
      <c r="AH1886">
        <v>0</v>
      </c>
      <c r="AI1886">
        <v>0</v>
      </c>
      <c r="AJ1886">
        <v>0</v>
      </c>
      <c r="AK1886">
        <v>0</v>
      </c>
      <c r="AL1886">
        <v>13</v>
      </c>
      <c r="AM1886">
        <v>2</v>
      </c>
      <c r="AN1886">
        <v>37.250446428571678</v>
      </c>
    </row>
    <row r="1887" spans="1:40" x14ac:dyDescent="0.3">
      <c r="A1887" t="s">
        <v>517</v>
      </c>
      <c r="B1887" t="s">
        <v>644</v>
      </c>
      <c r="C1887" t="s">
        <v>10</v>
      </c>
      <c r="D1887" t="s">
        <v>11</v>
      </c>
      <c r="E1887">
        <v>202602</v>
      </c>
      <c r="F1887" t="s">
        <v>56</v>
      </c>
      <c r="G1887">
        <v>0</v>
      </c>
      <c r="H1887">
        <v>1</v>
      </c>
      <c r="I1887">
        <v>0</v>
      </c>
      <c r="J1887">
        <v>0</v>
      </c>
      <c r="K1887">
        <v>1</v>
      </c>
      <c r="L1887">
        <v>0</v>
      </c>
      <c r="M1887">
        <v>0</v>
      </c>
      <c r="N1887">
        <v>0</v>
      </c>
      <c r="O1887">
        <v>0</v>
      </c>
      <c r="P1887">
        <v>0</v>
      </c>
      <c r="Q1887">
        <v>0</v>
      </c>
      <c r="R1887">
        <v>0</v>
      </c>
      <c r="S1887">
        <v>0</v>
      </c>
      <c r="T1887">
        <v>0</v>
      </c>
      <c r="U1887">
        <v>0</v>
      </c>
      <c r="V1887">
        <v>0</v>
      </c>
      <c r="W1887">
        <v>0</v>
      </c>
      <c r="X1887">
        <v>0</v>
      </c>
      <c r="Y1887">
        <v>0</v>
      </c>
      <c r="Z1887">
        <v>0</v>
      </c>
      <c r="AA1887">
        <v>0</v>
      </c>
      <c r="AB1887">
        <v>0</v>
      </c>
      <c r="AC1887">
        <v>0</v>
      </c>
      <c r="AD1887">
        <v>0</v>
      </c>
      <c r="AE1887">
        <v>0</v>
      </c>
      <c r="AF1887">
        <v>0</v>
      </c>
      <c r="AG1887">
        <v>0</v>
      </c>
      <c r="AH1887">
        <v>0</v>
      </c>
      <c r="AI1887">
        <v>0</v>
      </c>
      <c r="AJ1887">
        <v>0</v>
      </c>
      <c r="AK1887">
        <v>0</v>
      </c>
      <c r="AL1887">
        <v>2</v>
      </c>
      <c r="AM1887">
        <v>0</v>
      </c>
      <c r="AN1887">
        <v>2</v>
      </c>
    </row>
    <row r="1888" spans="1:40" x14ac:dyDescent="0.3">
      <c r="A1888" t="s">
        <v>517</v>
      </c>
      <c r="B1888" t="s">
        <v>644</v>
      </c>
      <c r="C1888" t="s">
        <v>10</v>
      </c>
      <c r="D1888" t="s">
        <v>11</v>
      </c>
      <c r="E1888">
        <v>202602</v>
      </c>
      <c r="F1888" t="s">
        <v>110</v>
      </c>
      <c r="G1888">
        <v>0</v>
      </c>
      <c r="H1888">
        <v>1</v>
      </c>
      <c r="I1888">
        <v>0</v>
      </c>
      <c r="J1888">
        <v>0</v>
      </c>
      <c r="K1888">
        <v>0</v>
      </c>
      <c r="L1888">
        <v>0</v>
      </c>
      <c r="M1888">
        <v>0</v>
      </c>
      <c r="N1888">
        <v>0</v>
      </c>
      <c r="O1888">
        <v>0</v>
      </c>
      <c r="P1888">
        <v>0</v>
      </c>
      <c r="Q1888">
        <v>0</v>
      </c>
      <c r="R1888">
        <v>0</v>
      </c>
      <c r="S1888">
        <v>0</v>
      </c>
      <c r="T1888">
        <v>0</v>
      </c>
      <c r="U1888">
        <v>0</v>
      </c>
      <c r="V1888">
        <v>0</v>
      </c>
      <c r="W1888">
        <v>0</v>
      </c>
      <c r="X1888">
        <v>0</v>
      </c>
      <c r="Y1888">
        <v>0</v>
      </c>
      <c r="Z1888">
        <v>0</v>
      </c>
      <c r="AA1888">
        <v>0</v>
      </c>
      <c r="AB1888">
        <v>0</v>
      </c>
      <c r="AC1888">
        <v>0</v>
      </c>
      <c r="AD1888">
        <v>0</v>
      </c>
      <c r="AE1888">
        <v>0</v>
      </c>
      <c r="AF1888">
        <v>0</v>
      </c>
      <c r="AG1888">
        <v>0</v>
      </c>
      <c r="AH1888">
        <v>0</v>
      </c>
      <c r="AI1888">
        <v>0</v>
      </c>
      <c r="AJ1888">
        <v>0</v>
      </c>
      <c r="AK1888">
        <v>0</v>
      </c>
      <c r="AL1888">
        <v>1</v>
      </c>
      <c r="AM1888">
        <v>0</v>
      </c>
      <c r="AN1888">
        <v>1</v>
      </c>
    </row>
    <row r="1889" spans="1:40" x14ac:dyDescent="0.3">
      <c r="A1889" t="s">
        <v>517</v>
      </c>
      <c r="B1889" t="s">
        <v>644</v>
      </c>
      <c r="C1889" t="s">
        <v>10</v>
      </c>
      <c r="D1889" t="s">
        <v>11</v>
      </c>
      <c r="E1889">
        <v>202602</v>
      </c>
      <c r="F1889" t="s">
        <v>111</v>
      </c>
      <c r="G1889">
        <v>0</v>
      </c>
      <c r="H1889">
        <v>0</v>
      </c>
      <c r="I1889">
        <v>0</v>
      </c>
      <c r="J1889">
        <v>0</v>
      </c>
      <c r="K1889">
        <v>0</v>
      </c>
      <c r="L1889">
        <v>1</v>
      </c>
      <c r="M1889">
        <v>0</v>
      </c>
      <c r="N1889">
        <v>0</v>
      </c>
      <c r="O1889">
        <v>0</v>
      </c>
      <c r="P1889">
        <v>0</v>
      </c>
      <c r="Q1889">
        <v>0</v>
      </c>
      <c r="R1889">
        <v>0</v>
      </c>
      <c r="S1889">
        <v>0</v>
      </c>
      <c r="T1889">
        <v>0</v>
      </c>
      <c r="U1889">
        <v>0</v>
      </c>
      <c r="V1889">
        <v>0</v>
      </c>
      <c r="W1889">
        <v>0</v>
      </c>
      <c r="X1889">
        <v>0</v>
      </c>
      <c r="Y1889">
        <v>0</v>
      </c>
      <c r="Z1889">
        <v>0</v>
      </c>
      <c r="AA1889">
        <v>0</v>
      </c>
      <c r="AB1889">
        <v>0</v>
      </c>
      <c r="AC1889">
        <v>0</v>
      </c>
      <c r="AD1889">
        <v>0</v>
      </c>
      <c r="AE1889">
        <v>0</v>
      </c>
      <c r="AF1889">
        <v>0</v>
      </c>
      <c r="AG1889">
        <v>0</v>
      </c>
      <c r="AH1889">
        <v>0</v>
      </c>
      <c r="AI1889">
        <v>0</v>
      </c>
      <c r="AJ1889">
        <v>0</v>
      </c>
      <c r="AK1889">
        <v>0</v>
      </c>
      <c r="AL1889">
        <v>1</v>
      </c>
      <c r="AM1889">
        <v>0</v>
      </c>
      <c r="AN1889">
        <v>1</v>
      </c>
    </row>
    <row r="1890" spans="1:40" x14ac:dyDescent="0.3">
      <c r="A1890" t="s">
        <v>517</v>
      </c>
      <c r="B1890" t="s">
        <v>644</v>
      </c>
      <c r="C1890" t="s">
        <v>10</v>
      </c>
      <c r="D1890" t="s">
        <v>11</v>
      </c>
      <c r="E1890">
        <v>202602</v>
      </c>
      <c r="F1890" t="s">
        <v>61</v>
      </c>
      <c r="G1890">
        <v>0</v>
      </c>
      <c r="H1890">
        <v>0</v>
      </c>
      <c r="I1890">
        <v>0</v>
      </c>
      <c r="J1890">
        <v>0</v>
      </c>
      <c r="K1890">
        <v>1</v>
      </c>
      <c r="L1890">
        <v>0</v>
      </c>
      <c r="M1890">
        <v>0</v>
      </c>
      <c r="N1890">
        <v>0</v>
      </c>
      <c r="O1890">
        <v>1</v>
      </c>
      <c r="P1890">
        <v>0</v>
      </c>
      <c r="Q1890">
        <v>0</v>
      </c>
      <c r="R1890">
        <v>0</v>
      </c>
      <c r="S1890">
        <v>0</v>
      </c>
      <c r="T1890">
        <v>0</v>
      </c>
      <c r="U1890">
        <v>0</v>
      </c>
      <c r="V1890">
        <v>0</v>
      </c>
      <c r="W1890">
        <v>0</v>
      </c>
      <c r="X1890">
        <v>0</v>
      </c>
      <c r="Y1890">
        <v>0</v>
      </c>
      <c r="Z1890">
        <v>0</v>
      </c>
      <c r="AA1890">
        <v>0</v>
      </c>
      <c r="AB1890">
        <v>0</v>
      </c>
      <c r="AC1890">
        <v>0</v>
      </c>
      <c r="AD1890">
        <v>0</v>
      </c>
      <c r="AE1890">
        <v>0</v>
      </c>
      <c r="AF1890">
        <v>0</v>
      </c>
      <c r="AG1890">
        <v>0</v>
      </c>
      <c r="AH1890">
        <v>0</v>
      </c>
      <c r="AI1890">
        <v>0</v>
      </c>
      <c r="AJ1890">
        <v>0</v>
      </c>
      <c r="AK1890">
        <v>0</v>
      </c>
      <c r="AL1890">
        <v>2</v>
      </c>
      <c r="AM1890">
        <v>0.33333333333333331</v>
      </c>
      <c r="AN1890">
        <v>6.6046251398731117</v>
      </c>
    </row>
    <row r="1891" spans="1:40" x14ac:dyDescent="0.3">
      <c r="A1891" t="s">
        <v>517</v>
      </c>
      <c r="B1891" t="s">
        <v>644</v>
      </c>
      <c r="C1891" t="s">
        <v>10</v>
      </c>
      <c r="D1891" t="s">
        <v>11</v>
      </c>
      <c r="E1891">
        <v>202602</v>
      </c>
      <c r="F1891" t="s">
        <v>112</v>
      </c>
      <c r="G1891">
        <v>0</v>
      </c>
      <c r="H1891">
        <v>1</v>
      </c>
      <c r="I1891">
        <v>0</v>
      </c>
      <c r="J1891">
        <v>0</v>
      </c>
      <c r="K1891">
        <v>1</v>
      </c>
      <c r="L1891">
        <v>0</v>
      </c>
      <c r="M1891">
        <v>1</v>
      </c>
      <c r="N1891">
        <v>0</v>
      </c>
      <c r="O1891">
        <v>2</v>
      </c>
      <c r="P1891">
        <v>3</v>
      </c>
      <c r="Q1891">
        <v>2</v>
      </c>
      <c r="R1891">
        <v>0</v>
      </c>
      <c r="S1891">
        <v>0</v>
      </c>
      <c r="T1891">
        <v>0</v>
      </c>
      <c r="U1891">
        <v>0</v>
      </c>
      <c r="V1891">
        <v>0</v>
      </c>
      <c r="W1891">
        <v>0</v>
      </c>
      <c r="X1891">
        <v>0</v>
      </c>
      <c r="Y1891">
        <v>0</v>
      </c>
      <c r="Z1891">
        <v>0</v>
      </c>
      <c r="AA1891">
        <v>0</v>
      </c>
      <c r="AB1891">
        <v>0</v>
      </c>
      <c r="AC1891">
        <v>0</v>
      </c>
      <c r="AD1891">
        <v>0</v>
      </c>
      <c r="AE1891">
        <v>0</v>
      </c>
      <c r="AF1891">
        <v>0</v>
      </c>
      <c r="AG1891">
        <v>0</v>
      </c>
      <c r="AH1891">
        <v>0</v>
      </c>
      <c r="AI1891">
        <v>0</v>
      </c>
      <c r="AJ1891">
        <v>0</v>
      </c>
      <c r="AK1891">
        <v>0</v>
      </c>
      <c r="AL1891">
        <v>10</v>
      </c>
      <c r="AM1891">
        <v>2.3333333333333335</v>
      </c>
      <c r="AN1891">
        <v>42.232375979111779</v>
      </c>
    </row>
    <row r="1892" spans="1:40" x14ac:dyDescent="0.3">
      <c r="A1892" t="s">
        <v>517</v>
      </c>
      <c r="B1892" t="s">
        <v>644</v>
      </c>
      <c r="C1892" t="s">
        <v>10</v>
      </c>
      <c r="D1892" t="s">
        <v>11</v>
      </c>
      <c r="E1892">
        <v>202602</v>
      </c>
      <c r="F1892" t="s">
        <v>366</v>
      </c>
      <c r="G1892">
        <v>0</v>
      </c>
      <c r="H1892">
        <v>0</v>
      </c>
      <c r="I1892">
        <v>0</v>
      </c>
      <c r="J1892">
        <v>1</v>
      </c>
      <c r="K1892">
        <v>0</v>
      </c>
      <c r="L1892">
        <v>0</v>
      </c>
      <c r="M1892">
        <v>0</v>
      </c>
      <c r="N1892">
        <v>0</v>
      </c>
      <c r="O1892">
        <v>0</v>
      </c>
      <c r="P1892">
        <v>0</v>
      </c>
      <c r="Q1892">
        <v>0</v>
      </c>
      <c r="R1892">
        <v>0</v>
      </c>
      <c r="S1892">
        <v>0</v>
      </c>
      <c r="T1892">
        <v>0</v>
      </c>
      <c r="U1892">
        <v>0</v>
      </c>
      <c r="V1892">
        <v>0</v>
      </c>
      <c r="W1892">
        <v>0</v>
      </c>
      <c r="X1892">
        <v>0</v>
      </c>
      <c r="Y1892">
        <v>0</v>
      </c>
      <c r="Z1892">
        <v>0</v>
      </c>
      <c r="AA1892">
        <v>0</v>
      </c>
      <c r="AB1892">
        <v>0</v>
      </c>
      <c r="AC1892">
        <v>0</v>
      </c>
      <c r="AD1892">
        <v>0</v>
      </c>
      <c r="AE1892">
        <v>0</v>
      </c>
      <c r="AF1892">
        <v>0</v>
      </c>
      <c r="AG1892">
        <v>0</v>
      </c>
      <c r="AH1892">
        <v>0</v>
      </c>
      <c r="AI1892">
        <v>0</v>
      </c>
      <c r="AJ1892">
        <v>0</v>
      </c>
      <c r="AK1892">
        <v>0</v>
      </c>
      <c r="AL1892">
        <v>1</v>
      </c>
      <c r="AM1892">
        <v>0</v>
      </c>
      <c r="AN1892">
        <v>1</v>
      </c>
    </row>
    <row r="1893" spans="1:40" x14ac:dyDescent="0.3">
      <c r="A1893" t="s">
        <v>517</v>
      </c>
      <c r="B1893" t="s">
        <v>644</v>
      </c>
      <c r="C1893" t="s">
        <v>10</v>
      </c>
      <c r="D1893" t="s">
        <v>11</v>
      </c>
      <c r="E1893">
        <v>202602</v>
      </c>
      <c r="F1893" t="s">
        <v>279</v>
      </c>
      <c r="G1893">
        <v>0</v>
      </c>
      <c r="H1893">
        <v>1</v>
      </c>
      <c r="I1893">
        <v>0</v>
      </c>
      <c r="J1893">
        <v>0</v>
      </c>
      <c r="K1893">
        <v>1</v>
      </c>
      <c r="L1893">
        <v>0</v>
      </c>
      <c r="M1893">
        <v>1</v>
      </c>
      <c r="N1893">
        <v>0</v>
      </c>
      <c r="O1893">
        <v>0</v>
      </c>
      <c r="P1893">
        <v>0</v>
      </c>
      <c r="Q1893">
        <v>0</v>
      </c>
      <c r="R1893">
        <v>0</v>
      </c>
      <c r="S1893">
        <v>0</v>
      </c>
      <c r="T1893">
        <v>0</v>
      </c>
      <c r="U1893">
        <v>0</v>
      </c>
      <c r="V1893">
        <v>0</v>
      </c>
      <c r="W1893">
        <v>0</v>
      </c>
      <c r="X1893">
        <v>0</v>
      </c>
      <c r="Y1893">
        <v>0</v>
      </c>
      <c r="Z1893">
        <v>0</v>
      </c>
      <c r="AA1893">
        <v>0</v>
      </c>
      <c r="AB1893">
        <v>0</v>
      </c>
      <c r="AC1893">
        <v>0</v>
      </c>
      <c r="AD1893">
        <v>0</v>
      </c>
      <c r="AE1893">
        <v>0</v>
      </c>
      <c r="AF1893">
        <v>0</v>
      </c>
      <c r="AG1893">
        <v>0</v>
      </c>
      <c r="AH1893">
        <v>0</v>
      </c>
      <c r="AI1893">
        <v>0</v>
      </c>
      <c r="AJ1893">
        <v>0</v>
      </c>
      <c r="AK1893">
        <v>0</v>
      </c>
      <c r="AL1893">
        <v>3</v>
      </c>
      <c r="AM1893">
        <v>0</v>
      </c>
      <c r="AN1893">
        <v>3</v>
      </c>
    </row>
    <row r="1894" spans="1:40" x14ac:dyDescent="0.3">
      <c r="A1894" t="s">
        <v>517</v>
      </c>
      <c r="B1894" t="s">
        <v>644</v>
      </c>
      <c r="C1894" t="s">
        <v>10</v>
      </c>
      <c r="D1894" t="s">
        <v>11</v>
      </c>
      <c r="E1894">
        <v>202602</v>
      </c>
      <c r="F1894" t="s">
        <v>114</v>
      </c>
      <c r="G1894">
        <v>0</v>
      </c>
      <c r="H1894">
        <v>3</v>
      </c>
      <c r="I1894">
        <v>3</v>
      </c>
      <c r="J1894">
        <v>4</v>
      </c>
      <c r="K1894">
        <v>2</v>
      </c>
      <c r="L1894">
        <v>1</v>
      </c>
      <c r="M1894">
        <v>0</v>
      </c>
      <c r="N1894">
        <v>0</v>
      </c>
      <c r="O1894">
        <v>4</v>
      </c>
      <c r="P1894">
        <v>5</v>
      </c>
      <c r="Q1894">
        <v>3</v>
      </c>
      <c r="R1894">
        <v>0</v>
      </c>
      <c r="S1894">
        <v>0</v>
      </c>
      <c r="T1894">
        <v>0</v>
      </c>
      <c r="U1894">
        <v>0</v>
      </c>
      <c r="V1894">
        <v>0</v>
      </c>
      <c r="W1894">
        <v>0</v>
      </c>
      <c r="X1894">
        <v>0</v>
      </c>
      <c r="Y1894">
        <v>0</v>
      </c>
      <c r="Z1894">
        <v>0</v>
      </c>
      <c r="AA1894">
        <v>0</v>
      </c>
      <c r="AB1894">
        <v>0</v>
      </c>
      <c r="AC1894">
        <v>0</v>
      </c>
      <c r="AD1894">
        <v>0</v>
      </c>
      <c r="AE1894">
        <v>0</v>
      </c>
      <c r="AF1894">
        <v>0</v>
      </c>
      <c r="AG1894">
        <v>0</v>
      </c>
      <c r="AH1894">
        <v>0</v>
      </c>
      <c r="AI1894">
        <v>0</v>
      </c>
      <c r="AJ1894">
        <v>0</v>
      </c>
      <c r="AK1894">
        <v>0</v>
      </c>
      <c r="AL1894">
        <v>25</v>
      </c>
      <c r="AM1894">
        <v>4</v>
      </c>
      <c r="AN1894">
        <v>80.255501678477344</v>
      </c>
    </row>
    <row r="1895" spans="1:40" x14ac:dyDescent="0.3">
      <c r="A1895" t="s">
        <v>517</v>
      </c>
      <c r="B1895" t="s">
        <v>644</v>
      </c>
      <c r="C1895" t="s">
        <v>10</v>
      </c>
      <c r="D1895" t="s">
        <v>11</v>
      </c>
      <c r="E1895">
        <v>202602</v>
      </c>
      <c r="F1895" t="s">
        <v>115</v>
      </c>
      <c r="G1895">
        <v>0</v>
      </c>
      <c r="H1895">
        <v>2</v>
      </c>
      <c r="I1895">
        <v>0</v>
      </c>
      <c r="J1895">
        <v>0</v>
      </c>
      <c r="K1895">
        <v>0</v>
      </c>
      <c r="L1895">
        <v>0</v>
      </c>
      <c r="M1895">
        <v>0</v>
      </c>
      <c r="N1895">
        <v>0</v>
      </c>
      <c r="O1895">
        <v>0</v>
      </c>
      <c r="P1895">
        <v>0</v>
      </c>
      <c r="Q1895">
        <v>0</v>
      </c>
      <c r="R1895">
        <v>0</v>
      </c>
      <c r="S1895">
        <v>0</v>
      </c>
      <c r="T1895">
        <v>0</v>
      </c>
      <c r="U1895">
        <v>0</v>
      </c>
      <c r="V1895">
        <v>0</v>
      </c>
      <c r="W1895">
        <v>0</v>
      </c>
      <c r="X1895">
        <v>0</v>
      </c>
      <c r="Y1895">
        <v>0</v>
      </c>
      <c r="Z1895">
        <v>0</v>
      </c>
      <c r="AA1895">
        <v>0</v>
      </c>
      <c r="AB1895">
        <v>0</v>
      </c>
      <c r="AC1895">
        <v>0</v>
      </c>
      <c r="AD1895">
        <v>0</v>
      </c>
      <c r="AE1895">
        <v>0</v>
      </c>
      <c r="AF1895">
        <v>0</v>
      </c>
      <c r="AG1895">
        <v>0</v>
      </c>
      <c r="AH1895">
        <v>0</v>
      </c>
      <c r="AI1895">
        <v>0</v>
      </c>
      <c r="AJ1895">
        <v>0</v>
      </c>
      <c r="AK1895">
        <v>0</v>
      </c>
      <c r="AL1895">
        <v>2</v>
      </c>
      <c r="AM1895">
        <v>0</v>
      </c>
      <c r="AN1895">
        <v>2</v>
      </c>
    </row>
    <row r="1896" spans="1:40" x14ac:dyDescent="0.3">
      <c r="A1896" t="s">
        <v>517</v>
      </c>
      <c r="B1896" t="s">
        <v>644</v>
      </c>
      <c r="C1896" t="s">
        <v>10</v>
      </c>
      <c r="D1896" t="s">
        <v>11</v>
      </c>
      <c r="E1896">
        <v>202602</v>
      </c>
      <c r="F1896" t="s">
        <v>117</v>
      </c>
      <c r="G1896">
        <v>0</v>
      </c>
      <c r="H1896">
        <v>0</v>
      </c>
      <c r="I1896">
        <v>0</v>
      </c>
      <c r="J1896">
        <v>0</v>
      </c>
      <c r="K1896">
        <v>0</v>
      </c>
      <c r="L1896">
        <v>1</v>
      </c>
      <c r="M1896">
        <v>0</v>
      </c>
      <c r="N1896">
        <v>0</v>
      </c>
      <c r="O1896">
        <v>1</v>
      </c>
      <c r="P1896">
        <v>0</v>
      </c>
      <c r="Q1896">
        <v>0</v>
      </c>
      <c r="R1896">
        <v>0</v>
      </c>
      <c r="S1896">
        <v>0</v>
      </c>
      <c r="T1896">
        <v>0</v>
      </c>
      <c r="U1896">
        <v>0</v>
      </c>
      <c r="V1896">
        <v>0</v>
      </c>
      <c r="W1896">
        <v>0</v>
      </c>
      <c r="X1896">
        <v>0</v>
      </c>
      <c r="Y1896">
        <v>0</v>
      </c>
      <c r="Z1896">
        <v>0</v>
      </c>
      <c r="AA1896">
        <v>0</v>
      </c>
      <c r="AB1896">
        <v>0</v>
      </c>
      <c r="AC1896">
        <v>0</v>
      </c>
      <c r="AD1896">
        <v>0</v>
      </c>
      <c r="AE1896">
        <v>0</v>
      </c>
      <c r="AF1896">
        <v>0</v>
      </c>
      <c r="AG1896">
        <v>0</v>
      </c>
      <c r="AH1896">
        <v>0</v>
      </c>
      <c r="AI1896">
        <v>0</v>
      </c>
      <c r="AJ1896">
        <v>0</v>
      </c>
      <c r="AK1896">
        <v>0</v>
      </c>
      <c r="AL1896">
        <v>2</v>
      </c>
      <c r="AM1896">
        <v>0.33333333333333331</v>
      </c>
      <c r="AN1896">
        <v>6.6046251398731117</v>
      </c>
    </row>
    <row r="1897" spans="1:40" x14ac:dyDescent="0.3">
      <c r="A1897" t="s">
        <v>517</v>
      </c>
      <c r="B1897" t="s">
        <v>644</v>
      </c>
      <c r="C1897" t="s">
        <v>10</v>
      </c>
      <c r="D1897" t="s">
        <v>11</v>
      </c>
      <c r="E1897">
        <v>202602</v>
      </c>
      <c r="F1897" t="s">
        <v>118</v>
      </c>
      <c r="G1897">
        <v>0</v>
      </c>
      <c r="H1897">
        <v>7</v>
      </c>
      <c r="I1897">
        <v>3</v>
      </c>
      <c r="J1897">
        <v>2</v>
      </c>
      <c r="K1897">
        <v>2</v>
      </c>
      <c r="L1897">
        <v>5</v>
      </c>
      <c r="M1897">
        <v>1</v>
      </c>
      <c r="N1897">
        <v>0</v>
      </c>
      <c r="O1897">
        <v>5</v>
      </c>
      <c r="P1897">
        <v>3</v>
      </c>
      <c r="Q1897">
        <v>1</v>
      </c>
      <c r="R1897">
        <v>0</v>
      </c>
      <c r="S1897">
        <v>0</v>
      </c>
      <c r="T1897">
        <v>0</v>
      </c>
      <c r="U1897">
        <v>0</v>
      </c>
      <c r="V1897">
        <v>0</v>
      </c>
      <c r="W1897">
        <v>0</v>
      </c>
      <c r="X1897">
        <v>0</v>
      </c>
      <c r="Y1897">
        <v>0</v>
      </c>
      <c r="Z1897">
        <v>0</v>
      </c>
      <c r="AA1897">
        <v>0</v>
      </c>
      <c r="AB1897">
        <v>0</v>
      </c>
      <c r="AC1897">
        <v>0</v>
      </c>
      <c r="AD1897">
        <v>0</v>
      </c>
      <c r="AE1897">
        <v>0</v>
      </c>
      <c r="AF1897">
        <v>0</v>
      </c>
      <c r="AG1897">
        <v>0</v>
      </c>
      <c r="AH1897">
        <v>0</v>
      </c>
      <c r="AI1897">
        <v>0</v>
      </c>
      <c r="AJ1897">
        <v>0</v>
      </c>
      <c r="AK1897">
        <v>0</v>
      </c>
      <c r="AL1897">
        <v>29</v>
      </c>
      <c r="AM1897">
        <v>3</v>
      </c>
      <c r="AN1897">
        <v>70.441626258858008</v>
      </c>
    </row>
    <row r="1898" spans="1:40" x14ac:dyDescent="0.3">
      <c r="A1898" t="s">
        <v>517</v>
      </c>
      <c r="B1898" t="s">
        <v>644</v>
      </c>
      <c r="C1898" t="s">
        <v>10</v>
      </c>
      <c r="D1898" t="s">
        <v>11</v>
      </c>
      <c r="E1898">
        <v>202602</v>
      </c>
      <c r="F1898" t="s">
        <v>321</v>
      </c>
      <c r="G1898">
        <v>0</v>
      </c>
      <c r="H1898">
        <v>0</v>
      </c>
      <c r="I1898">
        <v>0</v>
      </c>
      <c r="J1898">
        <v>0</v>
      </c>
      <c r="K1898">
        <v>0</v>
      </c>
      <c r="L1898">
        <v>0</v>
      </c>
      <c r="M1898">
        <v>0</v>
      </c>
      <c r="N1898">
        <v>0</v>
      </c>
      <c r="O1898">
        <v>0</v>
      </c>
      <c r="P1898">
        <v>1</v>
      </c>
      <c r="Q1898">
        <v>1</v>
      </c>
      <c r="R1898">
        <v>0</v>
      </c>
      <c r="S1898">
        <v>0</v>
      </c>
      <c r="T1898">
        <v>0</v>
      </c>
      <c r="U1898">
        <v>0</v>
      </c>
      <c r="V1898">
        <v>0</v>
      </c>
      <c r="W1898">
        <v>0</v>
      </c>
      <c r="X1898">
        <v>0</v>
      </c>
      <c r="Y1898">
        <v>0</v>
      </c>
      <c r="Z1898">
        <v>0</v>
      </c>
      <c r="AA1898">
        <v>0</v>
      </c>
      <c r="AB1898">
        <v>0</v>
      </c>
      <c r="AC1898">
        <v>0</v>
      </c>
      <c r="AD1898">
        <v>0</v>
      </c>
      <c r="AE1898">
        <v>0</v>
      </c>
      <c r="AF1898">
        <v>0</v>
      </c>
      <c r="AG1898">
        <v>0</v>
      </c>
      <c r="AH1898">
        <v>0</v>
      </c>
      <c r="AI1898">
        <v>0</v>
      </c>
      <c r="AJ1898">
        <v>0</v>
      </c>
      <c r="AK1898">
        <v>0</v>
      </c>
      <c r="AL1898">
        <v>2</v>
      </c>
      <c r="AM1898">
        <v>0.66666666666666663</v>
      </c>
      <c r="AN1898">
        <v>11.209250279746223</v>
      </c>
    </row>
    <row r="1899" spans="1:40" x14ac:dyDescent="0.3">
      <c r="A1899" t="s">
        <v>517</v>
      </c>
      <c r="B1899" t="s">
        <v>644</v>
      </c>
      <c r="C1899" t="s">
        <v>10</v>
      </c>
      <c r="D1899" t="s">
        <v>11</v>
      </c>
      <c r="E1899">
        <v>202602</v>
      </c>
      <c r="F1899" t="s">
        <v>435</v>
      </c>
      <c r="G1899">
        <v>0</v>
      </c>
      <c r="H1899">
        <v>0</v>
      </c>
      <c r="I1899">
        <v>0</v>
      </c>
      <c r="J1899">
        <v>1</v>
      </c>
      <c r="K1899">
        <v>0</v>
      </c>
      <c r="L1899">
        <v>0</v>
      </c>
      <c r="M1899">
        <v>0</v>
      </c>
      <c r="N1899">
        <v>0</v>
      </c>
      <c r="O1899">
        <v>0</v>
      </c>
      <c r="P1899">
        <v>0</v>
      </c>
      <c r="Q1899">
        <v>0</v>
      </c>
      <c r="R1899">
        <v>0</v>
      </c>
      <c r="S1899">
        <v>0</v>
      </c>
      <c r="T1899">
        <v>0</v>
      </c>
      <c r="U1899">
        <v>0</v>
      </c>
      <c r="V1899">
        <v>0</v>
      </c>
      <c r="W1899">
        <v>0</v>
      </c>
      <c r="X1899">
        <v>0</v>
      </c>
      <c r="Y1899">
        <v>0</v>
      </c>
      <c r="Z1899">
        <v>0</v>
      </c>
      <c r="AA1899">
        <v>0</v>
      </c>
      <c r="AB1899">
        <v>0</v>
      </c>
      <c r="AC1899">
        <v>0</v>
      </c>
      <c r="AD1899">
        <v>0</v>
      </c>
      <c r="AE1899">
        <v>0</v>
      </c>
      <c r="AF1899">
        <v>0</v>
      </c>
      <c r="AG1899">
        <v>0</v>
      </c>
      <c r="AH1899">
        <v>0</v>
      </c>
      <c r="AI1899">
        <v>0</v>
      </c>
      <c r="AJ1899">
        <v>0</v>
      </c>
      <c r="AK1899">
        <v>0</v>
      </c>
      <c r="AL1899">
        <v>1</v>
      </c>
      <c r="AM1899">
        <v>0</v>
      </c>
      <c r="AN1899">
        <v>1</v>
      </c>
    </row>
    <row r="1900" spans="1:40" x14ac:dyDescent="0.3">
      <c r="A1900" t="s">
        <v>517</v>
      </c>
      <c r="B1900" t="s">
        <v>644</v>
      </c>
      <c r="C1900" t="s">
        <v>10</v>
      </c>
      <c r="D1900" t="s">
        <v>11</v>
      </c>
      <c r="E1900">
        <v>202602</v>
      </c>
      <c r="F1900" t="s">
        <v>132</v>
      </c>
      <c r="G1900">
        <v>0</v>
      </c>
      <c r="H1900">
        <v>0</v>
      </c>
      <c r="I1900">
        <v>0</v>
      </c>
      <c r="J1900">
        <v>0</v>
      </c>
      <c r="K1900">
        <v>1</v>
      </c>
      <c r="L1900">
        <v>0</v>
      </c>
      <c r="M1900">
        <v>0</v>
      </c>
      <c r="N1900">
        <v>0</v>
      </c>
      <c r="O1900">
        <v>0</v>
      </c>
      <c r="P1900">
        <v>0</v>
      </c>
      <c r="Q1900">
        <v>0</v>
      </c>
      <c r="R1900">
        <v>0</v>
      </c>
      <c r="S1900">
        <v>0</v>
      </c>
      <c r="T1900">
        <v>0</v>
      </c>
      <c r="U1900">
        <v>0</v>
      </c>
      <c r="V1900">
        <v>0</v>
      </c>
      <c r="W1900">
        <v>0</v>
      </c>
      <c r="X1900">
        <v>0</v>
      </c>
      <c r="Y1900">
        <v>0</v>
      </c>
      <c r="Z1900">
        <v>0</v>
      </c>
      <c r="AA1900">
        <v>0</v>
      </c>
      <c r="AB1900">
        <v>0</v>
      </c>
      <c r="AC1900">
        <v>0</v>
      </c>
      <c r="AD1900">
        <v>0</v>
      </c>
      <c r="AE1900">
        <v>0</v>
      </c>
      <c r="AF1900">
        <v>0</v>
      </c>
      <c r="AG1900">
        <v>0</v>
      </c>
      <c r="AH1900">
        <v>0</v>
      </c>
      <c r="AI1900">
        <v>0</v>
      </c>
      <c r="AJ1900">
        <v>0</v>
      </c>
      <c r="AK1900">
        <v>0</v>
      </c>
      <c r="AL1900">
        <v>1</v>
      </c>
      <c r="AM1900">
        <v>0</v>
      </c>
      <c r="AN1900">
        <v>1</v>
      </c>
    </row>
    <row r="1901" spans="1:40" x14ac:dyDescent="0.3">
      <c r="A1901" t="s">
        <v>517</v>
      </c>
      <c r="B1901" t="s">
        <v>644</v>
      </c>
      <c r="C1901" t="s">
        <v>10</v>
      </c>
      <c r="D1901" t="s">
        <v>11</v>
      </c>
      <c r="E1901">
        <v>202602</v>
      </c>
      <c r="F1901" t="s">
        <v>119</v>
      </c>
      <c r="G1901">
        <v>0</v>
      </c>
      <c r="H1901">
        <v>0</v>
      </c>
      <c r="I1901">
        <v>0</v>
      </c>
      <c r="J1901">
        <v>0</v>
      </c>
      <c r="K1901">
        <v>0</v>
      </c>
      <c r="L1901">
        <v>0</v>
      </c>
      <c r="M1901">
        <v>0</v>
      </c>
      <c r="N1901">
        <v>1</v>
      </c>
      <c r="O1901">
        <v>0</v>
      </c>
      <c r="P1901">
        <v>2</v>
      </c>
      <c r="Q1901">
        <v>0</v>
      </c>
      <c r="R1901">
        <v>0</v>
      </c>
      <c r="S1901">
        <v>0</v>
      </c>
      <c r="T1901">
        <v>0</v>
      </c>
      <c r="U1901">
        <v>0</v>
      </c>
      <c r="V1901">
        <v>0</v>
      </c>
      <c r="W1901">
        <v>0</v>
      </c>
      <c r="X1901">
        <v>0</v>
      </c>
      <c r="Y1901">
        <v>0</v>
      </c>
      <c r="Z1901">
        <v>0</v>
      </c>
      <c r="AA1901">
        <v>0</v>
      </c>
      <c r="AB1901">
        <v>0</v>
      </c>
      <c r="AC1901">
        <v>0</v>
      </c>
      <c r="AD1901">
        <v>0</v>
      </c>
      <c r="AE1901">
        <v>0</v>
      </c>
      <c r="AF1901">
        <v>0</v>
      </c>
      <c r="AG1901">
        <v>0</v>
      </c>
      <c r="AH1901">
        <v>0</v>
      </c>
      <c r="AI1901">
        <v>0</v>
      </c>
      <c r="AJ1901">
        <v>0</v>
      </c>
      <c r="AK1901">
        <v>0</v>
      </c>
      <c r="AL1901">
        <v>3</v>
      </c>
      <c r="AM1901">
        <v>0.66666666666666663</v>
      </c>
      <c r="AN1901">
        <v>12.209250279746223</v>
      </c>
    </row>
    <row r="1902" spans="1:40" x14ac:dyDescent="0.3">
      <c r="A1902" t="s">
        <v>517</v>
      </c>
      <c r="B1902" t="s">
        <v>644</v>
      </c>
      <c r="C1902" t="s">
        <v>10</v>
      </c>
      <c r="D1902" t="s">
        <v>11</v>
      </c>
      <c r="E1902">
        <v>202602</v>
      </c>
      <c r="F1902" t="s">
        <v>562</v>
      </c>
      <c r="G1902">
        <v>0</v>
      </c>
      <c r="H1902">
        <v>0</v>
      </c>
      <c r="I1902">
        <v>0</v>
      </c>
      <c r="J1902">
        <v>0</v>
      </c>
      <c r="K1902">
        <v>0</v>
      </c>
      <c r="L1902">
        <v>0</v>
      </c>
      <c r="M1902">
        <v>0</v>
      </c>
      <c r="N1902">
        <v>0</v>
      </c>
      <c r="O1902">
        <v>0</v>
      </c>
      <c r="P1902">
        <v>0</v>
      </c>
      <c r="Q1902">
        <v>1</v>
      </c>
      <c r="R1902">
        <v>0</v>
      </c>
      <c r="S1902">
        <v>0</v>
      </c>
      <c r="T1902">
        <v>0</v>
      </c>
      <c r="U1902">
        <v>0</v>
      </c>
      <c r="V1902">
        <v>0</v>
      </c>
      <c r="W1902">
        <v>0</v>
      </c>
      <c r="X1902">
        <v>0</v>
      </c>
      <c r="Y1902">
        <v>0</v>
      </c>
      <c r="Z1902">
        <v>0</v>
      </c>
      <c r="AA1902">
        <v>0</v>
      </c>
      <c r="AB1902">
        <v>0</v>
      </c>
      <c r="AC1902">
        <v>0</v>
      </c>
      <c r="AD1902">
        <v>0</v>
      </c>
      <c r="AE1902">
        <v>0</v>
      </c>
      <c r="AF1902">
        <v>0</v>
      </c>
      <c r="AG1902">
        <v>0</v>
      </c>
      <c r="AH1902">
        <v>0</v>
      </c>
      <c r="AI1902">
        <v>0</v>
      </c>
      <c r="AJ1902">
        <v>0</v>
      </c>
      <c r="AK1902">
        <v>0</v>
      </c>
      <c r="AL1902">
        <v>1</v>
      </c>
      <c r="AM1902">
        <v>0.33333333333333331</v>
      </c>
      <c r="AN1902">
        <v>5.6046251398731117</v>
      </c>
    </row>
    <row r="1903" spans="1:40" x14ac:dyDescent="0.3">
      <c r="A1903" t="s">
        <v>517</v>
      </c>
      <c r="B1903" t="s">
        <v>644</v>
      </c>
      <c r="C1903" t="s">
        <v>10</v>
      </c>
      <c r="D1903" t="s">
        <v>11</v>
      </c>
      <c r="E1903">
        <v>202602</v>
      </c>
      <c r="F1903" t="s">
        <v>134</v>
      </c>
      <c r="G1903">
        <v>0</v>
      </c>
      <c r="H1903">
        <v>0</v>
      </c>
      <c r="I1903">
        <v>0</v>
      </c>
      <c r="J1903">
        <v>0</v>
      </c>
      <c r="K1903">
        <v>0</v>
      </c>
      <c r="L1903">
        <v>1</v>
      </c>
      <c r="M1903">
        <v>0</v>
      </c>
      <c r="N1903">
        <v>0</v>
      </c>
      <c r="O1903">
        <v>0</v>
      </c>
      <c r="P1903">
        <v>0</v>
      </c>
      <c r="Q1903">
        <v>0</v>
      </c>
      <c r="R1903">
        <v>0</v>
      </c>
      <c r="S1903">
        <v>0</v>
      </c>
      <c r="T1903">
        <v>0</v>
      </c>
      <c r="U1903">
        <v>0</v>
      </c>
      <c r="V1903">
        <v>0</v>
      </c>
      <c r="W1903">
        <v>0</v>
      </c>
      <c r="X1903">
        <v>0</v>
      </c>
      <c r="Y1903">
        <v>0</v>
      </c>
      <c r="Z1903">
        <v>0</v>
      </c>
      <c r="AA1903">
        <v>0</v>
      </c>
      <c r="AB1903">
        <v>0</v>
      </c>
      <c r="AC1903">
        <v>0</v>
      </c>
      <c r="AD1903">
        <v>0</v>
      </c>
      <c r="AE1903">
        <v>0</v>
      </c>
      <c r="AF1903">
        <v>0</v>
      </c>
      <c r="AG1903">
        <v>0</v>
      </c>
      <c r="AH1903">
        <v>0</v>
      </c>
      <c r="AI1903">
        <v>0</v>
      </c>
      <c r="AJ1903">
        <v>0</v>
      </c>
      <c r="AK1903">
        <v>0</v>
      </c>
      <c r="AL1903">
        <v>1</v>
      </c>
      <c r="AM1903">
        <v>0</v>
      </c>
      <c r="AN1903">
        <v>1</v>
      </c>
    </row>
    <row r="1904" spans="1:40" x14ac:dyDescent="0.3">
      <c r="A1904" t="s">
        <v>517</v>
      </c>
      <c r="B1904" t="s">
        <v>644</v>
      </c>
      <c r="C1904" t="s">
        <v>10</v>
      </c>
      <c r="D1904" t="s">
        <v>11</v>
      </c>
      <c r="E1904">
        <v>202602</v>
      </c>
      <c r="F1904" t="s">
        <v>225</v>
      </c>
      <c r="G1904">
        <v>0</v>
      </c>
      <c r="H1904">
        <v>0</v>
      </c>
      <c r="I1904">
        <v>0</v>
      </c>
      <c r="J1904">
        <v>0</v>
      </c>
      <c r="K1904">
        <v>1</v>
      </c>
      <c r="L1904">
        <v>1</v>
      </c>
      <c r="M1904">
        <v>0</v>
      </c>
      <c r="N1904">
        <v>0</v>
      </c>
      <c r="O1904">
        <v>0</v>
      </c>
      <c r="P1904">
        <v>0</v>
      </c>
      <c r="Q1904">
        <v>0</v>
      </c>
      <c r="R1904">
        <v>0</v>
      </c>
      <c r="S1904">
        <v>0</v>
      </c>
      <c r="T1904">
        <v>0</v>
      </c>
      <c r="U1904">
        <v>0</v>
      </c>
      <c r="V1904">
        <v>0</v>
      </c>
      <c r="W1904">
        <v>0</v>
      </c>
      <c r="X1904">
        <v>0</v>
      </c>
      <c r="Y1904">
        <v>0</v>
      </c>
      <c r="Z1904">
        <v>0</v>
      </c>
      <c r="AA1904">
        <v>0</v>
      </c>
      <c r="AB1904">
        <v>0</v>
      </c>
      <c r="AC1904">
        <v>0</v>
      </c>
      <c r="AD1904">
        <v>0</v>
      </c>
      <c r="AE1904">
        <v>0</v>
      </c>
      <c r="AF1904">
        <v>0</v>
      </c>
      <c r="AG1904">
        <v>0</v>
      </c>
      <c r="AH1904">
        <v>0</v>
      </c>
      <c r="AI1904">
        <v>0</v>
      </c>
      <c r="AJ1904">
        <v>0</v>
      </c>
      <c r="AK1904">
        <v>0</v>
      </c>
      <c r="AL1904">
        <v>2</v>
      </c>
      <c r="AM1904">
        <v>0</v>
      </c>
      <c r="AN1904">
        <v>2</v>
      </c>
    </row>
    <row r="1905" spans="1:40" x14ac:dyDescent="0.3">
      <c r="A1905" t="s">
        <v>517</v>
      </c>
      <c r="B1905" t="s">
        <v>644</v>
      </c>
      <c r="C1905" t="s">
        <v>10</v>
      </c>
      <c r="D1905" t="s">
        <v>11</v>
      </c>
      <c r="E1905">
        <v>202602</v>
      </c>
      <c r="F1905" t="s">
        <v>322</v>
      </c>
      <c r="G1905">
        <v>0</v>
      </c>
      <c r="H1905">
        <v>0</v>
      </c>
      <c r="I1905">
        <v>0</v>
      </c>
      <c r="J1905">
        <v>0</v>
      </c>
      <c r="K1905">
        <v>0</v>
      </c>
      <c r="L1905">
        <v>0</v>
      </c>
      <c r="M1905">
        <v>0</v>
      </c>
      <c r="N1905">
        <v>0</v>
      </c>
      <c r="O1905">
        <v>1</v>
      </c>
      <c r="P1905">
        <v>0</v>
      </c>
      <c r="Q1905">
        <v>0</v>
      </c>
      <c r="R1905">
        <v>0</v>
      </c>
      <c r="S1905">
        <v>0</v>
      </c>
      <c r="T1905">
        <v>0</v>
      </c>
      <c r="U1905">
        <v>0</v>
      </c>
      <c r="V1905">
        <v>0</v>
      </c>
      <c r="W1905">
        <v>0</v>
      </c>
      <c r="X1905">
        <v>0</v>
      </c>
      <c r="Y1905">
        <v>0</v>
      </c>
      <c r="Z1905">
        <v>0</v>
      </c>
      <c r="AA1905">
        <v>0</v>
      </c>
      <c r="AB1905">
        <v>0</v>
      </c>
      <c r="AC1905">
        <v>0</v>
      </c>
      <c r="AD1905">
        <v>0</v>
      </c>
      <c r="AE1905">
        <v>0</v>
      </c>
      <c r="AF1905">
        <v>0</v>
      </c>
      <c r="AG1905">
        <v>0</v>
      </c>
      <c r="AH1905">
        <v>0</v>
      </c>
      <c r="AI1905">
        <v>0</v>
      </c>
      <c r="AJ1905">
        <v>0</v>
      </c>
      <c r="AK1905">
        <v>0</v>
      </c>
      <c r="AL1905">
        <v>1</v>
      </c>
      <c r="AM1905">
        <v>0.33333333333333331</v>
      </c>
      <c r="AN1905">
        <v>5.6046251398731117</v>
      </c>
    </row>
    <row r="1906" spans="1:40" x14ac:dyDescent="0.3">
      <c r="A1906" t="s">
        <v>517</v>
      </c>
      <c r="B1906" t="s">
        <v>644</v>
      </c>
      <c r="C1906" t="s">
        <v>10</v>
      </c>
      <c r="D1906" t="s">
        <v>11</v>
      </c>
      <c r="E1906">
        <v>202602</v>
      </c>
      <c r="F1906" t="s">
        <v>122</v>
      </c>
      <c r="G1906">
        <v>0</v>
      </c>
      <c r="H1906">
        <v>0</v>
      </c>
      <c r="I1906">
        <v>3</v>
      </c>
      <c r="J1906">
        <v>0</v>
      </c>
      <c r="K1906">
        <v>0</v>
      </c>
      <c r="L1906">
        <v>0</v>
      </c>
      <c r="M1906">
        <v>0</v>
      </c>
      <c r="N1906">
        <v>0</v>
      </c>
      <c r="O1906">
        <v>1</v>
      </c>
      <c r="P1906">
        <v>0</v>
      </c>
      <c r="Q1906">
        <v>0</v>
      </c>
      <c r="R1906">
        <v>0</v>
      </c>
      <c r="S1906">
        <v>0</v>
      </c>
      <c r="T1906">
        <v>0</v>
      </c>
      <c r="U1906">
        <v>0</v>
      </c>
      <c r="V1906">
        <v>0</v>
      </c>
      <c r="W1906">
        <v>0</v>
      </c>
      <c r="X1906">
        <v>0</v>
      </c>
      <c r="Y1906">
        <v>0</v>
      </c>
      <c r="Z1906">
        <v>0</v>
      </c>
      <c r="AA1906">
        <v>0</v>
      </c>
      <c r="AB1906">
        <v>0</v>
      </c>
      <c r="AC1906">
        <v>0</v>
      </c>
      <c r="AD1906">
        <v>0</v>
      </c>
      <c r="AE1906">
        <v>0</v>
      </c>
      <c r="AF1906">
        <v>0</v>
      </c>
      <c r="AG1906">
        <v>0</v>
      </c>
      <c r="AH1906">
        <v>0</v>
      </c>
      <c r="AI1906">
        <v>0</v>
      </c>
      <c r="AJ1906">
        <v>0</v>
      </c>
      <c r="AK1906">
        <v>0</v>
      </c>
      <c r="AL1906">
        <v>4</v>
      </c>
      <c r="AM1906">
        <v>0.33333333333333331</v>
      </c>
      <c r="AN1906">
        <v>8.6046251398731108</v>
      </c>
    </row>
    <row r="1907" spans="1:40" x14ac:dyDescent="0.3">
      <c r="A1907" t="s">
        <v>517</v>
      </c>
      <c r="B1907" t="s">
        <v>644</v>
      </c>
      <c r="C1907" t="s">
        <v>10</v>
      </c>
      <c r="D1907" t="s">
        <v>11</v>
      </c>
      <c r="E1907">
        <v>202602</v>
      </c>
      <c r="F1907" t="s">
        <v>123</v>
      </c>
      <c r="G1907">
        <v>0</v>
      </c>
      <c r="H1907">
        <v>0</v>
      </c>
      <c r="I1907">
        <v>0</v>
      </c>
      <c r="J1907">
        <v>0</v>
      </c>
      <c r="K1907">
        <v>0</v>
      </c>
      <c r="L1907">
        <v>0</v>
      </c>
      <c r="M1907">
        <v>0</v>
      </c>
      <c r="N1907">
        <v>1</v>
      </c>
      <c r="O1907">
        <v>0</v>
      </c>
      <c r="P1907">
        <v>0</v>
      </c>
      <c r="Q1907">
        <v>1</v>
      </c>
      <c r="R1907">
        <v>0</v>
      </c>
      <c r="S1907">
        <v>0</v>
      </c>
      <c r="T1907">
        <v>0</v>
      </c>
      <c r="U1907">
        <v>0</v>
      </c>
      <c r="V1907">
        <v>0</v>
      </c>
      <c r="W1907">
        <v>0</v>
      </c>
      <c r="X1907">
        <v>0</v>
      </c>
      <c r="Y1907">
        <v>0</v>
      </c>
      <c r="Z1907">
        <v>0</v>
      </c>
      <c r="AA1907">
        <v>0</v>
      </c>
      <c r="AB1907">
        <v>0</v>
      </c>
      <c r="AC1907">
        <v>0</v>
      </c>
      <c r="AD1907">
        <v>0</v>
      </c>
      <c r="AE1907">
        <v>0</v>
      </c>
      <c r="AF1907">
        <v>0</v>
      </c>
      <c r="AG1907">
        <v>0</v>
      </c>
      <c r="AH1907">
        <v>0</v>
      </c>
      <c r="AI1907">
        <v>0</v>
      </c>
      <c r="AJ1907">
        <v>0</v>
      </c>
      <c r="AK1907">
        <v>0</v>
      </c>
      <c r="AL1907">
        <v>2</v>
      </c>
      <c r="AM1907">
        <v>0.33333333333333331</v>
      </c>
      <c r="AN1907">
        <v>6.6046251398731117</v>
      </c>
    </row>
    <row r="1908" spans="1:40" x14ac:dyDescent="0.3">
      <c r="A1908" t="s">
        <v>517</v>
      </c>
      <c r="B1908" t="s">
        <v>644</v>
      </c>
      <c r="C1908" t="s">
        <v>10</v>
      </c>
      <c r="D1908" t="s">
        <v>11</v>
      </c>
      <c r="E1908">
        <v>202602</v>
      </c>
      <c r="F1908" t="s">
        <v>124</v>
      </c>
      <c r="G1908">
        <v>0</v>
      </c>
      <c r="H1908">
        <v>0</v>
      </c>
      <c r="I1908">
        <v>0</v>
      </c>
      <c r="J1908">
        <v>0</v>
      </c>
      <c r="K1908">
        <v>2</v>
      </c>
      <c r="L1908">
        <v>0</v>
      </c>
      <c r="M1908">
        <v>0</v>
      </c>
      <c r="N1908">
        <v>0</v>
      </c>
      <c r="O1908">
        <v>0</v>
      </c>
      <c r="P1908">
        <v>1</v>
      </c>
      <c r="Q1908">
        <v>0</v>
      </c>
      <c r="R1908">
        <v>0</v>
      </c>
      <c r="S1908">
        <v>0</v>
      </c>
      <c r="T1908">
        <v>0</v>
      </c>
      <c r="U1908">
        <v>0</v>
      </c>
      <c r="V1908">
        <v>0</v>
      </c>
      <c r="W1908">
        <v>0</v>
      </c>
      <c r="X1908">
        <v>0</v>
      </c>
      <c r="Y1908">
        <v>0</v>
      </c>
      <c r="Z1908">
        <v>0</v>
      </c>
      <c r="AA1908">
        <v>0</v>
      </c>
      <c r="AB1908">
        <v>0</v>
      </c>
      <c r="AC1908">
        <v>0</v>
      </c>
      <c r="AD1908">
        <v>0</v>
      </c>
      <c r="AE1908">
        <v>0</v>
      </c>
      <c r="AF1908">
        <v>0</v>
      </c>
      <c r="AG1908">
        <v>0</v>
      </c>
      <c r="AH1908">
        <v>0</v>
      </c>
      <c r="AI1908">
        <v>0</v>
      </c>
      <c r="AJ1908">
        <v>0</v>
      </c>
      <c r="AK1908">
        <v>0</v>
      </c>
      <c r="AL1908">
        <v>3</v>
      </c>
      <c r="AM1908">
        <v>0.33333333333333331</v>
      </c>
      <c r="AN1908">
        <v>7.6046251398731117</v>
      </c>
    </row>
    <row r="1909" spans="1:40" x14ac:dyDescent="0.3">
      <c r="A1909" t="s">
        <v>517</v>
      </c>
      <c r="B1909" t="s">
        <v>644</v>
      </c>
      <c r="C1909" t="s">
        <v>10</v>
      </c>
      <c r="D1909" t="s">
        <v>11</v>
      </c>
      <c r="E1909">
        <v>202602</v>
      </c>
      <c r="F1909" t="s">
        <v>436</v>
      </c>
      <c r="G1909">
        <v>0</v>
      </c>
      <c r="H1909">
        <v>0</v>
      </c>
      <c r="I1909">
        <v>0</v>
      </c>
      <c r="J1909">
        <v>0</v>
      </c>
      <c r="K1909">
        <v>0</v>
      </c>
      <c r="L1909">
        <v>0</v>
      </c>
      <c r="M1909">
        <v>1</v>
      </c>
      <c r="N1909">
        <v>0</v>
      </c>
      <c r="O1909">
        <v>0</v>
      </c>
      <c r="P1909">
        <v>0</v>
      </c>
      <c r="Q1909">
        <v>0</v>
      </c>
      <c r="R1909">
        <v>0</v>
      </c>
      <c r="S1909">
        <v>0</v>
      </c>
      <c r="T1909">
        <v>0</v>
      </c>
      <c r="U1909">
        <v>0</v>
      </c>
      <c r="V1909">
        <v>0</v>
      </c>
      <c r="W1909">
        <v>0</v>
      </c>
      <c r="X1909">
        <v>0</v>
      </c>
      <c r="Y1909">
        <v>0</v>
      </c>
      <c r="Z1909">
        <v>0</v>
      </c>
      <c r="AA1909">
        <v>0</v>
      </c>
      <c r="AB1909">
        <v>0</v>
      </c>
      <c r="AC1909">
        <v>0</v>
      </c>
      <c r="AD1909">
        <v>0</v>
      </c>
      <c r="AE1909">
        <v>0</v>
      </c>
      <c r="AF1909">
        <v>0</v>
      </c>
      <c r="AG1909">
        <v>0</v>
      </c>
      <c r="AH1909">
        <v>0</v>
      </c>
      <c r="AI1909">
        <v>0</v>
      </c>
      <c r="AJ1909">
        <v>0</v>
      </c>
      <c r="AK1909">
        <v>0</v>
      </c>
      <c r="AL1909">
        <v>1</v>
      </c>
      <c r="AM1909">
        <v>0</v>
      </c>
      <c r="AN1909">
        <v>1</v>
      </c>
    </row>
    <row r="1910" spans="1:40" x14ac:dyDescent="0.3">
      <c r="A1910" t="s">
        <v>517</v>
      </c>
      <c r="B1910" t="s">
        <v>644</v>
      </c>
      <c r="C1910" t="s">
        <v>10</v>
      </c>
      <c r="D1910" t="s">
        <v>11</v>
      </c>
      <c r="E1910">
        <v>202602</v>
      </c>
      <c r="F1910" t="s">
        <v>125</v>
      </c>
      <c r="G1910">
        <v>0</v>
      </c>
      <c r="H1910">
        <v>0</v>
      </c>
      <c r="I1910">
        <v>0</v>
      </c>
      <c r="J1910">
        <v>0</v>
      </c>
      <c r="K1910">
        <v>1</v>
      </c>
      <c r="L1910">
        <v>0</v>
      </c>
      <c r="M1910">
        <v>0</v>
      </c>
      <c r="N1910">
        <v>0</v>
      </c>
      <c r="O1910">
        <v>0</v>
      </c>
      <c r="P1910">
        <v>0</v>
      </c>
      <c r="Q1910">
        <v>0</v>
      </c>
      <c r="R1910">
        <v>0</v>
      </c>
      <c r="S1910">
        <v>0</v>
      </c>
      <c r="T1910">
        <v>0</v>
      </c>
      <c r="U1910">
        <v>0</v>
      </c>
      <c r="V1910">
        <v>0</v>
      </c>
      <c r="W1910">
        <v>0</v>
      </c>
      <c r="X1910">
        <v>0</v>
      </c>
      <c r="Y1910">
        <v>0</v>
      </c>
      <c r="Z1910">
        <v>0</v>
      </c>
      <c r="AA1910">
        <v>0</v>
      </c>
      <c r="AB1910">
        <v>0</v>
      </c>
      <c r="AC1910">
        <v>0</v>
      </c>
      <c r="AD1910">
        <v>0</v>
      </c>
      <c r="AE1910">
        <v>0</v>
      </c>
      <c r="AF1910">
        <v>0</v>
      </c>
      <c r="AG1910">
        <v>0</v>
      </c>
      <c r="AH1910">
        <v>0</v>
      </c>
      <c r="AI1910">
        <v>0</v>
      </c>
      <c r="AJ1910">
        <v>0</v>
      </c>
      <c r="AK1910">
        <v>0</v>
      </c>
      <c r="AL1910">
        <v>1</v>
      </c>
      <c r="AM1910">
        <v>0</v>
      </c>
      <c r="AN1910">
        <v>1</v>
      </c>
    </row>
    <row r="1911" spans="1:40" x14ac:dyDescent="0.3">
      <c r="A1911" t="s">
        <v>517</v>
      </c>
      <c r="B1911" t="s">
        <v>644</v>
      </c>
      <c r="C1911" t="s">
        <v>10</v>
      </c>
      <c r="D1911" t="s">
        <v>11</v>
      </c>
      <c r="E1911">
        <v>202602</v>
      </c>
      <c r="F1911" t="s">
        <v>227</v>
      </c>
      <c r="G1911">
        <v>0</v>
      </c>
      <c r="H1911">
        <v>0</v>
      </c>
      <c r="I1911">
        <v>1</v>
      </c>
      <c r="J1911">
        <v>0</v>
      </c>
      <c r="K1911">
        <v>0</v>
      </c>
      <c r="L1911">
        <v>0</v>
      </c>
      <c r="M1911">
        <v>0</v>
      </c>
      <c r="N1911">
        <v>0</v>
      </c>
      <c r="O1911">
        <v>0</v>
      </c>
      <c r="P1911">
        <v>0</v>
      </c>
      <c r="Q1911">
        <v>0</v>
      </c>
      <c r="R1911">
        <v>0</v>
      </c>
      <c r="S1911">
        <v>0</v>
      </c>
      <c r="T1911">
        <v>0</v>
      </c>
      <c r="U1911">
        <v>0</v>
      </c>
      <c r="V1911">
        <v>0</v>
      </c>
      <c r="W1911">
        <v>0</v>
      </c>
      <c r="X1911">
        <v>0</v>
      </c>
      <c r="Y1911">
        <v>0</v>
      </c>
      <c r="Z1911">
        <v>0</v>
      </c>
      <c r="AA1911">
        <v>0</v>
      </c>
      <c r="AB1911">
        <v>0</v>
      </c>
      <c r="AC1911">
        <v>0</v>
      </c>
      <c r="AD1911">
        <v>0</v>
      </c>
      <c r="AE1911">
        <v>0</v>
      </c>
      <c r="AF1911">
        <v>0</v>
      </c>
      <c r="AG1911">
        <v>0</v>
      </c>
      <c r="AH1911">
        <v>0</v>
      </c>
      <c r="AI1911">
        <v>0</v>
      </c>
      <c r="AJ1911">
        <v>0</v>
      </c>
      <c r="AK1911">
        <v>0</v>
      </c>
      <c r="AL1911">
        <v>1</v>
      </c>
      <c r="AM1911">
        <v>0</v>
      </c>
      <c r="AN1911">
        <v>1</v>
      </c>
    </row>
    <row r="1912" spans="1:40" x14ac:dyDescent="0.3">
      <c r="A1912" t="s">
        <v>517</v>
      </c>
      <c r="B1912" t="s">
        <v>644</v>
      </c>
      <c r="C1912" t="s">
        <v>10</v>
      </c>
      <c r="D1912" t="s">
        <v>14</v>
      </c>
      <c r="E1912">
        <v>202602</v>
      </c>
      <c r="F1912" t="s">
        <v>56</v>
      </c>
      <c r="G1912">
        <v>0</v>
      </c>
      <c r="H1912">
        <v>0</v>
      </c>
      <c r="I1912">
        <v>0</v>
      </c>
      <c r="J1912">
        <v>1</v>
      </c>
      <c r="K1912">
        <v>0</v>
      </c>
      <c r="L1912">
        <v>0</v>
      </c>
      <c r="M1912">
        <v>0</v>
      </c>
      <c r="N1912">
        <v>0</v>
      </c>
      <c r="O1912">
        <v>2</v>
      </c>
      <c r="P1912">
        <v>0</v>
      </c>
      <c r="Q1912">
        <v>0</v>
      </c>
      <c r="R1912">
        <v>0</v>
      </c>
      <c r="S1912">
        <v>0</v>
      </c>
      <c r="T1912">
        <v>0</v>
      </c>
      <c r="U1912">
        <v>0</v>
      </c>
      <c r="V1912">
        <v>0</v>
      </c>
      <c r="W1912">
        <v>0</v>
      </c>
      <c r="X1912">
        <v>0</v>
      </c>
      <c r="Y1912">
        <v>0</v>
      </c>
      <c r="Z1912">
        <v>0</v>
      </c>
      <c r="AA1912">
        <v>0</v>
      </c>
      <c r="AB1912">
        <v>0</v>
      </c>
      <c r="AC1912">
        <v>0</v>
      </c>
      <c r="AD1912">
        <v>0</v>
      </c>
      <c r="AE1912">
        <v>0</v>
      </c>
      <c r="AF1912">
        <v>0</v>
      </c>
      <c r="AG1912">
        <v>0</v>
      </c>
      <c r="AH1912">
        <v>0</v>
      </c>
      <c r="AI1912">
        <v>0</v>
      </c>
      <c r="AJ1912">
        <v>0</v>
      </c>
      <c r="AK1912">
        <v>0</v>
      </c>
      <c r="AL1912">
        <v>3</v>
      </c>
      <c r="AM1912">
        <v>0.66666666666666663</v>
      </c>
      <c r="AN1912">
        <v>11.083482142857227</v>
      </c>
    </row>
    <row r="1913" spans="1:40" x14ac:dyDescent="0.3">
      <c r="A1913" t="s">
        <v>517</v>
      </c>
      <c r="B1913" t="s">
        <v>644</v>
      </c>
      <c r="C1913" t="s">
        <v>10</v>
      </c>
      <c r="D1913" t="s">
        <v>14</v>
      </c>
      <c r="E1913">
        <v>202602</v>
      </c>
      <c r="F1913" t="s">
        <v>110</v>
      </c>
      <c r="G1913">
        <v>0</v>
      </c>
      <c r="H1913">
        <v>0</v>
      </c>
      <c r="I1913">
        <v>0</v>
      </c>
      <c r="J1913">
        <v>0</v>
      </c>
      <c r="K1913">
        <v>1</v>
      </c>
      <c r="L1913">
        <v>0</v>
      </c>
      <c r="M1913">
        <v>0</v>
      </c>
      <c r="N1913">
        <v>0</v>
      </c>
      <c r="O1913">
        <v>1</v>
      </c>
      <c r="P1913">
        <v>0</v>
      </c>
      <c r="Q1913">
        <v>1</v>
      </c>
      <c r="R1913">
        <v>0</v>
      </c>
      <c r="S1913">
        <v>0</v>
      </c>
      <c r="T1913">
        <v>0</v>
      </c>
      <c r="U1913">
        <v>0</v>
      </c>
      <c r="V1913">
        <v>0</v>
      </c>
      <c r="W1913">
        <v>0</v>
      </c>
      <c r="X1913">
        <v>0</v>
      </c>
      <c r="Y1913">
        <v>0</v>
      </c>
      <c r="Z1913">
        <v>0</v>
      </c>
      <c r="AA1913">
        <v>0</v>
      </c>
      <c r="AB1913">
        <v>0</v>
      </c>
      <c r="AC1913">
        <v>0</v>
      </c>
      <c r="AD1913">
        <v>0</v>
      </c>
      <c r="AE1913">
        <v>0</v>
      </c>
      <c r="AF1913">
        <v>0</v>
      </c>
      <c r="AG1913">
        <v>0</v>
      </c>
      <c r="AH1913">
        <v>0</v>
      </c>
      <c r="AI1913">
        <v>0</v>
      </c>
      <c r="AJ1913">
        <v>0</v>
      </c>
      <c r="AK1913">
        <v>0</v>
      </c>
      <c r="AL1913">
        <v>3</v>
      </c>
      <c r="AM1913">
        <v>0.66666666666666663</v>
      </c>
      <c r="AN1913">
        <v>11.083482142857227</v>
      </c>
    </row>
    <row r="1914" spans="1:40" x14ac:dyDescent="0.3">
      <c r="A1914" t="s">
        <v>517</v>
      </c>
      <c r="B1914" t="s">
        <v>644</v>
      </c>
      <c r="C1914" t="s">
        <v>10</v>
      </c>
      <c r="D1914" t="s">
        <v>14</v>
      </c>
      <c r="E1914">
        <v>202602</v>
      </c>
      <c r="F1914" t="s">
        <v>111</v>
      </c>
      <c r="G1914">
        <v>0</v>
      </c>
      <c r="H1914">
        <v>1</v>
      </c>
      <c r="I1914">
        <v>1</v>
      </c>
      <c r="J1914">
        <v>0</v>
      </c>
      <c r="K1914">
        <v>1</v>
      </c>
      <c r="L1914">
        <v>1</v>
      </c>
      <c r="M1914">
        <v>1</v>
      </c>
      <c r="N1914">
        <v>0</v>
      </c>
      <c r="O1914">
        <v>0</v>
      </c>
      <c r="P1914">
        <v>2</v>
      </c>
      <c r="Q1914">
        <v>2</v>
      </c>
      <c r="R1914">
        <v>0</v>
      </c>
      <c r="S1914">
        <v>0</v>
      </c>
      <c r="T1914">
        <v>0</v>
      </c>
      <c r="U1914">
        <v>0</v>
      </c>
      <c r="V1914">
        <v>0</v>
      </c>
      <c r="W1914">
        <v>0</v>
      </c>
      <c r="X1914">
        <v>0</v>
      </c>
      <c r="Y1914">
        <v>0</v>
      </c>
      <c r="Z1914">
        <v>0</v>
      </c>
      <c r="AA1914">
        <v>0</v>
      </c>
      <c r="AB1914">
        <v>0</v>
      </c>
      <c r="AC1914">
        <v>0</v>
      </c>
      <c r="AD1914">
        <v>0</v>
      </c>
      <c r="AE1914">
        <v>0</v>
      </c>
      <c r="AF1914">
        <v>0</v>
      </c>
      <c r="AG1914">
        <v>0</v>
      </c>
      <c r="AH1914">
        <v>0</v>
      </c>
      <c r="AI1914">
        <v>0</v>
      </c>
      <c r="AJ1914">
        <v>0</v>
      </c>
      <c r="AK1914">
        <v>0</v>
      </c>
      <c r="AL1914">
        <v>9</v>
      </c>
      <c r="AM1914">
        <v>1.3333333333333333</v>
      </c>
      <c r="AN1914">
        <v>25.166964285714453</v>
      </c>
    </row>
    <row r="1915" spans="1:40" x14ac:dyDescent="0.3">
      <c r="A1915" t="s">
        <v>517</v>
      </c>
      <c r="B1915" t="s">
        <v>644</v>
      </c>
      <c r="C1915" t="s">
        <v>10</v>
      </c>
      <c r="D1915" t="s">
        <v>14</v>
      </c>
      <c r="E1915">
        <v>202602</v>
      </c>
      <c r="F1915" t="s">
        <v>61</v>
      </c>
      <c r="G1915">
        <v>0</v>
      </c>
      <c r="H1915">
        <v>0</v>
      </c>
      <c r="I1915">
        <v>1</v>
      </c>
      <c r="J1915">
        <v>0</v>
      </c>
      <c r="K1915">
        <v>0</v>
      </c>
      <c r="L1915">
        <v>1</v>
      </c>
      <c r="M1915">
        <v>0</v>
      </c>
      <c r="N1915">
        <v>0</v>
      </c>
      <c r="O1915">
        <v>1</v>
      </c>
      <c r="P1915">
        <v>1</v>
      </c>
      <c r="Q1915">
        <v>4</v>
      </c>
      <c r="R1915">
        <v>0</v>
      </c>
      <c r="S1915">
        <v>0</v>
      </c>
      <c r="T1915">
        <v>0</v>
      </c>
      <c r="U1915">
        <v>0</v>
      </c>
      <c r="V1915">
        <v>0</v>
      </c>
      <c r="W1915">
        <v>0</v>
      </c>
      <c r="X1915">
        <v>0</v>
      </c>
      <c r="Y1915">
        <v>0</v>
      </c>
      <c r="Z1915">
        <v>0</v>
      </c>
      <c r="AA1915">
        <v>0</v>
      </c>
      <c r="AB1915">
        <v>0</v>
      </c>
      <c r="AC1915">
        <v>0</v>
      </c>
      <c r="AD1915">
        <v>0</v>
      </c>
      <c r="AE1915">
        <v>0</v>
      </c>
      <c r="AF1915">
        <v>0</v>
      </c>
      <c r="AG1915">
        <v>0</v>
      </c>
      <c r="AH1915">
        <v>0</v>
      </c>
      <c r="AI1915">
        <v>0</v>
      </c>
      <c r="AJ1915">
        <v>0</v>
      </c>
      <c r="AK1915">
        <v>0</v>
      </c>
      <c r="AL1915">
        <v>8</v>
      </c>
      <c r="AM1915">
        <v>2</v>
      </c>
      <c r="AN1915">
        <v>32.250446428571678</v>
      </c>
    </row>
    <row r="1916" spans="1:40" x14ac:dyDescent="0.3">
      <c r="A1916" t="s">
        <v>517</v>
      </c>
      <c r="B1916" t="s">
        <v>644</v>
      </c>
      <c r="C1916" t="s">
        <v>10</v>
      </c>
      <c r="D1916" t="s">
        <v>14</v>
      </c>
      <c r="E1916">
        <v>202602</v>
      </c>
      <c r="F1916" t="s">
        <v>112</v>
      </c>
      <c r="G1916">
        <v>0</v>
      </c>
      <c r="H1916">
        <v>2</v>
      </c>
      <c r="I1916">
        <v>0</v>
      </c>
      <c r="J1916">
        <v>1</v>
      </c>
      <c r="K1916">
        <v>3</v>
      </c>
      <c r="L1916">
        <v>1</v>
      </c>
      <c r="M1916">
        <v>0</v>
      </c>
      <c r="N1916">
        <v>0</v>
      </c>
      <c r="O1916">
        <v>3</v>
      </c>
      <c r="P1916">
        <v>1</v>
      </c>
      <c r="Q1916">
        <v>1</v>
      </c>
      <c r="R1916">
        <v>0</v>
      </c>
      <c r="S1916">
        <v>0</v>
      </c>
      <c r="T1916">
        <v>0</v>
      </c>
      <c r="U1916">
        <v>0</v>
      </c>
      <c r="V1916">
        <v>0</v>
      </c>
      <c r="W1916">
        <v>0</v>
      </c>
      <c r="X1916">
        <v>0</v>
      </c>
      <c r="Y1916">
        <v>0</v>
      </c>
      <c r="Z1916">
        <v>0</v>
      </c>
      <c r="AA1916">
        <v>0</v>
      </c>
      <c r="AB1916">
        <v>0</v>
      </c>
      <c r="AC1916">
        <v>0</v>
      </c>
      <c r="AD1916">
        <v>0</v>
      </c>
      <c r="AE1916">
        <v>0</v>
      </c>
      <c r="AF1916">
        <v>0</v>
      </c>
      <c r="AG1916">
        <v>0</v>
      </c>
      <c r="AH1916">
        <v>0</v>
      </c>
      <c r="AI1916">
        <v>0</v>
      </c>
      <c r="AJ1916">
        <v>0</v>
      </c>
      <c r="AK1916">
        <v>0</v>
      </c>
      <c r="AL1916">
        <v>12</v>
      </c>
      <c r="AM1916">
        <v>1.6666666666666667</v>
      </c>
      <c r="AN1916">
        <v>32.20870535714306</v>
      </c>
    </row>
    <row r="1917" spans="1:40" x14ac:dyDescent="0.3">
      <c r="A1917" t="s">
        <v>517</v>
      </c>
      <c r="B1917" t="s">
        <v>644</v>
      </c>
      <c r="C1917" t="s">
        <v>10</v>
      </c>
      <c r="D1917" t="s">
        <v>14</v>
      </c>
      <c r="E1917">
        <v>202602</v>
      </c>
      <c r="F1917" t="s">
        <v>366</v>
      </c>
      <c r="G1917">
        <v>1</v>
      </c>
      <c r="H1917">
        <v>0</v>
      </c>
      <c r="I1917">
        <v>0</v>
      </c>
      <c r="J1917">
        <v>0</v>
      </c>
      <c r="K1917">
        <v>0</v>
      </c>
      <c r="L1917">
        <v>0</v>
      </c>
      <c r="M1917">
        <v>0</v>
      </c>
      <c r="N1917">
        <v>0</v>
      </c>
      <c r="O1917">
        <v>0</v>
      </c>
      <c r="P1917">
        <v>0</v>
      </c>
      <c r="Q1917">
        <v>2</v>
      </c>
      <c r="R1917">
        <v>0</v>
      </c>
      <c r="S1917">
        <v>0</v>
      </c>
      <c r="T1917">
        <v>0</v>
      </c>
      <c r="U1917">
        <v>0</v>
      </c>
      <c r="V1917">
        <v>0</v>
      </c>
      <c r="W1917">
        <v>0</v>
      </c>
      <c r="X1917">
        <v>0</v>
      </c>
      <c r="Y1917">
        <v>0</v>
      </c>
      <c r="Z1917">
        <v>0</v>
      </c>
      <c r="AA1917">
        <v>0</v>
      </c>
      <c r="AB1917">
        <v>0</v>
      </c>
      <c r="AC1917">
        <v>0</v>
      </c>
      <c r="AD1917">
        <v>0</v>
      </c>
      <c r="AE1917">
        <v>0</v>
      </c>
      <c r="AF1917">
        <v>0</v>
      </c>
      <c r="AG1917">
        <v>0</v>
      </c>
      <c r="AH1917">
        <v>0</v>
      </c>
      <c r="AI1917">
        <v>0</v>
      </c>
      <c r="AJ1917">
        <v>0</v>
      </c>
      <c r="AK1917">
        <v>0</v>
      </c>
      <c r="AL1917">
        <v>3</v>
      </c>
      <c r="AM1917">
        <v>0.66666666666666663</v>
      </c>
      <c r="AN1917">
        <v>11.083482142857227</v>
      </c>
    </row>
    <row r="1918" spans="1:40" x14ac:dyDescent="0.3">
      <c r="A1918" t="s">
        <v>517</v>
      </c>
      <c r="B1918" t="s">
        <v>644</v>
      </c>
      <c r="C1918" t="s">
        <v>10</v>
      </c>
      <c r="D1918" t="s">
        <v>14</v>
      </c>
      <c r="E1918">
        <v>202602</v>
      </c>
      <c r="F1918" t="s">
        <v>279</v>
      </c>
      <c r="G1918">
        <v>0</v>
      </c>
      <c r="H1918">
        <v>0</v>
      </c>
      <c r="I1918">
        <v>1</v>
      </c>
      <c r="J1918">
        <v>0</v>
      </c>
      <c r="K1918">
        <v>1</v>
      </c>
      <c r="L1918">
        <v>0</v>
      </c>
      <c r="M1918">
        <v>0</v>
      </c>
      <c r="N1918">
        <v>0</v>
      </c>
      <c r="O1918">
        <v>0</v>
      </c>
      <c r="P1918">
        <v>0</v>
      </c>
      <c r="Q1918">
        <v>0</v>
      </c>
      <c r="R1918">
        <v>0</v>
      </c>
      <c r="S1918">
        <v>0</v>
      </c>
      <c r="T1918">
        <v>0</v>
      </c>
      <c r="U1918">
        <v>0</v>
      </c>
      <c r="V1918">
        <v>0</v>
      </c>
      <c r="W1918">
        <v>0</v>
      </c>
      <c r="X1918">
        <v>0</v>
      </c>
      <c r="Y1918">
        <v>0</v>
      </c>
      <c r="Z1918">
        <v>0</v>
      </c>
      <c r="AA1918">
        <v>0</v>
      </c>
      <c r="AB1918">
        <v>0</v>
      </c>
      <c r="AC1918">
        <v>0</v>
      </c>
      <c r="AD1918">
        <v>0</v>
      </c>
      <c r="AE1918">
        <v>0</v>
      </c>
      <c r="AF1918">
        <v>0</v>
      </c>
      <c r="AG1918">
        <v>0</v>
      </c>
      <c r="AH1918">
        <v>0</v>
      </c>
      <c r="AI1918">
        <v>0</v>
      </c>
      <c r="AJ1918">
        <v>0</v>
      </c>
      <c r="AK1918">
        <v>0</v>
      </c>
      <c r="AL1918">
        <v>2</v>
      </c>
      <c r="AM1918">
        <v>0</v>
      </c>
      <c r="AN1918">
        <v>2</v>
      </c>
    </row>
    <row r="1919" spans="1:40" x14ac:dyDescent="0.3">
      <c r="A1919" t="s">
        <v>517</v>
      </c>
      <c r="B1919" t="s">
        <v>644</v>
      </c>
      <c r="C1919" t="s">
        <v>10</v>
      </c>
      <c r="D1919" t="s">
        <v>14</v>
      </c>
      <c r="E1919">
        <v>202602</v>
      </c>
      <c r="F1919" t="s">
        <v>114</v>
      </c>
      <c r="G1919">
        <v>0</v>
      </c>
      <c r="H1919">
        <v>8</v>
      </c>
      <c r="I1919">
        <v>4</v>
      </c>
      <c r="J1919">
        <v>9</v>
      </c>
      <c r="K1919">
        <v>5</v>
      </c>
      <c r="L1919">
        <v>8</v>
      </c>
      <c r="M1919">
        <v>2</v>
      </c>
      <c r="N1919">
        <v>0</v>
      </c>
      <c r="O1919">
        <v>6</v>
      </c>
      <c r="P1919">
        <v>10</v>
      </c>
      <c r="Q1919">
        <v>10</v>
      </c>
      <c r="R1919">
        <v>0</v>
      </c>
      <c r="S1919">
        <v>0</v>
      </c>
      <c r="T1919">
        <v>0</v>
      </c>
      <c r="U1919">
        <v>0</v>
      </c>
      <c r="V1919">
        <v>0</v>
      </c>
      <c r="W1919">
        <v>0</v>
      </c>
      <c r="X1919">
        <v>0</v>
      </c>
      <c r="Y1919">
        <v>0</v>
      </c>
      <c r="Z1919">
        <v>0</v>
      </c>
      <c r="AA1919">
        <v>0</v>
      </c>
      <c r="AB1919">
        <v>0</v>
      </c>
      <c r="AC1919">
        <v>0</v>
      </c>
      <c r="AD1919">
        <v>0</v>
      </c>
      <c r="AE1919">
        <v>0</v>
      </c>
      <c r="AF1919">
        <v>0</v>
      </c>
      <c r="AG1919">
        <v>0</v>
      </c>
      <c r="AH1919">
        <v>0</v>
      </c>
      <c r="AI1919">
        <v>0</v>
      </c>
      <c r="AJ1919">
        <v>0</v>
      </c>
      <c r="AK1919">
        <v>0</v>
      </c>
      <c r="AL1919">
        <v>62</v>
      </c>
      <c r="AM1919">
        <v>8.6666666666666661</v>
      </c>
      <c r="AN1919">
        <v>167.08526785714395</v>
      </c>
    </row>
    <row r="1920" spans="1:40" x14ac:dyDescent="0.3">
      <c r="A1920" t="s">
        <v>517</v>
      </c>
      <c r="B1920" t="s">
        <v>644</v>
      </c>
      <c r="C1920" t="s">
        <v>10</v>
      </c>
      <c r="D1920" t="s">
        <v>14</v>
      </c>
      <c r="E1920">
        <v>202602</v>
      </c>
      <c r="F1920" t="s">
        <v>129</v>
      </c>
      <c r="G1920">
        <v>0</v>
      </c>
      <c r="H1920">
        <v>0</v>
      </c>
      <c r="I1920">
        <v>0</v>
      </c>
      <c r="J1920">
        <v>1</v>
      </c>
      <c r="K1920">
        <v>0</v>
      </c>
      <c r="L1920">
        <v>1</v>
      </c>
      <c r="M1920">
        <v>0</v>
      </c>
      <c r="N1920">
        <v>0</v>
      </c>
      <c r="O1920">
        <v>0</v>
      </c>
      <c r="P1920">
        <v>0</v>
      </c>
      <c r="Q1920">
        <v>1</v>
      </c>
      <c r="R1920">
        <v>0</v>
      </c>
      <c r="S1920">
        <v>0</v>
      </c>
      <c r="T1920">
        <v>0</v>
      </c>
      <c r="U1920">
        <v>0</v>
      </c>
      <c r="V1920">
        <v>0</v>
      </c>
      <c r="W1920">
        <v>0</v>
      </c>
      <c r="X1920">
        <v>0</v>
      </c>
      <c r="Y1920">
        <v>0</v>
      </c>
      <c r="Z1920">
        <v>0</v>
      </c>
      <c r="AA1920">
        <v>0</v>
      </c>
      <c r="AB1920">
        <v>0</v>
      </c>
      <c r="AC1920">
        <v>0</v>
      </c>
      <c r="AD1920">
        <v>0</v>
      </c>
      <c r="AE1920">
        <v>0</v>
      </c>
      <c r="AF1920">
        <v>0</v>
      </c>
      <c r="AG1920">
        <v>0</v>
      </c>
      <c r="AH1920">
        <v>0</v>
      </c>
      <c r="AI1920">
        <v>0</v>
      </c>
      <c r="AJ1920">
        <v>0</v>
      </c>
      <c r="AK1920">
        <v>0</v>
      </c>
      <c r="AL1920">
        <v>3</v>
      </c>
      <c r="AM1920">
        <v>0.33333333333333331</v>
      </c>
      <c r="AN1920">
        <v>7.0417410714286133</v>
      </c>
    </row>
    <row r="1921" spans="1:40" x14ac:dyDescent="0.3">
      <c r="A1921" t="s">
        <v>517</v>
      </c>
      <c r="B1921" t="s">
        <v>644</v>
      </c>
      <c r="C1921" t="s">
        <v>10</v>
      </c>
      <c r="D1921" t="s">
        <v>14</v>
      </c>
      <c r="E1921">
        <v>202602</v>
      </c>
      <c r="F1921" t="s">
        <v>115</v>
      </c>
      <c r="G1921">
        <v>0</v>
      </c>
      <c r="H1921">
        <v>1</v>
      </c>
      <c r="I1921">
        <v>0</v>
      </c>
      <c r="J1921">
        <v>2</v>
      </c>
      <c r="K1921">
        <v>1</v>
      </c>
      <c r="L1921">
        <v>0</v>
      </c>
      <c r="M1921">
        <v>0</v>
      </c>
      <c r="N1921">
        <v>0</v>
      </c>
      <c r="O1921">
        <v>0</v>
      </c>
      <c r="P1921">
        <v>0</v>
      </c>
      <c r="Q1921">
        <v>0</v>
      </c>
      <c r="R1921">
        <v>0</v>
      </c>
      <c r="S1921">
        <v>0</v>
      </c>
      <c r="T1921">
        <v>0</v>
      </c>
      <c r="U1921">
        <v>0</v>
      </c>
      <c r="V1921">
        <v>0</v>
      </c>
      <c r="W1921">
        <v>0</v>
      </c>
      <c r="X1921">
        <v>0</v>
      </c>
      <c r="Y1921">
        <v>0</v>
      </c>
      <c r="Z1921">
        <v>0</v>
      </c>
      <c r="AA1921">
        <v>0</v>
      </c>
      <c r="AB1921">
        <v>0</v>
      </c>
      <c r="AC1921">
        <v>0</v>
      </c>
      <c r="AD1921">
        <v>0</v>
      </c>
      <c r="AE1921">
        <v>0</v>
      </c>
      <c r="AF1921">
        <v>0</v>
      </c>
      <c r="AG1921">
        <v>0</v>
      </c>
      <c r="AH1921">
        <v>0</v>
      </c>
      <c r="AI1921">
        <v>0</v>
      </c>
      <c r="AJ1921">
        <v>0</v>
      </c>
      <c r="AK1921">
        <v>0</v>
      </c>
      <c r="AL1921">
        <v>4</v>
      </c>
      <c r="AM1921">
        <v>0</v>
      </c>
      <c r="AN1921">
        <v>4</v>
      </c>
    </row>
    <row r="1922" spans="1:40" x14ac:dyDescent="0.3">
      <c r="A1922" t="s">
        <v>517</v>
      </c>
      <c r="B1922" t="s">
        <v>644</v>
      </c>
      <c r="C1922" t="s">
        <v>10</v>
      </c>
      <c r="D1922" t="s">
        <v>14</v>
      </c>
      <c r="E1922">
        <v>202602</v>
      </c>
      <c r="F1922" t="s">
        <v>116</v>
      </c>
      <c r="G1922">
        <v>0</v>
      </c>
      <c r="H1922">
        <v>0</v>
      </c>
      <c r="I1922">
        <v>0</v>
      </c>
      <c r="J1922">
        <v>0</v>
      </c>
      <c r="K1922">
        <v>0</v>
      </c>
      <c r="L1922">
        <v>0</v>
      </c>
      <c r="M1922">
        <v>0</v>
      </c>
      <c r="N1922">
        <v>0</v>
      </c>
      <c r="O1922">
        <v>0</v>
      </c>
      <c r="P1922">
        <v>1</v>
      </c>
      <c r="Q1922">
        <v>0</v>
      </c>
      <c r="R1922">
        <v>0</v>
      </c>
      <c r="S1922">
        <v>0</v>
      </c>
      <c r="T1922">
        <v>0</v>
      </c>
      <c r="U1922">
        <v>0</v>
      </c>
      <c r="V1922">
        <v>0</v>
      </c>
      <c r="W1922">
        <v>0</v>
      </c>
      <c r="X1922">
        <v>0</v>
      </c>
      <c r="Y1922">
        <v>0</v>
      </c>
      <c r="Z1922">
        <v>0</v>
      </c>
      <c r="AA1922">
        <v>0</v>
      </c>
      <c r="AB1922">
        <v>0</v>
      </c>
      <c r="AC1922">
        <v>0</v>
      </c>
      <c r="AD1922">
        <v>0</v>
      </c>
      <c r="AE1922">
        <v>0</v>
      </c>
      <c r="AF1922">
        <v>0</v>
      </c>
      <c r="AG1922">
        <v>0</v>
      </c>
      <c r="AH1922">
        <v>0</v>
      </c>
      <c r="AI1922">
        <v>0</v>
      </c>
      <c r="AJ1922">
        <v>0</v>
      </c>
      <c r="AK1922">
        <v>0</v>
      </c>
      <c r="AL1922">
        <v>1</v>
      </c>
      <c r="AM1922">
        <v>0.33333333333333331</v>
      </c>
      <c r="AN1922">
        <v>5.0417410714286133</v>
      </c>
    </row>
    <row r="1923" spans="1:40" x14ac:dyDescent="0.3">
      <c r="A1923" t="s">
        <v>517</v>
      </c>
      <c r="B1923" t="s">
        <v>644</v>
      </c>
      <c r="C1923" t="s">
        <v>10</v>
      </c>
      <c r="D1923" t="s">
        <v>14</v>
      </c>
      <c r="E1923">
        <v>202602</v>
      </c>
      <c r="F1923" t="s">
        <v>117</v>
      </c>
      <c r="G1923">
        <v>0</v>
      </c>
      <c r="H1923">
        <v>0</v>
      </c>
      <c r="I1923">
        <v>1</v>
      </c>
      <c r="J1923">
        <v>0</v>
      </c>
      <c r="K1923">
        <v>1</v>
      </c>
      <c r="L1923">
        <v>0</v>
      </c>
      <c r="M1923">
        <v>0</v>
      </c>
      <c r="N1923">
        <v>0</v>
      </c>
      <c r="O1923">
        <v>2</v>
      </c>
      <c r="P1923">
        <v>1</v>
      </c>
      <c r="Q1923">
        <v>0</v>
      </c>
      <c r="R1923">
        <v>0</v>
      </c>
      <c r="S1923">
        <v>0</v>
      </c>
      <c r="T1923">
        <v>0</v>
      </c>
      <c r="U1923">
        <v>0</v>
      </c>
      <c r="V1923">
        <v>0</v>
      </c>
      <c r="W1923">
        <v>0</v>
      </c>
      <c r="X1923">
        <v>0</v>
      </c>
      <c r="Y1923">
        <v>0</v>
      </c>
      <c r="Z1923">
        <v>0</v>
      </c>
      <c r="AA1923">
        <v>0</v>
      </c>
      <c r="AB1923">
        <v>0</v>
      </c>
      <c r="AC1923">
        <v>0</v>
      </c>
      <c r="AD1923">
        <v>0</v>
      </c>
      <c r="AE1923">
        <v>0</v>
      </c>
      <c r="AF1923">
        <v>0</v>
      </c>
      <c r="AG1923">
        <v>0</v>
      </c>
      <c r="AH1923">
        <v>0</v>
      </c>
      <c r="AI1923">
        <v>0</v>
      </c>
      <c r="AJ1923">
        <v>0</v>
      </c>
      <c r="AK1923">
        <v>0</v>
      </c>
      <c r="AL1923">
        <v>5</v>
      </c>
      <c r="AM1923">
        <v>1</v>
      </c>
      <c r="AN1923">
        <v>17.125223214285839</v>
      </c>
    </row>
    <row r="1924" spans="1:40" x14ac:dyDescent="0.3">
      <c r="A1924" t="s">
        <v>517</v>
      </c>
      <c r="B1924" t="s">
        <v>644</v>
      </c>
      <c r="C1924" t="s">
        <v>10</v>
      </c>
      <c r="D1924" t="s">
        <v>14</v>
      </c>
      <c r="E1924">
        <v>202602</v>
      </c>
      <c r="F1924" t="s">
        <v>118</v>
      </c>
      <c r="G1924">
        <v>0</v>
      </c>
      <c r="H1924">
        <v>5</v>
      </c>
      <c r="I1924">
        <v>4</v>
      </c>
      <c r="J1924">
        <v>4</v>
      </c>
      <c r="K1924">
        <v>6</v>
      </c>
      <c r="L1924">
        <v>4</v>
      </c>
      <c r="M1924">
        <v>0</v>
      </c>
      <c r="N1924">
        <v>0</v>
      </c>
      <c r="O1924">
        <v>7</v>
      </c>
      <c r="P1924">
        <v>5</v>
      </c>
      <c r="Q1924">
        <v>2</v>
      </c>
      <c r="R1924">
        <v>0</v>
      </c>
      <c r="S1924">
        <v>0</v>
      </c>
      <c r="T1924">
        <v>0</v>
      </c>
      <c r="U1924">
        <v>0</v>
      </c>
      <c r="V1924">
        <v>0</v>
      </c>
      <c r="W1924">
        <v>0</v>
      </c>
      <c r="X1924">
        <v>0</v>
      </c>
      <c r="Y1924">
        <v>0</v>
      </c>
      <c r="Z1924">
        <v>0</v>
      </c>
      <c r="AA1924">
        <v>0</v>
      </c>
      <c r="AB1924">
        <v>0</v>
      </c>
      <c r="AC1924">
        <v>0</v>
      </c>
      <c r="AD1924">
        <v>0</v>
      </c>
      <c r="AE1924">
        <v>0</v>
      </c>
      <c r="AF1924">
        <v>0</v>
      </c>
      <c r="AG1924">
        <v>0</v>
      </c>
      <c r="AH1924">
        <v>0</v>
      </c>
      <c r="AI1924">
        <v>0</v>
      </c>
      <c r="AJ1924">
        <v>0</v>
      </c>
      <c r="AK1924">
        <v>0</v>
      </c>
      <c r="AL1924">
        <v>37</v>
      </c>
      <c r="AM1924">
        <v>4.666666666666667</v>
      </c>
      <c r="AN1924">
        <v>93.584375000000591</v>
      </c>
    </row>
    <row r="1925" spans="1:40" x14ac:dyDescent="0.3">
      <c r="A1925" t="s">
        <v>517</v>
      </c>
      <c r="B1925" t="s">
        <v>644</v>
      </c>
      <c r="C1925" t="s">
        <v>10</v>
      </c>
      <c r="D1925" t="s">
        <v>14</v>
      </c>
      <c r="E1925">
        <v>202602</v>
      </c>
      <c r="F1925" t="s">
        <v>321</v>
      </c>
      <c r="G1925">
        <v>0</v>
      </c>
      <c r="H1925">
        <v>1</v>
      </c>
      <c r="I1925">
        <v>0</v>
      </c>
      <c r="J1925">
        <v>0</v>
      </c>
      <c r="K1925">
        <v>1</v>
      </c>
      <c r="L1925">
        <v>1</v>
      </c>
      <c r="M1925">
        <v>0</v>
      </c>
      <c r="N1925">
        <v>0</v>
      </c>
      <c r="O1925">
        <v>0</v>
      </c>
      <c r="P1925">
        <v>0</v>
      </c>
      <c r="Q1925">
        <v>1</v>
      </c>
      <c r="R1925">
        <v>0</v>
      </c>
      <c r="S1925">
        <v>0</v>
      </c>
      <c r="T1925">
        <v>0</v>
      </c>
      <c r="U1925">
        <v>0</v>
      </c>
      <c r="V1925">
        <v>0</v>
      </c>
      <c r="W1925">
        <v>0</v>
      </c>
      <c r="X1925">
        <v>0</v>
      </c>
      <c r="Y1925">
        <v>0</v>
      </c>
      <c r="Z1925">
        <v>0</v>
      </c>
      <c r="AA1925">
        <v>0</v>
      </c>
      <c r="AB1925">
        <v>0</v>
      </c>
      <c r="AC1925">
        <v>0</v>
      </c>
      <c r="AD1925">
        <v>0</v>
      </c>
      <c r="AE1925">
        <v>0</v>
      </c>
      <c r="AF1925">
        <v>0</v>
      </c>
      <c r="AG1925">
        <v>0</v>
      </c>
      <c r="AH1925">
        <v>0</v>
      </c>
      <c r="AI1925">
        <v>0</v>
      </c>
      <c r="AJ1925">
        <v>0</v>
      </c>
      <c r="AK1925">
        <v>0</v>
      </c>
      <c r="AL1925">
        <v>4</v>
      </c>
      <c r="AM1925">
        <v>0.33333333333333331</v>
      </c>
      <c r="AN1925">
        <v>8.0417410714286142</v>
      </c>
    </row>
    <row r="1926" spans="1:40" x14ac:dyDescent="0.3">
      <c r="A1926" t="s">
        <v>517</v>
      </c>
      <c r="B1926" t="s">
        <v>644</v>
      </c>
      <c r="C1926" t="s">
        <v>10</v>
      </c>
      <c r="D1926" t="s">
        <v>14</v>
      </c>
      <c r="E1926">
        <v>202602</v>
      </c>
      <c r="F1926" t="s">
        <v>132</v>
      </c>
      <c r="G1926">
        <v>0</v>
      </c>
      <c r="H1926">
        <v>1</v>
      </c>
      <c r="I1926">
        <v>0</v>
      </c>
      <c r="J1926">
        <v>0</v>
      </c>
      <c r="K1926">
        <v>0</v>
      </c>
      <c r="L1926">
        <v>0</v>
      </c>
      <c r="M1926">
        <v>0</v>
      </c>
      <c r="N1926">
        <v>0</v>
      </c>
      <c r="O1926">
        <v>0</v>
      </c>
      <c r="P1926">
        <v>0</v>
      </c>
      <c r="Q1926">
        <v>0</v>
      </c>
      <c r="R1926">
        <v>0</v>
      </c>
      <c r="S1926">
        <v>0</v>
      </c>
      <c r="T1926">
        <v>0</v>
      </c>
      <c r="U1926">
        <v>0</v>
      </c>
      <c r="V1926">
        <v>0</v>
      </c>
      <c r="W1926">
        <v>0</v>
      </c>
      <c r="X1926">
        <v>0</v>
      </c>
      <c r="Y1926">
        <v>0</v>
      </c>
      <c r="Z1926">
        <v>0</v>
      </c>
      <c r="AA1926">
        <v>0</v>
      </c>
      <c r="AB1926">
        <v>0</v>
      </c>
      <c r="AC1926">
        <v>0</v>
      </c>
      <c r="AD1926">
        <v>0</v>
      </c>
      <c r="AE1926">
        <v>0</v>
      </c>
      <c r="AF1926">
        <v>0</v>
      </c>
      <c r="AG1926">
        <v>0</v>
      </c>
      <c r="AH1926">
        <v>0</v>
      </c>
      <c r="AI1926">
        <v>0</v>
      </c>
      <c r="AJ1926">
        <v>0</v>
      </c>
      <c r="AK1926">
        <v>0</v>
      </c>
      <c r="AL1926">
        <v>1</v>
      </c>
      <c r="AM1926">
        <v>0</v>
      </c>
      <c r="AN1926">
        <v>1</v>
      </c>
    </row>
    <row r="1927" spans="1:40" x14ac:dyDescent="0.3">
      <c r="A1927" t="s">
        <v>517</v>
      </c>
      <c r="B1927" t="s">
        <v>644</v>
      </c>
      <c r="C1927" t="s">
        <v>10</v>
      </c>
      <c r="D1927" t="s">
        <v>14</v>
      </c>
      <c r="E1927">
        <v>202602</v>
      </c>
      <c r="F1927" t="s">
        <v>224</v>
      </c>
      <c r="G1927">
        <v>0</v>
      </c>
      <c r="H1927">
        <v>0</v>
      </c>
      <c r="I1927">
        <v>0</v>
      </c>
      <c r="J1927">
        <v>0</v>
      </c>
      <c r="K1927">
        <v>0</v>
      </c>
      <c r="L1927">
        <v>2</v>
      </c>
      <c r="M1927">
        <v>0</v>
      </c>
      <c r="N1927">
        <v>0</v>
      </c>
      <c r="O1927">
        <v>0</v>
      </c>
      <c r="P1927">
        <v>1</v>
      </c>
      <c r="Q1927">
        <v>0</v>
      </c>
      <c r="R1927">
        <v>0</v>
      </c>
      <c r="S1927">
        <v>0</v>
      </c>
      <c r="T1927">
        <v>0</v>
      </c>
      <c r="U1927">
        <v>0</v>
      </c>
      <c r="V1927">
        <v>0</v>
      </c>
      <c r="W1927">
        <v>0</v>
      </c>
      <c r="X1927">
        <v>0</v>
      </c>
      <c r="Y1927">
        <v>0</v>
      </c>
      <c r="Z1927">
        <v>0</v>
      </c>
      <c r="AA1927">
        <v>0</v>
      </c>
      <c r="AB1927">
        <v>0</v>
      </c>
      <c r="AC1927">
        <v>0</v>
      </c>
      <c r="AD1927">
        <v>0</v>
      </c>
      <c r="AE1927">
        <v>0</v>
      </c>
      <c r="AF1927">
        <v>0</v>
      </c>
      <c r="AG1927">
        <v>0</v>
      </c>
      <c r="AH1927">
        <v>0</v>
      </c>
      <c r="AI1927">
        <v>0</v>
      </c>
      <c r="AJ1927">
        <v>0</v>
      </c>
      <c r="AK1927">
        <v>0</v>
      </c>
      <c r="AL1927">
        <v>3</v>
      </c>
      <c r="AM1927">
        <v>0.33333333333333331</v>
      </c>
      <c r="AN1927">
        <v>7.0417410714286133</v>
      </c>
    </row>
    <row r="1928" spans="1:40" x14ac:dyDescent="0.3">
      <c r="A1928" t="s">
        <v>517</v>
      </c>
      <c r="B1928" t="s">
        <v>644</v>
      </c>
      <c r="C1928" t="s">
        <v>10</v>
      </c>
      <c r="D1928" t="s">
        <v>14</v>
      </c>
      <c r="E1928">
        <v>202602</v>
      </c>
      <c r="F1928" t="s">
        <v>119</v>
      </c>
      <c r="G1928">
        <v>0</v>
      </c>
      <c r="H1928">
        <v>1</v>
      </c>
      <c r="I1928">
        <v>1</v>
      </c>
      <c r="J1928">
        <v>0</v>
      </c>
      <c r="K1928">
        <v>0</v>
      </c>
      <c r="L1928">
        <v>1</v>
      </c>
      <c r="M1928">
        <v>0</v>
      </c>
      <c r="N1928">
        <v>0</v>
      </c>
      <c r="O1928">
        <v>2</v>
      </c>
      <c r="P1928">
        <v>0</v>
      </c>
      <c r="Q1928">
        <v>1</v>
      </c>
      <c r="R1928">
        <v>0</v>
      </c>
      <c r="S1928">
        <v>0</v>
      </c>
      <c r="T1928">
        <v>0</v>
      </c>
      <c r="U1928">
        <v>0</v>
      </c>
      <c r="V1928">
        <v>0</v>
      </c>
      <c r="W1928">
        <v>0</v>
      </c>
      <c r="X1928">
        <v>0</v>
      </c>
      <c r="Y1928">
        <v>0</v>
      </c>
      <c r="Z1928">
        <v>0</v>
      </c>
      <c r="AA1928">
        <v>0</v>
      </c>
      <c r="AB1928">
        <v>0</v>
      </c>
      <c r="AC1928">
        <v>0</v>
      </c>
      <c r="AD1928">
        <v>0</v>
      </c>
      <c r="AE1928">
        <v>0</v>
      </c>
      <c r="AF1928">
        <v>0</v>
      </c>
      <c r="AG1928">
        <v>0</v>
      </c>
      <c r="AH1928">
        <v>0</v>
      </c>
      <c r="AI1928">
        <v>0</v>
      </c>
      <c r="AJ1928">
        <v>0</v>
      </c>
      <c r="AK1928">
        <v>0</v>
      </c>
      <c r="AL1928">
        <v>6</v>
      </c>
      <c r="AM1928">
        <v>1</v>
      </c>
      <c r="AN1928">
        <v>18.125223214285839</v>
      </c>
    </row>
    <row r="1929" spans="1:40" x14ac:dyDescent="0.3">
      <c r="A1929" t="s">
        <v>517</v>
      </c>
      <c r="B1929" t="s">
        <v>644</v>
      </c>
      <c r="C1929" t="s">
        <v>10</v>
      </c>
      <c r="D1929" t="s">
        <v>14</v>
      </c>
      <c r="E1929">
        <v>202602</v>
      </c>
      <c r="F1929" t="s">
        <v>562</v>
      </c>
      <c r="G1929">
        <v>0</v>
      </c>
      <c r="H1929">
        <v>0</v>
      </c>
      <c r="I1929">
        <v>0</v>
      </c>
      <c r="J1929">
        <v>0</v>
      </c>
      <c r="K1929">
        <v>0</v>
      </c>
      <c r="L1929">
        <v>0</v>
      </c>
      <c r="M1929">
        <v>0</v>
      </c>
      <c r="N1929">
        <v>0</v>
      </c>
      <c r="O1929">
        <v>0</v>
      </c>
      <c r="P1929">
        <v>1</v>
      </c>
      <c r="Q1929">
        <v>0</v>
      </c>
      <c r="R1929">
        <v>0</v>
      </c>
      <c r="S1929">
        <v>0</v>
      </c>
      <c r="T1929">
        <v>0</v>
      </c>
      <c r="U1929">
        <v>0</v>
      </c>
      <c r="V1929">
        <v>0</v>
      </c>
      <c r="W1929">
        <v>0</v>
      </c>
      <c r="X1929">
        <v>0</v>
      </c>
      <c r="Y1929">
        <v>0</v>
      </c>
      <c r="Z1929">
        <v>0</v>
      </c>
      <c r="AA1929">
        <v>0</v>
      </c>
      <c r="AB1929">
        <v>0</v>
      </c>
      <c r="AC1929">
        <v>0</v>
      </c>
      <c r="AD1929">
        <v>0</v>
      </c>
      <c r="AE1929">
        <v>0</v>
      </c>
      <c r="AF1929">
        <v>0</v>
      </c>
      <c r="AG1929">
        <v>0</v>
      </c>
      <c r="AH1929">
        <v>0</v>
      </c>
      <c r="AI1929">
        <v>0</v>
      </c>
      <c r="AJ1929">
        <v>0</v>
      </c>
      <c r="AK1929">
        <v>0</v>
      </c>
      <c r="AL1929">
        <v>1</v>
      </c>
      <c r="AM1929">
        <v>0.33333333333333331</v>
      </c>
      <c r="AN1929">
        <v>5.0417410714286133</v>
      </c>
    </row>
    <row r="1930" spans="1:40" x14ac:dyDescent="0.3">
      <c r="A1930" t="s">
        <v>517</v>
      </c>
      <c r="B1930" t="s">
        <v>644</v>
      </c>
      <c r="C1930" t="s">
        <v>10</v>
      </c>
      <c r="D1930" t="s">
        <v>14</v>
      </c>
      <c r="E1930">
        <v>202602</v>
      </c>
      <c r="F1930" t="s">
        <v>134</v>
      </c>
      <c r="G1930">
        <v>0</v>
      </c>
      <c r="H1930">
        <v>0</v>
      </c>
      <c r="I1930">
        <v>1</v>
      </c>
      <c r="J1930">
        <v>0</v>
      </c>
      <c r="K1930">
        <v>0</v>
      </c>
      <c r="L1930">
        <v>0</v>
      </c>
      <c r="M1930">
        <v>0</v>
      </c>
      <c r="N1930">
        <v>0</v>
      </c>
      <c r="O1930">
        <v>0</v>
      </c>
      <c r="P1930">
        <v>0</v>
      </c>
      <c r="Q1930">
        <v>3</v>
      </c>
      <c r="R1930">
        <v>0</v>
      </c>
      <c r="S1930">
        <v>0</v>
      </c>
      <c r="T1930">
        <v>0</v>
      </c>
      <c r="U1930">
        <v>0</v>
      </c>
      <c r="V1930">
        <v>0</v>
      </c>
      <c r="W1930">
        <v>0</v>
      </c>
      <c r="X1930">
        <v>0</v>
      </c>
      <c r="Y1930">
        <v>0</v>
      </c>
      <c r="Z1930">
        <v>0</v>
      </c>
      <c r="AA1930">
        <v>0</v>
      </c>
      <c r="AB1930">
        <v>0</v>
      </c>
      <c r="AC1930">
        <v>0</v>
      </c>
      <c r="AD1930">
        <v>0</v>
      </c>
      <c r="AE1930">
        <v>0</v>
      </c>
      <c r="AF1930">
        <v>0</v>
      </c>
      <c r="AG1930">
        <v>0</v>
      </c>
      <c r="AH1930">
        <v>0</v>
      </c>
      <c r="AI1930">
        <v>0</v>
      </c>
      <c r="AJ1930">
        <v>0</v>
      </c>
      <c r="AK1930">
        <v>0</v>
      </c>
      <c r="AL1930">
        <v>4</v>
      </c>
      <c r="AM1930">
        <v>1</v>
      </c>
      <c r="AN1930">
        <v>16.125223214285839</v>
      </c>
    </row>
    <row r="1931" spans="1:40" x14ac:dyDescent="0.3">
      <c r="A1931" t="s">
        <v>517</v>
      </c>
      <c r="B1931" t="s">
        <v>644</v>
      </c>
      <c r="C1931" t="s">
        <v>10</v>
      </c>
      <c r="D1931" t="s">
        <v>14</v>
      </c>
      <c r="E1931">
        <v>202602</v>
      </c>
      <c r="F1931" t="s">
        <v>225</v>
      </c>
      <c r="G1931">
        <v>0</v>
      </c>
      <c r="H1931">
        <v>0</v>
      </c>
      <c r="I1931">
        <v>2</v>
      </c>
      <c r="J1931">
        <v>0</v>
      </c>
      <c r="K1931">
        <v>0</v>
      </c>
      <c r="L1931">
        <v>0</v>
      </c>
      <c r="M1931">
        <v>0</v>
      </c>
      <c r="N1931">
        <v>0</v>
      </c>
      <c r="O1931">
        <v>0</v>
      </c>
      <c r="P1931">
        <v>0</v>
      </c>
      <c r="Q1931">
        <v>0</v>
      </c>
      <c r="R1931">
        <v>0</v>
      </c>
      <c r="S1931">
        <v>0</v>
      </c>
      <c r="T1931">
        <v>0</v>
      </c>
      <c r="U1931">
        <v>0</v>
      </c>
      <c r="V1931">
        <v>0</v>
      </c>
      <c r="W1931">
        <v>0</v>
      </c>
      <c r="X1931">
        <v>0</v>
      </c>
      <c r="Y1931">
        <v>0</v>
      </c>
      <c r="Z1931">
        <v>0</v>
      </c>
      <c r="AA1931">
        <v>0</v>
      </c>
      <c r="AB1931">
        <v>0</v>
      </c>
      <c r="AC1931">
        <v>0</v>
      </c>
      <c r="AD1931">
        <v>0</v>
      </c>
      <c r="AE1931">
        <v>0</v>
      </c>
      <c r="AF1931">
        <v>0</v>
      </c>
      <c r="AG1931">
        <v>0</v>
      </c>
      <c r="AH1931">
        <v>0</v>
      </c>
      <c r="AI1931">
        <v>0</v>
      </c>
      <c r="AJ1931">
        <v>0</v>
      </c>
      <c r="AK1931">
        <v>0</v>
      </c>
      <c r="AL1931">
        <v>2</v>
      </c>
      <c r="AM1931">
        <v>0</v>
      </c>
      <c r="AN1931">
        <v>2</v>
      </c>
    </row>
    <row r="1932" spans="1:40" x14ac:dyDescent="0.3">
      <c r="A1932" t="s">
        <v>517</v>
      </c>
      <c r="B1932" t="s">
        <v>644</v>
      </c>
      <c r="C1932" t="s">
        <v>10</v>
      </c>
      <c r="D1932" t="s">
        <v>14</v>
      </c>
      <c r="E1932">
        <v>202602</v>
      </c>
      <c r="F1932" t="s">
        <v>322</v>
      </c>
      <c r="G1932">
        <v>0</v>
      </c>
      <c r="H1932">
        <v>0</v>
      </c>
      <c r="I1932">
        <v>0</v>
      </c>
      <c r="J1932">
        <v>1</v>
      </c>
      <c r="K1932">
        <v>0</v>
      </c>
      <c r="L1932">
        <v>0</v>
      </c>
      <c r="M1932">
        <v>0</v>
      </c>
      <c r="N1932">
        <v>0</v>
      </c>
      <c r="O1932">
        <v>0</v>
      </c>
      <c r="P1932">
        <v>0</v>
      </c>
      <c r="Q1932">
        <v>0</v>
      </c>
      <c r="R1932">
        <v>0</v>
      </c>
      <c r="S1932">
        <v>0</v>
      </c>
      <c r="T1932">
        <v>0</v>
      </c>
      <c r="U1932">
        <v>0</v>
      </c>
      <c r="V1932">
        <v>0</v>
      </c>
      <c r="W1932">
        <v>0</v>
      </c>
      <c r="X1932">
        <v>0</v>
      </c>
      <c r="Y1932">
        <v>0</v>
      </c>
      <c r="Z1932">
        <v>0</v>
      </c>
      <c r="AA1932">
        <v>0</v>
      </c>
      <c r="AB1932">
        <v>0</v>
      </c>
      <c r="AC1932">
        <v>0</v>
      </c>
      <c r="AD1932">
        <v>0</v>
      </c>
      <c r="AE1932">
        <v>0</v>
      </c>
      <c r="AF1932">
        <v>0</v>
      </c>
      <c r="AG1932">
        <v>0</v>
      </c>
      <c r="AH1932">
        <v>0</v>
      </c>
      <c r="AI1932">
        <v>0</v>
      </c>
      <c r="AJ1932">
        <v>0</v>
      </c>
      <c r="AK1932">
        <v>0</v>
      </c>
      <c r="AL1932">
        <v>1</v>
      </c>
      <c r="AM1932">
        <v>0</v>
      </c>
      <c r="AN1932">
        <v>1</v>
      </c>
    </row>
    <row r="1933" spans="1:40" x14ac:dyDescent="0.3">
      <c r="A1933" t="s">
        <v>517</v>
      </c>
      <c r="B1933" t="s">
        <v>644</v>
      </c>
      <c r="C1933" t="s">
        <v>10</v>
      </c>
      <c r="D1933" t="s">
        <v>14</v>
      </c>
      <c r="E1933">
        <v>202602</v>
      </c>
      <c r="F1933" t="s">
        <v>122</v>
      </c>
      <c r="G1933">
        <v>0</v>
      </c>
      <c r="H1933">
        <v>1</v>
      </c>
      <c r="I1933">
        <v>0</v>
      </c>
      <c r="J1933">
        <v>0</v>
      </c>
      <c r="K1933">
        <v>1</v>
      </c>
      <c r="L1933">
        <v>0</v>
      </c>
      <c r="M1933">
        <v>0</v>
      </c>
      <c r="N1933">
        <v>0</v>
      </c>
      <c r="O1933">
        <v>0</v>
      </c>
      <c r="P1933">
        <v>0</v>
      </c>
      <c r="Q1933">
        <v>1</v>
      </c>
      <c r="R1933">
        <v>0</v>
      </c>
      <c r="S1933">
        <v>0</v>
      </c>
      <c r="T1933">
        <v>0</v>
      </c>
      <c r="U1933">
        <v>0</v>
      </c>
      <c r="V1933">
        <v>0</v>
      </c>
      <c r="W1933">
        <v>0</v>
      </c>
      <c r="X1933">
        <v>0</v>
      </c>
      <c r="Y1933">
        <v>0</v>
      </c>
      <c r="Z1933">
        <v>0</v>
      </c>
      <c r="AA1933">
        <v>0</v>
      </c>
      <c r="AB1933">
        <v>0</v>
      </c>
      <c r="AC1933">
        <v>0</v>
      </c>
      <c r="AD1933">
        <v>0</v>
      </c>
      <c r="AE1933">
        <v>0</v>
      </c>
      <c r="AF1933">
        <v>0</v>
      </c>
      <c r="AG1933">
        <v>0</v>
      </c>
      <c r="AH1933">
        <v>0</v>
      </c>
      <c r="AI1933">
        <v>0</v>
      </c>
      <c r="AJ1933">
        <v>0</v>
      </c>
      <c r="AK1933">
        <v>0</v>
      </c>
      <c r="AL1933">
        <v>3</v>
      </c>
      <c r="AM1933">
        <v>0.33333333333333331</v>
      </c>
      <c r="AN1933">
        <v>7.0417410714286133</v>
      </c>
    </row>
    <row r="1934" spans="1:40" x14ac:dyDescent="0.3">
      <c r="A1934" t="s">
        <v>517</v>
      </c>
      <c r="B1934" t="s">
        <v>644</v>
      </c>
      <c r="C1934" t="s">
        <v>10</v>
      </c>
      <c r="D1934" t="s">
        <v>14</v>
      </c>
      <c r="E1934">
        <v>202602</v>
      </c>
      <c r="F1934" t="s">
        <v>123</v>
      </c>
      <c r="G1934">
        <v>0</v>
      </c>
      <c r="H1934">
        <v>0</v>
      </c>
      <c r="I1934">
        <v>0</v>
      </c>
      <c r="J1934">
        <v>0</v>
      </c>
      <c r="K1934">
        <v>0</v>
      </c>
      <c r="L1934">
        <v>1</v>
      </c>
      <c r="M1934">
        <v>0</v>
      </c>
      <c r="N1934">
        <v>0</v>
      </c>
      <c r="O1934">
        <v>1</v>
      </c>
      <c r="P1934">
        <v>0</v>
      </c>
      <c r="Q1934">
        <v>1</v>
      </c>
      <c r="R1934">
        <v>0</v>
      </c>
      <c r="S1934">
        <v>0</v>
      </c>
      <c r="T1934">
        <v>0</v>
      </c>
      <c r="U1934">
        <v>0</v>
      </c>
      <c r="V1934">
        <v>0</v>
      </c>
      <c r="W1934">
        <v>0</v>
      </c>
      <c r="X1934">
        <v>0</v>
      </c>
      <c r="Y1934">
        <v>0</v>
      </c>
      <c r="Z1934">
        <v>0</v>
      </c>
      <c r="AA1934">
        <v>0</v>
      </c>
      <c r="AB1934">
        <v>0</v>
      </c>
      <c r="AC1934">
        <v>0</v>
      </c>
      <c r="AD1934">
        <v>0</v>
      </c>
      <c r="AE1934">
        <v>0</v>
      </c>
      <c r="AF1934">
        <v>0</v>
      </c>
      <c r="AG1934">
        <v>0</v>
      </c>
      <c r="AH1934">
        <v>0</v>
      </c>
      <c r="AI1934">
        <v>0</v>
      </c>
      <c r="AJ1934">
        <v>0</v>
      </c>
      <c r="AK1934">
        <v>0</v>
      </c>
      <c r="AL1934">
        <v>3</v>
      </c>
      <c r="AM1934">
        <v>0.66666666666666663</v>
      </c>
      <c r="AN1934">
        <v>11.083482142857227</v>
      </c>
    </row>
    <row r="1935" spans="1:40" x14ac:dyDescent="0.3">
      <c r="A1935" t="s">
        <v>517</v>
      </c>
      <c r="B1935" t="s">
        <v>644</v>
      </c>
      <c r="C1935" t="s">
        <v>10</v>
      </c>
      <c r="D1935" t="s">
        <v>14</v>
      </c>
      <c r="E1935">
        <v>202602</v>
      </c>
      <c r="F1935" t="s">
        <v>124</v>
      </c>
      <c r="G1935">
        <v>0</v>
      </c>
      <c r="H1935">
        <v>1</v>
      </c>
      <c r="I1935">
        <v>0</v>
      </c>
      <c r="J1935">
        <v>1</v>
      </c>
      <c r="K1935">
        <v>0</v>
      </c>
      <c r="L1935">
        <v>1</v>
      </c>
      <c r="M1935">
        <v>0</v>
      </c>
      <c r="N1935">
        <v>0</v>
      </c>
      <c r="O1935">
        <v>4</v>
      </c>
      <c r="P1935">
        <v>1</v>
      </c>
      <c r="Q1935">
        <v>1</v>
      </c>
      <c r="R1935">
        <v>0</v>
      </c>
      <c r="S1935">
        <v>0</v>
      </c>
      <c r="T1935">
        <v>0</v>
      </c>
      <c r="U1935">
        <v>0</v>
      </c>
      <c r="V1935">
        <v>0</v>
      </c>
      <c r="W1935">
        <v>0</v>
      </c>
      <c r="X1935">
        <v>0</v>
      </c>
      <c r="Y1935">
        <v>0</v>
      </c>
      <c r="Z1935">
        <v>0</v>
      </c>
      <c r="AA1935">
        <v>0</v>
      </c>
      <c r="AB1935">
        <v>0</v>
      </c>
      <c r="AC1935">
        <v>0</v>
      </c>
      <c r="AD1935">
        <v>0</v>
      </c>
      <c r="AE1935">
        <v>0</v>
      </c>
      <c r="AF1935">
        <v>0</v>
      </c>
      <c r="AG1935">
        <v>0</v>
      </c>
      <c r="AH1935">
        <v>0</v>
      </c>
      <c r="AI1935">
        <v>0</v>
      </c>
      <c r="AJ1935">
        <v>0</v>
      </c>
      <c r="AK1935">
        <v>0</v>
      </c>
      <c r="AL1935">
        <v>9</v>
      </c>
      <c r="AM1935">
        <v>2</v>
      </c>
      <c r="AN1935">
        <v>33.250446428571678</v>
      </c>
    </row>
    <row r="1936" spans="1:40" x14ac:dyDescent="0.3">
      <c r="A1936" t="s">
        <v>517</v>
      </c>
      <c r="B1936" t="s">
        <v>644</v>
      </c>
      <c r="C1936" t="s">
        <v>10</v>
      </c>
      <c r="D1936" t="s">
        <v>14</v>
      </c>
      <c r="E1936">
        <v>202602</v>
      </c>
      <c r="F1936" t="s">
        <v>436</v>
      </c>
      <c r="G1936">
        <v>0</v>
      </c>
      <c r="H1936">
        <v>0</v>
      </c>
      <c r="I1936">
        <v>0</v>
      </c>
      <c r="J1936">
        <v>0</v>
      </c>
      <c r="K1936">
        <v>1</v>
      </c>
      <c r="L1936">
        <v>0</v>
      </c>
      <c r="M1936">
        <v>0</v>
      </c>
      <c r="N1936">
        <v>0</v>
      </c>
      <c r="O1936">
        <v>0</v>
      </c>
      <c r="P1936">
        <v>0</v>
      </c>
      <c r="Q1936">
        <v>0</v>
      </c>
      <c r="R1936">
        <v>0</v>
      </c>
      <c r="S1936">
        <v>0</v>
      </c>
      <c r="T1936">
        <v>0</v>
      </c>
      <c r="U1936">
        <v>0</v>
      </c>
      <c r="V1936">
        <v>0</v>
      </c>
      <c r="W1936">
        <v>0</v>
      </c>
      <c r="X1936">
        <v>0</v>
      </c>
      <c r="Y1936">
        <v>0</v>
      </c>
      <c r="Z1936">
        <v>0</v>
      </c>
      <c r="AA1936">
        <v>0</v>
      </c>
      <c r="AB1936">
        <v>0</v>
      </c>
      <c r="AC1936">
        <v>0</v>
      </c>
      <c r="AD1936">
        <v>0</v>
      </c>
      <c r="AE1936">
        <v>0</v>
      </c>
      <c r="AF1936">
        <v>0</v>
      </c>
      <c r="AG1936">
        <v>0</v>
      </c>
      <c r="AH1936">
        <v>0</v>
      </c>
      <c r="AI1936">
        <v>0</v>
      </c>
      <c r="AJ1936">
        <v>0</v>
      </c>
      <c r="AK1936">
        <v>0</v>
      </c>
      <c r="AL1936">
        <v>1</v>
      </c>
      <c r="AM1936">
        <v>0</v>
      </c>
      <c r="AN1936">
        <v>1</v>
      </c>
    </row>
    <row r="1937" spans="1:40" x14ac:dyDescent="0.3">
      <c r="A1937" t="s">
        <v>517</v>
      </c>
      <c r="B1937" t="s">
        <v>644</v>
      </c>
      <c r="C1937" t="s">
        <v>10</v>
      </c>
      <c r="D1937" t="s">
        <v>14</v>
      </c>
      <c r="E1937">
        <v>202602</v>
      </c>
      <c r="F1937" t="s">
        <v>563</v>
      </c>
      <c r="G1937">
        <v>0</v>
      </c>
      <c r="H1937">
        <v>0</v>
      </c>
      <c r="I1937">
        <v>0</v>
      </c>
      <c r="J1937">
        <v>0</v>
      </c>
      <c r="K1937">
        <v>0</v>
      </c>
      <c r="L1937">
        <v>0</v>
      </c>
      <c r="M1937">
        <v>0</v>
      </c>
      <c r="N1937">
        <v>0</v>
      </c>
      <c r="O1937">
        <v>1</v>
      </c>
      <c r="P1937">
        <v>0</v>
      </c>
      <c r="Q1937">
        <v>0</v>
      </c>
      <c r="R1937">
        <v>0</v>
      </c>
      <c r="S1937">
        <v>0</v>
      </c>
      <c r="T1937">
        <v>0</v>
      </c>
      <c r="U1937">
        <v>0</v>
      </c>
      <c r="V1937">
        <v>0</v>
      </c>
      <c r="W1937">
        <v>0</v>
      </c>
      <c r="X1937">
        <v>0</v>
      </c>
      <c r="Y1937">
        <v>0</v>
      </c>
      <c r="Z1937">
        <v>0</v>
      </c>
      <c r="AA1937">
        <v>0</v>
      </c>
      <c r="AB1937">
        <v>0</v>
      </c>
      <c r="AC1937">
        <v>0</v>
      </c>
      <c r="AD1937">
        <v>0</v>
      </c>
      <c r="AE1937">
        <v>0</v>
      </c>
      <c r="AF1937">
        <v>0</v>
      </c>
      <c r="AG1937">
        <v>0</v>
      </c>
      <c r="AH1937">
        <v>0</v>
      </c>
      <c r="AI1937">
        <v>0</v>
      </c>
      <c r="AJ1937">
        <v>0</v>
      </c>
      <c r="AK1937">
        <v>0</v>
      </c>
      <c r="AL1937">
        <v>1</v>
      </c>
      <c r="AM1937">
        <v>0.33333333333333331</v>
      </c>
      <c r="AN1937">
        <v>5.0417410714286133</v>
      </c>
    </row>
    <row r="1938" spans="1:40" x14ac:dyDescent="0.3">
      <c r="A1938" t="s">
        <v>517</v>
      </c>
      <c r="B1938" t="s">
        <v>644</v>
      </c>
      <c r="C1938" t="s">
        <v>10</v>
      </c>
      <c r="D1938" t="s">
        <v>14</v>
      </c>
      <c r="E1938">
        <v>202602</v>
      </c>
      <c r="F1938" t="s">
        <v>135</v>
      </c>
      <c r="G1938">
        <v>0</v>
      </c>
      <c r="H1938">
        <v>0</v>
      </c>
      <c r="I1938">
        <v>0</v>
      </c>
      <c r="J1938">
        <v>0</v>
      </c>
      <c r="K1938">
        <v>0</v>
      </c>
      <c r="L1938">
        <v>0</v>
      </c>
      <c r="M1938">
        <v>0</v>
      </c>
      <c r="N1938">
        <v>0</v>
      </c>
      <c r="O1938">
        <v>0</v>
      </c>
      <c r="P1938">
        <v>1</v>
      </c>
      <c r="Q1938">
        <v>0</v>
      </c>
      <c r="R1938">
        <v>0</v>
      </c>
      <c r="S1938">
        <v>0</v>
      </c>
      <c r="T1938">
        <v>0</v>
      </c>
      <c r="U1938">
        <v>0</v>
      </c>
      <c r="V1938">
        <v>0</v>
      </c>
      <c r="W1938">
        <v>0</v>
      </c>
      <c r="X1938">
        <v>0</v>
      </c>
      <c r="Y1938">
        <v>0</v>
      </c>
      <c r="Z1938">
        <v>0</v>
      </c>
      <c r="AA1938">
        <v>0</v>
      </c>
      <c r="AB1938">
        <v>0</v>
      </c>
      <c r="AC1938">
        <v>0</v>
      </c>
      <c r="AD1938">
        <v>0</v>
      </c>
      <c r="AE1938">
        <v>0</v>
      </c>
      <c r="AF1938">
        <v>0</v>
      </c>
      <c r="AG1938">
        <v>0</v>
      </c>
      <c r="AH1938">
        <v>0</v>
      </c>
      <c r="AI1938">
        <v>0</v>
      </c>
      <c r="AJ1938">
        <v>0</v>
      </c>
      <c r="AK1938">
        <v>0</v>
      </c>
      <c r="AL1938">
        <v>1</v>
      </c>
      <c r="AM1938">
        <v>0.33333333333333331</v>
      </c>
      <c r="AN1938">
        <v>5.0417410714286133</v>
      </c>
    </row>
    <row r="1939" spans="1:40" x14ac:dyDescent="0.3">
      <c r="A1939" t="s">
        <v>517</v>
      </c>
      <c r="B1939" t="s">
        <v>644</v>
      </c>
      <c r="C1939" t="s">
        <v>10</v>
      </c>
      <c r="D1939" t="s">
        <v>14</v>
      </c>
      <c r="E1939">
        <v>202602</v>
      </c>
      <c r="F1939" t="s">
        <v>280</v>
      </c>
      <c r="G1939">
        <v>0</v>
      </c>
      <c r="H1939">
        <v>0</v>
      </c>
      <c r="I1939">
        <v>0</v>
      </c>
      <c r="J1939">
        <v>0</v>
      </c>
      <c r="K1939">
        <v>0</v>
      </c>
      <c r="L1939">
        <v>0</v>
      </c>
      <c r="M1939">
        <v>0</v>
      </c>
      <c r="N1939">
        <v>0</v>
      </c>
      <c r="O1939">
        <v>0</v>
      </c>
      <c r="P1939">
        <v>1</v>
      </c>
      <c r="Q1939">
        <v>0</v>
      </c>
      <c r="R1939">
        <v>0</v>
      </c>
      <c r="S1939">
        <v>0</v>
      </c>
      <c r="T1939">
        <v>0</v>
      </c>
      <c r="U1939">
        <v>0</v>
      </c>
      <c r="V1939">
        <v>0</v>
      </c>
      <c r="W1939">
        <v>0</v>
      </c>
      <c r="X1939">
        <v>0</v>
      </c>
      <c r="Y1939">
        <v>0</v>
      </c>
      <c r="Z1939">
        <v>0</v>
      </c>
      <c r="AA1939">
        <v>0</v>
      </c>
      <c r="AB1939">
        <v>0</v>
      </c>
      <c r="AC1939">
        <v>0</v>
      </c>
      <c r="AD1939">
        <v>0</v>
      </c>
      <c r="AE1939">
        <v>0</v>
      </c>
      <c r="AF1939">
        <v>0</v>
      </c>
      <c r="AG1939">
        <v>0</v>
      </c>
      <c r="AH1939">
        <v>0</v>
      </c>
      <c r="AI1939">
        <v>0</v>
      </c>
      <c r="AJ1939">
        <v>0</v>
      </c>
      <c r="AK1939">
        <v>0</v>
      </c>
      <c r="AL1939">
        <v>1</v>
      </c>
      <c r="AM1939">
        <v>0.33333333333333331</v>
      </c>
      <c r="AN1939">
        <v>5.0417410714286133</v>
      </c>
    </row>
    <row r="1940" spans="1:40" x14ac:dyDescent="0.3">
      <c r="A1940" t="s">
        <v>517</v>
      </c>
      <c r="B1940" t="s">
        <v>644</v>
      </c>
      <c r="C1940" t="s">
        <v>10</v>
      </c>
      <c r="D1940" t="s">
        <v>14</v>
      </c>
      <c r="E1940">
        <v>202602</v>
      </c>
      <c r="F1940" t="s">
        <v>125</v>
      </c>
      <c r="G1940">
        <v>0</v>
      </c>
      <c r="H1940">
        <v>0</v>
      </c>
      <c r="I1940">
        <v>0</v>
      </c>
      <c r="J1940">
        <v>0</v>
      </c>
      <c r="K1940">
        <v>0</v>
      </c>
      <c r="L1940">
        <v>0</v>
      </c>
      <c r="M1940">
        <v>0</v>
      </c>
      <c r="N1940">
        <v>0</v>
      </c>
      <c r="O1940">
        <v>0</v>
      </c>
      <c r="P1940">
        <v>2</v>
      </c>
      <c r="Q1940">
        <v>0</v>
      </c>
      <c r="R1940">
        <v>0</v>
      </c>
      <c r="S1940">
        <v>0</v>
      </c>
      <c r="T1940">
        <v>0</v>
      </c>
      <c r="U1940">
        <v>0</v>
      </c>
      <c r="V1940">
        <v>0</v>
      </c>
      <c r="W1940">
        <v>0</v>
      </c>
      <c r="X1940">
        <v>0</v>
      </c>
      <c r="Y1940">
        <v>0</v>
      </c>
      <c r="Z1940">
        <v>0</v>
      </c>
      <c r="AA1940">
        <v>0</v>
      </c>
      <c r="AB1940">
        <v>0</v>
      </c>
      <c r="AC1940">
        <v>0</v>
      </c>
      <c r="AD1940">
        <v>0</v>
      </c>
      <c r="AE1940">
        <v>0</v>
      </c>
      <c r="AF1940">
        <v>0</v>
      </c>
      <c r="AG1940">
        <v>0</v>
      </c>
      <c r="AH1940">
        <v>0</v>
      </c>
      <c r="AI1940">
        <v>0</v>
      </c>
      <c r="AJ1940">
        <v>0</v>
      </c>
      <c r="AK1940">
        <v>0</v>
      </c>
      <c r="AL1940">
        <v>2</v>
      </c>
      <c r="AM1940">
        <v>0.66666666666666663</v>
      </c>
      <c r="AN1940">
        <v>10.083482142857227</v>
      </c>
    </row>
    <row r="1941" spans="1:40" x14ac:dyDescent="0.3">
      <c r="A1941" t="s">
        <v>517</v>
      </c>
      <c r="B1941" t="s">
        <v>644</v>
      </c>
      <c r="C1941" t="s">
        <v>10</v>
      </c>
      <c r="D1941" t="s">
        <v>14</v>
      </c>
      <c r="E1941">
        <v>202602</v>
      </c>
      <c r="F1941" t="s">
        <v>320</v>
      </c>
      <c r="G1941">
        <v>0</v>
      </c>
      <c r="H1941">
        <v>0</v>
      </c>
      <c r="I1941">
        <v>0</v>
      </c>
      <c r="J1941">
        <v>0</v>
      </c>
      <c r="K1941">
        <v>0</v>
      </c>
      <c r="L1941">
        <v>0</v>
      </c>
      <c r="M1941">
        <v>0</v>
      </c>
      <c r="N1941">
        <v>0</v>
      </c>
      <c r="O1941">
        <v>1</v>
      </c>
      <c r="P1941">
        <v>0</v>
      </c>
      <c r="Q1941">
        <v>2</v>
      </c>
      <c r="R1941">
        <v>0</v>
      </c>
      <c r="S1941">
        <v>0</v>
      </c>
      <c r="T1941">
        <v>0</v>
      </c>
      <c r="U1941">
        <v>0</v>
      </c>
      <c r="V1941">
        <v>0</v>
      </c>
      <c r="W1941">
        <v>0</v>
      </c>
      <c r="X1941">
        <v>0</v>
      </c>
      <c r="Y1941">
        <v>0</v>
      </c>
      <c r="Z1941">
        <v>0</v>
      </c>
      <c r="AA1941">
        <v>0</v>
      </c>
      <c r="AB1941">
        <v>0</v>
      </c>
      <c r="AC1941">
        <v>0</v>
      </c>
      <c r="AD1941">
        <v>0</v>
      </c>
      <c r="AE1941">
        <v>0</v>
      </c>
      <c r="AF1941">
        <v>0</v>
      </c>
      <c r="AG1941">
        <v>0</v>
      </c>
      <c r="AH1941">
        <v>0</v>
      </c>
      <c r="AI1941">
        <v>0</v>
      </c>
      <c r="AJ1941">
        <v>0</v>
      </c>
      <c r="AK1941">
        <v>0</v>
      </c>
      <c r="AL1941">
        <v>3</v>
      </c>
      <c r="AM1941">
        <v>1</v>
      </c>
      <c r="AN1941">
        <v>15.125223214285839</v>
      </c>
    </row>
    <row r="1942" spans="1:40" x14ac:dyDescent="0.3">
      <c r="A1942" t="s">
        <v>517</v>
      </c>
      <c r="B1942" t="s">
        <v>644</v>
      </c>
      <c r="C1942" t="s">
        <v>10</v>
      </c>
      <c r="D1942" t="s">
        <v>14</v>
      </c>
      <c r="E1942">
        <v>202602</v>
      </c>
      <c r="F1942" t="s">
        <v>227</v>
      </c>
      <c r="G1942">
        <v>0</v>
      </c>
      <c r="H1942">
        <v>1</v>
      </c>
      <c r="I1942">
        <v>0</v>
      </c>
      <c r="J1942">
        <v>0</v>
      </c>
      <c r="K1942">
        <v>0</v>
      </c>
      <c r="L1942">
        <v>1</v>
      </c>
      <c r="M1942">
        <v>2</v>
      </c>
      <c r="N1942">
        <v>0</v>
      </c>
      <c r="O1942">
        <v>0</v>
      </c>
      <c r="P1942">
        <v>1</v>
      </c>
      <c r="Q1942">
        <v>1</v>
      </c>
      <c r="R1942">
        <v>0</v>
      </c>
      <c r="S1942">
        <v>0</v>
      </c>
      <c r="T1942">
        <v>0</v>
      </c>
      <c r="U1942">
        <v>0</v>
      </c>
      <c r="V1942">
        <v>0</v>
      </c>
      <c r="W1942">
        <v>0</v>
      </c>
      <c r="X1942">
        <v>0</v>
      </c>
      <c r="Y1942">
        <v>0</v>
      </c>
      <c r="Z1942">
        <v>0</v>
      </c>
      <c r="AA1942">
        <v>0</v>
      </c>
      <c r="AB1942">
        <v>0</v>
      </c>
      <c r="AC1942">
        <v>0</v>
      </c>
      <c r="AD1942">
        <v>0</v>
      </c>
      <c r="AE1942">
        <v>0</v>
      </c>
      <c r="AF1942">
        <v>0</v>
      </c>
      <c r="AG1942">
        <v>0</v>
      </c>
      <c r="AH1942">
        <v>0</v>
      </c>
      <c r="AI1942">
        <v>0</v>
      </c>
      <c r="AJ1942">
        <v>0</v>
      </c>
      <c r="AK1942">
        <v>0</v>
      </c>
      <c r="AL1942">
        <v>6</v>
      </c>
      <c r="AM1942">
        <v>0.66666666666666663</v>
      </c>
      <c r="AN1942">
        <v>14.083482142857227</v>
      </c>
    </row>
    <row r="1943" spans="1:40" x14ac:dyDescent="0.3">
      <c r="A1943" t="s">
        <v>517</v>
      </c>
      <c r="B1943" t="s">
        <v>644</v>
      </c>
      <c r="C1943" t="s">
        <v>16</v>
      </c>
      <c r="D1943" t="s">
        <v>11</v>
      </c>
      <c r="E1943">
        <v>202602</v>
      </c>
      <c r="F1943" t="s">
        <v>563</v>
      </c>
      <c r="G1943">
        <v>0</v>
      </c>
      <c r="H1943">
        <v>0</v>
      </c>
      <c r="I1943">
        <v>0</v>
      </c>
      <c r="J1943">
        <v>0</v>
      </c>
      <c r="K1943">
        <v>0</v>
      </c>
      <c r="L1943">
        <v>0</v>
      </c>
      <c r="M1943">
        <v>0</v>
      </c>
      <c r="N1943">
        <v>0</v>
      </c>
      <c r="O1943">
        <v>0</v>
      </c>
      <c r="P1943">
        <v>0</v>
      </c>
      <c r="Q1943">
        <v>1</v>
      </c>
      <c r="R1943">
        <v>0</v>
      </c>
      <c r="S1943">
        <v>0</v>
      </c>
      <c r="T1943">
        <v>0</v>
      </c>
      <c r="U1943">
        <v>0</v>
      </c>
      <c r="V1943">
        <v>0</v>
      </c>
      <c r="W1943">
        <v>0</v>
      </c>
      <c r="X1943">
        <v>0</v>
      </c>
      <c r="Y1943">
        <v>0</v>
      </c>
      <c r="Z1943">
        <v>0</v>
      </c>
      <c r="AA1943">
        <v>0</v>
      </c>
      <c r="AB1943">
        <v>0</v>
      </c>
      <c r="AC1943">
        <v>0</v>
      </c>
      <c r="AD1943">
        <v>0</v>
      </c>
      <c r="AE1943">
        <v>0</v>
      </c>
      <c r="AF1943">
        <v>0</v>
      </c>
      <c r="AG1943">
        <v>0</v>
      </c>
      <c r="AH1943">
        <v>0</v>
      </c>
      <c r="AI1943">
        <v>0</v>
      </c>
      <c r="AJ1943">
        <v>0</v>
      </c>
      <c r="AK1943">
        <v>0</v>
      </c>
      <c r="AL1943">
        <v>1</v>
      </c>
      <c r="AM1943">
        <v>0.33333333333333331</v>
      </c>
      <c r="AN1943">
        <v>5.6046251398731117</v>
      </c>
    </row>
    <row r="1944" spans="1:40" x14ac:dyDescent="0.3">
      <c r="A1944" t="s">
        <v>517</v>
      </c>
      <c r="B1944" t="s">
        <v>644</v>
      </c>
      <c r="C1944" t="s">
        <v>16</v>
      </c>
      <c r="D1944" t="s">
        <v>14</v>
      </c>
      <c r="E1944">
        <v>202602</v>
      </c>
      <c r="F1944" t="s">
        <v>563</v>
      </c>
      <c r="G1944">
        <v>0</v>
      </c>
      <c r="H1944">
        <v>0</v>
      </c>
      <c r="I1944">
        <v>0</v>
      </c>
      <c r="J1944">
        <v>0</v>
      </c>
      <c r="K1944">
        <v>0</v>
      </c>
      <c r="L1944">
        <v>0</v>
      </c>
      <c r="M1944">
        <v>0</v>
      </c>
      <c r="N1944">
        <v>0</v>
      </c>
      <c r="O1944">
        <v>1</v>
      </c>
      <c r="P1944">
        <v>0</v>
      </c>
      <c r="Q1944">
        <v>0</v>
      </c>
      <c r="R1944">
        <v>0</v>
      </c>
      <c r="S1944">
        <v>0</v>
      </c>
      <c r="T1944">
        <v>0</v>
      </c>
      <c r="U1944">
        <v>0</v>
      </c>
      <c r="V1944">
        <v>0</v>
      </c>
      <c r="W1944">
        <v>0</v>
      </c>
      <c r="X1944">
        <v>0</v>
      </c>
      <c r="Y1944">
        <v>0</v>
      </c>
      <c r="Z1944">
        <v>0</v>
      </c>
      <c r="AA1944">
        <v>0</v>
      </c>
      <c r="AB1944">
        <v>0</v>
      </c>
      <c r="AC1944">
        <v>0</v>
      </c>
      <c r="AD1944">
        <v>0</v>
      </c>
      <c r="AE1944">
        <v>0</v>
      </c>
      <c r="AF1944">
        <v>0</v>
      </c>
      <c r="AG1944">
        <v>0</v>
      </c>
      <c r="AH1944">
        <v>0</v>
      </c>
      <c r="AI1944">
        <v>0</v>
      </c>
      <c r="AJ1944">
        <v>0</v>
      </c>
      <c r="AK1944">
        <v>0</v>
      </c>
      <c r="AL1944">
        <v>1</v>
      </c>
      <c r="AM1944">
        <v>0.33333333333333331</v>
      </c>
      <c r="AN1944">
        <v>5.0417410714286133</v>
      </c>
    </row>
    <row r="1945" spans="1:40" x14ac:dyDescent="0.3">
      <c r="A1945" t="s">
        <v>517</v>
      </c>
      <c r="B1945" t="s">
        <v>136</v>
      </c>
      <c r="C1945" t="s">
        <v>10</v>
      </c>
      <c r="D1945" t="s">
        <v>11</v>
      </c>
      <c r="E1945">
        <v>202602</v>
      </c>
      <c r="F1945" t="s">
        <v>42</v>
      </c>
      <c r="G1945">
        <v>0</v>
      </c>
      <c r="H1945">
        <v>1</v>
      </c>
      <c r="I1945">
        <v>0</v>
      </c>
      <c r="J1945">
        <v>0</v>
      </c>
      <c r="K1945">
        <v>0</v>
      </c>
      <c r="L1945">
        <v>0</v>
      </c>
      <c r="M1945">
        <v>1</v>
      </c>
      <c r="N1945">
        <v>0</v>
      </c>
      <c r="O1945">
        <v>0</v>
      </c>
      <c r="P1945">
        <v>0</v>
      </c>
      <c r="Q1945">
        <v>0</v>
      </c>
      <c r="R1945">
        <v>0</v>
      </c>
      <c r="S1945">
        <v>0</v>
      </c>
      <c r="T1945">
        <v>0</v>
      </c>
      <c r="U1945">
        <v>0</v>
      </c>
      <c r="V1945">
        <v>0</v>
      </c>
      <c r="W1945">
        <v>0</v>
      </c>
      <c r="X1945">
        <v>0</v>
      </c>
      <c r="Y1945">
        <v>0</v>
      </c>
      <c r="Z1945">
        <v>0</v>
      </c>
      <c r="AA1945">
        <v>0</v>
      </c>
      <c r="AB1945">
        <v>0</v>
      </c>
      <c r="AC1945">
        <v>0</v>
      </c>
      <c r="AD1945">
        <v>0</v>
      </c>
      <c r="AE1945">
        <v>0</v>
      </c>
      <c r="AF1945">
        <v>0</v>
      </c>
      <c r="AG1945">
        <v>0</v>
      </c>
      <c r="AH1945">
        <v>0</v>
      </c>
      <c r="AI1945">
        <v>0</v>
      </c>
      <c r="AJ1945">
        <v>0</v>
      </c>
      <c r="AK1945">
        <v>0</v>
      </c>
      <c r="AL1945">
        <v>2</v>
      </c>
      <c r="AM1945">
        <v>0</v>
      </c>
      <c r="AN1945">
        <v>2</v>
      </c>
    </row>
    <row r="1946" spans="1:40" x14ac:dyDescent="0.3">
      <c r="A1946" t="s">
        <v>517</v>
      </c>
      <c r="B1946" t="s">
        <v>136</v>
      </c>
      <c r="C1946" t="s">
        <v>10</v>
      </c>
      <c r="D1946" t="s">
        <v>11</v>
      </c>
      <c r="E1946">
        <v>202602</v>
      </c>
      <c r="F1946" t="s">
        <v>102</v>
      </c>
      <c r="G1946">
        <v>0</v>
      </c>
      <c r="H1946">
        <v>0</v>
      </c>
      <c r="I1946">
        <v>0</v>
      </c>
      <c r="J1946">
        <v>1</v>
      </c>
      <c r="K1946">
        <v>0</v>
      </c>
      <c r="L1946">
        <v>0</v>
      </c>
      <c r="M1946">
        <v>0</v>
      </c>
      <c r="N1946">
        <v>0</v>
      </c>
      <c r="O1946">
        <v>0</v>
      </c>
      <c r="P1946">
        <v>0</v>
      </c>
      <c r="Q1946">
        <v>0</v>
      </c>
      <c r="R1946">
        <v>0</v>
      </c>
      <c r="S1946">
        <v>0</v>
      </c>
      <c r="T1946">
        <v>0</v>
      </c>
      <c r="U1946">
        <v>0</v>
      </c>
      <c r="V1946">
        <v>0</v>
      </c>
      <c r="W1946">
        <v>0</v>
      </c>
      <c r="X1946">
        <v>0</v>
      </c>
      <c r="Y1946">
        <v>0</v>
      </c>
      <c r="Z1946">
        <v>0</v>
      </c>
      <c r="AA1946">
        <v>0</v>
      </c>
      <c r="AB1946">
        <v>0</v>
      </c>
      <c r="AC1946">
        <v>0</v>
      </c>
      <c r="AD1946">
        <v>0</v>
      </c>
      <c r="AE1946">
        <v>0</v>
      </c>
      <c r="AF1946">
        <v>0</v>
      </c>
      <c r="AG1946">
        <v>0</v>
      </c>
      <c r="AH1946">
        <v>0</v>
      </c>
      <c r="AI1946">
        <v>0</v>
      </c>
      <c r="AJ1946">
        <v>0</v>
      </c>
      <c r="AK1946">
        <v>0</v>
      </c>
      <c r="AL1946">
        <v>1</v>
      </c>
      <c r="AM1946">
        <v>0</v>
      </c>
      <c r="AN1946">
        <v>1</v>
      </c>
    </row>
    <row r="1947" spans="1:40" x14ac:dyDescent="0.3">
      <c r="A1947" t="s">
        <v>517</v>
      </c>
      <c r="B1947" t="s">
        <v>136</v>
      </c>
      <c r="C1947" t="s">
        <v>10</v>
      </c>
      <c r="D1947" t="s">
        <v>11</v>
      </c>
      <c r="E1947">
        <v>202602</v>
      </c>
      <c r="F1947" t="s">
        <v>101</v>
      </c>
      <c r="G1947">
        <v>0</v>
      </c>
      <c r="H1947">
        <v>9</v>
      </c>
      <c r="I1947">
        <v>1</v>
      </c>
      <c r="J1947">
        <v>5</v>
      </c>
      <c r="K1947">
        <v>7</v>
      </c>
      <c r="L1947">
        <v>10</v>
      </c>
      <c r="M1947">
        <v>2</v>
      </c>
      <c r="N1947">
        <v>0</v>
      </c>
      <c r="O1947">
        <v>3</v>
      </c>
      <c r="P1947">
        <v>10</v>
      </c>
      <c r="Q1947">
        <v>6</v>
      </c>
      <c r="R1947">
        <v>0</v>
      </c>
      <c r="S1947">
        <v>0</v>
      </c>
      <c r="T1947">
        <v>0</v>
      </c>
      <c r="U1947">
        <v>0</v>
      </c>
      <c r="V1947">
        <v>0</v>
      </c>
      <c r="W1947">
        <v>0</v>
      </c>
      <c r="X1947">
        <v>0</v>
      </c>
      <c r="Y1947">
        <v>0</v>
      </c>
      <c r="Z1947">
        <v>0</v>
      </c>
      <c r="AA1947">
        <v>0</v>
      </c>
      <c r="AB1947">
        <v>0</v>
      </c>
      <c r="AC1947">
        <v>0</v>
      </c>
      <c r="AD1947">
        <v>0</v>
      </c>
      <c r="AE1947">
        <v>0</v>
      </c>
      <c r="AF1947">
        <v>0</v>
      </c>
      <c r="AG1947">
        <v>0</v>
      </c>
      <c r="AH1947">
        <v>0</v>
      </c>
      <c r="AI1947">
        <v>0</v>
      </c>
      <c r="AJ1947">
        <v>0</v>
      </c>
      <c r="AK1947">
        <v>0</v>
      </c>
      <c r="AL1947">
        <v>53</v>
      </c>
      <c r="AM1947">
        <v>6.333333333333333</v>
      </c>
      <c r="AN1947">
        <v>140.48787765758911</v>
      </c>
    </row>
    <row r="1948" spans="1:40" x14ac:dyDescent="0.3">
      <c r="A1948" t="s">
        <v>517</v>
      </c>
      <c r="B1948" t="s">
        <v>136</v>
      </c>
      <c r="C1948" t="s">
        <v>10</v>
      </c>
      <c r="D1948" t="s">
        <v>14</v>
      </c>
      <c r="E1948">
        <v>202602</v>
      </c>
      <c r="F1948" t="s">
        <v>42</v>
      </c>
      <c r="G1948">
        <v>0</v>
      </c>
      <c r="H1948">
        <v>0</v>
      </c>
      <c r="I1948">
        <v>1</v>
      </c>
      <c r="J1948">
        <v>0</v>
      </c>
      <c r="K1948">
        <v>0</v>
      </c>
      <c r="L1948">
        <v>0</v>
      </c>
      <c r="M1948">
        <v>0</v>
      </c>
      <c r="N1948">
        <v>0</v>
      </c>
      <c r="O1948">
        <v>1</v>
      </c>
      <c r="P1948">
        <v>1</v>
      </c>
      <c r="Q1948">
        <v>0</v>
      </c>
      <c r="R1948">
        <v>0</v>
      </c>
      <c r="S1948">
        <v>0</v>
      </c>
      <c r="T1948">
        <v>0</v>
      </c>
      <c r="U1948">
        <v>0</v>
      </c>
      <c r="V1948">
        <v>0</v>
      </c>
      <c r="W1948">
        <v>0</v>
      </c>
      <c r="X1948">
        <v>0</v>
      </c>
      <c r="Y1948">
        <v>0</v>
      </c>
      <c r="Z1948">
        <v>0</v>
      </c>
      <c r="AA1948">
        <v>0</v>
      </c>
      <c r="AB1948">
        <v>0</v>
      </c>
      <c r="AC1948">
        <v>0</v>
      </c>
      <c r="AD1948">
        <v>0</v>
      </c>
      <c r="AE1948">
        <v>0</v>
      </c>
      <c r="AF1948">
        <v>0</v>
      </c>
      <c r="AG1948">
        <v>0</v>
      </c>
      <c r="AH1948">
        <v>0</v>
      </c>
      <c r="AI1948">
        <v>0</v>
      </c>
      <c r="AJ1948">
        <v>0</v>
      </c>
      <c r="AK1948">
        <v>0</v>
      </c>
      <c r="AL1948">
        <v>3</v>
      </c>
      <c r="AM1948">
        <v>0.66666666666666663</v>
      </c>
      <c r="AN1948">
        <v>11.083482142857227</v>
      </c>
    </row>
    <row r="1949" spans="1:40" x14ac:dyDescent="0.3">
      <c r="A1949" t="s">
        <v>517</v>
      </c>
      <c r="B1949" t="s">
        <v>136</v>
      </c>
      <c r="C1949" t="s">
        <v>10</v>
      </c>
      <c r="D1949" t="s">
        <v>14</v>
      </c>
      <c r="E1949">
        <v>202602</v>
      </c>
      <c r="F1949" t="s">
        <v>102</v>
      </c>
      <c r="G1949">
        <v>0</v>
      </c>
      <c r="H1949">
        <v>0</v>
      </c>
      <c r="I1949">
        <v>1</v>
      </c>
      <c r="J1949">
        <v>0</v>
      </c>
      <c r="K1949">
        <v>0</v>
      </c>
      <c r="L1949">
        <v>0</v>
      </c>
      <c r="M1949">
        <v>0</v>
      </c>
      <c r="N1949">
        <v>0</v>
      </c>
      <c r="O1949">
        <v>0</v>
      </c>
      <c r="P1949">
        <v>0</v>
      </c>
      <c r="Q1949">
        <v>0</v>
      </c>
      <c r="R1949">
        <v>0</v>
      </c>
      <c r="S1949">
        <v>0</v>
      </c>
      <c r="T1949">
        <v>0</v>
      </c>
      <c r="U1949">
        <v>0</v>
      </c>
      <c r="V1949">
        <v>0</v>
      </c>
      <c r="W1949">
        <v>0</v>
      </c>
      <c r="X1949">
        <v>0</v>
      </c>
      <c r="Y1949">
        <v>0</v>
      </c>
      <c r="Z1949">
        <v>0</v>
      </c>
      <c r="AA1949">
        <v>0</v>
      </c>
      <c r="AB1949">
        <v>0</v>
      </c>
      <c r="AC1949">
        <v>0</v>
      </c>
      <c r="AD1949">
        <v>0</v>
      </c>
      <c r="AE1949">
        <v>0</v>
      </c>
      <c r="AF1949">
        <v>0</v>
      </c>
      <c r="AG1949">
        <v>0</v>
      </c>
      <c r="AH1949">
        <v>0</v>
      </c>
      <c r="AI1949">
        <v>0</v>
      </c>
      <c r="AJ1949">
        <v>0</v>
      </c>
      <c r="AK1949">
        <v>0</v>
      </c>
      <c r="AL1949">
        <v>1</v>
      </c>
      <c r="AM1949">
        <v>0</v>
      </c>
      <c r="AN1949">
        <v>1</v>
      </c>
    </row>
    <row r="1950" spans="1:40" x14ac:dyDescent="0.3">
      <c r="A1950" t="s">
        <v>517</v>
      </c>
      <c r="B1950" t="s">
        <v>136</v>
      </c>
      <c r="C1950" t="s">
        <v>10</v>
      </c>
      <c r="D1950" t="s">
        <v>14</v>
      </c>
      <c r="E1950">
        <v>202602</v>
      </c>
      <c r="F1950" t="s">
        <v>101</v>
      </c>
      <c r="G1950">
        <v>0</v>
      </c>
      <c r="H1950">
        <v>10</v>
      </c>
      <c r="I1950">
        <v>11</v>
      </c>
      <c r="J1950">
        <v>10</v>
      </c>
      <c r="K1950">
        <v>4</v>
      </c>
      <c r="L1950">
        <v>14</v>
      </c>
      <c r="M1950">
        <v>0</v>
      </c>
      <c r="N1950">
        <v>0</v>
      </c>
      <c r="O1950">
        <v>9</v>
      </c>
      <c r="P1950">
        <v>9</v>
      </c>
      <c r="Q1950">
        <v>14</v>
      </c>
      <c r="R1950">
        <v>0</v>
      </c>
      <c r="S1950">
        <v>0</v>
      </c>
      <c r="T1950">
        <v>0</v>
      </c>
      <c r="U1950">
        <v>0</v>
      </c>
      <c r="V1950">
        <v>0</v>
      </c>
      <c r="W1950">
        <v>0</v>
      </c>
      <c r="X1950">
        <v>0</v>
      </c>
      <c r="Y1950">
        <v>0</v>
      </c>
      <c r="Z1950">
        <v>0</v>
      </c>
      <c r="AA1950">
        <v>0</v>
      </c>
      <c r="AB1950">
        <v>0</v>
      </c>
      <c r="AC1950">
        <v>0</v>
      </c>
      <c r="AD1950">
        <v>0</v>
      </c>
      <c r="AE1950">
        <v>0</v>
      </c>
      <c r="AF1950">
        <v>0</v>
      </c>
      <c r="AG1950">
        <v>0</v>
      </c>
      <c r="AH1950">
        <v>0</v>
      </c>
      <c r="AI1950">
        <v>0</v>
      </c>
      <c r="AJ1950">
        <v>0</v>
      </c>
      <c r="AK1950">
        <v>0</v>
      </c>
      <c r="AL1950">
        <v>81</v>
      </c>
      <c r="AM1950">
        <v>10.666666666666666</v>
      </c>
      <c r="AN1950">
        <v>210.33571428571562</v>
      </c>
    </row>
    <row r="1951" spans="1:40" x14ac:dyDescent="0.3">
      <c r="A1951" t="s">
        <v>517</v>
      </c>
      <c r="B1951" t="s">
        <v>684</v>
      </c>
      <c r="C1951" t="s">
        <v>10</v>
      </c>
      <c r="D1951" t="s">
        <v>11</v>
      </c>
      <c r="E1951">
        <v>202602</v>
      </c>
      <c r="F1951" t="s">
        <v>101</v>
      </c>
      <c r="G1951">
        <v>0</v>
      </c>
      <c r="H1951">
        <v>3</v>
      </c>
      <c r="I1951">
        <v>3</v>
      </c>
      <c r="J1951">
        <v>0</v>
      </c>
      <c r="K1951">
        <v>1</v>
      </c>
      <c r="L1951">
        <v>2</v>
      </c>
      <c r="M1951">
        <v>2</v>
      </c>
      <c r="N1951">
        <v>0</v>
      </c>
      <c r="O1951">
        <v>5</v>
      </c>
      <c r="P1951">
        <v>0</v>
      </c>
      <c r="Q1951">
        <v>2</v>
      </c>
      <c r="R1951">
        <v>0</v>
      </c>
      <c r="S1951">
        <v>0</v>
      </c>
      <c r="T1951">
        <v>0</v>
      </c>
      <c r="U1951">
        <v>0</v>
      </c>
      <c r="V1951">
        <v>0</v>
      </c>
      <c r="W1951">
        <v>0</v>
      </c>
      <c r="X1951">
        <v>0</v>
      </c>
      <c r="Y1951">
        <v>0</v>
      </c>
      <c r="Z1951">
        <v>0</v>
      </c>
      <c r="AA1951">
        <v>0</v>
      </c>
      <c r="AB1951">
        <v>0</v>
      </c>
      <c r="AC1951">
        <v>0</v>
      </c>
      <c r="AD1951">
        <v>0</v>
      </c>
      <c r="AE1951">
        <v>0</v>
      </c>
      <c r="AF1951">
        <v>0</v>
      </c>
      <c r="AG1951">
        <v>0</v>
      </c>
      <c r="AH1951">
        <v>0</v>
      </c>
      <c r="AI1951">
        <v>0</v>
      </c>
      <c r="AJ1951">
        <v>0</v>
      </c>
      <c r="AK1951">
        <v>0</v>
      </c>
      <c r="AL1951">
        <v>18</v>
      </c>
      <c r="AM1951">
        <v>2.3333333333333335</v>
      </c>
      <c r="AN1951">
        <v>50.232375979111779</v>
      </c>
    </row>
    <row r="1952" spans="1:40" x14ac:dyDescent="0.3">
      <c r="A1952" t="s">
        <v>517</v>
      </c>
      <c r="B1952" t="s">
        <v>684</v>
      </c>
      <c r="C1952" t="s">
        <v>10</v>
      </c>
      <c r="D1952" t="s">
        <v>11</v>
      </c>
      <c r="E1952">
        <v>202602</v>
      </c>
      <c r="F1952" t="s">
        <v>138</v>
      </c>
      <c r="G1952">
        <v>0</v>
      </c>
      <c r="H1952">
        <v>0</v>
      </c>
      <c r="I1952">
        <v>0</v>
      </c>
      <c r="J1952">
        <v>0</v>
      </c>
      <c r="K1952">
        <v>0</v>
      </c>
      <c r="L1952">
        <v>1</v>
      </c>
      <c r="M1952">
        <v>0</v>
      </c>
      <c r="N1952">
        <v>0</v>
      </c>
      <c r="O1952">
        <v>0</v>
      </c>
      <c r="P1952">
        <v>0</v>
      </c>
      <c r="Q1952">
        <v>0</v>
      </c>
      <c r="R1952">
        <v>0</v>
      </c>
      <c r="S1952">
        <v>0</v>
      </c>
      <c r="T1952">
        <v>0</v>
      </c>
      <c r="U1952">
        <v>0</v>
      </c>
      <c r="V1952">
        <v>0</v>
      </c>
      <c r="W1952">
        <v>0</v>
      </c>
      <c r="X1952">
        <v>0</v>
      </c>
      <c r="Y1952">
        <v>0</v>
      </c>
      <c r="Z1952">
        <v>0</v>
      </c>
      <c r="AA1952">
        <v>0</v>
      </c>
      <c r="AB1952">
        <v>0</v>
      </c>
      <c r="AC1952">
        <v>0</v>
      </c>
      <c r="AD1952">
        <v>0</v>
      </c>
      <c r="AE1952">
        <v>0</v>
      </c>
      <c r="AF1952">
        <v>0</v>
      </c>
      <c r="AG1952">
        <v>0</v>
      </c>
      <c r="AH1952">
        <v>0</v>
      </c>
      <c r="AI1952">
        <v>0</v>
      </c>
      <c r="AJ1952">
        <v>0</v>
      </c>
      <c r="AK1952">
        <v>0</v>
      </c>
      <c r="AL1952">
        <v>1</v>
      </c>
      <c r="AM1952">
        <v>0</v>
      </c>
      <c r="AN1952">
        <v>1</v>
      </c>
    </row>
    <row r="1953" spans="1:40" x14ac:dyDescent="0.3">
      <c r="A1953" t="s">
        <v>517</v>
      </c>
      <c r="B1953" t="s">
        <v>684</v>
      </c>
      <c r="C1953" t="s">
        <v>10</v>
      </c>
      <c r="D1953" t="s">
        <v>14</v>
      </c>
      <c r="E1953">
        <v>202602</v>
      </c>
      <c r="F1953" t="s">
        <v>101</v>
      </c>
      <c r="G1953">
        <v>0</v>
      </c>
      <c r="H1953">
        <v>1</v>
      </c>
      <c r="I1953">
        <v>2</v>
      </c>
      <c r="J1953">
        <v>5</v>
      </c>
      <c r="K1953">
        <v>4</v>
      </c>
      <c r="L1953">
        <v>5</v>
      </c>
      <c r="M1953">
        <v>0</v>
      </c>
      <c r="N1953">
        <v>0</v>
      </c>
      <c r="O1953">
        <v>4</v>
      </c>
      <c r="P1953">
        <v>6</v>
      </c>
      <c r="Q1953">
        <v>2</v>
      </c>
      <c r="R1953">
        <v>0</v>
      </c>
      <c r="S1953">
        <v>0</v>
      </c>
      <c r="T1953">
        <v>0</v>
      </c>
      <c r="U1953">
        <v>0</v>
      </c>
      <c r="V1953">
        <v>0</v>
      </c>
      <c r="W1953">
        <v>0</v>
      </c>
      <c r="X1953">
        <v>0</v>
      </c>
      <c r="Y1953">
        <v>0</v>
      </c>
      <c r="Z1953">
        <v>0</v>
      </c>
      <c r="AA1953">
        <v>0</v>
      </c>
      <c r="AB1953">
        <v>0</v>
      </c>
      <c r="AC1953">
        <v>0</v>
      </c>
      <c r="AD1953">
        <v>0</v>
      </c>
      <c r="AE1953">
        <v>0</v>
      </c>
      <c r="AF1953">
        <v>0</v>
      </c>
      <c r="AG1953">
        <v>0</v>
      </c>
      <c r="AH1953">
        <v>0</v>
      </c>
      <c r="AI1953">
        <v>0</v>
      </c>
      <c r="AJ1953">
        <v>0</v>
      </c>
      <c r="AK1953">
        <v>0</v>
      </c>
      <c r="AL1953">
        <v>29</v>
      </c>
      <c r="AM1953">
        <v>4</v>
      </c>
      <c r="AN1953">
        <v>77.500892857143356</v>
      </c>
    </row>
    <row r="1954" spans="1:40" x14ac:dyDescent="0.3">
      <c r="A1954" t="s">
        <v>517</v>
      </c>
      <c r="B1954" t="s">
        <v>684</v>
      </c>
      <c r="C1954" t="s">
        <v>10</v>
      </c>
      <c r="D1954" t="s">
        <v>14</v>
      </c>
      <c r="E1954">
        <v>202602</v>
      </c>
      <c r="F1954" t="s">
        <v>138</v>
      </c>
      <c r="G1954">
        <v>0</v>
      </c>
      <c r="H1954">
        <v>0</v>
      </c>
      <c r="I1954">
        <v>0</v>
      </c>
      <c r="J1954">
        <v>1</v>
      </c>
      <c r="K1954">
        <v>0</v>
      </c>
      <c r="L1954">
        <v>2</v>
      </c>
      <c r="M1954">
        <v>0</v>
      </c>
      <c r="N1954">
        <v>0</v>
      </c>
      <c r="O1954">
        <v>0</v>
      </c>
      <c r="P1954">
        <v>0</v>
      </c>
      <c r="Q1954">
        <v>0</v>
      </c>
      <c r="R1954">
        <v>0</v>
      </c>
      <c r="S1954">
        <v>0</v>
      </c>
      <c r="T1954">
        <v>0</v>
      </c>
      <c r="U1954">
        <v>0</v>
      </c>
      <c r="V1954">
        <v>0</v>
      </c>
      <c r="W1954">
        <v>0</v>
      </c>
      <c r="X1954">
        <v>0</v>
      </c>
      <c r="Y1954">
        <v>0</v>
      </c>
      <c r="Z1954">
        <v>0</v>
      </c>
      <c r="AA1954">
        <v>0</v>
      </c>
      <c r="AB1954">
        <v>0</v>
      </c>
      <c r="AC1954">
        <v>0</v>
      </c>
      <c r="AD1954">
        <v>0</v>
      </c>
      <c r="AE1954">
        <v>0</v>
      </c>
      <c r="AF1954">
        <v>0</v>
      </c>
      <c r="AG1954">
        <v>0</v>
      </c>
      <c r="AH1954">
        <v>0</v>
      </c>
      <c r="AI1954">
        <v>0</v>
      </c>
      <c r="AJ1954">
        <v>0</v>
      </c>
      <c r="AK1954">
        <v>0</v>
      </c>
      <c r="AL1954">
        <v>3</v>
      </c>
      <c r="AM1954">
        <v>0</v>
      </c>
      <c r="AN1954">
        <v>3</v>
      </c>
    </row>
    <row r="1955" spans="1:40" x14ac:dyDescent="0.3">
      <c r="A1955" t="s">
        <v>517</v>
      </c>
      <c r="B1955" t="s">
        <v>139</v>
      </c>
      <c r="C1955" t="s">
        <v>10</v>
      </c>
      <c r="D1955" t="s">
        <v>11</v>
      </c>
      <c r="E1955">
        <v>202602</v>
      </c>
      <c r="F1955" t="s">
        <v>156</v>
      </c>
      <c r="G1955">
        <v>0</v>
      </c>
      <c r="H1955">
        <v>3</v>
      </c>
      <c r="I1955">
        <v>0</v>
      </c>
      <c r="J1955">
        <v>1</v>
      </c>
      <c r="K1955">
        <v>1</v>
      </c>
      <c r="L1955">
        <v>1</v>
      </c>
      <c r="M1955">
        <v>0</v>
      </c>
      <c r="N1955">
        <v>0</v>
      </c>
      <c r="O1955">
        <v>1</v>
      </c>
      <c r="P1955">
        <v>1</v>
      </c>
      <c r="Q1955">
        <v>0</v>
      </c>
      <c r="R1955">
        <v>0</v>
      </c>
      <c r="S1955">
        <v>0</v>
      </c>
      <c r="T1955">
        <v>0</v>
      </c>
      <c r="U1955">
        <v>0</v>
      </c>
      <c r="V1955">
        <v>0</v>
      </c>
      <c r="W1955">
        <v>0</v>
      </c>
      <c r="X1955">
        <v>0</v>
      </c>
      <c r="Y1955">
        <v>0</v>
      </c>
      <c r="Z1955">
        <v>0</v>
      </c>
      <c r="AA1955">
        <v>0</v>
      </c>
      <c r="AB1955">
        <v>0</v>
      </c>
      <c r="AC1955">
        <v>0</v>
      </c>
      <c r="AD1955">
        <v>0</v>
      </c>
      <c r="AE1955">
        <v>0</v>
      </c>
      <c r="AF1955">
        <v>0</v>
      </c>
      <c r="AG1955">
        <v>0</v>
      </c>
      <c r="AH1955">
        <v>0</v>
      </c>
      <c r="AI1955">
        <v>0</v>
      </c>
      <c r="AJ1955">
        <v>0</v>
      </c>
      <c r="AK1955">
        <v>0</v>
      </c>
      <c r="AL1955">
        <v>8</v>
      </c>
      <c r="AM1955">
        <v>0.66666666666666663</v>
      </c>
      <c r="AN1955">
        <v>17.209250279746222</v>
      </c>
    </row>
    <row r="1956" spans="1:40" x14ac:dyDescent="0.3">
      <c r="A1956" t="s">
        <v>517</v>
      </c>
      <c r="B1956" t="s">
        <v>139</v>
      </c>
      <c r="C1956" t="s">
        <v>10</v>
      </c>
      <c r="D1956" t="s">
        <v>11</v>
      </c>
      <c r="E1956">
        <v>202602</v>
      </c>
      <c r="F1956" t="s">
        <v>140</v>
      </c>
      <c r="G1956">
        <v>0</v>
      </c>
      <c r="H1956">
        <v>0</v>
      </c>
      <c r="I1956">
        <v>0</v>
      </c>
      <c r="J1956">
        <v>0</v>
      </c>
      <c r="K1956">
        <v>0</v>
      </c>
      <c r="L1956">
        <v>0</v>
      </c>
      <c r="M1956">
        <v>1</v>
      </c>
      <c r="N1956">
        <v>0</v>
      </c>
      <c r="O1956">
        <v>0</v>
      </c>
      <c r="P1956">
        <v>0</v>
      </c>
      <c r="Q1956">
        <v>0</v>
      </c>
      <c r="R1956">
        <v>0</v>
      </c>
      <c r="S1956">
        <v>0</v>
      </c>
      <c r="T1956">
        <v>0</v>
      </c>
      <c r="U1956">
        <v>0</v>
      </c>
      <c r="V1956">
        <v>0</v>
      </c>
      <c r="W1956">
        <v>0</v>
      </c>
      <c r="X1956">
        <v>0</v>
      </c>
      <c r="Y1956">
        <v>0</v>
      </c>
      <c r="Z1956">
        <v>0</v>
      </c>
      <c r="AA1956">
        <v>0</v>
      </c>
      <c r="AB1956">
        <v>0</v>
      </c>
      <c r="AC1956">
        <v>0</v>
      </c>
      <c r="AD1956">
        <v>0</v>
      </c>
      <c r="AE1956">
        <v>0</v>
      </c>
      <c r="AF1956">
        <v>0</v>
      </c>
      <c r="AG1956">
        <v>0</v>
      </c>
      <c r="AH1956">
        <v>0</v>
      </c>
      <c r="AI1956">
        <v>0</v>
      </c>
      <c r="AJ1956">
        <v>0</v>
      </c>
      <c r="AK1956">
        <v>0</v>
      </c>
      <c r="AL1956">
        <v>1</v>
      </c>
      <c r="AM1956">
        <v>0</v>
      </c>
      <c r="AN1956">
        <v>1</v>
      </c>
    </row>
    <row r="1957" spans="1:40" x14ac:dyDescent="0.3">
      <c r="A1957" t="s">
        <v>517</v>
      </c>
      <c r="B1957" t="s">
        <v>139</v>
      </c>
      <c r="C1957" t="s">
        <v>10</v>
      </c>
      <c r="D1957" t="s">
        <v>11</v>
      </c>
      <c r="E1957">
        <v>202602</v>
      </c>
      <c r="F1957" t="s">
        <v>141</v>
      </c>
      <c r="G1957">
        <v>0</v>
      </c>
      <c r="H1957">
        <v>0</v>
      </c>
      <c r="I1957">
        <v>0</v>
      </c>
      <c r="J1957">
        <v>1</v>
      </c>
      <c r="K1957">
        <v>0</v>
      </c>
      <c r="L1957">
        <v>0</v>
      </c>
      <c r="M1957">
        <v>0</v>
      </c>
      <c r="N1957">
        <v>0</v>
      </c>
      <c r="O1957">
        <v>0</v>
      </c>
      <c r="P1957">
        <v>0</v>
      </c>
      <c r="Q1957">
        <v>0</v>
      </c>
      <c r="R1957">
        <v>0</v>
      </c>
      <c r="S1957">
        <v>0</v>
      </c>
      <c r="T1957">
        <v>0</v>
      </c>
      <c r="U1957">
        <v>0</v>
      </c>
      <c r="V1957">
        <v>0</v>
      </c>
      <c r="W1957">
        <v>0</v>
      </c>
      <c r="X1957">
        <v>0</v>
      </c>
      <c r="Y1957">
        <v>0</v>
      </c>
      <c r="Z1957">
        <v>0</v>
      </c>
      <c r="AA1957">
        <v>0</v>
      </c>
      <c r="AB1957">
        <v>0</v>
      </c>
      <c r="AC1957">
        <v>0</v>
      </c>
      <c r="AD1957">
        <v>0</v>
      </c>
      <c r="AE1957">
        <v>0</v>
      </c>
      <c r="AF1957">
        <v>0</v>
      </c>
      <c r="AG1957">
        <v>0</v>
      </c>
      <c r="AH1957">
        <v>0</v>
      </c>
      <c r="AI1957">
        <v>0</v>
      </c>
      <c r="AJ1957">
        <v>0</v>
      </c>
      <c r="AK1957">
        <v>0</v>
      </c>
      <c r="AL1957">
        <v>1</v>
      </c>
      <c r="AM1957">
        <v>0</v>
      </c>
      <c r="AN1957">
        <v>1</v>
      </c>
    </row>
    <row r="1958" spans="1:40" x14ac:dyDescent="0.3">
      <c r="A1958" t="s">
        <v>517</v>
      </c>
      <c r="B1958" t="s">
        <v>139</v>
      </c>
      <c r="C1958" t="s">
        <v>10</v>
      </c>
      <c r="D1958" t="s">
        <v>11</v>
      </c>
      <c r="E1958">
        <v>202602</v>
      </c>
      <c r="F1958" t="s">
        <v>564</v>
      </c>
      <c r="G1958">
        <v>0</v>
      </c>
      <c r="H1958">
        <v>0</v>
      </c>
      <c r="I1958">
        <v>0</v>
      </c>
      <c r="J1958">
        <v>0</v>
      </c>
      <c r="K1958">
        <v>0</v>
      </c>
      <c r="L1958">
        <v>0</v>
      </c>
      <c r="M1958">
        <v>0</v>
      </c>
      <c r="N1958">
        <v>1</v>
      </c>
      <c r="O1958">
        <v>0</v>
      </c>
      <c r="P1958">
        <v>0</v>
      </c>
      <c r="Q1958">
        <v>0</v>
      </c>
      <c r="R1958">
        <v>0</v>
      </c>
      <c r="S1958">
        <v>0</v>
      </c>
      <c r="T1958">
        <v>0</v>
      </c>
      <c r="U1958">
        <v>0</v>
      </c>
      <c r="V1958">
        <v>0</v>
      </c>
      <c r="W1958">
        <v>0</v>
      </c>
      <c r="X1958">
        <v>0</v>
      </c>
      <c r="Y1958">
        <v>0</v>
      </c>
      <c r="Z1958">
        <v>0</v>
      </c>
      <c r="AA1958">
        <v>0</v>
      </c>
      <c r="AB1958">
        <v>0</v>
      </c>
      <c r="AC1958">
        <v>0</v>
      </c>
      <c r="AD1958">
        <v>0</v>
      </c>
      <c r="AE1958">
        <v>0</v>
      </c>
      <c r="AF1958">
        <v>0</v>
      </c>
      <c r="AG1958">
        <v>0</v>
      </c>
      <c r="AH1958">
        <v>0</v>
      </c>
      <c r="AI1958">
        <v>0</v>
      </c>
      <c r="AJ1958">
        <v>0</v>
      </c>
      <c r="AK1958">
        <v>0</v>
      </c>
      <c r="AL1958">
        <v>1</v>
      </c>
      <c r="AM1958">
        <v>0</v>
      </c>
      <c r="AN1958">
        <v>1</v>
      </c>
    </row>
    <row r="1959" spans="1:40" x14ac:dyDescent="0.3">
      <c r="A1959" t="s">
        <v>517</v>
      </c>
      <c r="B1959" t="s">
        <v>139</v>
      </c>
      <c r="C1959" t="s">
        <v>10</v>
      </c>
      <c r="D1959" t="s">
        <v>11</v>
      </c>
      <c r="E1959">
        <v>202602</v>
      </c>
      <c r="F1959" t="s">
        <v>142</v>
      </c>
      <c r="G1959">
        <v>0</v>
      </c>
      <c r="H1959">
        <v>0</v>
      </c>
      <c r="I1959">
        <v>0</v>
      </c>
      <c r="J1959">
        <v>0</v>
      </c>
      <c r="K1959">
        <v>0</v>
      </c>
      <c r="L1959">
        <v>0</v>
      </c>
      <c r="M1959">
        <v>1</v>
      </c>
      <c r="N1959">
        <v>0</v>
      </c>
      <c r="O1959">
        <v>0</v>
      </c>
      <c r="P1959">
        <v>1</v>
      </c>
      <c r="Q1959">
        <v>0</v>
      </c>
      <c r="R1959">
        <v>0</v>
      </c>
      <c r="S1959">
        <v>0</v>
      </c>
      <c r="T1959">
        <v>0</v>
      </c>
      <c r="U1959">
        <v>0</v>
      </c>
      <c r="V1959">
        <v>0</v>
      </c>
      <c r="W1959">
        <v>0</v>
      </c>
      <c r="X1959">
        <v>0</v>
      </c>
      <c r="Y1959">
        <v>0</v>
      </c>
      <c r="Z1959">
        <v>0</v>
      </c>
      <c r="AA1959">
        <v>0</v>
      </c>
      <c r="AB1959">
        <v>0</v>
      </c>
      <c r="AC1959">
        <v>0</v>
      </c>
      <c r="AD1959">
        <v>0</v>
      </c>
      <c r="AE1959">
        <v>0</v>
      </c>
      <c r="AF1959">
        <v>0</v>
      </c>
      <c r="AG1959">
        <v>0</v>
      </c>
      <c r="AH1959">
        <v>0</v>
      </c>
      <c r="AI1959">
        <v>0</v>
      </c>
      <c r="AJ1959">
        <v>0</v>
      </c>
      <c r="AK1959">
        <v>0</v>
      </c>
      <c r="AL1959">
        <v>2</v>
      </c>
      <c r="AM1959">
        <v>0.33333333333333331</v>
      </c>
      <c r="AN1959">
        <v>6.6046251398731117</v>
      </c>
    </row>
    <row r="1960" spans="1:40" x14ac:dyDescent="0.3">
      <c r="A1960" t="s">
        <v>517</v>
      </c>
      <c r="B1960" t="s">
        <v>139</v>
      </c>
      <c r="C1960" t="s">
        <v>10</v>
      </c>
      <c r="D1960" t="s">
        <v>11</v>
      </c>
      <c r="E1960">
        <v>202602</v>
      </c>
      <c r="F1960" t="s">
        <v>565</v>
      </c>
      <c r="G1960">
        <v>0</v>
      </c>
      <c r="H1960">
        <v>0</v>
      </c>
      <c r="I1960">
        <v>0</v>
      </c>
      <c r="J1960">
        <v>0</v>
      </c>
      <c r="K1960">
        <v>0</v>
      </c>
      <c r="L1960">
        <v>0</v>
      </c>
      <c r="M1960">
        <v>0</v>
      </c>
      <c r="N1960">
        <v>0</v>
      </c>
      <c r="O1960">
        <v>1</v>
      </c>
      <c r="P1960">
        <v>0</v>
      </c>
      <c r="Q1960">
        <v>0</v>
      </c>
      <c r="R1960">
        <v>0</v>
      </c>
      <c r="S1960">
        <v>0</v>
      </c>
      <c r="T1960">
        <v>0</v>
      </c>
      <c r="U1960">
        <v>0</v>
      </c>
      <c r="V1960">
        <v>0</v>
      </c>
      <c r="W1960">
        <v>0</v>
      </c>
      <c r="X1960">
        <v>0</v>
      </c>
      <c r="Y1960">
        <v>0</v>
      </c>
      <c r="Z1960">
        <v>0</v>
      </c>
      <c r="AA1960">
        <v>0</v>
      </c>
      <c r="AB1960">
        <v>0</v>
      </c>
      <c r="AC1960">
        <v>0</v>
      </c>
      <c r="AD1960">
        <v>0</v>
      </c>
      <c r="AE1960">
        <v>0</v>
      </c>
      <c r="AF1960">
        <v>0</v>
      </c>
      <c r="AG1960">
        <v>0</v>
      </c>
      <c r="AH1960">
        <v>0</v>
      </c>
      <c r="AI1960">
        <v>0</v>
      </c>
      <c r="AJ1960">
        <v>0</v>
      </c>
      <c r="AK1960">
        <v>0</v>
      </c>
      <c r="AL1960">
        <v>1</v>
      </c>
      <c r="AM1960">
        <v>0.33333333333333331</v>
      </c>
      <c r="AN1960">
        <v>5.6046251398731117</v>
      </c>
    </row>
    <row r="1961" spans="1:40" x14ac:dyDescent="0.3">
      <c r="A1961" t="s">
        <v>517</v>
      </c>
      <c r="B1961" t="s">
        <v>139</v>
      </c>
      <c r="C1961" t="s">
        <v>10</v>
      </c>
      <c r="D1961" t="s">
        <v>11</v>
      </c>
      <c r="E1961">
        <v>202602</v>
      </c>
      <c r="F1961" t="s">
        <v>143</v>
      </c>
      <c r="G1961">
        <v>0</v>
      </c>
      <c r="H1961">
        <v>0</v>
      </c>
      <c r="I1961">
        <v>0</v>
      </c>
      <c r="J1961">
        <v>0</v>
      </c>
      <c r="K1961">
        <v>0</v>
      </c>
      <c r="L1961">
        <v>0</v>
      </c>
      <c r="M1961">
        <v>0</v>
      </c>
      <c r="N1961">
        <v>0</v>
      </c>
      <c r="O1961">
        <v>1</v>
      </c>
      <c r="P1961">
        <v>0</v>
      </c>
      <c r="Q1961">
        <v>0</v>
      </c>
      <c r="R1961">
        <v>0</v>
      </c>
      <c r="S1961">
        <v>0</v>
      </c>
      <c r="T1961">
        <v>0</v>
      </c>
      <c r="U1961">
        <v>0</v>
      </c>
      <c r="V1961">
        <v>0</v>
      </c>
      <c r="W1961">
        <v>0</v>
      </c>
      <c r="X1961">
        <v>0</v>
      </c>
      <c r="Y1961">
        <v>0</v>
      </c>
      <c r="Z1961">
        <v>0</v>
      </c>
      <c r="AA1961">
        <v>0</v>
      </c>
      <c r="AB1961">
        <v>0</v>
      </c>
      <c r="AC1961">
        <v>0</v>
      </c>
      <c r="AD1961">
        <v>0</v>
      </c>
      <c r="AE1961">
        <v>0</v>
      </c>
      <c r="AF1961">
        <v>0</v>
      </c>
      <c r="AG1961">
        <v>0</v>
      </c>
      <c r="AH1961">
        <v>0</v>
      </c>
      <c r="AI1961">
        <v>0</v>
      </c>
      <c r="AJ1961">
        <v>0</v>
      </c>
      <c r="AK1961">
        <v>0</v>
      </c>
      <c r="AL1961">
        <v>1</v>
      </c>
      <c r="AM1961">
        <v>0.33333333333333331</v>
      </c>
      <c r="AN1961">
        <v>5.6046251398731117</v>
      </c>
    </row>
    <row r="1962" spans="1:40" x14ac:dyDescent="0.3">
      <c r="A1962" t="s">
        <v>517</v>
      </c>
      <c r="B1962" t="s">
        <v>139</v>
      </c>
      <c r="C1962" t="s">
        <v>10</v>
      </c>
      <c r="D1962" t="s">
        <v>11</v>
      </c>
      <c r="E1962">
        <v>202602</v>
      </c>
      <c r="F1962" t="s">
        <v>566</v>
      </c>
      <c r="G1962">
        <v>0</v>
      </c>
      <c r="H1962">
        <v>0</v>
      </c>
      <c r="I1962">
        <v>0</v>
      </c>
      <c r="J1962">
        <v>1</v>
      </c>
      <c r="K1962">
        <v>0</v>
      </c>
      <c r="L1962">
        <v>1</v>
      </c>
      <c r="M1962">
        <v>0</v>
      </c>
      <c r="N1962">
        <v>0</v>
      </c>
      <c r="O1962">
        <v>0</v>
      </c>
      <c r="P1962">
        <v>0</v>
      </c>
      <c r="Q1962">
        <v>0</v>
      </c>
      <c r="R1962">
        <v>0</v>
      </c>
      <c r="S1962">
        <v>0</v>
      </c>
      <c r="T1962">
        <v>0</v>
      </c>
      <c r="U1962">
        <v>0</v>
      </c>
      <c r="V1962">
        <v>0</v>
      </c>
      <c r="W1962">
        <v>0</v>
      </c>
      <c r="X1962">
        <v>0</v>
      </c>
      <c r="Y1962">
        <v>0</v>
      </c>
      <c r="Z1962">
        <v>0</v>
      </c>
      <c r="AA1962">
        <v>0</v>
      </c>
      <c r="AB1962">
        <v>0</v>
      </c>
      <c r="AC1962">
        <v>0</v>
      </c>
      <c r="AD1962">
        <v>0</v>
      </c>
      <c r="AE1962">
        <v>0</v>
      </c>
      <c r="AF1962">
        <v>0</v>
      </c>
      <c r="AG1962">
        <v>0</v>
      </c>
      <c r="AH1962">
        <v>0</v>
      </c>
      <c r="AI1962">
        <v>0</v>
      </c>
      <c r="AJ1962">
        <v>0</v>
      </c>
      <c r="AK1962">
        <v>0</v>
      </c>
      <c r="AL1962">
        <v>2</v>
      </c>
      <c r="AM1962">
        <v>0</v>
      </c>
      <c r="AN1962">
        <v>2</v>
      </c>
    </row>
    <row r="1963" spans="1:40" x14ac:dyDescent="0.3">
      <c r="A1963" t="s">
        <v>517</v>
      </c>
      <c r="B1963" t="s">
        <v>139</v>
      </c>
      <c r="C1963" t="s">
        <v>10</v>
      </c>
      <c r="D1963" t="s">
        <v>11</v>
      </c>
      <c r="E1963">
        <v>202602</v>
      </c>
      <c r="F1963" t="s">
        <v>567</v>
      </c>
      <c r="G1963">
        <v>0</v>
      </c>
      <c r="H1963">
        <v>0</v>
      </c>
      <c r="I1963">
        <v>0</v>
      </c>
      <c r="J1963">
        <v>1</v>
      </c>
      <c r="K1963">
        <v>0</v>
      </c>
      <c r="L1963">
        <v>0</v>
      </c>
      <c r="M1963">
        <v>0</v>
      </c>
      <c r="N1963">
        <v>0</v>
      </c>
      <c r="O1963">
        <v>0</v>
      </c>
      <c r="P1963">
        <v>0</v>
      </c>
      <c r="Q1963">
        <v>0</v>
      </c>
      <c r="R1963">
        <v>0</v>
      </c>
      <c r="S1963">
        <v>0</v>
      </c>
      <c r="T1963">
        <v>0</v>
      </c>
      <c r="U1963">
        <v>0</v>
      </c>
      <c r="V1963">
        <v>0</v>
      </c>
      <c r="W1963">
        <v>0</v>
      </c>
      <c r="X1963">
        <v>0</v>
      </c>
      <c r="Y1963">
        <v>0</v>
      </c>
      <c r="Z1963">
        <v>0</v>
      </c>
      <c r="AA1963">
        <v>0</v>
      </c>
      <c r="AB1963">
        <v>0</v>
      </c>
      <c r="AC1963">
        <v>0</v>
      </c>
      <c r="AD1963">
        <v>0</v>
      </c>
      <c r="AE1963">
        <v>0</v>
      </c>
      <c r="AF1963">
        <v>0</v>
      </c>
      <c r="AG1963">
        <v>0</v>
      </c>
      <c r="AH1963">
        <v>0</v>
      </c>
      <c r="AI1963">
        <v>0</v>
      </c>
      <c r="AJ1963">
        <v>0</v>
      </c>
      <c r="AK1963">
        <v>0</v>
      </c>
      <c r="AL1963">
        <v>1</v>
      </c>
      <c r="AM1963">
        <v>0</v>
      </c>
      <c r="AN1963">
        <v>1</v>
      </c>
    </row>
    <row r="1964" spans="1:40" x14ac:dyDescent="0.3">
      <c r="A1964" t="s">
        <v>517</v>
      </c>
      <c r="B1964" t="s">
        <v>139</v>
      </c>
      <c r="C1964" t="s">
        <v>10</v>
      </c>
      <c r="D1964" t="s">
        <v>11</v>
      </c>
      <c r="E1964">
        <v>202602</v>
      </c>
      <c r="F1964" t="s">
        <v>568</v>
      </c>
      <c r="G1964">
        <v>0</v>
      </c>
      <c r="H1964">
        <v>0</v>
      </c>
      <c r="I1964">
        <v>0</v>
      </c>
      <c r="J1964">
        <v>1</v>
      </c>
      <c r="K1964">
        <v>0</v>
      </c>
      <c r="L1964">
        <v>1</v>
      </c>
      <c r="M1964">
        <v>0</v>
      </c>
      <c r="N1964">
        <v>0</v>
      </c>
      <c r="O1964">
        <v>0</v>
      </c>
      <c r="P1964">
        <v>0</v>
      </c>
      <c r="Q1964">
        <v>0</v>
      </c>
      <c r="R1964">
        <v>0</v>
      </c>
      <c r="S1964">
        <v>0</v>
      </c>
      <c r="T1964">
        <v>0</v>
      </c>
      <c r="U1964">
        <v>0</v>
      </c>
      <c r="V1964">
        <v>0</v>
      </c>
      <c r="W1964">
        <v>0</v>
      </c>
      <c r="X1964">
        <v>0</v>
      </c>
      <c r="Y1964">
        <v>0</v>
      </c>
      <c r="Z1964">
        <v>0</v>
      </c>
      <c r="AA1964">
        <v>0</v>
      </c>
      <c r="AB1964">
        <v>0</v>
      </c>
      <c r="AC1964">
        <v>0</v>
      </c>
      <c r="AD1964">
        <v>0</v>
      </c>
      <c r="AE1964">
        <v>0</v>
      </c>
      <c r="AF1964">
        <v>0</v>
      </c>
      <c r="AG1964">
        <v>0</v>
      </c>
      <c r="AH1964">
        <v>0</v>
      </c>
      <c r="AI1964">
        <v>0</v>
      </c>
      <c r="AJ1964">
        <v>0</v>
      </c>
      <c r="AK1964">
        <v>0</v>
      </c>
      <c r="AL1964">
        <v>2</v>
      </c>
      <c r="AM1964">
        <v>0</v>
      </c>
      <c r="AN1964">
        <v>2</v>
      </c>
    </row>
    <row r="1965" spans="1:40" x14ac:dyDescent="0.3">
      <c r="A1965" t="s">
        <v>517</v>
      </c>
      <c r="B1965" t="s">
        <v>139</v>
      </c>
      <c r="C1965" t="s">
        <v>10</v>
      </c>
      <c r="D1965" t="s">
        <v>11</v>
      </c>
      <c r="E1965">
        <v>202602</v>
      </c>
      <c r="F1965" t="s">
        <v>571</v>
      </c>
      <c r="G1965">
        <v>0</v>
      </c>
      <c r="H1965">
        <v>0</v>
      </c>
      <c r="I1965">
        <v>0</v>
      </c>
      <c r="J1965">
        <v>0</v>
      </c>
      <c r="K1965">
        <v>0</v>
      </c>
      <c r="L1965">
        <v>0</v>
      </c>
      <c r="M1965">
        <v>0</v>
      </c>
      <c r="N1965">
        <v>0</v>
      </c>
      <c r="O1965">
        <v>0</v>
      </c>
      <c r="P1965">
        <v>0</v>
      </c>
      <c r="Q1965">
        <v>1</v>
      </c>
      <c r="R1965">
        <v>0</v>
      </c>
      <c r="S1965">
        <v>0</v>
      </c>
      <c r="T1965">
        <v>0</v>
      </c>
      <c r="U1965">
        <v>0</v>
      </c>
      <c r="V1965">
        <v>0</v>
      </c>
      <c r="W1965">
        <v>0</v>
      </c>
      <c r="X1965">
        <v>0</v>
      </c>
      <c r="Y1965">
        <v>0</v>
      </c>
      <c r="Z1965">
        <v>0</v>
      </c>
      <c r="AA1965">
        <v>0</v>
      </c>
      <c r="AB1965">
        <v>0</v>
      </c>
      <c r="AC1965">
        <v>0</v>
      </c>
      <c r="AD1965">
        <v>0</v>
      </c>
      <c r="AE1965">
        <v>0</v>
      </c>
      <c r="AF1965">
        <v>0</v>
      </c>
      <c r="AG1965">
        <v>0</v>
      </c>
      <c r="AH1965">
        <v>0</v>
      </c>
      <c r="AI1965">
        <v>0</v>
      </c>
      <c r="AJ1965">
        <v>0</v>
      </c>
      <c r="AK1965">
        <v>0</v>
      </c>
      <c r="AL1965">
        <v>1</v>
      </c>
      <c r="AM1965">
        <v>0.33333333333333331</v>
      </c>
      <c r="AN1965">
        <v>5.6046251398731117</v>
      </c>
    </row>
    <row r="1966" spans="1:40" x14ac:dyDescent="0.3">
      <c r="A1966" t="s">
        <v>517</v>
      </c>
      <c r="B1966" t="s">
        <v>139</v>
      </c>
      <c r="C1966" t="s">
        <v>10</v>
      </c>
      <c r="D1966" t="s">
        <v>11</v>
      </c>
      <c r="E1966">
        <v>202602</v>
      </c>
      <c r="F1966" t="s">
        <v>569</v>
      </c>
      <c r="G1966">
        <v>0</v>
      </c>
      <c r="H1966">
        <v>1</v>
      </c>
      <c r="I1966">
        <v>0</v>
      </c>
      <c r="J1966">
        <v>0</v>
      </c>
      <c r="K1966">
        <v>0</v>
      </c>
      <c r="L1966">
        <v>0</v>
      </c>
      <c r="M1966">
        <v>0</v>
      </c>
      <c r="N1966">
        <v>0</v>
      </c>
      <c r="O1966">
        <v>0</v>
      </c>
      <c r="P1966">
        <v>0</v>
      </c>
      <c r="Q1966">
        <v>0</v>
      </c>
      <c r="R1966">
        <v>0</v>
      </c>
      <c r="S1966">
        <v>0</v>
      </c>
      <c r="T1966">
        <v>0</v>
      </c>
      <c r="U1966">
        <v>0</v>
      </c>
      <c r="V1966">
        <v>0</v>
      </c>
      <c r="W1966">
        <v>0</v>
      </c>
      <c r="X1966">
        <v>0</v>
      </c>
      <c r="Y1966">
        <v>0</v>
      </c>
      <c r="Z1966">
        <v>0</v>
      </c>
      <c r="AA1966">
        <v>0</v>
      </c>
      <c r="AB1966">
        <v>0</v>
      </c>
      <c r="AC1966">
        <v>0</v>
      </c>
      <c r="AD1966">
        <v>0</v>
      </c>
      <c r="AE1966">
        <v>0</v>
      </c>
      <c r="AF1966">
        <v>0</v>
      </c>
      <c r="AG1966">
        <v>0</v>
      </c>
      <c r="AH1966">
        <v>0</v>
      </c>
      <c r="AI1966">
        <v>0</v>
      </c>
      <c r="AJ1966">
        <v>0</v>
      </c>
      <c r="AK1966">
        <v>0</v>
      </c>
      <c r="AL1966">
        <v>1</v>
      </c>
      <c r="AM1966">
        <v>0</v>
      </c>
      <c r="AN1966">
        <v>1</v>
      </c>
    </row>
    <row r="1967" spans="1:40" x14ac:dyDescent="0.3">
      <c r="A1967" t="s">
        <v>517</v>
      </c>
      <c r="B1967" t="s">
        <v>139</v>
      </c>
      <c r="C1967" t="s">
        <v>10</v>
      </c>
      <c r="D1967" t="s">
        <v>14</v>
      </c>
      <c r="E1967">
        <v>202602</v>
      </c>
      <c r="F1967" t="s">
        <v>156</v>
      </c>
      <c r="G1967">
        <v>0</v>
      </c>
      <c r="H1967">
        <v>0</v>
      </c>
      <c r="I1967">
        <v>0</v>
      </c>
      <c r="J1967">
        <v>4</v>
      </c>
      <c r="K1967">
        <v>3</v>
      </c>
      <c r="L1967">
        <v>0</v>
      </c>
      <c r="M1967">
        <v>2</v>
      </c>
      <c r="N1967">
        <v>0</v>
      </c>
      <c r="O1967">
        <v>1</v>
      </c>
      <c r="P1967">
        <v>1</v>
      </c>
      <c r="Q1967">
        <v>3</v>
      </c>
      <c r="R1967">
        <v>0</v>
      </c>
      <c r="S1967">
        <v>0</v>
      </c>
      <c r="T1967">
        <v>0</v>
      </c>
      <c r="U1967">
        <v>0</v>
      </c>
      <c r="V1967">
        <v>0</v>
      </c>
      <c r="W1967">
        <v>0</v>
      </c>
      <c r="X1967">
        <v>0</v>
      </c>
      <c r="Y1967">
        <v>0</v>
      </c>
      <c r="Z1967">
        <v>0</v>
      </c>
      <c r="AA1967">
        <v>0</v>
      </c>
      <c r="AB1967">
        <v>0</v>
      </c>
      <c r="AC1967">
        <v>0</v>
      </c>
      <c r="AD1967">
        <v>0</v>
      </c>
      <c r="AE1967">
        <v>0</v>
      </c>
      <c r="AF1967">
        <v>0</v>
      </c>
      <c r="AG1967">
        <v>0</v>
      </c>
      <c r="AH1967">
        <v>0</v>
      </c>
      <c r="AI1967">
        <v>0</v>
      </c>
      <c r="AJ1967">
        <v>0</v>
      </c>
      <c r="AK1967">
        <v>0</v>
      </c>
      <c r="AL1967">
        <v>14</v>
      </c>
      <c r="AM1967">
        <v>1.6666666666666667</v>
      </c>
      <c r="AN1967">
        <v>34.20870535714306</v>
      </c>
    </row>
    <row r="1968" spans="1:40" x14ac:dyDescent="0.3">
      <c r="A1968" t="s">
        <v>517</v>
      </c>
      <c r="B1968" t="s">
        <v>139</v>
      </c>
      <c r="C1968" t="s">
        <v>10</v>
      </c>
      <c r="D1968" t="s">
        <v>14</v>
      </c>
      <c r="E1968">
        <v>202602</v>
      </c>
      <c r="F1968" t="s">
        <v>140</v>
      </c>
      <c r="G1968">
        <v>0</v>
      </c>
      <c r="H1968">
        <v>0</v>
      </c>
      <c r="I1968">
        <v>0</v>
      </c>
      <c r="J1968">
        <v>0</v>
      </c>
      <c r="K1968">
        <v>0</v>
      </c>
      <c r="L1968">
        <v>1</v>
      </c>
      <c r="M1968">
        <v>0</v>
      </c>
      <c r="N1968">
        <v>0</v>
      </c>
      <c r="O1968">
        <v>0</v>
      </c>
      <c r="P1968">
        <v>0</v>
      </c>
      <c r="Q1968">
        <v>0</v>
      </c>
      <c r="R1968">
        <v>0</v>
      </c>
      <c r="S1968">
        <v>0</v>
      </c>
      <c r="T1968">
        <v>0</v>
      </c>
      <c r="U1968">
        <v>0</v>
      </c>
      <c r="V1968">
        <v>0</v>
      </c>
      <c r="W1968">
        <v>0</v>
      </c>
      <c r="X1968">
        <v>0</v>
      </c>
      <c r="Y1968">
        <v>0</v>
      </c>
      <c r="Z1968">
        <v>0</v>
      </c>
      <c r="AA1968">
        <v>0</v>
      </c>
      <c r="AB1968">
        <v>0</v>
      </c>
      <c r="AC1968">
        <v>0</v>
      </c>
      <c r="AD1968">
        <v>0</v>
      </c>
      <c r="AE1968">
        <v>0</v>
      </c>
      <c r="AF1968">
        <v>0</v>
      </c>
      <c r="AG1968">
        <v>0</v>
      </c>
      <c r="AH1968">
        <v>0</v>
      </c>
      <c r="AI1968">
        <v>0</v>
      </c>
      <c r="AJ1968">
        <v>0</v>
      </c>
      <c r="AK1968">
        <v>0</v>
      </c>
      <c r="AL1968">
        <v>1</v>
      </c>
      <c r="AM1968">
        <v>0</v>
      </c>
      <c r="AN1968">
        <v>1</v>
      </c>
    </row>
    <row r="1969" spans="1:40" x14ac:dyDescent="0.3">
      <c r="A1969" t="s">
        <v>517</v>
      </c>
      <c r="B1969" t="s">
        <v>139</v>
      </c>
      <c r="C1969" t="s">
        <v>10</v>
      </c>
      <c r="D1969" t="s">
        <v>14</v>
      </c>
      <c r="E1969">
        <v>202602</v>
      </c>
      <c r="F1969" t="s">
        <v>141</v>
      </c>
      <c r="G1969">
        <v>0</v>
      </c>
      <c r="H1969">
        <v>1</v>
      </c>
      <c r="I1969">
        <v>1</v>
      </c>
      <c r="J1969">
        <v>0</v>
      </c>
      <c r="K1969">
        <v>0</v>
      </c>
      <c r="L1969">
        <v>0</v>
      </c>
      <c r="M1969">
        <v>0</v>
      </c>
      <c r="N1969">
        <v>0</v>
      </c>
      <c r="O1969">
        <v>0</v>
      </c>
      <c r="P1969">
        <v>0</v>
      </c>
      <c r="Q1969">
        <v>0</v>
      </c>
      <c r="R1969">
        <v>0</v>
      </c>
      <c r="S1969">
        <v>0</v>
      </c>
      <c r="T1969">
        <v>0</v>
      </c>
      <c r="U1969">
        <v>0</v>
      </c>
      <c r="V1969">
        <v>0</v>
      </c>
      <c r="W1969">
        <v>0</v>
      </c>
      <c r="X1969">
        <v>0</v>
      </c>
      <c r="Y1969">
        <v>0</v>
      </c>
      <c r="Z1969">
        <v>0</v>
      </c>
      <c r="AA1969">
        <v>0</v>
      </c>
      <c r="AB1969">
        <v>0</v>
      </c>
      <c r="AC1969">
        <v>0</v>
      </c>
      <c r="AD1969">
        <v>0</v>
      </c>
      <c r="AE1969">
        <v>0</v>
      </c>
      <c r="AF1969">
        <v>0</v>
      </c>
      <c r="AG1969">
        <v>0</v>
      </c>
      <c r="AH1969">
        <v>0</v>
      </c>
      <c r="AI1969">
        <v>0</v>
      </c>
      <c r="AJ1969">
        <v>0</v>
      </c>
      <c r="AK1969">
        <v>0</v>
      </c>
      <c r="AL1969">
        <v>2</v>
      </c>
      <c r="AM1969">
        <v>0</v>
      </c>
      <c r="AN1969">
        <v>2</v>
      </c>
    </row>
    <row r="1970" spans="1:40" x14ac:dyDescent="0.3">
      <c r="A1970" t="s">
        <v>517</v>
      </c>
      <c r="B1970" t="s">
        <v>139</v>
      </c>
      <c r="C1970" t="s">
        <v>10</v>
      </c>
      <c r="D1970" t="s">
        <v>14</v>
      </c>
      <c r="E1970">
        <v>202602</v>
      </c>
      <c r="F1970" t="s">
        <v>564</v>
      </c>
      <c r="G1970">
        <v>0</v>
      </c>
      <c r="H1970">
        <v>0</v>
      </c>
      <c r="I1970">
        <v>0</v>
      </c>
      <c r="J1970">
        <v>0</v>
      </c>
      <c r="K1970">
        <v>1</v>
      </c>
      <c r="L1970">
        <v>1</v>
      </c>
      <c r="M1970">
        <v>0</v>
      </c>
      <c r="N1970">
        <v>0</v>
      </c>
      <c r="O1970">
        <v>0</v>
      </c>
      <c r="P1970">
        <v>0</v>
      </c>
      <c r="Q1970">
        <v>0</v>
      </c>
      <c r="R1970">
        <v>0</v>
      </c>
      <c r="S1970">
        <v>0</v>
      </c>
      <c r="T1970">
        <v>0</v>
      </c>
      <c r="U1970">
        <v>0</v>
      </c>
      <c r="V1970">
        <v>0</v>
      </c>
      <c r="W1970">
        <v>0</v>
      </c>
      <c r="X1970">
        <v>0</v>
      </c>
      <c r="Y1970">
        <v>0</v>
      </c>
      <c r="Z1970">
        <v>0</v>
      </c>
      <c r="AA1970">
        <v>0</v>
      </c>
      <c r="AB1970">
        <v>0</v>
      </c>
      <c r="AC1970">
        <v>0</v>
      </c>
      <c r="AD1970">
        <v>0</v>
      </c>
      <c r="AE1970">
        <v>0</v>
      </c>
      <c r="AF1970">
        <v>0</v>
      </c>
      <c r="AG1970">
        <v>0</v>
      </c>
      <c r="AH1970">
        <v>0</v>
      </c>
      <c r="AI1970">
        <v>0</v>
      </c>
      <c r="AJ1970">
        <v>0</v>
      </c>
      <c r="AK1970">
        <v>0</v>
      </c>
      <c r="AL1970">
        <v>2</v>
      </c>
      <c r="AM1970">
        <v>0</v>
      </c>
      <c r="AN1970">
        <v>2</v>
      </c>
    </row>
    <row r="1971" spans="1:40" x14ac:dyDescent="0.3">
      <c r="A1971" t="s">
        <v>517</v>
      </c>
      <c r="B1971" t="s">
        <v>139</v>
      </c>
      <c r="C1971" t="s">
        <v>10</v>
      </c>
      <c r="D1971" t="s">
        <v>14</v>
      </c>
      <c r="E1971">
        <v>202602</v>
      </c>
      <c r="F1971" t="s">
        <v>142</v>
      </c>
      <c r="G1971">
        <v>0</v>
      </c>
      <c r="H1971">
        <v>0</v>
      </c>
      <c r="I1971">
        <v>1</v>
      </c>
      <c r="J1971">
        <v>0</v>
      </c>
      <c r="K1971">
        <v>0</v>
      </c>
      <c r="L1971">
        <v>1</v>
      </c>
      <c r="M1971">
        <v>0</v>
      </c>
      <c r="N1971">
        <v>0</v>
      </c>
      <c r="O1971">
        <v>0</v>
      </c>
      <c r="P1971">
        <v>0</v>
      </c>
      <c r="Q1971">
        <v>0</v>
      </c>
      <c r="R1971">
        <v>0</v>
      </c>
      <c r="S1971">
        <v>0</v>
      </c>
      <c r="T1971">
        <v>0</v>
      </c>
      <c r="U1971">
        <v>0</v>
      </c>
      <c r="V1971">
        <v>0</v>
      </c>
      <c r="W1971">
        <v>0</v>
      </c>
      <c r="X1971">
        <v>0</v>
      </c>
      <c r="Y1971">
        <v>0</v>
      </c>
      <c r="Z1971">
        <v>0</v>
      </c>
      <c r="AA1971">
        <v>0</v>
      </c>
      <c r="AB1971">
        <v>0</v>
      </c>
      <c r="AC1971">
        <v>0</v>
      </c>
      <c r="AD1971">
        <v>0</v>
      </c>
      <c r="AE1971">
        <v>0</v>
      </c>
      <c r="AF1971">
        <v>0</v>
      </c>
      <c r="AG1971">
        <v>0</v>
      </c>
      <c r="AH1971">
        <v>0</v>
      </c>
      <c r="AI1971">
        <v>0</v>
      </c>
      <c r="AJ1971">
        <v>0</v>
      </c>
      <c r="AK1971">
        <v>0</v>
      </c>
      <c r="AL1971">
        <v>2</v>
      </c>
      <c r="AM1971">
        <v>0</v>
      </c>
      <c r="AN1971">
        <v>2</v>
      </c>
    </row>
    <row r="1972" spans="1:40" x14ac:dyDescent="0.3">
      <c r="A1972" t="s">
        <v>517</v>
      </c>
      <c r="B1972" t="s">
        <v>139</v>
      </c>
      <c r="C1972" t="s">
        <v>10</v>
      </c>
      <c r="D1972" t="s">
        <v>14</v>
      </c>
      <c r="E1972">
        <v>202602</v>
      </c>
      <c r="F1972" t="s">
        <v>565</v>
      </c>
      <c r="G1972">
        <v>0</v>
      </c>
      <c r="H1972">
        <v>0</v>
      </c>
      <c r="I1972">
        <v>0</v>
      </c>
      <c r="J1972">
        <v>0</v>
      </c>
      <c r="K1972">
        <v>0</v>
      </c>
      <c r="L1972">
        <v>1</v>
      </c>
      <c r="M1972">
        <v>0</v>
      </c>
      <c r="N1972">
        <v>0</v>
      </c>
      <c r="O1972">
        <v>0</v>
      </c>
      <c r="P1972">
        <v>0</v>
      </c>
      <c r="Q1972">
        <v>0</v>
      </c>
      <c r="R1972">
        <v>0</v>
      </c>
      <c r="S1972">
        <v>0</v>
      </c>
      <c r="T1972">
        <v>0</v>
      </c>
      <c r="U1972">
        <v>0</v>
      </c>
      <c r="V1972">
        <v>0</v>
      </c>
      <c r="W1972">
        <v>0</v>
      </c>
      <c r="X1972">
        <v>0</v>
      </c>
      <c r="Y1972">
        <v>0</v>
      </c>
      <c r="Z1972">
        <v>0</v>
      </c>
      <c r="AA1972">
        <v>0</v>
      </c>
      <c r="AB1972">
        <v>0</v>
      </c>
      <c r="AC1972">
        <v>0</v>
      </c>
      <c r="AD1972">
        <v>0</v>
      </c>
      <c r="AE1972">
        <v>0</v>
      </c>
      <c r="AF1972">
        <v>0</v>
      </c>
      <c r="AG1972">
        <v>0</v>
      </c>
      <c r="AH1972">
        <v>0</v>
      </c>
      <c r="AI1972">
        <v>0</v>
      </c>
      <c r="AJ1972">
        <v>0</v>
      </c>
      <c r="AK1972">
        <v>0</v>
      </c>
      <c r="AL1972">
        <v>1</v>
      </c>
      <c r="AM1972">
        <v>0</v>
      </c>
      <c r="AN1972">
        <v>1</v>
      </c>
    </row>
    <row r="1973" spans="1:40" x14ac:dyDescent="0.3">
      <c r="A1973" t="s">
        <v>517</v>
      </c>
      <c r="B1973" t="s">
        <v>139</v>
      </c>
      <c r="C1973" t="s">
        <v>10</v>
      </c>
      <c r="D1973" t="s">
        <v>14</v>
      </c>
      <c r="E1973">
        <v>202602</v>
      </c>
      <c r="F1973" t="s">
        <v>143</v>
      </c>
      <c r="G1973">
        <v>0</v>
      </c>
      <c r="H1973">
        <v>0</v>
      </c>
      <c r="I1973">
        <v>0</v>
      </c>
      <c r="J1973">
        <v>0</v>
      </c>
      <c r="K1973">
        <v>0</v>
      </c>
      <c r="L1973">
        <v>0</v>
      </c>
      <c r="M1973">
        <v>0</v>
      </c>
      <c r="N1973">
        <v>0</v>
      </c>
      <c r="O1973">
        <v>0</v>
      </c>
      <c r="P1973">
        <v>1</v>
      </c>
      <c r="Q1973">
        <v>0</v>
      </c>
      <c r="R1973">
        <v>0</v>
      </c>
      <c r="S1973">
        <v>0</v>
      </c>
      <c r="T1973">
        <v>0</v>
      </c>
      <c r="U1973">
        <v>0</v>
      </c>
      <c r="V1973">
        <v>0</v>
      </c>
      <c r="W1973">
        <v>0</v>
      </c>
      <c r="X1973">
        <v>0</v>
      </c>
      <c r="Y1973">
        <v>0</v>
      </c>
      <c r="Z1973">
        <v>0</v>
      </c>
      <c r="AA1973">
        <v>0</v>
      </c>
      <c r="AB1973">
        <v>0</v>
      </c>
      <c r="AC1973">
        <v>0</v>
      </c>
      <c r="AD1973">
        <v>0</v>
      </c>
      <c r="AE1973">
        <v>0</v>
      </c>
      <c r="AF1973">
        <v>0</v>
      </c>
      <c r="AG1973">
        <v>0</v>
      </c>
      <c r="AH1973">
        <v>0</v>
      </c>
      <c r="AI1973">
        <v>0</v>
      </c>
      <c r="AJ1973">
        <v>0</v>
      </c>
      <c r="AK1973">
        <v>0</v>
      </c>
      <c r="AL1973">
        <v>1</v>
      </c>
      <c r="AM1973">
        <v>0.33333333333333331</v>
      </c>
      <c r="AN1973">
        <v>5.0417410714286133</v>
      </c>
    </row>
    <row r="1974" spans="1:40" x14ac:dyDescent="0.3">
      <c r="A1974" t="s">
        <v>517</v>
      </c>
      <c r="B1974" t="s">
        <v>139</v>
      </c>
      <c r="C1974" t="s">
        <v>10</v>
      </c>
      <c r="D1974" t="s">
        <v>14</v>
      </c>
      <c r="E1974">
        <v>202602</v>
      </c>
      <c r="F1974" t="s">
        <v>566</v>
      </c>
      <c r="G1974">
        <v>0</v>
      </c>
      <c r="H1974">
        <v>2</v>
      </c>
      <c r="I1974">
        <v>1</v>
      </c>
      <c r="J1974">
        <v>0</v>
      </c>
      <c r="K1974">
        <v>0</v>
      </c>
      <c r="L1974">
        <v>0</v>
      </c>
      <c r="M1974">
        <v>0</v>
      </c>
      <c r="N1974">
        <v>0</v>
      </c>
      <c r="O1974">
        <v>0</v>
      </c>
      <c r="P1974">
        <v>0</v>
      </c>
      <c r="Q1974">
        <v>0</v>
      </c>
      <c r="R1974">
        <v>0</v>
      </c>
      <c r="S1974">
        <v>0</v>
      </c>
      <c r="T1974">
        <v>0</v>
      </c>
      <c r="U1974">
        <v>0</v>
      </c>
      <c r="V1974">
        <v>0</v>
      </c>
      <c r="W1974">
        <v>0</v>
      </c>
      <c r="X1974">
        <v>0</v>
      </c>
      <c r="Y1974">
        <v>0</v>
      </c>
      <c r="Z1974">
        <v>0</v>
      </c>
      <c r="AA1974">
        <v>0</v>
      </c>
      <c r="AB1974">
        <v>0</v>
      </c>
      <c r="AC1974">
        <v>0</v>
      </c>
      <c r="AD1974">
        <v>0</v>
      </c>
      <c r="AE1974">
        <v>0</v>
      </c>
      <c r="AF1974">
        <v>0</v>
      </c>
      <c r="AG1974">
        <v>0</v>
      </c>
      <c r="AH1974">
        <v>0</v>
      </c>
      <c r="AI1974">
        <v>0</v>
      </c>
      <c r="AJ1974">
        <v>0</v>
      </c>
      <c r="AK1974">
        <v>0</v>
      </c>
      <c r="AL1974">
        <v>3</v>
      </c>
      <c r="AM1974">
        <v>0</v>
      </c>
      <c r="AN1974">
        <v>3</v>
      </c>
    </row>
    <row r="1975" spans="1:40" x14ac:dyDescent="0.3">
      <c r="A1975" t="s">
        <v>517</v>
      </c>
      <c r="B1975" t="s">
        <v>139</v>
      </c>
      <c r="C1975" t="s">
        <v>10</v>
      </c>
      <c r="D1975" t="s">
        <v>14</v>
      </c>
      <c r="E1975">
        <v>202602</v>
      </c>
      <c r="F1975" t="s">
        <v>148</v>
      </c>
      <c r="G1975">
        <v>0</v>
      </c>
      <c r="H1975">
        <v>0</v>
      </c>
      <c r="I1975">
        <v>0</v>
      </c>
      <c r="J1975">
        <v>0</v>
      </c>
      <c r="K1975">
        <v>0</v>
      </c>
      <c r="L1975">
        <v>1</v>
      </c>
      <c r="M1975">
        <v>0</v>
      </c>
      <c r="N1975">
        <v>0</v>
      </c>
      <c r="O1975">
        <v>0</v>
      </c>
      <c r="P1975">
        <v>0</v>
      </c>
      <c r="Q1975">
        <v>0</v>
      </c>
      <c r="R1975">
        <v>0</v>
      </c>
      <c r="S1975">
        <v>0</v>
      </c>
      <c r="T1975">
        <v>0</v>
      </c>
      <c r="U1975">
        <v>0</v>
      </c>
      <c r="V1975">
        <v>0</v>
      </c>
      <c r="W1975">
        <v>0</v>
      </c>
      <c r="X1975">
        <v>0</v>
      </c>
      <c r="Y1975">
        <v>0</v>
      </c>
      <c r="Z1975">
        <v>0</v>
      </c>
      <c r="AA1975">
        <v>0</v>
      </c>
      <c r="AB1975">
        <v>0</v>
      </c>
      <c r="AC1975">
        <v>0</v>
      </c>
      <c r="AD1975">
        <v>0</v>
      </c>
      <c r="AE1975">
        <v>0</v>
      </c>
      <c r="AF1975">
        <v>0</v>
      </c>
      <c r="AG1975">
        <v>0</v>
      </c>
      <c r="AH1975">
        <v>0</v>
      </c>
      <c r="AI1975">
        <v>0</v>
      </c>
      <c r="AJ1975">
        <v>0</v>
      </c>
      <c r="AK1975">
        <v>0</v>
      </c>
      <c r="AL1975">
        <v>1</v>
      </c>
      <c r="AM1975">
        <v>0</v>
      </c>
      <c r="AN1975">
        <v>1</v>
      </c>
    </row>
    <row r="1976" spans="1:40" x14ac:dyDescent="0.3">
      <c r="A1976" t="s">
        <v>517</v>
      </c>
      <c r="B1976" t="s">
        <v>139</v>
      </c>
      <c r="C1976" t="s">
        <v>10</v>
      </c>
      <c r="D1976" t="s">
        <v>14</v>
      </c>
      <c r="E1976">
        <v>202602</v>
      </c>
      <c r="F1976" t="s">
        <v>568</v>
      </c>
      <c r="G1976">
        <v>0</v>
      </c>
      <c r="H1976">
        <v>0</v>
      </c>
      <c r="I1976">
        <v>1</v>
      </c>
      <c r="J1976">
        <v>0</v>
      </c>
      <c r="K1976">
        <v>1</v>
      </c>
      <c r="L1976">
        <v>0</v>
      </c>
      <c r="M1976">
        <v>0</v>
      </c>
      <c r="N1976">
        <v>0</v>
      </c>
      <c r="O1976">
        <v>0</v>
      </c>
      <c r="P1976">
        <v>0</v>
      </c>
      <c r="Q1976">
        <v>0</v>
      </c>
      <c r="R1976">
        <v>0</v>
      </c>
      <c r="S1976">
        <v>0</v>
      </c>
      <c r="T1976">
        <v>0</v>
      </c>
      <c r="U1976">
        <v>0</v>
      </c>
      <c r="V1976">
        <v>0</v>
      </c>
      <c r="W1976">
        <v>0</v>
      </c>
      <c r="X1976">
        <v>0</v>
      </c>
      <c r="Y1976">
        <v>0</v>
      </c>
      <c r="Z1976">
        <v>0</v>
      </c>
      <c r="AA1976">
        <v>0</v>
      </c>
      <c r="AB1976">
        <v>0</v>
      </c>
      <c r="AC1976">
        <v>0</v>
      </c>
      <c r="AD1976">
        <v>0</v>
      </c>
      <c r="AE1976">
        <v>0</v>
      </c>
      <c r="AF1976">
        <v>0</v>
      </c>
      <c r="AG1976">
        <v>0</v>
      </c>
      <c r="AH1976">
        <v>0</v>
      </c>
      <c r="AI1976">
        <v>0</v>
      </c>
      <c r="AJ1976">
        <v>0</v>
      </c>
      <c r="AK1976">
        <v>0</v>
      </c>
      <c r="AL1976">
        <v>2</v>
      </c>
      <c r="AM1976">
        <v>0</v>
      </c>
      <c r="AN1976">
        <v>2</v>
      </c>
    </row>
    <row r="1977" spans="1:40" x14ac:dyDescent="0.3">
      <c r="A1977" t="s">
        <v>517</v>
      </c>
      <c r="B1977" t="s">
        <v>139</v>
      </c>
      <c r="C1977" t="s">
        <v>10</v>
      </c>
      <c r="D1977" t="s">
        <v>14</v>
      </c>
      <c r="E1977">
        <v>202602</v>
      </c>
      <c r="F1977" t="s">
        <v>570</v>
      </c>
      <c r="G1977">
        <v>0</v>
      </c>
      <c r="H1977">
        <v>0</v>
      </c>
      <c r="I1977">
        <v>0</v>
      </c>
      <c r="J1977">
        <v>0</v>
      </c>
      <c r="K1977">
        <v>0</v>
      </c>
      <c r="L1977">
        <v>0</v>
      </c>
      <c r="M1977">
        <v>0</v>
      </c>
      <c r="N1977">
        <v>0</v>
      </c>
      <c r="O1977">
        <v>0</v>
      </c>
      <c r="P1977">
        <v>1</v>
      </c>
      <c r="Q1977">
        <v>0</v>
      </c>
      <c r="R1977">
        <v>0</v>
      </c>
      <c r="S1977">
        <v>0</v>
      </c>
      <c r="T1977">
        <v>0</v>
      </c>
      <c r="U1977">
        <v>0</v>
      </c>
      <c r="V1977">
        <v>0</v>
      </c>
      <c r="W1977">
        <v>0</v>
      </c>
      <c r="X1977">
        <v>0</v>
      </c>
      <c r="Y1977">
        <v>0</v>
      </c>
      <c r="Z1977">
        <v>0</v>
      </c>
      <c r="AA1977">
        <v>0</v>
      </c>
      <c r="AB1977">
        <v>0</v>
      </c>
      <c r="AC1977">
        <v>0</v>
      </c>
      <c r="AD1977">
        <v>0</v>
      </c>
      <c r="AE1977">
        <v>0</v>
      </c>
      <c r="AF1977">
        <v>0</v>
      </c>
      <c r="AG1977">
        <v>0</v>
      </c>
      <c r="AH1977">
        <v>0</v>
      </c>
      <c r="AI1977">
        <v>0</v>
      </c>
      <c r="AJ1977">
        <v>0</v>
      </c>
      <c r="AK1977">
        <v>0</v>
      </c>
      <c r="AL1977">
        <v>1</v>
      </c>
      <c r="AM1977">
        <v>0.33333333333333331</v>
      </c>
      <c r="AN1977">
        <v>5.0417410714286133</v>
      </c>
    </row>
    <row r="1978" spans="1:40" x14ac:dyDescent="0.3">
      <c r="A1978" t="s">
        <v>517</v>
      </c>
      <c r="B1978" t="s">
        <v>139</v>
      </c>
      <c r="C1978" t="s">
        <v>10</v>
      </c>
      <c r="D1978" t="s">
        <v>14</v>
      </c>
      <c r="E1978">
        <v>202602</v>
      </c>
      <c r="F1978" t="s">
        <v>698</v>
      </c>
      <c r="G1978">
        <v>0</v>
      </c>
      <c r="H1978">
        <v>0</v>
      </c>
      <c r="I1978">
        <v>0</v>
      </c>
      <c r="J1978">
        <v>0</v>
      </c>
      <c r="K1978">
        <v>0</v>
      </c>
      <c r="L1978">
        <v>0</v>
      </c>
      <c r="M1978">
        <v>0</v>
      </c>
      <c r="N1978">
        <v>0</v>
      </c>
      <c r="O1978">
        <v>0</v>
      </c>
      <c r="P1978">
        <v>0</v>
      </c>
      <c r="Q1978">
        <v>1</v>
      </c>
      <c r="R1978">
        <v>0</v>
      </c>
      <c r="S1978">
        <v>0</v>
      </c>
      <c r="T1978">
        <v>0</v>
      </c>
      <c r="U1978">
        <v>0</v>
      </c>
      <c r="V1978">
        <v>0</v>
      </c>
      <c r="W1978">
        <v>0</v>
      </c>
      <c r="X1978">
        <v>0</v>
      </c>
      <c r="Y1978">
        <v>0</v>
      </c>
      <c r="Z1978">
        <v>0</v>
      </c>
      <c r="AA1978">
        <v>0</v>
      </c>
      <c r="AB1978">
        <v>0</v>
      </c>
      <c r="AC1978">
        <v>0</v>
      </c>
      <c r="AD1978">
        <v>0</v>
      </c>
      <c r="AE1978">
        <v>0</v>
      </c>
      <c r="AF1978">
        <v>0</v>
      </c>
      <c r="AG1978">
        <v>0</v>
      </c>
      <c r="AH1978">
        <v>0</v>
      </c>
      <c r="AI1978">
        <v>0</v>
      </c>
      <c r="AJ1978">
        <v>0</v>
      </c>
      <c r="AK1978">
        <v>0</v>
      </c>
      <c r="AL1978">
        <v>1</v>
      </c>
      <c r="AM1978">
        <v>0.33333333333333331</v>
      </c>
      <c r="AN1978">
        <v>5.0417410714286133</v>
      </c>
    </row>
    <row r="1979" spans="1:40" x14ac:dyDescent="0.3">
      <c r="A1979" t="s">
        <v>517</v>
      </c>
      <c r="B1979" t="s">
        <v>139</v>
      </c>
      <c r="C1979" t="s">
        <v>10</v>
      </c>
      <c r="D1979" t="s">
        <v>14</v>
      </c>
      <c r="E1979">
        <v>202602</v>
      </c>
      <c r="F1979" t="s">
        <v>159</v>
      </c>
      <c r="G1979">
        <v>0</v>
      </c>
      <c r="H1979">
        <v>0</v>
      </c>
      <c r="I1979">
        <v>0</v>
      </c>
      <c r="J1979">
        <v>0</v>
      </c>
      <c r="K1979">
        <v>0</v>
      </c>
      <c r="L1979">
        <v>0</v>
      </c>
      <c r="M1979">
        <v>0</v>
      </c>
      <c r="N1979">
        <v>0</v>
      </c>
      <c r="O1979">
        <v>1</v>
      </c>
      <c r="P1979">
        <v>0</v>
      </c>
      <c r="Q1979">
        <v>0</v>
      </c>
      <c r="R1979">
        <v>0</v>
      </c>
      <c r="S1979">
        <v>0</v>
      </c>
      <c r="T1979">
        <v>0</v>
      </c>
      <c r="U1979">
        <v>0</v>
      </c>
      <c r="V1979">
        <v>0</v>
      </c>
      <c r="W1979">
        <v>0</v>
      </c>
      <c r="X1979">
        <v>0</v>
      </c>
      <c r="Y1979">
        <v>0</v>
      </c>
      <c r="Z1979">
        <v>0</v>
      </c>
      <c r="AA1979">
        <v>0</v>
      </c>
      <c r="AB1979">
        <v>0</v>
      </c>
      <c r="AC1979">
        <v>0</v>
      </c>
      <c r="AD1979">
        <v>0</v>
      </c>
      <c r="AE1979">
        <v>0</v>
      </c>
      <c r="AF1979">
        <v>0</v>
      </c>
      <c r="AG1979">
        <v>0</v>
      </c>
      <c r="AH1979">
        <v>0</v>
      </c>
      <c r="AI1979">
        <v>0</v>
      </c>
      <c r="AJ1979">
        <v>0</v>
      </c>
      <c r="AK1979">
        <v>0</v>
      </c>
      <c r="AL1979">
        <v>1</v>
      </c>
      <c r="AM1979">
        <v>0.33333333333333331</v>
      </c>
      <c r="AN1979">
        <v>5.0417410714286133</v>
      </c>
    </row>
    <row r="1980" spans="1:40" x14ac:dyDescent="0.3">
      <c r="A1980" t="s">
        <v>517</v>
      </c>
      <c r="B1980" t="s">
        <v>139</v>
      </c>
      <c r="C1980" t="s">
        <v>10</v>
      </c>
      <c r="D1980" t="s">
        <v>14</v>
      </c>
      <c r="E1980">
        <v>202602</v>
      </c>
      <c r="F1980" t="s">
        <v>571</v>
      </c>
      <c r="G1980">
        <v>0</v>
      </c>
      <c r="H1980">
        <v>0</v>
      </c>
      <c r="I1980">
        <v>1</v>
      </c>
      <c r="J1980">
        <v>1</v>
      </c>
      <c r="K1980">
        <v>0</v>
      </c>
      <c r="L1980">
        <v>0</v>
      </c>
      <c r="M1980">
        <v>0</v>
      </c>
      <c r="N1980">
        <v>0</v>
      </c>
      <c r="O1980">
        <v>0</v>
      </c>
      <c r="P1980">
        <v>1</v>
      </c>
      <c r="Q1980">
        <v>2</v>
      </c>
      <c r="R1980">
        <v>0</v>
      </c>
      <c r="S1980">
        <v>0</v>
      </c>
      <c r="T1980">
        <v>0</v>
      </c>
      <c r="U1980">
        <v>0</v>
      </c>
      <c r="V1980">
        <v>0</v>
      </c>
      <c r="W1980">
        <v>0</v>
      </c>
      <c r="X1980">
        <v>0</v>
      </c>
      <c r="Y1980">
        <v>0</v>
      </c>
      <c r="Z1980">
        <v>0</v>
      </c>
      <c r="AA1980">
        <v>0</v>
      </c>
      <c r="AB1980">
        <v>0</v>
      </c>
      <c r="AC1980">
        <v>0</v>
      </c>
      <c r="AD1980">
        <v>0</v>
      </c>
      <c r="AE1980">
        <v>0</v>
      </c>
      <c r="AF1980">
        <v>0</v>
      </c>
      <c r="AG1980">
        <v>0</v>
      </c>
      <c r="AH1980">
        <v>0</v>
      </c>
      <c r="AI1980">
        <v>0</v>
      </c>
      <c r="AJ1980">
        <v>0</v>
      </c>
      <c r="AK1980">
        <v>0</v>
      </c>
      <c r="AL1980">
        <v>5</v>
      </c>
      <c r="AM1980">
        <v>1</v>
      </c>
      <c r="AN1980">
        <v>17.125223214285839</v>
      </c>
    </row>
    <row r="1981" spans="1:40" x14ac:dyDescent="0.3">
      <c r="A1981" t="s">
        <v>517</v>
      </c>
      <c r="B1981" t="s">
        <v>139</v>
      </c>
      <c r="C1981" t="s">
        <v>10</v>
      </c>
      <c r="D1981" t="s">
        <v>14</v>
      </c>
      <c r="E1981">
        <v>202602</v>
      </c>
      <c r="F1981" t="s">
        <v>569</v>
      </c>
      <c r="G1981">
        <v>0</v>
      </c>
      <c r="H1981">
        <v>0</v>
      </c>
      <c r="I1981">
        <v>0</v>
      </c>
      <c r="J1981">
        <v>0</v>
      </c>
      <c r="K1981">
        <v>2</v>
      </c>
      <c r="L1981">
        <v>0</v>
      </c>
      <c r="M1981">
        <v>0</v>
      </c>
      <c r="N1981">
        <v>0</v>
      </c>
      <c r="O1981">
        <v>0</v>
      </c>
      <c r="P1981">
        <v>0</v>
      </c>
      <c r="Q1981">
        <v>0</v>
      </c>
      <c r="R1981">
        <v>0</v>
      </c>
      <c r="S1981">
        <v>0</v>
      </c>
      <c r="T1981">
        <v>0</v>
      </c>
      <c r="U1981">
        <v>0</v>
      </c>
      <c r="V1981">
        <v>0</v>
      </c>
      <c r="W1981">
        <v>0</v>
      </c>
      <c r="X1981">
        <v>0</v>
      </c>
      <c r="Y1981">
        <v>0</v>
      </c>
      <c r="Z1981">
        <v>0</v>
      </c>
      <c r="AA1981">
        <v>0</v>
      </c>
      <c r="AB1981">
        <v>0</v>
      </c>
      <c r="AC1981">
        <v>0</v>
      </c>
      <c r="AD1981">
        <v>0</v>
      </c>
      <c r="AE1981">
        <v>0</v>
      </c>
      <c r="AF1981">
        <v>0</v>
      </c>
      <c r="AG1981">
        <v>0</v>
      </c>
      <c r="AH1981">
        <v>0</v>
      </c>
      <c r="AI1981">
        <v>0</v>
      </c>
      <c r="AJ1981">
        <v>0</v>
      </c>
      <c r="AK1981">
        <v>0</v>
      </c>
      <c r="AL1981">
        <v>2</v>
      </c>
      <c r="AM1981">
        <v>0</v>
      </c>
      <c r="AN1981">
        <v>2</v>
      </c>
    </row>
    <row r="1982" spans="1:40" x14ac:dyDescent="0.3">
      <c r="A1982" t="s">
        <v>517</v>
      </c>
      <c r="B1982" t="s">
        <v>139</v>
      </c>
      <c r="C1982" t="s">
        <v>16</v>
      </c>
      <c r="D1982" t="s">
        <v>14</v>
      </c>
      <c r="E1982">
        <v>202602</v>
      </c>
      <c r="F1982" t="s">
        <v>148</v>
      </c>
      <c r="G1982">
        <v>0</v>
      </c>
      <c r="H1982">
        <v>0</v>
      </c>
      <c r="I1982">
        <v>0</v>
      </c>
      <c r="J1982">
        <v>0</v>
      </c>
      <c r="K1982">
        <v>0</v>
      </c>
      <c r="L1982">
        <v>0</v>
      </c>
      <c r="M1982">
        <v>0</v>
      </c>
      <c r="N1982">
        <v>0</v>
      </c>
      <c r="O1982">
        <v>0</v>
      </c>
      <c r="P1982">
        <v>1</v>
      </c>
      <c r="Q1982">
        <v>0</v>
      </c>
      <c r="R1982">
        <v>0</v>
      </c>
      <c r="S1982">
        <v>0</v>
      </c>
      <c r="T1982">
        <v>0</v>
      </c>
      <c r="U1982">
        <v>0</v>
      </c>
      <c r="V1982">
        <v>0</v>
      </c>
      <c r="W1982">
        <v>0</v>
      </c>
      <c r="X1982">
        <v>0</v>
      </c>
      <c r="Y1982">
        <v>0</v>
      </c>
      <c r="Z1982">
        <v>0</v>
      </c>
      <c r="AA1982">
        <v>0</v>
      </c>
      <c r="AB1982">
        <v>0</v>
      </c>
      <c r="AC1982">
        <v>0</v>
      </c>
      <c r="AD1982">
        <v>0</v>
      </c>
      <c r="AE1982">
        <v>0</v>
      </c>
      <c r="AF1982">
        <v>0</v>
      </c>
      <c r="AG1982">
        <v>0</v>
      </c>
      <c r="AH1982">
        <v>0</v>
      </c>
      <c r="AI1982">
        <v>0</v>
      </c>
      <c r="AJ1982">
        <v>0</v>
      </c>
      <c r="AK1982">
        <v>0</v>
      </c>
      <c r="AL1982">
        <v>1</v>
      </c>
      <c r="AM1982">
        <v>0.33333333333333331</v>
      </c>
      <c r="AN1982">
        <v>5.0417410714286133</v>
      </c>
    </row>
    <row r="1983" spans="1:40" x14ac:dyDescent="0.3">
      <c r="A1983" t="s">
        <v>517</v>
      </c>
      <c r="B1983" t="s">
        <v>239</v>
      </c>
      <c r="C1983" t="s">
        <v>10</v>
      </c>
      <c r="D1983" t="s">
        <v>11</v>
      </c>
      <c r="E1983">
        <v>202602</v>
      </c>
      <c r="F1983" t="s">
        <v>204</v>
      </c>
      <c r="G1983">
        <v>0</v>
      </c>
      <c r="H1983">
        <v>0</v>
      </c>
      <c r="I1983">
        <v>2</v>
      </c>
      <c r="J1983">
        <v>0</v>
      </c>
      <c r="K1983">
        <v>2</v>
      </c>
      <c r="L1983">
        <v>0</v>
      </c>
      <c r="M1983">
        <v>0</v>
      </c>
      <c r="N1983">
        <v>0</v>
      </c>
      <c r="O1983">
        <v>0</v>
      </c>
      <c r="P1983">
        <v>0</v>
      </c>
      <c r="Q1983">
        <v>1</v>
      </c>
      <c r="R1983">
        <v>0</v>
      </c>
      <c r="S1983">
        <v>0</v>
      </c>
      <c r="T1983">
        <v>0</v>
      </c>
      <c r="U1983">
        <v>0</v>
      </c>
      <c r="V1983">
        <v>0</v>
      </c>
      <c r="W1983">
        <v>0</v>
      </c>
      <c r="X1983">
        <v>0</v>
      </c>
      <c r="Y1983">
        <v>0</v>
      </c>
      <c r="Z1983">
        <v>0</v>
      </c>
      <c r="AA1983">
        <v>0</v>
      </c>
      <c r="AB1983">
        <v>0</v>
      </c>
      <c r="AC1983">
        <v>0</v>
      </c>
      <c r="AD1983">
        <v>0</v>
      </c>
      <c r="AE1983">
        <v>0</v>
      </c>
      <c r="AF1983">
        <v>0</v>
      </c>
      <c r="AG1983">
        <v>0</v>
      </c>
      <c r="AH1983">
        <v>0</v>
      </c>
      <c r="AI1983">
        <v>0</v>
      </c>
      <c r="AJ1983">
        <v>0</v>
      </c>
      <c r="AK1983">
        <v>0</v>
      </c>
      <c r="AL1983">
        <v>5</v>
      </c>
      <c r="AM1983">
        <v>0.33333333333333331</v>
      </c>
      <c r="AN1983">
        <v>9.6046251398731108</v>
      </c>
    </row>
    <row r="1984" spans="1:40" x14ac:dyDescent="0.3">
      <c r="A1984" t="s">
        <v>517</v>
      </c>
      <c r="B1984" t="s">
        <v>239</v>
      </c>
      <c r="C1984" t="s">
        <v>10</v>
      </c>
      <c r="D1984" t="s">
        <v>14</v>
      </c>
      <c r="E1984">
        <v>202602</v>
      </c>
      <c r="F1984" t="s">
        <v>204</v>
      </c>
      <c r="G1984">
        <v>0</v>
      </c>
      <c r="H1984">
        <v>0</v>
      </c>
      <c r="I1984">
        <v>1</v>
      </c>
      <c r="J1984">
        <v>2</v>
      </c>
      <c r="K1984">
        <v>0</v>
      </c>
      <c r="L1984">
        <v>0</v>
      </c>
      <c r="M1984">
        <v>0</v>
      </c>
      <c r="N1984">
        <v>0</v>
      </c>
      <c r="O1984">
        <v>1</v>
      </c>
      <c r="P1984">
        <v>0</v>
      </c>
      <c r="Q1984">
        <v>1</v>
      </c>
      <c r="R1984">
        <v>0</v>
      </c>
      <c r="S1984">
        <v>0</v>
      </c>
      <c r="T1984">
        <v>0</v>
      </c>
      <c r="U1984">
        <v>0</v>
      </c>
      <c r="V1984">
        <v>0</v>
      </c>
      <c r="W1984">
        <v>0</v>
      </c>
      <c r="X1984">
        <v>0</v>
      </c>
      <c r="Y1984">
        <v>0</v>
      </c>
      <c r="Z1984">
        <v>0</v>
      </c>
      <c r="AA1984">
        <v>0</v>
      </c>
      <c r="AB1984">
        <v>0</v>
      </c>
      <c r="AC1984">
        <v>0</v>
      </c>
      <c r="AD1984">
        <v>0</v>
      </c>
      <c r="AE1984">
        <v>0</v>
      </c>
      <c r="AF1984">
        <v>0</v>
      </c>
      <c r="AG1984">
        <v>0</v>
      </c>
      <c r="AH1984">
        <v>0</v>
      </c>
      <c r="AI1984">
        <v>0</v>
      </c>
      <c r="AJ1984">
        <v>0</v>
      </c>
      <c r="AK1984">
        <v>0</v>
      </c>
      <c r="AL1984">
        <v>5</v>
      </c>
      <c r="AM1984">
        <v>0.66666666666666663</v>
      </c>
      <c r="AN1984">
        <v>13.083482142857227</v>
      </c>
    </row>
    <row r="1985" spans="1:40" x14ac:dyDescent="0.3">
      <c r="A1985" t="s">
        <v>517</v>
      </c>
      <c r="B1985" t="s">
        <v>239</v>
      </c>
      <c r="C1985" t="s">
        <v>10</v>
      </c>
      <c r="D1985" t="s">
        <v>14</v>
      </c>
      <c r="E1985">
        <v>202602</v>
      </c>
      <c r="F1985" t="s">
        <v>572</v>
      </c>
      <c r="G1985">
        <v>0</v>
      </c>
      <c r="H1985">
        <v>0</v>
      </c>
      <c r="I1985">
        <v>0</v>
      </c>
      <c r="J1985">
        <v>0</v>
      </c>
      <c r="K1985">
        <v>1</v>
      </c>
      <c r="L1985">
        <v>0</v>
      </c>
      <c r="M1985">
        <v>0</v>
      </c>
      <c r="N1985">
        <v>0</v>
      </c>
      <c r="O1985">
        <v>0</v>
      </c>
      <c r="P1985">
        <v>0</v>
      </c>
      <c r="Q1985">
        <v>0</v>
      </c>
      <c r="R1985">
        <v>0</v>
      </c>
      <c r="S1985">
        <v>0</v>
      </c>
      <c r="T1985">
        <v>0</v>
      </c>
      <c r="U1985">
        <v>0</v>
      </c>
      <c r="V1985">
        <v>0</v>
      </c>
      <c r="W1985">
        <v>0</v>
      </c>
      <c r="X1985">
        <v>0</v>
      </c>
      <c r="Y1985">
        <v>0</v>
      </c>
      <c r="Z1985">
        <v>0</v>
      </c>
      <c r="AA1985">
        <v>0</v>
      </c>
      <c r="AB1985">
        <v>0</v>
      </c>
      <c r="AC1985">
        <v>0</v>
      </c>
      <c r="AD1985">
        <v>0</v>
      </c>
      <c r="AE1985">
        <v>0</v>
      </c>
      <c r="AF1985">
        <v>0</v>
      </c>
      <c r="AG1985">
        <v>0</v>
      </c>
      <c r="AH1985">
        <v>0</v>
      </c>
      <c r="AI1985">
        <v>0</v>
      </c>
      <c r="AJ1985">
        <v>0</v>
      </c>
      <c r="AK1985">
        <v>0</v>
      </c>
      <c r="AL1985">
        <v>1</v>
      </c>
      <c r="AM1985">
        <v>0</v>
      </c>
      <c r="AN1985">
        <v>1</v>
      </c>
    </row>
    <row r="1986" spans="1:40" x14ac:dyDescent="0.3">
      <c r="A1986" t="s">
        <v>517</v>
      </c>
      <c r="B1986" t="s">
        <v>164</v>
      </c>
      <c r="C1986" t="s">
        <v>10</v>
      </c>
      <c r="D1986" t="s">
        <v>11</v>
      </c>
      <c r="E1986">
        <v>202602</v>
      </c>
      <c r="F1986" t="s">
        <v>18</v>
      </c>
      <c r="G1986">
        <v>0</v>
      </c>
      <c r="H1986">
        <v>21</v>
      </c>
      <c r="I1986">
        <v>18</v>
      </c>
      <c r="J1986">
        <v>25</v>
      </c>
      <c r="K1986">
        <v>33</v>
      </c>
      <c r="L1986">
        <v>32</v>
      </c>
      <c r="M1986">
        <v>7</v>
      </c>
      <c r="N1986">
        <v>4</v>
      </c>
      <c r="O1986">
        <v>29</v>
      </c>
      <c r="P1986">
        <v>25</v>
      </c>
      <c r="Q1986">
        <v>15</v>
      </c>
      <c r="R1986">
        <v>0</v>
      </c>
      <c r="S1986">
        <v>0</v>
      </c>
      <c r="T1986">
        <v>0</v>
      </c>
      <c r="U1986">
        <v>0</v>
      </c>
      <c r="V1986">
        <v>0</v>
      </c>
      <c r="W1986">
        <v>0</v>
      </c>
      <c r="X1986">
        <v>0</v>
      </c>
      <c r="Y1986">
        <v>0</v>
      </c>
      <c r="Z1986">
        <v>0</v>
      </c>
      <c r="AA1986">
        <v>0</v>
      </c>
      <c r="AB1986">
        <v>0</v>
      </c>
      <c r="AC1986">
        <v>0</v>
      </c>
      <c r="AD1986">
        <v>0</v>
      </c>
      <c r="AE1986">
        <v>0</v>
      </c>
      <c r="AF1986">
        <v>0</v>
      </c>
      <c r="AG1986">
        <v>0</v>
      </c>
      <c r="AH1986">
        <v>0</v>
      </c>
      <c r="AI1986">
        <v>0</v>
      </c>
      <c r="AJ1986">
        <v>0</v>
      </c>
      <c r="AK1986">
        <v>0</v>
      </c>
      <c r="AL1986">
        <v>209</v>
      </c>
      <c r="AM1986">
        <v>23</v>
      </c>
      <c r="AN1986">
        <v>526.71913465124476</v>
      </c>
    </row>
    <row r="1987" spans="1:40" x14ac:dyDescent="0.3">
      <c r="A1987" t="s">
        <v>517</v>
      </c>
      <c r="B1987" t="s">
        <v>164</v>
      </c>
      <c r="C1987" t="s">
        <v>10</v>
      </c>
      <c r="D1987" t="s">
        <v>11</v>
      </c>
      <c r="E1987">
        <v>202602</v>
      </c>
      <c r="F1987" t="s">
        <v>138</v>
      </c>
      <c r="G1987">
        <v>0</v>
      </c>
      <c r="H1987">
        <v>18</v>
      </c>
      <c r="I1987">
        <v>17</v>
      </c>
      <c r="J1987">
        <v>9</v>
      </c>
      <c r="K1987">
        <v>22</v>
      </c>
      <c r="L1987">
        <v>19</v>
      </c>
      <c r="M1987">
        <v>7</v>
      </c>
      <c r="N1987">
        <v>1</v>
      </c>
      <c r="O1987">
        <v>11</v>
      </c>
      <c r="P1987">
        <v>17</v>
      </c>
      <c r="Q1987">
        <v>6</v>
      </c>
      <c r="R1987">
        <v>0</v>
      </c>
      <c r="S1987">
        <v>0</v>
      </c>
      <c r="T1987">
        <v>0</v>
      </c>
      <c r="U1987">
        <v>0</v>
      </c>
      <c r="V1987">
        <v>0</v>
      </c>
      <c r="W1987">
        <v>0</v>
      </c>
      <c r="X1987">
        <v>0</v>
      </c>
      <c r="Y1987">
        <v>0</v>
      </c>
      <c r="Z1987">
        <v>0</v>
      </c>
      <c r="AA1987">
        <v>0</v>
      </c>
      <c r="AB1987">
        <v>0</v>
      </c>
      <c r="AC1987">
        <v>0</v>
      </c>
      <c r="AD1987">
        <v>0</v>
      </c>
      <c r="AE1987">
        <v>0</v>
      </c>
      <c r="AF1987">
        <v>0</v>
      </c>
      <c r="AG1987">
        <v>0</v>
      </c>
      <c r="AH1987">
        <v>0</v>
      </c>
      <c r="AI1987">
        <v>0</v>
      </c>
      <c r="AJ1987">
        <v>0</v>
      </c>
      <c r="AK1987">
        <v>0</v>
      </c>
      <c r="AL1987">
        <v>127</v>
      </c>
      <c r="AM1987">
        <v>11.333333333333334</v>
      </c>
      <c r="AN1987">
        <v>283.55725475568579</v>
      </c>
    </row>
    <row r="1988" spans="1:40" x14ac:dyDescent="0.3">
      <c r="A1988" t="s">
        <v>517</v>
      </c>
      <c r="B1988" t="s">
        <v>164</v>
      </c>
      <c r="C1988" t="s">
        <v>10</v>
      </c>
      <c r="D1988" t="s">
        <v>14</v>
      </c>
      <c r="E1988">
        <v>202602</v>
      </c>
      <c r="F1988" t="s">
        <v>18</v>
      </c>
      <c r="G1988">
        <v>9</v>
      </c>
      <c r="H1988">
        <v>40</v>
      </c>
      <c r="I1988">
        <v>30</v>
      </c>
      <c r="J1988">
        <v>36</v>
      </c>
      <c r="K1988">
        <v>31</v>
      </c>
      <c r="L1988">
        <v>22</v>
      </c>
      <c r="M1988">
        <v>11</v>
      </c>
      <c r="N1988">
        <v>7</v>
      </c>
      <c r="O1988">
        <v>32</v>
      </c>
      <c r="P1988">
        <v>39</v>
      </c>
      <c r="Q1988">
        <v>36</v>
      </c>
      <c r="R1988">
        <v>0</v>
      </c>
      <c r="S1988">
        <v>0</v>
      </c>
      <c r="T1988">
        <v>0</v>
      </c>
      <c r="U1988">
        <v>0</v>
      </c>
      <c r="V1988">
        <v>0</v>
      </c>
      <c r="W1988">
        <v>0</v>
      </c>
      <c r="X1988">
        <v>0</v>
      </c>
      <c r="Y1988">
        <v>0</v>
      </c>
      <c r="Z1988">
        <v>0</v>
      </c>
      <c r="AA1988">
        <v>0</v>
      </c>
      <c r="AB1988">
        <v>0</v>
      </c>
      <c r="AC1988">
        <v>0</v>
      </c>
      <c r="AD1988">
        <v>0</v>
      </c>
      <c r="AE1988">
        <v>0</v>
      </c>
      <c r="AF1988">
        <v>0</v>
      </c>
      <c r="AG1988">
        <v>0</v>
      </c>
      <c r="AH1988">
        <v>0</v>
      </c>
      <c r="AI1988">
        <v>0</v>
      </c>
      <c r="AJ1988">
        <v>0</v>
      </c>
      <c r="AK1988">
        <v>0</v>
      </c>
      <c r="AL1988">
        <v>293</v>
      </c>
      <c r="AM1988">
        <v>35.666666666666664</v>
      </c>
      <c r="AN1988">
        <v>725.46629464286161</v>
      </c>
    </row>
    <row r="1989" spans="1:40" x14ac:dyDescent="0.3">
      <c r="A1989" t="s">
        <v>517</v>
      </c>
      <c r="B1989" t="s">
        <v>164</v>
      </c>
      <c r="C1989" t="s">
        <v>10</v>
      </c>
      <c r="D1989" t="s">
        <v>14</v>
      </c>
      <c r="E1989">
        <v>202602</v>
      </c>
      <c r="F1989" t="s">
        <v>138</v>
      </c>
      <c r="G1989">
        <v>0</v>
      </c>
      <c r="H1989">
        <v>18</v>
      </c>
      <c r="I1989">
        <v>25</v>
      </c>
      <c r="J1989">
        <v>28</v>
      </c>
      <c r="K1989">
        <v>16</v>
      </c>
      <c r="L1989">
        <v>22</v>
      </c>
      <c r="M1989">
        <v>10</v>
      </c>
      <c r="N1989">
        <v>0</v>
      </c>
      <c r="O1989">
        <v>34</v>
      </c>
      <c r="P1989">
        <v>25</v>
      </c>
      <c r="Q1989">
        <v>33</v>
      </c>
      <c r="R1989">
        <v>0</v>
      </c>
      <c r="S1989">
        <v>0</v>
      </c>
      <c r="T1989">
        <v>0</v>
      </c>
      <c r="U1989">
        <v>0</v>
      </c>
      <c r="V1989">
        <v>0</v>
      </c>
      <c r="W1989">
        <v>0</v>
      </c>
      <c r="X1989">
        <v>0</v>
      </c>
      <c r="Y1989">
        <v>0</v>
      </c>
      <c r="Z1989">
        <v>0</v>
      </c>
      <c r="AA1989">
        <v>0</v>
      </c>
      <c r="AB1989">
        <v>0</v>
      </c>
      <c r="AC1989">
        <v>0</v>
      </c>
      <c r="AD1989">
        <v>0</v>
      </c>
      <c r="AE1989">
        <v>0</v>
      </c>
      <c r="AF1989">
        <v>0</v>
      </c>
      <c r="AG1989">
        <v>0</v>
      </c>
      <c r="AH1989">
        <v>0</v>
      </c>
      <c r="AI1989">
        <v>0</v>
      </c>
      <c r="AJ1989">
        <v>0</v>
      </c>
      <c r="AK1989">
        <v>0</v>
      </c>
      <c r="AL1989">
        <v>211</v>
      </c>
      <c r="AM1989">
        <v>30.666666666666668</v>
      </c>
      <c r="AN1989">
        <v>582.84017857143249</v>
      </c>
    </row>
    <row r="1990" spans="1:40" x14ac:dyDescent="0.3">
      <c r="A1990" t="s">
        <v>517</v>
      </c>
      <c r="B1990" t="s">
        <v>164</v>
      </c>
      <c r="C1990" t="s">
        <v>16</v>
      </c>
      <c r="D1990" t="s">
        <v>11</v>
      </c>
      <c r="E1990">
        <v>202602</v>
      </c>
      <c r="F1990" t="s">
        <v>18</v>
      </c>
      <c r="G1990">
        <v>0</v>
      </c>
      <c r="H1990">
        <v>0</v>
      </c>
      <c r="I1990">
        <v>0</v>
      </c>
      <c r="J1990">
        <v>0</v>
      </c>
      <c r="K1990">
        <v>0</v>
      </c>
      <c r="L1990">
        <v>2</v>
      </c>
      <c r="M1990">
        <v>0</v>
      </c>
      <c r="N1990">
        <v>0</v>
      </c>
      <c r="O1990">
        <v>0</v>
      </c>
      <c r="P1990">
        <v>0</v>
      </c>
      <c r="Q1990">
        <v>1</v>
      </c>
      <c r="R1990">
        <v>0</v>
      </c>
      <c r="S1990">
        <v>0</v>
      </c>
      <c r="T1990">
        <v>0</v>
      </c>
      <c r="U1990">
        <v>0</v>
      </c>
      <c r="V1990">
        <v>0</v>
      </c>
      <c r="W1990">
        <v>0</v>
      </c>
      <c r="X1990">
        <v>0</v>
      </c>
      <c r="Y1990">
        <v>0</v>
      </c>
      <c r="Z1990">
        <v>0</v>
      </c>
      <c r="AA1990">
        <v>0</v>
      </c>
      <c r="AB1990">
        <v>0</v>
      </c>
      <c r="AC1990">
        <v>0</v>
      </c>
      <c r="AD1990">
        <v>0</v>
      </c>
      <c r="AE1990">
        <v>0</v>
      </c>
      <c r="AF1990">
        <v>0</v>
      </c>
      <c r="AG1990">
        <v>0</v>
      </c>
      <c r="AH1990">
        <v>0</v>
      </c>
      <c r="AI1990">
        <v>0</v>
      </c>
      <c r="AJ1990">
        <v>0</v>
      </c>
      <c r="AK1990">
        <v>0</v>
      </c>
      <c r="AL1990">
        <v>3</v>
      </c>
      <c r="AM1990">
        <v>0.33333333333333331</v>
      </c>
      <c r="AN1990">
        <v>7.6046251398731117</v>
      </c>
    </row>
    <row r="1991" spans="1:40" x14ac:dyDescent="0.3">
      <c r="A1991" t="s">
        <v>517</v>
      </c>
      <c r="B1991" t="s">
        <v>164</v>
      </c>
      <c r="C1991" t="s">
        <v>16</v>
      </c>
      <c r="D1991" t="s">
        <v>11</v>
      </c>
      <c r="E1991">
        <v>202602</v>
      </c>
      <c r="F1991" t="s">
        <v>138</v>
      </c>
      <c r="G1991">
        <v>0</v>
      </c>
      <c r="H1991">
        <v>0</v>
      </c>
      <c r="I1991">
        <v>0</v>
      </c>
      <c r="J1991">
        <v>0</v>
      </c>
      <c r="K1991">
        <v>1</v>
      </c>
      <c r="L1991">
        <v>0</v>
      </c>
      <c r="M1991">
        <v>0</v>
      </c>
      <c r="N1991">
        <v>1</v>
      </c>
      <c r="O1991">
        <v>0</v>
      </c>
      <c r="P1991">
        <v>0</v>
      </c>
      <c r="Q1991">
        <v>0</v>
      </c>
      <c r="R1991">
        <v>0</v>
      </c>
      <c r="S1991">
        <v>0</v>
      </c>
      <c r="T1991">
        <v>0</v>
      </c>
      <c r="U1991">
        <v>0</v>
      </c>
      <c r="V1991">
        <v>0</v>
      </c>
      <c r="W1991">
        <v>0</v>
      </c>
      <c r="X1991">
        <v>0</v>
      </c>
      <c r="Y1991">
        <v>0</v>
      </c>
      <c r="Z1991">
        <v>0</v>
      </c>
      <c r="AA1991">
        <v>0</v>
      </c>
      <c r="AB1991">
        <v>0</v>
      </c>
      <c r="AC1991">
        <v>0</v>
      </c>
      <c r="AD1991">
        <v>0</v>
      </c>
      <c r="AE1991">
        <v>0</v>
      </c>
      <c r="AF1991">
        <v>0</v>
      </c>
      <c r="AG1991">
        <v>0</v>
      </c>
      <c r="AH1991">
        <v>0</v>
      </c>
      <c r="AI1991">
        <v>0</v>
      </c>
      <c r="AJ1991">
        <v>0</v>
      </c>
      <c r="AK1991">
        <v>0</v>
      </c>
      <c r="AL1991">
        <v>2</v>
      </c>
      <c r="AM1991">
        <v>0</v>
      </c>
      <c r="AN1991">
        <v>2</v>
      </c>
    </row>
    <row r="1992" spans="1:40" x14ac:dyDescent="0.3">
      <c r="A1992" t="s">
        <v>517</v>
      </c>
      <c r="B1992" t="s">
        <v>164</v>
      </c>
      <c r="C1992" t="s">
        <v>16</v>
      </c>
      <c r="D1992" t="s">
        <v>14</v>
      </c>
      <c r="E1992">
        <v>202602</v>
      </c>
      <c r="F1992" t="s">
        <v>18</v>
      </c>
      <c r="G1992">
        <v>0</v>
      </c>
      <c r="H1992">
        <v>1</v>
      </c>
      <c r="I1992">
        <v>1</v>
      </c>
      <c r="J1992">
        <v>0</v>
      </c>
      <c r="K1992">
        <v>0</v>
      </c>
      <c r="L1992">
        <v>2</v>
      </c>
      <c r="M1992">
        <v>0</v>
      </c>
      <c r="N1992">
        <v>0</v>
      </c>
      <c r="O1992">
        <v>1</v>
      </c>
      <c r="P1992">
        <v>2</v>
      </c>
      <c r="Q1992">
        <v>0</v>
      </c>
      <c r="R1992">
        <v>0</v>
      </c>
      <c r="S1992">
        <v>0</v>
      </c>
      <c r="T1992">
        <v>0</v>
      </c>
      <c r="U1992">
        <v>0</v>
      </c>
      <c r="V1992">
        <v>0</v>
      </c>
      <c r="W1992">
        <v>0</v>
      </c>
      <c r="X1992">
        <v>0</v>
      </c>
      <c r="Y1992">
        <v>0</v>
      </c>
      <c r="Z1992">
        <v>0</v>
      </c>
      <c r="AA1992">
        <v>0</v>
      </c>
      <c r="AB1992">
        <v>0</v>
      </c>
      <c r="AC1992">
        <v>0</v>
      </c>
      <c r="AD1992">
        <v>0</v>
      </c>
      <c r="AE1992">
        <v>0</v>
      </c>
      <c r="AF1992">
        <v>0</v>
      </c>
      <c r="AG1992">
        <v>0</v>
      </c>
      <c r="AH1992">
        <v>0</v>
      </c>
      <c r="AI1992">
        <v>0</v>
      </c>
      <c r="AJ1992">
        <v>0</v>
      </c>
      <c r="AK1992">
        <v>0</v>
      </c>
      <c r="AL1992">
        <v>7</v>
      </c>
      <c r="AM1992">
        <v>1</v>
      </c>
      <c r="AN1992">
        <v>19.125223214285839</v>
      </c>
    </row>
    <row r="1993" spans="1:40" x14ac:dyDescent="0.3">
      <c r="A1993" t="s">
        <v>517</v>
      </c>
      <c r="B1993" t="s">
        <v>164</v>
      </c>
      <c r="C1993" t="s">
        <v>16</v>
      </c>
      <c r="D1993" t="s">
        <v>14</v>
      </c>
      <c r="E1993">
        <v>202602</v>
      </c>
      <c r="F1993" t="s">
        <v>138</v>
      </c>
      <c r="G1993">
        <v>0</v>
      </c>
      <c r="H1993">
        <v>0</v>
      </c>
      <c r="I1993">
        <v>0</v>
      </c>
      <c r="J1993">
        <v>0</v>
      </c>
      <c r="K1993">
        <v>1</v>
      </c>
      <c r="L1993">
        <v>1</v>
      </c>
      <c r="M1993">
        <v>0</v>
      </c>
      <c r="N1993">
        <v>0</v>
      </c>
      <c r="O1993">
        <v>1</v>
      </c>
      <c r="P1993">
        <v>1</v>
      </c>
      <c r="Q1993">
        <v>0</v>
      </c>
      <c r="R1993">
        <v>0</v>
      </c>
      <c r="S1993">
        <v>0</v>
      </c>
      <c r="T1993">
        <v>0</v>
      </c>
      <c r="U1993">
        <v>0</v>
      </c>
      <c r="V1993">
        <v>0</v>
      </c>
      <c r="W1993">
        <v>0</v>
      </c>
      <c r="X1993">
        <v>0</v>
      </c>
      <c r="Y1993">
        <v>0</v>
      </c>
      <c r="Z1993">
        <v>0</v>
      </c>
      <c r="AA1993">
        <v>0</v>
      </c>
      <c r="AB1993">
        <v>0</v>
      </c>
      <c r="AC1993">
        <v>0</v>
      </c>
      <c r="AD1993">
        <v>0</v>
      </c>
      <c r="AE1993">
        <v>0</v>
      </c>
      <c r="AF1993">
        <v>0</v>
      </c>
      <c r="AG1993">
        <v>0</v>
      </c>
      <c r="AH1993">
        <v>0</v>
      </c>
      <c r="AI1993">
        <v>0</v>
      </c>
      <c r="AJ1993">
        <v>0</v>
      </c>
      <c r="AK1993">
        <v>0</v>
      </c>
      <c r="AL1993">
        <v>4</v>
      </c>
      <c r="AM1993">
        <v>0.66666666666666663</v>
      </c>
      <c r="AN1993">
        <v>12.083482142857227</v>
      </c>
    </row>
    <row r="1994" spans="1:40" x14ac:dyDescent="0.3">
      <c r="A1994" t="s">
        <v>517</v>
      </c>
      <c r="B1994" t="s">
        <v>168</v>
      </c>
      <c r="C1994" t="s">
        <v>10</v>
      </c>
      <c r="D1994" t="s">
        <v>11</v>
      </c>
      <c r="E1994">
        <v>202602</v>
      </c>
      <c r="F1994" t="s">
        <v>169</v>
      </c>
      <c r="G1994">
        <v>0</v>
      </c>
      <c r="H1994">
        <v>5</v>
      </c>
      <c r="I1994">
        <v>1</v>
      </c>
      <c r="J1994">
        <v>0</v>
      </c>
      <c r="K1994">
        <v>0</v>
      </c>
      <c r="L1994">
        <v>2</v>
      </c>
      <c r="M1994">
        <v>1</v>
      </c>
      <c r="N1994">
        <v>0</v>
      </c>
      <c r="O1994">
        <v>3</v>
      </c>
      <c r="P1994">
        <v>1</v>
      </c>
      <c r="Q1994">
        <v>0</v>
      </c>
      <c r="R1994">
        <v>0</v>
      </c>
      <c r="S1994">
        <v>0</v>
      </c>
      <c r="T1994">
        <v>0</v>
      </c>
      <c r="U1994">
        <v>0</v>
      </c>
      <c r="V1994">
        <v>0</v>
      </c>
      <c r="W1994">
        <v>0</v>
      </c>
      <c r="X1994">
        <v>0</v>
      </c>
      <c r="Y1994">
        <v>0</v>
      </c>
      <c r="Z1994">
        <v>0</v>
      </c>
      <c r="AA1994">
        <v>0</v>
      </c>
      <c r="AB1994">
        <v>0</v>
      </c>
      <c r="AC1994">
        <v>0</v>
      </c>
      <c r="AD1994">
        <v>0</v>
      </c>
      <c r="AE1994">
        <v>0</v>
      </c>
      <c r="AF1994">
        <v>0</v>
      </c>
      <c r="AG1994">
        <v>0</v>
      </c>
      <c r="AH1994">
        <v>0</v>
      </c>
      <c r="AI1994">
        <v>0</v>
      </c>
      <c r="AJ1994">
        <v>0</v>
      </c>
      <c r="AK1994">
        <v>0</v>
      </c>
      <c r="AL1994">
        <v>13</v>
      </c>
      <c r="AM1994">
        <v>1.3333333333333333</v>
      </c>
      <c r="AN1994">
        <v>31.418500559492447</v>
      </c>
    </row>
    <row r="1995" spans="1:40" x14ac:dyDescent="0.3">
      <c r="A1995" t="s">
        <v>517</v>
      </c>
      <c r="B1995" t="s">
        <v>168</v>
      </c>
      <c r="C1995" t="s">
        <v>10</v>
      </c>
      <c r="D1995" t="s">
        <v>14</v>
      </c>
      <c r="E1995">
        <v>202602</v>
      </c>
      <c r="F1995" t="s">
        <v>169</v>
      </c>
      <c r="G1995">
        <v>0</v>
      </c>
      <c r="H1995">
        <v>3</v>
      </c>
      <c r="I1995">
        <v>2</v>
      </c>
      <c r="J1995">
        <v>1</v>
      </c>
      <c r="K1995">
        <v>3</v>
      </c>
      <c r="L1995">
        <v>2</v>
      </c>
      <c r="M1995">
        <v>0</v>
      </c>
      <c r="N1995">
        <v>0</v>
      </c>
      <c r="O1995">
        <v>2</v>
      </c>
      <c r="P1995">
        <v>4</v>
      </c>
      <c r="Q1995">
        <v>1</v>
      </c>
      <c r="R1995">
        <v>0</v>
      </c>
      <c r="S1995">
        <v>0</v>
      </c>
      <c r="T1995">
        <v>0</v>
      </c>
      <c r="U1995">
        <v>0</v>
      </c>
      <c r="V1995">
        <v>0</v>
      </c>
      <c r="W1995">
        <v>0</v>
      </c>
      <c r="X1995">
        <v>0</v>
      </c>
      <c r="Y1995">
        <v>0</v>
      </c>
      <c r="Z1995">
        <v>0</v>
      </c>
      <c r="AA1995">
        <v>0</v>
      </c>
      <c r="AB1995">
        <v>0</v>
      </c>
      <c r="AC1995">
        <v>0</v>
      </c>
      <c r="AD1995">
        <v>0</v>
      </c>
      <c r="AE1995">
        <v>0</v>
      </c>
      <c r="AF1995">
        <v>0</v>
      </c>
      <c r="AG1995">
        <v>0</v>
      </c>
      <c r="AH1995">
        <v>0</v>
      </c>
      <c r="AI1995">
        <v>0</v>
      </c>
      <c r="AJ1995">
        <v>0</v>
      </c>
      <c r="AK1995">
        <v>0</v>
      </c>
      <c r="AL1995">
        <v>18</v>
      </c>
      <c r="AM1995">
        <v>2.3333333333333335</v>
      </c>
      <c r="AN1995">
        <v>46.292187500000296</v>
      </c>
    </row>
    <row r="1996" spans="1:40" x14ac:dyDescent="0.3">
      <c r="A1996" t="s">
        <v>517</v>
      </c>
      <c r="B1996" t="s">
        <v>170</v>
      </c>
      <c r="C1996" t="s">
        <v>10</v>
      </c>
      <c r="D1996" t="s">
        <v>11</v>
      </c>
      <c r="E1996">
        <v>202602</v>
      </c>
      <c r="F1996" t="s">
        <v>50</v>
      </c>
      <c r="G1996">
        <v>0</v>
      </c>
      <c r="H1996">
        <v>0</v>
      </c>
      <c r="I1996">
        <v>2</v>
      </c>
      <c r="J1996">
        <v>1</v>
      </c>
      <c r="K1996">
        <v>2</v>
      </c>
      <c r="L1996">
        <v>2</v>
      </c>
      <c r="M1996">
        <v>0</v>
      </c>
      <c r="N1996">
        <v>0</v>
      </c>
      <c r="O1996">
        <v>0</v>
      </c>
      <c r="P1996">
        <v>2</v>
      </c>
      <c r="Q1996">
        <v>1</v>
      </c>
      <c r="R1996">
        <v>0</v>
      </c>
      <c r="S1996">
        <v>0</v>
      </c>
      <c r="T1996">
        <v>0</v>
      </c>
      <c r="U1996">
        <v>0</v>
      </c>
      <c r="V1996">
        <v>0</v>
      </c>
      <c r="W1996">
        <v>0</v>
      </c>
      <c r="X1996">
        <v>0</v>
      </c>
      <c r="Y1996">
        <v>0</v>
      </c>
      <c r="Z1996">
        <v>0</v>
      </c>
      <c r="AA1996">
        <v>0</v>
      </c>
      <c r="AB1996">
        <v>0</v>
      </c>
      <c r="AC1996">
        <v>0</v>
      </c>
      <c r="AD1996">
        <v>0</v>
      </c>
      <c r="AE1996">
        <v>0</v>
      </c>
      <c r="AF1996">
        <v>0</v>
      </c>
      <c r="AG1996">
        <v>0</v>
      </c>
      <c r="AH1996">
        <v>0</v>
      </c>
      <c r="AI1996">
        <v>0</v>
      </c>
      <c r="AJ1996">
        <v>0</v>
      </c>
      <c r="AK1996">
        <v>0</v>
      </c>
      <c r="AL1996">
        <v>10</v>
      </c>
      <c r="AM1996">
        <v>1</v>
      </c>
      <c r="AN1996">
        <v>23.813875419619336</v>
      </c>
    </row>
    <row r="1997" spans="1:40" x14ac:dyDescent="0.3">
      <c r="A1997" t="s">
        <v>517</v>
      </c>
      <c r="B1997" t="s">
        <v>170</v>
      </c>
      <c r="C1997" t="s">
        <v>10</v>
      </c>
      <c r="D1997" t="s">
        <v>14</v>
      </c>
      <c r="E1997">
        <v>202602</v>
      </c>
      <c r="F1997" t="s">
        <v>50</v>
      </c>
      <c r="G1997">
        <v>0</v>
      </c>
      <c r="H1997">
        <v>2</v>
      </c>
      <c r="I1997">
        <v>1</v>
      </c>
      <c r="J1997">
        <v>2</v>
      </c>
      <c r="K1997">
        <v>4</v>
      </c>
      <c r="L1997">
        <v>2</v>
      </c>
      <c r="M1997">
        <v>0</v>
      </c>
      <c r="N1997">
        <v>0</v>
      </c>
      <c r="O1997">
        <v>4</v>
      </c>
      <c r="P1997">
        <v>3</v>
      </c>
      <c r="Q1997">
        <v>0</v>
      </c>
      <c r="R1997">
        <v>0</v>
      </c>
      <c r="S1997">
        <v>0</v>
      </c>
      <c r="T1997">
        <v>0</v>
      </c>
      <c r="U1997">
        <v>0</v>
      </c>
      <c r="V1997">
        <v>0</v>
      </c>
      <c r="W1997">
        <v>0</v>
      </c>
      <c r="X1997">
        <v>0</v>
      </c>
      <c r="Y1997">
        <v>0</v>
      </c>
      <c r="Z1997">
        <v>0</v>
      </c>
      <c r="AA1997">
        <v>0</v>
      </c>
      <c r="AB1997">
        <v>0</v>
      </c>
      <c r="AC1997">
        <v>0</v>
      </c>
      <c r="AD1997">
        <v>0</v>
      </c>
      <c r="AE1997">
        <v>0</v>
      </c>
      <c r="AF1997">
        <v>0</v>
      </c>
      <c r="AG1997">
        <v>0</v>
      </c>
      <c r="AH1997">
        <v>0</v>
      </c>
      <c r="AI1997">
        <v>0</v>
      </c>
      <c r="AJ1997">
        <v>0</v>
      </c>
      <c r="AK1997">
        <v>0</v>
      </c>
      <c r="AL1997">
        <v>18</v>
      </c>
      <c r="AM1997">
        <v>2.3333333333333335</v>
      </c>
      <c r="AN1997">
        <v>46.292187500000296</v>
      </c>
    </row>
    <row r="1998" spans="1:40" x14ac:dyDescent="0.3">
      <c r="A1998" t="s">
        <v>517</v>
      </c>
      <c r="B1998" t="s">
        <v>171</v>
      </c>
      <c r="C1998" t="s">
        <v>10</v>
      </c>
      <c r="D1998" t="s">
        <v>11</v>
      </c>
      <c r="E1998">
        <v>202602</v>
      </c>
      <c r="F1998" t="s">
        <v>172</v>
      </c>
      <c r="G1998">
        <v>0</v>
      </c>
      <c r="H1998">
        <v>9</v>
      </c>
      <c r="I1998">
        <v>13</v>
      </c>
      <c r="J1998">
        <v>12</v>
      </c>
      <c r="K1998">
        <v>13</v>
      </c>
      <c r="L1998">
        <v>21</v>
      </c>
      <c r="M1998">
        <v>14</v>
      </c>
      <c r="N1998">
        <v>6</v>
      </c>
      <c r="O1998">
        <v>25</v>
      </c>
      <c r="P1998">
        <v>30</v>
      </c>
      <c r="Q1998">
        <v>15</v>
      </c>
      <c r="R1998">
        <v>0</v>
      </c>
      <c r="S1998">
        <v>0</v>
      </c>
      <c r="T1998">
        <v>0</v>
      </c>
      <c r="U1998">
        <v>0</v>
      </c>
      <c r="V1998">
        <v>0</v>
      </c>
      <c r="W1998">
        <v>0</v>
      </c>
      <c r="X1998">
        <v>0</v>
      </c>
      <c r="Y1998">
        <v>0</v>
      </c>
      <c r="Z1998">
        <v>0</v>
      </c>
      <c r="AA1998">
        <v>0</v>
      </c>
      <c r="AB1998">
        <v>0</v>
      </c>
      <c r="AC1998">
        <v>0</v>
      </c>
      <c r="AD1998">
        <v>0</v>
      </c>
      <c r="AE1998">
        <v>0</v>
      </c>
      <c r="AF1998">
        <v>0</v>
      </c>
      <c r="AG1998">
        <v>0</v>
      </c>
      <c r="AH1998">
        <v>0</v>
      </c>
      <c r="AI1998">
        <v>0</v>
      </c>
      <c r="AJ1998">
        <v>0</v>
      </c>
      <c r="AK1998">
        <v>0</v>
      </c>
      <c r="AL1998">
        <v>158</v>
      </c>
      <c r="AM1998">
        <v>23.333333333333332</v>
      </c>
      <c r="AN1998">
        <v>480.32375979111777</v>
      </c>
    </row>
    <row r="1999" spans="1:40" x14ac:dyDescent="0.3">
      <c r="A1999" t="s">
        <v>517</v>
      </c>
      <c r="B1999" t="s">
        <v>171</v>
      </c>
      <c r="C1999" t="s">
        <v>10</v>
      </c>
      <c r="D1999" t="s">
        <v>11</v>
      </c>
      <c r="E1999">
        <v>202602</v>
      </c>
      <c r="F1999" t="s">
        <v>573</v>
      </c>
      <c r="G1999">
        <v>0</v>
      </c>
      <c r="H1999">
        <v>0</v>
      </c>
      <c r="I1999">
        <v>0</v>
      </c>
      <c r="J1999">
        <v>0</v>
      </c>
      <c r="K1999">
        <v>0</v>
      </c>
      <c r="L1999">
        <v>1</v>
      </c>
      <c r="M1999">
        <v>0</v>
      </c>
      <c r="N1999">
        <v>0</v>
      </c>
      <c r="O1999">
        <v>0</v>
      </c>
      <c r="P1999">
        <v>0</v>
      </c>
      <c r="Q1999">
        <v>0</v>
      </c>
      <c r="R1999">
        <v>0</v>
      </c>
      <c r="S1999">
        <v>0</v>
      </c>
      <c r="T1999">
        <v>0</v>
      </c>
      <c r="U1999">
        <v>0</v>
      </c>
      <c r="V1999">
        <v>0</v>
      </c>
      <c r="W1999">
        <v>0</v>
      </c>
      <c r="X1999">
        <v>0</v>
      </c>
      <c r="Y1999">
        <v>0</v>
      </c>
      <c r="Z1999">
        <v>0</v>
      </c>
      <c r="AA1999">
        <v>0</v>
      </c>
      <c r="AB1999">
        <v>0</v>
      </c>
      <c r="AC1999">
        <v>0</v>
      </c>
      <c r="AD1999">
        <v>0</v>
      </c>
      <c r="AE1999">
        <v>0</v>
      </c>
      <c r="AF1999">
        <v>0</v>
      </c>
      <c r="AG1999">
        <v>0</v>
      </c>
      <c r="AH1999">
        <v>0</v>
      </c>
      <c r="AI1999">
        <v>0</v>
      </c>
      <c r="AJ1999">
        <v>0</v>
      </c>
      <c r="AK1999">
        <v>0</v>
      </c>
      <c r="AL1999">
        <v>1</v>
      </c>
      <c r="AM1999">
        <v>0</v>
      </c>
      <c r="AN1999">
        <v>1</v>
      </c>
    </row>
    <row r="2000" spans="1:40" x14ac:dyDescent="0.3">
      <c r="A2000" t="s">
        <v>517</v>
      </c>
      <c r="B2000" t="s">
        <v>171</v>
      </c>
      <c r="C2000" t="s">
        <v>10</v>
      </c>
      <c r="D2000" t="s">
        <v>14</v>
      </c>
      <c r="E2000">
        <v>202602</v>
      </c>
      <c r="F2000" t="s">
        <v>172</v>
      </c>
      <c r="G2000">
        <v>0</v>
      </c>
      <c r="H2000">
        <v>22</v>
      </c>
      <c r="I2000">
        <v>33</v>
      </c>
      <c r="J2000">
        <v>28</v>
      </c>
      <c r="K2000">
        <v>42</v>
      </c>
      <c r="L2000">
        <v>32</v>
      </c>
      <c r="M2000">
        <v>15</v>
      </c>
      <c r="N2000">
        <v>0</v>
      </c>
      <c r="O2000">
        <v>33</v>
      </c>
      <c r="P2000">
        <v>39</v>
      </c>
      <c r="Q2000">
        <v>32</v>
      </c>
      <c r="R2000">
        <v>0</v>
      </c>
      <c r="S2000">
        <v>0</v>
      </c>
      <c r="T2000">
        <v>0</v>
      </c>
      <c r="U2000">
        <v>0</v>
      </c>
      <c r="V2000">
        <v>0</v>
      </c>
      <c r="W2000">
        <v>0</v>
      </c>
      <c r="X2000">
        <v>0</v>
      </c>
      <c r="Y2000">
        <v>0</v>
      </c>
      <c r="Z2000">
        <v>0</v>
      </c>
      <c r="AA2000">
        <v>0</v>
      </c>
      <c r="AB2000">
        <v>0</v>
      </c>
      <c r="AC2000">
        <v>0</v>
      </c>
      <c r="AD2000">
        <v>0</v>
      </c>
      <c r="AE2000">
        <v>0</v>
      </c>
      <c r="AF2000">
        <v>0</v>
      </c>
      <c r="AG2000">
        <v>0</v>
      </c>
      <c r="AH2000">
        <v>0</v>
      </c>
      <c r="AI2000">
        <v>0</v>
      </c>
      <c r="AJ2000">
        <v>0</v>
      </c>
      <c r="AK2000">
        <v>0</v>
      </c>
      <c r="AL2000">
        <v>276</v>
      </c>
      <c r="AM2000">
        <v>34.666666666666664</v>
      </c>
      <c r="AN2000">
        <v>696.34107142857579</v>
      </c>
    </row>
    <row r="2001" spans="1:40" x14ac:dyDescent="0.3">
      <c r="A2001" t="s">
        <v>517</v>
      </c>
      <c r="B2001" t="s">
        <v>171</v>
      </c>
      <c r="C2001" t="s">
        <v>16</v>
      </c>
      <c r="D2001" t="s">
        <v>11</v>
      </c>
      <c r="E2001">
        <v>202602</v>
      </c>
      <c r="F2001" t="s">
        <v>172</v>
      </c>
      <c r="G2001">
        <v>0</v>
      </c>
      <c r="H2001">
        <v>0</v>
      </c>
      <c r="I2001">
        <v>1</v>
      </c>
      <c r="J2001">
        <v>1</v>
      </c>
      <c r="K2001">
        <v>0</v>
      </c>
      <c r="L2001">
        <v>1</v>
      </c>
      <c r="M2001">
        <v>0</v>
      </c>
      <c r="N2001">
        <v>0</v>
      </c>
      <c r="O2001">
        <v>0</v>
      </c>
      <c r="P2001">
        <v>0</v>
      </c>
      <c r="Q2001">
        <v>0</v>
      </c>
      <c r="R2001">
        <v>0</v>
      </c>
      <c r="S2001">
        <v>0</v>
      </c>
      <c r="T2001">
        <v>0</v>
      </c>
      <c r="U2001">
        <v>0</v>
      </c>
      <c r="V2001">
        <v>0</v>
      </c>
      <c r="W2001">
        <v>0</v>
      </c>
      <c r="X2001">
        <v>0</v>
      </c>
      <c r="Y2001">
        <v>0</v>
      </c>
      <c r="Z2001">
        <v>0</v>
      </c>
      <c r="AA2001">
        <v>0</v>
      </c>
      <c r="AB2001">
        <v>0</v>
      </c>
      <c r="AC2001">
        <v>0</v>
      </c>
      <c r="AD2001">
        <v>0</v>
      </c>
      <c r="AE2001">
        <v>0</v>
      </c>
      <c r="AF2001">
        <v>0</v>
      </c>
      <c r="AG2001">
        <v>0</v>
      </c>
      <c r="AH2001">
        <v>0</v>
      </c>
      <c r="AI2001">
        <v>0</v>
      </c>
      <c r="AJ2001">
        <v>0</v>
      </c>
      <c r="AK2001">
        <v>0</v>
      </c>
      <c r="AL2001">
        <v>3</v>
      </c>
      <c r="AM2001">
        <v>0</v>
      </c>
      <c r="AN2001">
        <v>3</v>
      </c>
    </row>
    <row r="2002" spans="1:40" x14ac:dyDescent="0.3">
      <c r="A2002" t="s">
        <v>517</v>
      </c>
      <c r="B2002" t="s">
        <v>171</v>
      </c>
      <c r="C2002" t="s">
        <v>16</v>
      </c>
      <c r="D2002" t="s">
        <v>14</v>
      </c>
      <c r="E2002">
        <v>202602</v>
      </c>
      <c r="F2002" t="s">
        <v>172</v>
      </c>
      <c r="G2002">
        <v>0</v>
      </c>
      <c r="H2002">
        <v>0</v>
      </c>
      <c r="I2002">
        <v>1</v>
      </c>
      <c r="J2002">
        <v>0</v>
      </c>
      <c r="K2002">
        <v>0</v>
      </c>
      <c r="L2002">
        <v>0</v>
      </c>
      <c r="M2002">
        <v>0</v>
      </c>
      <c r="N2002">
        <v>0</v>
      </c>
      <c r="O2002">
        <v>0</v>
      </c>
      <c r="P2002">
        <v>0</v>
      </c>
      <c r="Q2002">
        <v>0</v>
      </c>
      <c r="R2002">
        <v>0</v>
      </c>
      <c r="S2002">
        <v>0</v>
      </c>
      <c r="T2002">
        <v>0</v>
      </c>
      <c r="U2002">
        <v>0</v>
      </c>
      <c r="V2002">
        <v>0</v>
      </c>
      <c r="W2002">
        <v>0</v>
      </c>
      <c r="X2002">
        <v>0</v>
      </c>
      <c r="Y2002">
        <v>0</v>
      </c>
      <c r="Z2002">
        <v>0</v>
      </c>
      <c r="AA2002">
        <v>0</v>
      </c>
      <c r="AB2002">
        <v>0</v>
      </c>
      <c r="AC2002">
        <v>0</v>
      </c>
      <c r="AD2002">
        <v>0</v>
      </c>
      <c r="AE2002">
        <v>0</v>
      </c>
      <c r="AF2002">
        <v>0</v>
      </c>
      <c r="AG2002">
        <v>0</v>
      </c>
      <c r="AH2002">
        <v>0</v>
      </c>
      <c r="AI2002">
        <v>0</v>
      </c>
      <c r="AJ2002">
        <v>0</v>
      </c>
      <c r="AK2002">
        <v>0</v>
      </c>
      <c r="AL2002">
        <v>1</v>
      </c>
      <c r="AM2002">
        <v>0</v>
      </c>
      <c r="AN2002">
        <v>1</v>
      </c>
    </row>
    <row r="2003" spans="1:40" x14ac:dyDescent="0.3">
      <c r="A2003" t="s">
        <v>517</v>
      </c>
      <c r="B2003" t="s">
        <v>173</v>
      </c>
      <c r="C2003" t="s">
        <v>10</v>
      </c>
      <c r="D2003" t="s">
        <v>11</v>
      </c>
      <c r="E2003">
        <v>202602</v>
      </c>
      <c r="F2003" t="s">
        <v>172</v>
      </c>
      <c r="G2003">
        <v>0</v>
      </c>
      <c r="H2003">
        <v>10</v>
      </c>
      <c r="I2003">
        <v>3</v>
      </c>
      <c r="J2003">
        <v>9</v>
      </c>
      <c r="K2003">
        <v>18</v>
      </c>
      <c r="L2003">
        <v>13</v>
      </c>
      <c r="M2003">
        <v>9</v>
      </c>
      <c r="N2003">
        <v>1</v>
      </c>
      <c r="O2003">
        <v>29</v>
      </c>
      <c r="P2003">
        <v>21</v>
      </c>
      <c r="Q2003">
        <v>17</v>
      </c>
      <c r="R2003">
        <v>0</v>
      </c>
      <c r="S2003">
        <v>0</v>
      </c>
      <c r="T2003">
        <v>0</v>
      </c>
      <c r="U2003">
        <v>0</v>
      </c>
      <c r="V2003">
        <v>0</v>
      </c>
      <c r="W2003">
        <v>0</v>
      </c>
      <c r="X2003">
        <v>0</v>
      </c>
      <c r="Y2003">
        <v>0</v>
      </c>
      <c r="Z2003">
        <v>0</v>
      </c>
      <c r="AA2003">
        <v>0</v>
      </c>
      <c r="AB2003">
        <v>0</v>
      </c>
      <c r="AC2003">
        <v>0</v>
      </c>
      <c r="AD2003">
        <v>0</v>
      </c>
      <c r="AE2003">
        <v>0</v>
      </c>
      <c r="AF2003">
        <v>0</v>
      </c>
      <c r="AG2003">
        <v>0</v>
      </c>
      <c r="AH2003">
        <v>0</v>
      </c>
      <c r="AI2003">
        <v>0</v>
      </c>
      <c r="AJ2003">
        <v>0</v>
      </c>
      <c r="AK2003">
        <v>0</v>
      </c>
      <c r="AL2003">
        <v>130</v>
      </c>
      <c r="AM2003">
        <v>22.333333333333332</v>
      </c>
      <c r="AN2003">
        <v>438.50988437149846</v>
      </c>
    </row>
    <row r="2004" spans="1:40" x14ac:dyDescent="0.3">
      <c r="A2004" t="s">
        <v>517</v>
      </c>
      <c r="B2004" t="s">
        <v>173</v>
      </c>
      <c r="C2004" t="s">
        <v>10</v>
      </c>
      <c r="D2004" t="s">
        <v>14</v>
      </c>
      <c r="E2004">
        <v>202602</v>
      </c>
      <c r="F2004" t="s">
        <v>172</v>
      </c>
      <c r="G2004">
        <v>0</v>
      </c>
      <c r="H2004">
        <v>24</v>
      </c>
      <c r="I2004">
        <v>22</v>
      </c>
      <c r="J2004">
        <v>26</v>
      </c>
      <c r="K2004">
        <v>37</v>
      </c>
      <c r="L2004">
        <v>28</v>
      </c>
      <c r="M2004">
        <v>15</v>
      </c>
      <c r="N2004">
        <v>0</v>
      </c>
      <c r="O2004">
        <v>28</v>
      </c>
      <c r="P2004">
        <v>28</v>
      </c>
      <c r="Q2004">
        <v>40</v>
      </c>
      <c r="R2004">
        <v>0</v>
      </c>
      <c r="S2004">
        <v>0</v>
      </c>
      <c r="T2004">
        <v>0</v>
      </c>
      <c r="U2004">
        <v>0</v>
      </c>
      <c r="V2004">
        <v>0</v>
      </c>
      <c r="W2004">
        <v>0</v>
      </c>
      <c r="X2004">
        <v>0</v>
      </c>
      <c r="Y2004">
        <v>0</v>
      </c>
      <c r="Z2004">
        <v>0</v>
      </c>
      <c r="AA2004">
        <v>0</v>
      </c>
      <c r="AB2004">
        <v>0</v>
      </c>
      <c r="AC2004">
        <v>0</v>
      </c>
      <c r="AD2004">
        <v>0</v>
      </c>
      <c r="AE2004">
        <v>0</v>
      </c>
      <c r="AF2004">
        <v>0</v>
      </c>
      <c r="AG2004">
        <v>0</v>
      </c>
      <c r="AH2004">
        <v>0</v>
      </c>
      <c r="AI2004">
        <v>0</v>
      </c>
      <c r="AJ2004">
        <v>0</v>
      </c>
      <c r="AK2004">
        <v>0</v>
      </c>
      <c r="AL2004">
        <v>248</v>
      </c>
      <c r="AM2004">
        <v>32</v>
      </c>
      <c r="AN2004">
        <v>636.00714285714685</v>
      </c>
    </row>
    <row r="2005" spans="1:40" x14ac:dyDescent="0.3">
      <c r="A2005" t="s">
        <v>517</v>
      </c>
      <c r="B2005" t="s">
        <v>173</v>
      </c>
      <c r="C2005" t="s">
        <v>16</v>
      </c>
      <c r="D2005" t="s">
        <v>14</v>
      </c>
      <c r="E2005">
        <v>202602</v>
      </c>
      <c r="F2005" t="s">
        <v>172</v>
      </c>
      <c r="G2005">
        <v>0</v>
      </c>
      <c r="H2005">
        <v>0</v>
      </c>
      <c r="I2005">
        <v>0</v>
      </c>
      <c r="J2005">
        <v>0</v>
      </c>
      <c r="K2005">
        <v>0</v>
      </c>
      <c r="L2005">
        <v>0</v>
      </c>
      <c r="M2005">
        <v>0</v>
      </c>
      <c r="N2005">
        <v>0</v>
      </c>
      <c r="O2005">
        <v>1</v>
      </c>
      <c r="P2005">
        <v>0</v>
      </c>
      <c r="Q2005">
        <v>0</v>
      </c>
      <c r="R2005">
        <v>0</v>
      </c>
      <c r="S2005">
        <v>0</v>
      </c>
      <c r="T2005">
        <v>0</v>
      </c>
      <c r="U2005">
        <v>0</v>
      </c>
      <c r="V2005">
        <v>0</v>
      </c>
      <c r="W2005">
        <v>0</v>
      </c>
      <c r="X2005">
        <v>0</v>
      </c>
      <c r="Y2005">
        <v>0</v>
      </c>
      <c r="Z2005">
        <v>0</v>
      </c>
      <c r="AA2005">
        <v>0</v>
      </c>
      <c r="AB2005">
        <v>0</v>
      </c>
      <c r="AC2005">
        <v>0</v>
      </c>
      <c r="AD2005">
        <v>0</v>
      </c>
      <c r="AE2005">
        <v>0</v>
      </c>
      <c r="AF2005">
        <v>0</v>
      </c>
      <c r="AG2005">
        <v>0</v>
      </c>
      <c r="AH2005">
        <v>0</v>
      </c>
      <c r="AI2005">
        <v>0</v>
      </c>
      <c r="AJ2005">
        <v>0</v>
      </c>
      <c r="AK2005">
        <v>0</v>
      </c>
      <c r="AL2005">
        <v>1</v>
      </c>
      <c r="AM2005">
        <v>0.33333333333333331</v>
      </c>
      <c r="AN2005">
        <v>5.0417410714286133</v>
      </c>
    </row>
    <row r="2006" spans="1:40" x14ac:dyDescent="0.3">
      <c r="A2006" t="s">
        <v>574</v>
      </c>
      <c r="B2006" t="s">
        <v>9</v>
      </c>
      <c r="C2006" t="s">
        <v>10</v>
      </c>
      <c r="D2006" t="s">
        <v>11</v>
      </c>
      <c r="E2006">
        <v>202602</v>
      </c>
      <c r="F2006" t="s">
        <v>42</v>
      </c>
      <c r="G2006">
        <v>0</v>
      </c>
      <c r="H2006">
        <v>1</v>
      </c>
      <c r="I2006">
        <v>1</v>
      </c>
      <c r="J2006">
        <v>1</v>
      </c>
      <c r="K2006">
        <v>0</v>
      </c>
      <c r="L2006">
        <v>0</v>
      </c>
      <c r="M2006">
        <v>1</v>
      </c>
      <c r="N2006">
        <v>0</v>
      </c>
      <c r="O2006">
        <v>1</v>
      </c>
      <c r="P2006">
        <v>0</v>
      </c>
      <c r="Q2006">
        <v>0</v>
      </c>
      <c r="R2006">
        <v>0</v>
      </c>
      <c r="S2006">
        <v>0</v>
      </c>
      <c r="T2006">
        <v>0</v>
      </c>
      <c r="U2006">
        <v>0</v>
      </c>
      <c r="V2006">
        <v>0</v>
      </c>
      <c r="W2006">
        <v>0</v>
      </c>
      <c r="X2006">
        <v>0</v>
      </c>
      <c r="Y2006">
        <v>0</v>
      </c>
      <c r="Z2006">
        <v>0</v>
      </c>
      <c r="AA2006">
        <v>0</v>
      </c>
      <c r="AB2006">
        <v>0</v>
      </c>
      <c r="AC2006">
        <v>0</v>
      </c>
      <c r="AD2006">
        <v>0</v>
      </c>
      <c r="AE2006">
        <v>0</v>
      </c>
      <c r="AF2006">
        <v>0</v>
      </c>
      <c r="AG2006">
        <v>0</v>
      </c>
      <c r="AH2006">
        <v>0</v>
      </c>
      <c r="AI2006">
        <v>0</v>
      </c>
      <c r="AJ2006">
        <v>0</v>
      </c>
      <c r="AK2006">
        <v>0</v>
      </c>
      <c r="AL2006">
        <v>5</v>
      </c>
      <c r="AM2006">
        <v>0.33333333333333331</v>
      </c>
      <c r="AN2006">
        <v>9.6046251398731108</v>
      </c>
    </row>
    <row r="2007" spans="1:40" x14ac:dyDescent="0.3">
      <c r="A2007" t="s">
        <v>574</v>
      </c>
      <c r="B2007" t="s">
        <v>9</v>
      </c>
      <c r="C2007" t="s">
        <v>10</v>
      </c>
      <c r="D2007" t="s">
        <v>11</v>
      </c>
      <c r="E2007">
        <v>202602</v>
      </c>
      <c r="F2007" t="s">
        <v>575</v>
      </c>
      <c r="G2007">
        <v>0</v>
      </c>
      <c r="H2007">
        <v>0</v>
      </c>
      <c r="I2007">
        <v>0</v>
      </c>
      <c r="J2007">
        <v>1</v>
      </c>
      <c r="K2007">
        <v>0</v>
      </c>
      <c r="L2007">
        <v>0</v>
      </c>
      <c r="M2007">
        <v>1</v>
      </c>
      <c r="N2007">
        <v>0</v>
      </c>
      <c r="O2007">
        <v>1</v>
      </c>
      <c r="P2007">
        <v>0</v>
      </c>
      <c r="Q2007">
        <v>0</v>
      </c>
      <c r="R2007">
        <v>0</v>
      </c>
      <c r="S2007">
        <v>0</v>
      </c>
      <c r="T2007">
        <v>0</v>
      </c>
      <c r="U2007">
        <v>0</v>
      </c>
      <c r="V2007">
        <v>0</v>
      </c>
      <c r="W2007">
        <v>0</v>
      </c>
      <c r="X2007">
        <v>0</v>
      </c>
      <c r="Y2007">
        <v>0</v>
      </c>
      <c r="Z2007">
        <v>0</v>
      </c>
      <c r="AA2007">
        <v>0</v>
      </c>
      <c r="AB2007">
        <v>0</v>
      </c>
      <c r="AC2007">
        <v>0</v>
      </c>
      <c r="AD2007">
        <v>0</v>
      </c>
      <c r="AE2007">
        <v>0</v>
      </c>
      <c r="AF2007">
        <v>0</v>
      </c>
      <c r="AG2007">
        <v>0</v>
      </c>
      <c r="AH2007">
        <v>0</v>
      </c>
      <c r="AI2007">
        <v>0</v>
      </c>
      <c r="AJ2007">
        <v>0</v>
      </c>
      <c r="AK2007">
        <v>0</v>
      </c>
      <c r="AL2007">
        <v>3</v>
      </c>
      <c r="AM2007">
        <v>0.33333333333333331</v>
      </c>
      <c r="AN2007">
        <v>7.6046251398731117</v>
      </c>
    </row>
    <row r="2008" spans="1:40" x14ac:dyDescent="0.3">
      <c r="A2008" t="s">
        <v>574</v>
      </c>
      <c r="B2008" t="s">
        <v>9</v>
      </c>
      <c r="C2008" t="s">
        <v>10</v>
      </c>
      <c r="D2008" t="s">
        <v>14</v>
      </c>
      <c r="E2008">
        <v>202602</v>
      </c>
      <c r="F2008" t="s">
        <v>42</v>
      </c>
      <c r="G2008">
        <v>0</v>
      </c>
      <c r="H2008">
        <v>0</v>
      </c>
      <c r="I2008">
        <v>2</v>
      </c>
      <c r="J2008">
        <v>0</v>
      </c>
      <c r="K2008">
        <v>2</v>
      </c>
      <c r="L2008">
        <v>1</v>
      </c>
      <c r="M2008">
        <v>0</v>
      </c>
      <c r="N2008">
        <v>0</v>
      </c>
      <c r="O2008">
        <v>0</v>
      </c>
      <c r="P2008">
        <v>0</v>
      </c>
      <c r="Q2008">
        <v>1</v>
      </c>
      <c r="R2008">
        <v>0</v>
      </c>
      <c r="S2008">
        <v>0</v>
      </c>
      <c r="T2008">
        <v>0</v>
      </c>
      <c r="U2008">
        <v>0</v>
      </c>
      <c r="V2008">
        <v>0</v>
      </c>
      <c r="W2008">
        <v>0</v>
      </c>
      <c r="X2008">
        <v>0</v>
      </c>
      <c r="Y2008">
        <v>0</v>
      </c>
      <c r="Z2008">
        <v>0</v>
      </c>
      <c r="AA2008">
        <v>0</v>
      </c>
      <c r="AB2008">
        <v>0</v>
      </c>
      <c r="AC2008">
        <v>0</v>
      </c>
      <c r="AD2008">
        <v>0</v>
      </c>
      <c r="AE2008">
        <v>0</v>
      </c>
      <c r="AF2008">
        <v>0</v>
      </c>
      <c r="AG2008">
        <v>0</v>
      </c>
      <c r="AH2008">
        <v>0</v>
      </c>
      <c r="AI2008">
        <v>0</v>
      </c>
      <c r="AJ2008">
        <v>0</v>
      </c>
      <c r="AK2008">
        <v>0</v>
      </c>
      <c r="AL2008">
        <v>6</v>
      </c>
      <c r="AM2008">
        <v>0.33333333333333331</v>
      </c>
      <c r="AN2008">
        <v>10.041741071428614</v>
      </c>
    </row>
    <row r="2009" spans="1:40" x14ac:dyDescent="0.3">
      <c r="A2009" t="s">
        <v>574</v>
      </c>
      <c r="B2009" t="s">
        <v>9</v>
      </c>
      <c r="C2009" t="s">
        <v>10</v>
      </c>
      <c r="D2009" t="s">
        <v>14</v>
      </c>
      <c r="E2009">
        <v>202602</v>
      </c>
      <c r="F2009" t="s">
        <v>575</v>
      </c>
      <c r="G2009">
        <v>0</v>
      </c>
      <c r="H2009">
        <v>2</v>
      </c>
      <c r="I2009">
        <v>0</v>
      </c>
      <c r="J2009">
        <v>2</v>
      </c>
      <c r="K2009">
        <v>0</v>
      </c>
      <c r="L2009">
        <v>0</v>
      </c>
      <c r="M2009">
        <v>0</v>
      </c>
      <c r="N2009">
        <v>0</v>
      </c>
      <c r="O2009">
        <v>0</v>
      </c>
      <c r="P2009">
        <v>1</v>
      </c>
      <c r="Q2009">
        <v>1</v>
      </c>
      <c r="R2009">
        <v>0</v>
      </c>
      <c r="S2009">
        <v>0</v>
      </c>
      <c r="T2009">
        <v>0</v>
      </c>
      <c r="U2009">
        <v>0</v>
      </c>
      <c r="V2009">
        <v>0</v>
      </c>
      <c r="W2009">
        <v>0</v>
      </c>
      <c r="X2009">
        <v>0</v>
      </c>
      <c r="Y2009">
        <v>0</v>
      </c>
      <c r="Z2009">
        <v>0</v>
      </c>
      <c r="AA2009">
        <v>0</v>
      </c>
      <c r="AB2009">
        <v>0</v>
      </c>
      <c r="AC2009">
        <v>0</v>
      </c>
      <c r="AD2009">
        <v>0</v>
      </c>
      <c r="AE2009">
        <v>0</v>
      </c>
      <c r="AF2009">
        <v>0</v>
      </c>
      <c r="AG2009">
        <v>0</v>
      </c>
      <c r="AH2009">
        <v>0</v>
      </c>
      <c r="AI2009">
        <v>0</v>
      </c>
      <c r="AJ2009">
        <v>0</v>
      </c>
      <c r="AK2009">
        <v>0</v>
      </c>
      <c r="AL2009">
        <v>6</v>
      </c>
      <c r="AM2009">
        <v>0.66666666666666663</v>
      </c>
      <c r="AN2009">
        <v>14.083482142857227</v>
      </c>
    </row>
    <row r="2010" spans="1:40" x14ac:dyDescent="0.3">
      <c r="A2010" t="s">
        <v>574</v>
      </c>
      <c r="B2010" t="s">
        <v>9</v>
      </c>
      <c r="C2010" t="s">
        <v>10</v>
      </c>
      <c r="D2010" t="s">
        <v>14</v>
      </c>
      <c r="E2010">
        <v>202602</v>
      </c>
      <c r="F2010" t="s">
        <v>576</v>
      </c>
      <c r="G2010">
        <v>0</v>
      </c>
      <c r="H2010">
        <v>0</v>
      </c>
      <c r="I2010">
        <v>0</v>
      </c>
      <c r="J2010">
        <v>0</v>
      </c>
      <c r="K2010">
        <v>0</v>
      </c>
      <c r="L2010">
        <v>0</v>
      </c>
      <c r="M2010">
        <v>0</v>
      </c>
      <c r="N2010">
        <v>0</v>
      </c>
      <c r="O2010">
        <v>1</v>
      </c>
      <c r="P2010">
        <v>0</v>
      </c>
      <c r="Q2010">
        <v>2</v>
      </c>
      <c r="R2010">
        <v>0</v>
      </c>
      <c r="S2010">
        <v>0</v>
      </c>
      <c r="T2010">
        <v>0</v>
      </c>
      <c r="U2010">
        <v>0</v>
      </c>
      <c r="V2010">
        <v>0</v>
      </c>
      <c r="W2010">
        <v>0</v>
      </c>
      <c r="X2010">
        <v>0</v>
      </c>
      <c r="Y2010">
        <v>0</v>
      </c>
      <c r="Z2010">
        <v>0</v>
      </c>
      <c r="AA2010">
        <v>0</v>
      </c>
      <c r="AB2010">
        <v>0</v>
      </c>
      <c r="AC2010">
        <v>0</v>
      </c>
      <c r="AD2010">
        <v>0</v>
      </c>
      <c r="AE2010">
        <v>0</v>
      </c>
      <c r="AF2010">
        <v>0</v>
      </c>
      <c r="AG2010">
        <v>0</v>
      </c>
      <c r="AH2010">
        <v>0</v>
      </c>
      <c r="AI2010">
        <v>0</v>
      </c>
      <c r="AJ2010">
        <v>0</v>
      </c>
      <c r="AK2010">
        <v>0</v>
      </c>
      <c r="AL2010">
        <v>3</v>
      </c>
      <c r="AM2010">
        <v>1</v>
      </c>
      <c r="AN2010">
        <v>15.125223214285839</v>
      </c>
    </row>
    <row r="2011" spans="1:40" x14ac:dyDescent="0.3">
      <c r="A2011" t="s">
        <v>574</v>
      </c>
      <c r="B2011" t="s">
        <v>17</v>
      </c>
      <c r="C2011" t="s">
        <v>10</v>
      </c>
      <c r="D2011" t="s">
        <v>11</v>
      </c>
      <c r="E2011">
        <v>202602</v>
      </c>
      <c r="F2011" t="s">
        <v>42</v>
      </c>
      <c r="G2011">
        <v>0</v>
      </c>
      <c r="H2011">
        <v>0</v>
      </c>
      <c r="I2011">
        <v>1</v>
      </c>
      <c r="J2011">
        <v>1</v>
      </c>
      <c r="K2011">
        <v>0</v>
      </c>
      <c r="L2011">
        <v>1</v>
      </c>
      <c r="M2011">
        <v>0</v>
      </c>
      <c r="N2011">
        <v>0</v>
      </c>
      <c r="O2011">
        <v>0</v>
      </c>
      <c r="P2011">
        <v>0</v>
      </c>
      <c r="Q2011">
        <v>0</v>
      </c>
      <c r="R2011">
        <v>0</v>
      </c>
      <c r="S2011">
        <v>0</v>
      </c>
      <c r="T2011">
        <v>0</v>
      </c>
      <c r="U2011">
        <v>0</v>
      </c>
      <c r="V2011">
        <v>0</v>
      </c>
      <c r="W2011">
        <v>0</v>
      </c>
      <c r="X2011">
        <v>0</v>
      </c>
      <c r="Y2011">
        <v>0</v>
      </c>
      <c r="Z2011">
        <v>0</v>
      </c>
      <c r="AA2011">
        <v>0</v>
      </c>
      <c r="AB2011">
        <v>0</v>
      </c>
      <c r="AC2011">
        <v>0</v>
      </c>
      <c r="AD2011">
        <v>0</v>
      </c>
      <c r="AE2011">
        <v>0</v>
      </c>
      <c r="AF2011">
        <v>0</v>
      </c>
      <c r="AG2011">
        <v>0</v>
      </c>
      <c r="AH2011">
        <v>0</v>
      </c>
      <c r="AI2011">
        <v>0</v>
      </c>
      <c r="AJ2011">
        <v>0</v>
      </c>
      <c r="AK2011">
        <v>0</v>
      </c>
      <c r="AL2011">
        <v>3</v>
      </c>
      <c r="AM2011">
        <v>0</v>
      </c>
      <c r="AN2011">
        <v>3</v>
      </c>
    </row>
    <row r="2012" spans="1:40" x14ac:dyDescent="0.3">
      <c r="A2012" t="s">
        <v>574</v>
      </c>
      <c r="B2012" t="s">
        <v>17</v>
      </c>
      <c r="C2012" t="s">
        <v>10</v>
      </c>
      <c r="D2012" t="s">
        <v>11</v>
      </c>
      <c r="E2012">
        <v>202602</v>
      </c>
      <c r="F2012" t="s">
        <v>102</v>
      </c>
      <c r="G2012">
        <v>0</v>
      </c>
      <c r="H2012">
        <v>1</v>
      </c>
      <c r="I2012">
        <v>4</v>
      </c>
      <c r="J2012">
        <v>1</v>
      </c>
      <c r="K2012">
        <v>1</v>
      </c>
      <c r="L2012">
        <v>0</v>
      </c>
      <c r="M2012">
        <v>0</v>
      </c>
      <c r="N2012">
        <v>0</v>
      </c>
      <c r="O2012">
        <v>1</v>
      </c>
      <c r="P2012">
        <v>1</v>
      </c>
      <c r="Q2012">
        <v>0</v>
      </c>
      <c r="R2012">
        <v>0</v>
      </c>
      <c r="S2012">
        <v>0</v>
      </c>
      <c r="T2012">
        <v>0</v>
      </c>
      <c r="U2012">
        <v>0</v>
      </c>
      <c r="V2012">
        <v>0</v>
      </c>
      <c r="W2012">
        <v>0</v>
      </c>
      <c r="X2012">
        <v>0</v>
      </c>
      <c r="Y2012">
        <v>0</v>
      </c>
      <c r="Z2012">
        <v>0</v>
      </c>
      <c r="AA2012">
        <v>0</v>
      </c>
      <c r="AB2012">
        <v>0</v>
      </c>
      <c r="AC2012">
        <v>0</v>
      </c>
      <c r="AD2012">
        <v>0</v>
      </c>
      <c r="AE2012">
        <v>0</v>
      </c>
      <c r="AF2012">
        <v>0</v>
      </c>
      <c r="AG2012">
        <v>0</v>
      </c>
      <c r="AH2012">
        <v>0</v>
      </c>
      <c r="AI2012">
        <v>0</v>
      </c>
      <c r="AJ2012">
        <v>0</v>
      </c>
      <c r="AK2012">
        <v>0</v>
      </c>
      <c r="AL2012">
        <v>9</v>
      </c>
      <c r="AM2012">
        <v>0.66666666666666663</v>
      </c>
      <c r="AN2012">
        <v>18.209250279746222</v>
      </c>
    </row>
    <row r="2013" spans="1:40" x14ac:dyDescent="0.3">
      <c r="A2013" t="s">
        <v>574</v>
      </c>
      <c r="B2013" t="s">
        <v>17</v>
      </c>
      <c r="C2013" t="s">
        <v>10</v>
      </c>
      <c r="D2013" t="s">
        <v>11</v>
      </c>
      <c r="E2013">
        <v>202602</v>
      </c>
      <c r="F2013" t="s">
        <v>179</v>
      </c>
      <c r="G2013">
        <v>0</v>
      </c>
      <c r="H2013">
        <v>1</v>
      </c>
      <c r="I2013">
        <v>1</v>
      </c>
      <c r="J2013">
        <v>0</v>
      </c>
      <c r="K2013">
        <v>0</v>
      </c>
      <c r="L2013">
        <v>0</v>
      </c>
      <c r="M2013">
        <v>0</v>
      </c>
      <c r="N2013">
        <v>1</v>
      </c>
      <c r="O2013">
        <v>0</v>
      </c>
      <c r="P2013">
        <v>0</v>
      </c>
      <c r="Q2013">
        <v>0</v>
      </c>
      <c r="R2013">
        <v>0</v>
      </c>
      <c r="S2013">
        <v>0</v>
      </c>
      <c r="T2013">
        <v>0</v>
      </c>
      <c r="U2013">
        <v>0</v>
      </c>
      <c r="V2013">
        <v>0</v>
      </c>
      <c r="W2013">
        <v>0</v>
      </c>
      <c r="X2013">
        <v>0</v>
      </c>
      <c r="Y2013">
        <v>0</v>
      </c>
      <c r="Z2013">
        <v>0</v>
      </c>
      <c r="AA2013">
        <v>0</v>
      </c>
      <c r="AB2013">
        <v>0</v>
      </c>
      <c r="AC2013">
        <v>0</v>
      </c>
      <c r="AD2013">
        <v>0</v>
      </c>
      <c r="AE2013">
        <v>0</v>
      </c>
      <c r="AF2013">
        <v>0</v>
      </c>
      <c r="AG2013">
        <v>0</v>
      </c>
      <c r="AH2013">
        <v>0</v>
      </c>
      <c r="AI2013">
        <v>0</v>
      </c>
      <c r="AJ2013">
        <v>0</v>
      </c>
      <c r="AK2013">
        <v>0</v>
      </c>
      <c r="AL2013">
        <v>3</v>
      </c>
      <c r="AM2013">
        <v>0</v>
      </c>
      <c r="AN2013">
        <v>3</v>
      </c>
    </row>
    <row r="2014" spans="1:40" x14ac:dyDescent="0.3">
      <c r="A2014" t="s">
        <v>574</v>
      </c>
      <c r="B2014" t="s">
        <v>17</v>
      </c>
      <c r="C2014" t="s">
        <v>10</v>
      </c>
      <c r="D2014" t="s">
        <v>11</v>
      </c>
      <c r="E2014">
        <v>202602</v>
      </c>
      <c r="F2014" t="s">
        <v>577</v>
      </c>
      <c r="G2014">
        <v>0</v>
      </c>
      <c r="H2014">
        <v>0</v>
      </c>
      <c r="I2014">
        <v>0</v>
      </c>
      <c r="J2014">
        <v>0</v>
      </c>
      <c r="K2014">
        <v>1</v>
      </c>
      <c r="L2014">
        <v>0</v>
      </c>
      <c r="M2014">
        <v>1</v>
      </c>
      <c r="N2014">
        <v>0</v>
      </c>
      <c r="O2014">
        <v>0</v>
      </c>
      <c r="P2014">
        <v>0</v>
      </c>
      <c r="Q2014">
        <v>0</v>
      </c>
      <c r="R2014">
        <v>0</v>
      </c>
      <c r="S2014">
        <v>0</v>
      </c>
      <c r="T2014">
        <v>0</v>
      </c>
      <c r="U2014">
        <v>0</v>
      </c>
      <c r="V2014">
        <v>0</v>
      </c>
      <c r="W2014">
        <v>0</v>
      </c>
      <c r="X2014">
        <v>0</v>
      </c>
      <c r="Y2014">
        <v>0</v>
      </c>
      <c r="Z2014">
        <v>0</v>
      </c>
      <c r="AA2014">
        <v>0</v>
      </c>
      <c r="AB2014">
        <v>0</v>
      </c>
      <c r="AC2014">
        <v>0</v>
      </c>
      <c r="AD2014">
        <v>0</v>
      </c>
      <c r="AE2014">
        <v>0</v>
      </c>
      <c r="AF2014">
        <v>0</v>
      </c>
      <c r="AG2014">
        <v>0</v>
      </c>
      <c r="AH2014">
        <v>0</v>
      </c>
      <c r="AI2014">
        <v>0</v>
      </c>
      <c r="AJ2014">
        <v>0</v>
      </c>
      <c r="AK2014">
        <v>0</v>
      </c>
      <c r="AL2014">
        <v>2</v>
      </c>
      <c r="AM2014">
        <v>0</v>
      </c>
      <c r="AN2014">
        <v>2</v>
      </c>
    </row>
    <row r="2015" spans="1:40" x14ac:dyDescent="0.3">
      <c r="A2015" t="s">
        <v>574</v>
      </c>
      <c r="B2015" t="s">
        <v>17</v>
      </c>
      <c r="C2015" t="s">
        <v>10</v>
      </c>
      <c r="D2015" t="s">
        <v>11</v>
      </c>
      <c r="E2015">
        <v>202602</v>
      </c>
      <c r="F2015" t="s">
        <v>578</v>
      </c>
      <c r="G2015">
        <v>0</v>
      </c>
      <c r="H2015">
        <v>1</v>
      </c>
      <c r="I2015">
        <v>0</v>
      </c>
      <c r="J2015">
        <v>0</v>
      </c>
      <c r="K2015">
        <v>0</v>
      </c>
      <c r="L2015">
        <v>0</v>
      </c>
      <c r="M2015">
        <v>0</v>
      </c>
      <c r="N2015">
        <v>0</v>
      </c>
      <c r="O2015">
        <v>1</v>
      </c>
      <c r="P2015">
        <v>0</v>
      </c>
      <c r="Q2015">
        <v>0</v>
      </c>
      <c r="R2015">
        <v>0</v>
      </c>
      <c r="S2015">
        <v>0</v>
      </c>
      <c r="T2015">
        <v>0</v>
      </c>
      <c r="U2015">
        <v>0</v>
      </c>
      <c r="V2015">
        <v>0</v>
      </c>
      <c r="W2015">
        <v>0</v>
      </c>
      <c r="X2015">
        <v>0</v>
      </c>
      <c r="Y2015">
        <v>0</v>
      </c>
      <c r="Z2015">
        <v>0</v>
      </c>
      <c r="AA2015">
        <v>0</v>
      </c>
      <c r="AB2015">
        <v>0</v>
      </c>
      <c r="AC2015">
        <v>0</v>
      </c>
      <c r="AD2015">
        <v>0</v>
      </c>
      <c r="AE2015">
        <v>0</v>
      </c>
      <c r="AF2015">
        <v>0</v>
      </c>
      <c r="AG2015">
        <v>0</v>
      </c>
      <c r="AH2015">
        <v>0</v>
      </c>
      <c r="AI2015">
        <v>0</v>
      </c>
      <c r="AJ2015">
        <v>0</v>
      </c>
      <c r="AK2015">
        <v>0</v>
      </c>
      <c r="AL2015">
        <v>2</v>
      </c>
      <c r="AM2015">
        <v>0.33333333333333331</v>
      </c>
      <c r="AN2015">
        <v>6.6046251398731117</v>
      </c>
    </row>
    <row r="2016" spans="1:40" x14ac:dyDescent="0.3">
      <c r="A2016" t="s">
        <v>574</v>
      </c>
      <c r="B2016" t="s">
        <v>17</v>
      </c>
      <c r="C2016" t="s">
        <v>10</v>
      </c>
      <c r="D2016" t="s">
        <v>11</v>
      </c>
      <c r="E2016">
        <v>202602</v>
      </c>
      <c r="F2016" t="s">
        <v>579</v>
      </c>
      <c r="G2016">
        <v>0</v>
      </c>
      <c r="H2016">
        <v>0</v>
      </c>
      <c r="I2016">
        <v>0</v>
      </c>
      <c r="J2016">
        <v>0</v>
      </c>
      <c r="K2016">
        <v>0</v>
      </c>
      <c r="L2016">
        <v>1</v>
      </c>
      <c r="M2016">
        <v>0</v>
      </c>
      <c r="N2016">
        <v>0</v>
      </c>
      <c r="O2016">
        <v>2</v>
      </c>
      <c r="P2016">
        <v>0</v>
      </c>
      <c r="Q2016">
        <v>0</v>
      </c>
      <c r="R2016">
        <v>0</v>
      </c>
      <c r="S2016">
        <v>0</v>
      </c>
      <c r="T2016">
        <v>0</v>
      </c>
      <c r="U2016">
        <v>0</v>
      </c>
      <c r="V2016">
        <v>0</v>
      </c>
      <c r="W2016">
        <v>0</v>
      </c>
      <c r="X2016">
        <v>0</v>
      </c>
      <c r="Y2016">
        <v>0</v>
      </c>
      <c r="Z2016">
        <v>0</v>
      </c>
      <c r="AA2016">
        <v>0</v>
      </c>
      <c r="AB2016">
        <v>0</v>
      </c>
      <c r="AC2016">
        <v>0</v>
      </c>
      <c r="AD2016">
        <v>0</v>
      </c>
      <c r="AE2016">
        <v>0</v>
      </c>
      <c r="AF2016">
        <v>0</v>
      </c>
      <c r="AG2016">
        <v>0</v>
      </c>
      <c r="AH2016">
        <v>0</v>
      </c>
      <c r="AI2016">
        <v>0</v>
      </c>
      <c r="AJ2016">
        <v>0</v>
      </c>
      <c r="AK2016">
        <v>0</v>
      </c>
      <c r="AL2016">
        <v>3</v>
      </c>
      <c r="AM2016">
        <v>0.66666666666666663</v>
      </c>
      <c r="AN2016">
        <v>12.209250279746223</v>
      </c>
    </row>
    <row r="2017" spans="1:40" x14ac:dyDescent="0.3">
      <c r="A2017" t="s">
        <v>574</v>
      </c>
      <c r="B2017" t="s">
        <v>17</v>
      </c>
      <c r="C2017" t="s">
        <v>10</v>
      </c>
      <c r="D2017" t="s">
        <v>11</v>
      </c>
      <c r="E2017">
        <v>202602</v>
      </c>
      <c r="F2017" t="s">
        <v>580</v>
      </c>
      <c r="G2017">
        <v>0</v>
      </c>
      <c r="H2017">
        <v>0</v>
      </c>
      <c r="I2017">
        <v>0</v>
      </c>
      <c r="J2017">
        <v>0</v>
      </c>
      <c r="K2017">
        <v>0</v>
      </c>
      <c r="L2017">
        <v>0</v>
      </c>
      <c r="M2017">
        <v>1</v>
      </c>
      <c r="N2017">
        <v>0</v>
      </c>
      <c r="O2017">
        <v>0</v>
      </c>
      <c r="P2017">
        <v>0</v>
      </c>
      <c r="Q2017">
        <v>1</v>
      </c>
      <c r="R2017">
        <v>0</v>
      </c>
      <c r="S2017">
        <v>0</v>
      </c>
      <c r="T2017">
        <v>0</v>
      </c>
      <c r="U2017">
        <v>0</v>
      </c>
      <c r="V2017">
        <v>0</v>
      </c>
      <c r="W2017">
        <v>0</v>
      </c>
      <c r="X2017">
        <v>0</v>
      </c>
      <c r="Y2017">
        <v>0</v>
      </c>
      <c r="Z2017">
        <v>0</v>
      </c>
      <c r="AA2017">
        <v>0</v>
      </c>
      <c r="AB2017">
        <v>0</v>
      </c>
      <c r="AC2017">
        <v>0</v>
      </c>
      <c r="AD2017">
        <v>0</v>
      </c>
      <c r="AE2017">
        <v>0</v>
      </c>
      <c r="AF2017">
        <v>0</v>
      </c>
      <c r="AG2017">
        <v>0</v>
      </c>
      <c r="AH2017">
        <v>0</v>
      </c>
      <c r="AI2017">
        <v>0</v>
      </c>
      <c r="AJ2017">
        <v>0</v>
      </c>
      <c r="AK2017">
        <v>0</v>
      </c>
      <c r="AL2017">
        <v>2</v>
      </c>
      <c r="AM2017">
        <v>0.33333333333333331</v>
      </c>
      <c r="AN2017">
        <v>6.6046251398731117</v>
      </c>
    </row>
    <row r="2018" spans="1:40" x14ac:dyDescent="0.3">
      <c r="A2018" t="s">
        <v>574</v>
      </c>
      <c r="B2018" t="s">
        <v>17</v>
      </c>
      <c r="C2018" t="s">
        <v>10</v>
      </c>
      <c r="D2018" t="s">
        <v>11</v>
      </c>
      <c r="E2018">
        <v>202602</v>
      </c>
      <c r="F2018" t="s">
        <v>581</v>
      </c>
      <c r="G2018">
        <v>0</v>
      </c>
      <c r="H2018">
        <v>0</v>
      </c>
      <c r="I2018">
        <v>0</v>
      </c>
      <c r="J2018">
        <v>0</v>
      </c>
      <c r="K2018">
        <v>1</v>
      </c>
      <c r="L2018">
        <v>0</v>
      </c>
      <c r="M2018">
        <v>0</v>
      </c>
      <c r="N2018">
        <v>0</v>
      </c>
      <c r="O2018">
        <v>0</v>
      </c>
      <c r="P2018">
        <v>0</v>
      </c>
      <c r="Q2018">
        <v>2</v>
      </c>
      <c r="R2018">
        <v>0</v>
      </c>
      <c r="S2018">
        <v>0</v>
      </c>
      <c r="T2018">
        <v>0</v>
      </c>
      <c r="U2018">
        <v>0</v>
      </c>
      <c r="V2018">
        <v>0</v>
      </c>
      <c r="W2018">
        <v>0</v>
      </c>
      <c r="X2018">
        <v>0</v>
      </c>
      <c r="Y2018">
        <v>0</v>
      </c>
      <c r="Z2018">
        <v>0</v>
      </c>
      <c r="AA2018">
        <v>0</v>
      </c>
      <c r="AB2018">
        <v>0</v>
      </c>
      <c r="AC2018">
        <v>0</v>
      </c>
      <c r="AD2018">
        <v>0</v>
      </c>
      <c r="AE2018">
        <v>0</v>
      </c>
      <c r="AF2018">
        <v>0</v>
      </c>
      <c r="AG2018">
        <v>0</v>
      </c>
      <c r="AH2018">
        <v>0</v>
      </c>
      <c r="AI2018">
        <v>0</v>
      </c>
      <c r="AJ2018">
        <v>0</v>
      </c>
      <c r="AK2018">
        <v>0</v>
      </c>
      <c r="AL2018">
        <v>3</v>
      </c>
      <c r="AM2018">
        <v>0.66666666666666663</v>
      </c>
      <c r="AN2018">
        <v>12.209250279746223</v>
      </c>
    </row>
    <row r="2019" spans="1:40" x14ac:dyDescent="0.3">
      <c r="A2019" t="s">
        <v>574</v>
      </c>
      <c r="B2019" t="s">
        <v>17</v>
      </c>
      <c r="C2019" t="s">
        <v>10</v>
      </c>
      <c r="D2019" t="s">
        <v>11</v>
      </c>
      <c r="E2019">
        <v>202602</v>
      </c>
      <c r="F2019" t="s">
        <v>582</v>
      </c>
      <c r="G2019">
        <v>0</v>
      </c>
      <c r="H2019">
        <v>0</v>
      </c>
      <c r="I2019">
        <v>0</v>
      </c>
      <c r="J2019">
        <v>1</v>
      </c>
      <c r="K2019">
        <v>0</v>
      </c>
      <c r="L2019">
        <v>0</v>
      </c>
      <c r="M2019">
        <v>0</v>
      </c>
      <c r="N2019">
        <v>0</v>
      </c>
      <c r="O2019">
        <v>0</v>
      </c>
      <c r="P2019">
        <v>0</v>
      </c>
      <c r="Q2019">
        <v>0</v>
      </c>
      <c r="R2019">
        <v>0</v>
      </c>
      <c r="S2019">
        <v>0</v>
      </c>
      <c r="T2019">
        <v>0</v>
      </c>
      <c r="U2019">
        <v>0</v>
      </c>
      <c r="V2019">
        <v>0</v>
      </c>
      <c r="W2019">
        <v>0</v>
      </c>
      <c r="X2019">
        <v>0</v>
      </c>
      <c r="Y2019">
        <v>0</v>
      </c>
      <c r="Z2019">
        <v>0</v>
      </c>
      <c r="AA2019">
        <v>0</v>
      </c>
      <c r="AB2019">
        <v>0</v>
      </c>
      <c r="AC2019">
        <v>0</v>
      </c>
      <c r="AD2019">
        <v>0</v>
      </c>
      <c r="AE2019">
        <v>0</v>
      </c>
      <c r="AF2019">
        <v>0</v>
      </c>
      <c r="AG2019">
        <v>0</v>
      </c>
      <c r="AH2019">
        <v>0</v>
      </c>
      <c r="AI2019">
        <v>0</v>
      </c>
      <c r="AJ2019">
        <v>0</v>
      </c>
      <c r="AK2019">
        <v>0</v>
      </c>
      <c r="AL2019">
        <v>1</v>
      </c>
      <c r="AM2019">
        <v>0</v>
      </c>
      <c r="AN2019">
        <v>1</v>
      </c>
    </row>
    <row r="2020" spans="1:40" x14ac:dyDescent="0.3">
      <c r="A2020" t="s">
        <v>574</v>
      </c>
      <c r="B2020" t="s">
        <v>17</v>
      </c>
      <c r="C2020" t="s">
        <v>10</v>
      </c>
      <c r="D2020" t="s">
        <v>11</v>
      </c>
      <c r="E2020">
        <v>202602</v>
      </c>
      <c r="F2020" t="s">
        <v>585</v>
      </c>
      <c r="G2020">
        <v>0</v>
      </c>
      <c r="H2020">
        <v>0</v>
      </c>
      <c r="I2020">
        <v>0</v>
      </c>
      <c r="J2020">
        <v>0</v>
      </c>
      <c r="K2020">
        <v>0</v>
      </c>
      <c r="L2020">
        <v>0</v>
      </c>
      <c r="M2020">
        <v>0</v>
      </c>
      <c r="N2020">
        <v>0</v>
      </c>
      <c r="O2020">
        <v>0</v>
      </c>
      <c r="P2020">
        <v>0</v>
      </c>
      <c r="Q2020">
        <v>1</v>
      </c>
      <c r="R2020">
        <v>0</v>
      </c>
      <c r="S2020">
        <v>0</v>
      </c>
      <c r="T2020">
        <v>0</v>
      </c>
      <c r="U2020">
        <v>0</v>
      </c>
      <c r="V2020">
        <v>0</v>
      </c>
      <c r="W2020">
        <v>0</v>
      </c>
      <c r="X2020">
        <v>0</v>
      </c>
      <c r="Y2020">
        <v>0</v>
      </c>
      <c r="Z2020">
        <v>0</v>
      </c>
      <c r="AA2020">
        <v>0</v>
      </c>
      <c r="AB2020">
        <v>0</v>
      </c>
      <c r="AC2020">
        <v>0</v>
      </c>
      <c r="AD2020">
        <v>0</v>
      </c>
      <c r="AE2020">
        <v>0</v>
      </c>
      <c r="AF2020">
        <v>0</v>
      </c>
      <c r="AG2020">
        <v>0</v>
      </c>
      <c r="AH2020">
        <v>0</v>
      </c>
      <c r="AI2020">
        <v>0</v>
      </c>
      <c r="AJ2020">
        <v>0</v>
      </c>
      <c r="AK2020">
        <v>0</v>
      </c>
      <c r="AL2020">
        <v>1</v>
      </c>
      <c r="AM2020">
        <v>0.33333333333333331</v>
      </c>
      <c r="AN2020">
        <v>5.6046251398731117</v>
      </c>
    </row>
    <row r="2021" spans="1:40" x14ac:dyDescent="0.3">
      <c r="A2021" t="s">
        <v>574</v>
      </c>
      <c r="B2021" t="s">
        <v>17</v>
      </c>
      <c r="C2021" t="s">
        <v>10</v>
      </c>
      <c r="D2021" t="s">
        <v>14</v>
      </c>
      <c r="E2021">
        <v>202602</v>
      </c>
      <c r="F2021" t="s">
        <v>42</v>
      </c>
      <c r="G2021">
        <v>0</v>
      </c>
      <c r="H2021">
        <v>0</v>
      </c>
      <c r="I2021">
        <v>1</v>
      </c>
      <c r="J2021">
        <v>0</v>
      </c>
      <c r="K2021">
        <v>1</v>
      </c>
      <c r="L2021">
        <v>0</v>
      </c>
      <c r="M2021">
        <v>0</v>
      </c>
      <c r="N2021">
        <v>0</v>
      </c>
      <c r="O2021">
        <v>0</v>
      </c>
      <c r="P2021">
        <v>0</v>
      </c>
      <c r="Q2021">
        <v>0</v>
      </c>
      <c r="R2021">
        <v>0</v>
      </c>
      <c r="S2021">
        <v>0</v>
      </c>
      <c r="T2021">
        <v>0</v>
      </c>
      <c r="U2021">
        <v>0</v>
      </c>
      <c r="V2021">
        <v>0</v>
      </c>
      <c r="W2021">
        <v>0</v>
      </c>
      <c r="X2021">
        <v>0</v>
      </c>
      <c r="Y2021">
        <v>0</v>
      </c>
      <c r="Z2021">
        <v>0</v>
      </c>
      <c r="AA2021">
        <v>0</v>
      </c>
      <c r="AB2021">
        <v>0</v>
      </c>
      <c r="AC2021">
        <v>0</v>
      </c>
      <c r="AD2021">
        <v>0</v>
      </c>
      <c r="AE2021">
        <v>0</v>
      </c>
      <c r="AF2021">
        <v>0</v>
      </c>
      <c r="AG2021">
        <v>0</v>
      </c>
      <c r="AH2021">
        <v>0</v>
      </c>
      <c r="AI2021">
        <v>0</v>
      </c>
      <c r="AJ2021">
        <v>0</v>
      </c>
      <c r="AK2021">
        <v>0</v>
      </c>
      <c r="AL2021">
        <v>2</v>
      </c>
      <c r="AM2021">
        <v>0</v>
      </c>
      <c r="AN2021">
        <v>2</v>
      </c>
    </row>
    <row r="2022" spans="1:40" x14ac:dyDescent="0.3">
      <c r="A2022" t="s">
        <v>574</v>
      </c>
      <c r="B2022" t="s">
        <v>17</v>
      </c>
      <c r="C2022" t="s">
        <v>10</v>
      </c>
      <c r="D2022" t="s">
        <v>14</v>
      </c>
      <c r="E2022">
        <v>202602</v>
      </c>
      <c r="F2022" t="s">
        <v>102</v>
      </c>
      <c r="G2022">
        <v>1</v>
      </c>
      <c r="H2022">
        <v>5</v>
      </c>
      <c r="I2022">
        <v>0</v>
      </c>
      <c r="J2022">
        <v>1</v>
      </c>
      <c r="K2022">
        <v>1</v>
      </c>
      <c r="L2022">
        <v>3</v>
      </c>
      <c r="M2022">
        <v>0</v>
      </c>
      <c r="N2022">
        <v>0</v>
      </c>
      <c r="O2022">
        <v>0</v>
      </c>
      <c r="P2022">
        <v>0</v>
      </c>
      <c r="Q2022">
        <v>4</v>
      </c>
      <c r="R2022">
        <v>0</v>
      </c>
      <c r="S2022">
        <v>0</v>
      </c>
      <c r="T2022">
        <v>0</v>
      </c>
      <c r="U2022">
        <v>0</v>
      </c>
      <c r="V2022">
        <v>0</v>
      </c>
      <c r="W2022">
        <v>0</v>
      </c>
      <c r="X2022">
        <v>0</v>
      </c>
      <c r="Y2022">
        <v>0</v>
      </c>
      <c r="Z2022">
        <v>0</v>
      </c>
      <c r="AA2022">
        <v>0</v>
      </c>
      <c r="AB2022">
        <v>0</v>
      </c>
      <c r="AC2022">
        <v>0</v>
      </c>
      <c r="AD2022">
        <v>0</v>
      </c>
      <c r="AE2022">
        <v>0</v>
      </c>
      <c r="AF2022">
        <v>0</v>
      </c>
      <c r="AG2022">
        <v>0</v>
      </c>
      <c r="AH2022">
        <v>0</v>
      </c>
      <c r="AI2022">
        <v>0</v>
      </c>
      <c r="AJ2022">
        <v>0</v>
      </c>
      <c r="AK2022">
        <v>0</v>
      </c>
      <c r="AL2022">
        <v>15</v>
      </c>
      <c r="AM2022">
        <v>1.3333333333333333</v>
      </c>
      <c r="AN2022">
        <v>31.166964285714453</v>
      </c>
    </row>
    <row r="2023" spans="1:40" x14ac:dyDescent="0.3">
      <c r="A2023" t="s">
        <v>574</v>
      </c>
      <c r="B2023" t="s">
        <v>17</v>
      </c>
      <c r="C2023" t="s">
        <v>10</v>
      </c>
      <c r="D2023" t="s">
        <v>14</v>
      </c>
      <c r="E2023">
        <v>202602</v>
      </c>
      <c r="F2023" t="s">
        <v>179</v>
      </c>
      <c r="G2023">
        <v>0</v>
      </c>
      <c r="H2023">
        <v>1</v>
      </c>
      <c r="I2023">
        <v>0</v>
      </c>
      <c r="J2023">
        <v>0</v>
      </c>
      <c r="K2023">
        <v>0</v>
      </c>
      <c r="L2023">
        <v>1</v>
      </c>
      <c r="M2023">
        <v>0</v>
      </c>
      <c r="N2023">
        <v>0</v>
      </c>
      <c r="O2023">
        <v>0</v>
      </c>
      <c r="P2023">
        <v>0</v>
      </c>
      <c r="Q2023">
        <v>0</v>
      </c>
      <c r="R2023">
        <v>0</v>
      </c>
      <c r="S2023">
        <v>0</v>
      </c>
      <c r="T2023">
        <v>0</v>
      </c>
      <c r="U2023">
        <v>0</v>
      </c>
      <c r="V2023">
        <v>0</v>
      </c>
      <c r="W2023">
        <v>0</v>
      </c>
      <c r="X2023">
        <v>0</v>
      </c>
      <c r="Y2023">
        <v>0</v>
      </c>
      <c r="Z2023">
        <v>0</v>
      </c>
      <c r="AA2023">
        <v>0</v>
      </c>
      <c r="AB2023">
        <v>0</v>
      </c>
      <c r="AC2023">
        <v>0</v>
      </c>
      <c r="AD2023">
        <v>0</v>
      </c>
      <c r="AE2023">
        <v>0</v>
      </c>
      <c r="AF2023">
        <v>0</v>
      </c>
      <c r="AG2023">
        <v>0</v>
      </c>
      <c r="AH2023">
        <v>0</v>
      </c>
      <c r="AI2023">
        <v>0</v>
      </c>
      <c r="AJ2023">
        <v>0</v>
      </c>
      <c r="AK2023">
        <v>0</v>
      </c>
      <c r="AL2023">
        <v>2</v>
      </c>
      <c r="AM2023">
        <v>0</v>
      </c>
      <c r="AN2023">
        <v>2</v>
      </c>
    </row>
    <row r="2024" spans="1:40" x14ac:dyDescent="0.3">
      <c r="A2024" t="s">
        <v>574</v>
      </c>
      <c r="B2024" t="s">
        <v>17</v>
      </c>
      <c r="C2024" t="s">
        <v>10</v>
      </c>
      <c r="D2024" t="s">
        <v>14</v>
      </c>
      <c r="E2024">
        <v>202602</v>
      </c>
      <c r="F2024" t="s">
        <v>577</v>
      </c>
      <c r="G2024">
        <v>0</v>
      </c>
      <c r="H2024">
        <v>1</v>
      </c>
      <c r="I2024">
        <v>0</v>
      </c>
      <c r="J2024">
        <v>0</v>
      </c>
      <c r="K2024">
        <v>0</v>
      </c>
      <c r="L2024">
        <v>1</v>
      </c>
      <c r="M2024">
        <v>0</v>
      </c>
      <c r="N2024">
        <v>0</v>
      </c>
      <c r="O2024">
        <v>0</v>
      </c>
      <c r="P2024">
        <v>0</v>
      </c>
      <c r="Q2024">
        <v>1</v>
      </c>
      <c r="R2024">
        <v>0</v>
      </c>
      <c r="S2024">
        <v>0</v>
      </c>
      <c r="T2024">
        <v>0</v>
      </c>
      <c r="U2024">
        <v>0</v>
      </c>
      <c r="V2024">
        <v>0</v>
      </c>
      <c r="W2024">
        <v>0</v>
      </c>
      <c r="X2024">
        <v>0</v>
      </c>
      <c r="Y2024">
        <v>0</v>
      </c>
      <c r="Z2024">
        <v>0</v>
      </c>
      <c r="AA2024">
        <v>0</v>
      </c>
      <c r="AB2024">
        <v>0</v>
      </c>
      <c r="AC2024">
        <v>0</v>
      </c>
      <c r="AD2024">
        <v>0</v>
      </c>
      <c r="AE2024">
        <v>0</v>
      </c>
      <c r="AF2024">
        <v>0</v>
      </c>
      <c r="AG2024">
        <v>0</v>
      </c>
      <c r="AH2024">
        <v>0</v>
      </c>
      <c r="AI2024">
        <v>0</v>
      </c>
      <c r="AJ2024">
        <v>0</v>
      </c>
      <c r="AK2024">
        <v>0</v>
      </c>
      <c r="AL2024">
        <v>3</v>
      </c>
      <c r="AM2024">
        <v>0.33333333333333331</v>
      </c>
      <c r="AN2024">
        <v>7.0417410714286133</v>
      </c>
    </row>
    <row r="2025" spans="1:40" x14ac:dyDescent="0.3">
      <c r="A2025" t="s">
        <v>574</v>
      </c>
      <c r="B2025" t="s">
        <v>17</v>
      </c>
      <c r="C2025" t="s">
        <v>10</v>
      </c>
      <c r="D2025" t="s">
        <v>14</v>
      </c>
      <c r="E2025">
        <v>202602</v>
      </c>
      <c r="F2025" t="s">
        <v>699</v>
      </c>
      <c r="G2025">
        <v>0</v>
      </c>
      <c r="H2025">
        <v>0</v>
      </c>
      <c r="I2025">
        <v>0</v>
      </c>
      <c r="J2025">
        <v>0</v>
      </c>
      <c r="K2025">
        <v>0</v>
      </c>
      <c r="L2025">
        <v>0</v>
      </c>
      <c r="M2025">
        <v>0</v>
      </c>
      <c r="N2025">
        <v>0</v>
      </c>
      <c r="O2025">
        <v>0</v>
      </c>
      <c r="P2025">
        <v>0</v>
      </c>
      <c r="Q2025">
        <v>1</v>
      </c>
      <c r="R2025">
        <v>0</v>
      </c>
      <c r="S2025">
        <v>0</v>
      </c>
      <c r="T2025">
        <v>0</v>
      </c>
      <c r="U2025">
        <v>0</v>
      </c>
      <c r="V2025">
        <v>0</v>
      </c>
      <c r="W2025">
        <v>0</v>
      </c>
      <c r="X2025">
        <v>0</v>
      </c>
      <c r="Y2025">
        <v>0</v>
      </c>
      <c r="Z2025">
        <v>0</v>
      </c>
      <c r="AA2025">
        <v>0</v>
      </c>
      <c r="AB2025">
        <v>0</v>
      </c>
      <c r="AC2025">
        <v>0</v>
      </c>
      <c r="AD2025">
        <v>0</v>
      </c>
      <c r="AE2025">
        <v>0</v>
      </c>
      <c r="AF2025">
        <v>0</v>
      </c>
      <c r="AG2025">
        <v>0</v>
      </c>
      <c r="AH2025">
        <v>0</v>
      </c>
      <c r="AI2025">
        <v>0</v>
      </c>
      <c r="AJ2025">
        <v>0</v>
      </c>
      <c r="AK2025">
        <v>0</v>
      </c>
      <c r="AL2025">
        <v>1</v>
      </c>
      <c r="AM2025">
        <v>0.33333333333333331</v>
      </c>
      <c r="AN2025">
        <v>5.0417410714286133</v>
      </c>
    </row>
    <row r="2026" spans="1:40" x14ac:dyDescent="0.3">
      <c r="A2026" t="s">
        <v>574</v>
      </c>
      <c r="B2026" t="s">
        <v>17</v>
      </c>
      <c r="C2026" t="s">
        <v>10</v>
      </c>
      <c r="D2026" t="s">
        <v>14</v>
      </c>
      <c r="E2026">
        <v>202602</v>
      </c>
      <c r="F2026" t="s">
        <v>578</v>
      </c>
      <c r="G2026">
        <v>0</v>
      </c>
      <c r="H2026">
        <v>0</v>
      </c>
      <c r="I2026">
        <v>0</v>
      </c>
      <c r="J2026">
        <v>0</v>
      </c>
      <c r="K2026">
        <v>1</v>
      </c>
      <c r="L2026">
        <v>0</v>
      </c>
      <c r="M2026">
        <v>0</v>
      </c>
      <c r="N2026">
        <v>0</v>
      </c>
      <c r="O2026">
        <v>0</v>
      </c>
      <c r="P2026">
        <v>0</v>
      </c>
      <c r="Q2026">
        <v>0</v>
      </c>
      <c r="R2026">
        <v>0</v>
      </c>
      <c r="S2026">
        <v>0</v>
      </c>
      <c r="T2026">
        <v>0</v>
      </c>
      <c r="U2026">
        <v>0</v>
      </c>
      <c r="V2026">
        <v>0</v>
      </c>
      <c r="W2026">
        <v>0</v>
      </c>
      <c r="X2026">
        <v>0</v>
      </c>
      <c r="Y2026">
        <v>0</v>
      </c>
      <c r="Z2026">
        <v>0</v>
      </c>
      <c r="AA2026">
        <v>0</v>
      </c>
      <c r="AB2026">
        <v>0</v>
      </c>
      <c r="AC2026">
        <v>0</v>
      </c>
      <c r="AD2026">
        <v>0</v>
      </c>
      <c r="AE2026">
        <v>0</v>
      </c>
      <c r="AF2026">
        <v>0</v>
      </c>
      <c r="AG2026">
        <v>0</v>
      </c>
      <c r="AH2026">
        <v>0</v>
      </c>
      <c r="AI2026">
        <v>0</v>
      </c>
      <c r="AJ2026">
        <v>0</v>
      </c>
      <c r="AK2026">
        <v>0</v>
      </c>
      <c r="AL2026">
        <v>1</v>
      </c>
      <c r="AM2026">
        <v>0</v>
      </c>
      <c r="AN2026">
        <v>1</v>
      </c>
    </row>
    <row r="2027" spans="1:40" x14ac:dyDescent="0.3">
      <c r="A2027" t="s">
        <v>574</v>
      </c>
      <c r="B2027" t="s">
        <v>17</v>
      </c>
      <c r="C2027" t="s">
        <v>10</v>
      </c>
      <c r="D2027" t="s">
        <v>14</v>
      </c>
      <c r="E2027">
        <v>202602</v>
      </c>
      <c r="F2027" t="s">
        <v>579</v>
      </c>
      <c r="G2027">
        <v>0</v>
      </c>
      <c r="H2027">
        <v>0</v>
      </c>
      <c r="I2027">
        <v>1</v>
      </c>
      <c r="J2027">
        <v>0</v>
      </c>
      <c r="K2027">
        <v>1</v>
      </c>
      <c r="L2027">
        <v>1</v>
      </c>
      <c r="M2027">
        <v>0</v>
      </c>
      <c r="N2027">
        <v>0</v>
      </c>
      <c r="O2027">
        <v>1</v>
      </c>
      <c r="P2027">
        <v>0</v>
      </c>
      <c r="Q2027">
        <v>0</v>
      </c>
      <c r="R2027">
        <v>0</v>
      </c>
      <c r="S2027">
        <v>0</v>
      </c>
      <c r="T2027">
        <v>0</v>
      </c>
      <c r="U2027">
        <v>0</v>
      </c>
      <c r="V2027">
        <v>0</v>
      </c>
      <c r="W2027">
        <v>0</v>
      </c>
      <c r="X2027">
        <v>0</v>
      </c>
      <c r="Y2027">
        <v>0</v>
      </c>
      <c r="Z2027">
        <v>0</v>
      </c>
      <c r="AA2027">
        <v>0</v>
      </c>
      <c r="AB2027">
        <v>0</v>
      </c>
      <c r="AC2027">
        <v>0</v>
      </c>
      <c r="AD2027">
        <v>0</v>
      </c>
      <c r="AE2027">
        <v>0</v>
      </c>
      <c r="AF2027">
        <v>0</v>
      </c>
      <c r="AG2027">
        <v>0</v>
      </c>
      <c r="AH2027">
        <v>0</v>
      </c>
      <c r="AI2027">
        <v>0</v>
      </c>
      <c r="AJ2027">
        <v>0</v>
      </c>
      <c r="AK2027">
        <v>0</v>
      </c>
      <c r="AL2027">
        <v>4</v>
      </c>
      <c r="AM2027">
        <v>0.33333333333333331</v>
      </c>
      <c r="AN2027">
        <v>8.0417410714286142</v>
      </c>
    </row>
    <row r="2028" spans="1:40" x14ac:dyDescent="0.3">
      <c r="A2028" t="s">
        <v>574</v>
      </c>
      <c r="B2028" t="s">
        <v>17</v>
      </c>
      <c r="C2028" t="s">
        <v>10</v>
      </c>
      <c r="D2028" t="s">
        <v>14</v>
      </c>
      <c r="E2028">
        <v>202602</v>
      </c>
      <c r="F2028" t="s">
        <v>580</v>
      </c>
      <c r="G2028">
        <v>0</v>
      </c>
      <c r="H2028">
        <v>0</v>
      </c>
      <c r="I2028">
        <v>0</v>
      </c>
      <c r="J2028">
        <v>0</v>
      </c>
      <c r="K2028">
        <v>0</v>
      </c>
      <c r="L2028">
        <v>0</v>
      </c>
      <c r="M2028">
        <v>1</v>
      </c>
      <c r="N2028">
        <v>0</v>
      </c>
      <c r="O2028">
        <v>1</v>
      </c>
      <c r="P2028">
        <v>0</v>
      </c>
      <c r="Q2028">
        <v>0</v>
      </c>
      <c r="R2028">
        <v>0</v>
      </c>
      <c r="S2028">
        <v>0</v>
      </c>
      <c r="T2028">
        <v>0</v>
      </c>
      <c r="U2028">
        <v>0</v>
      </c>
      <c r="V2028">
        <v>0</v>
      </c>
      <c r="W2028">
        <v>0</v>
      </c>
      <c r="X2028">
        <v>0</v>
      </c>
      <c r="Y2028">
        <v>0</v>
      </c>
      <c r="Z2028">
        <v>0</v>
      </c>
      <c r="AA2028">
        <v>0</v>
      </c>
      <c r="AB2028">
        <v>0</v>
      </c>
      <c r="AC2028">
        <v>0</v>
      </c>
      <c r="AD2028">
        <v>0</v>
      </c>
      <c r="AE2028">
        <v>0</v>
      </c>
      <c r="AF2028">
        <v>0</v>
      </c>
      <c r="AG2028">
        <v>0</v>
      </c>
      <c r="AH2028">
        <v>0</v>
      </c>
      <c r="AI2028">
        <v>0</v>
      </c>
      <c r="AJ2028">
        <v>0</v>
      </c>
      <c r="AK2028">
        <v>0</v>
      </c>
      <c r="AL2028">
        <v>2</v>
      </c>
      <c r="AM2028">
        <v>0.33333333333333331</v>
      </c>
      <c r="AN2028">
        <v>6.0417410714286133</v>
      </c>
    </row>
    <row r="2029" spans="1:40" x14ac:dyDescent="0.3">
      <c r="A2029" t="s">
        <v>574</v>
      </c>
      <c r="B2029" t="s">
        <v>17</v>
      </c>
      <c r="C2029" t="s">
        <v>10</v>
      </c>
      <c r="D2029" t="s">
        <v>14</v>
      </c>
      <c r="E2029">
        <v>202602</v>
      </c>
      <c r="F2029" t="s">
        <v>583</v>
      </c>
      <c r="G2029">
        <v>0</v>
      </c>
      <c r="H2029">
        <v>0</v>
      </c>
      <c r="I2029">
        <v>0</v>
      </c>
      <c r="J2029">
        <v>0</v>
      </c>
      <c r="K2029">
        <v>0</v>
      </c>
      <c r="L2029">
        <v>0</v>
      </c>
      <c r="M2029">
        <v>0</v>
      </c>
      <c r="N2029">
        <v>0</v>
      </c>
      <c r="O2029">
        <v>0</v>
      </c>
      <c r="P2029">
        <v>1</v>
      </c>
      <c r="Q2029">
        <v>1</v>
      </c>
      <c r="R2029">
        <v>0</v>
      </c>
      <c r="S2029">
        <v>0</v>
      </c>
      <c r="T2029">
        <v>0</v>
      </c>
      <c r="U2029">
        <v>0</v>
      </c>
      <c r="V2029">
        <v>0</v>
      </c>
      <c r="W2029">
        <v>0</v>
      </c>
      <c r="X2029">
        <v>0</v>
      </c>
      <c r="Y2029">
        <v>0</v>
      </c>
      <c r="Z2029">
        <v>0</v>
      </c>
      <c r="AA2029">
        <v>0</v>
      </c>
      <c r="AB2029">
        <v>0</v>
      </c>
      <c r="AC2029">
        <v>0</v>
      </c>
      <c r="AD2029">
        <v>0</v>
      </c>
      <c r="AE2029">
        <v>0</v>
      </c>
      <c r="AF2029">
        <v>0</v>
      </c>
      <c r="AG2029">
        <v>0</v>
      </c>
      <c r="AH2029">
        <v>0</v>
      </c>
      <c r="AI2029">
        <v>0</v>
      </c>
      <c r="AJ2029">
        <v>0</v>
      </c>
      <c r="AK2029">
        <v>0</v>
      </c>
      <c r="AL2029">
        <v>2</v>
      </c>
      <c r="AM2029">
        <v>0.66666666666666663</v>
      </c>
      <c r="AN2029">
        <v>10.083482142857227</v>
      </c>
    </row>
    <row r="2030" spans="1:40" x14ac:dyDescent="0.3">
      <c r="A2030" t="s">
        <v>574</v>
      </c>
      <c r="B2030" t="s">
        <v>17</v>
      </c>
      <c r="C2030" t="s">
        <v>10</v>
      </c>
      <c r="D2030" t="s">
        <v>14</v>
      </c>
      <c r="E2030">
        <v>202602</v>
      </c>
      <c r="F2030" t="s">
        <v>581</v>
      </c>
      <c r="G2030">
        <v>0</v>
      </c>
      <c r="H2030">
        <v>0</v>
      </c>
      <c r="I2030">
        <v>0</v>
      </c>
      <c r="J2030">
        <v>2</v>
      </c>
      <c r="K2030">
        <v>1</v>
      </c>
      <c r="L2030">
        <v>0</v>
      </c>
      <c r="M2030">
        <v>0</v>
      </c>
      <c r="N2030">
        <v>0</v>
      </c>
      <c r="O2030">
        <v>0</v>
      </c>
      <c r="P2030">
        <v>0</v>
      </c>
      <c r="Q2030">
        <v>0</v>
      </c>
      <c r="R2030">
        <v>0</v>
      </c>
      <c r="S2030">
        <v>0</v>
      </c>
      <c r="T2030">
        <v>0</v>
      </c>
      <c r="U2030">
        <v>0</v>
      </c>
      <c r="V2030">
        <v>0</v>
      </c>
      <c r="W2030">
        <v>0</v>
      </c>
      <c r="X2030">
        <v>0</v>
      </c>
      <c r="Y2030">
        <v>0</v>
      </c>
      <c r="Z2030">
        <v>0</v>
      </c>
      <c r="AA2030">
        <v>0</v>
      </c>
      <c r="AB2030">
        <v>0</v>
      </c>
      <c r="AC2030">
        <v>0</v>
      </c>
      <c r="AD2030">
        <v>0</v>
      </c>
      <c r="AE2030">
        <v>0</v>
      </c>
      <c r="AF2030">
        <v>0</v>
      </c>
      <c r="AG2030">
        <v>0</v>
      </c>
      <c r="AH2030">
        <v>0</v>
      </c>
      <c r="AI2030">
        <v>0</v>
      </c>
      <c r="AJ2030">
        <v>0</v>
      </c>
      <c r="AK2030">
        <v>0</v>
      </c>
      <c r="AL2030">
        <v>3</v>
      </c>
      <c r="AM2030">
        <v>0</v>
      </c>
      <c r="AN2030">
        <v>3</v>
      </c>
    </row>
    <row r="2031" spans="1:40" x14ac:dyDescent="0.3">
      <c r="A2031" t="s">
        <v>574</v>
      </c>
      <c r="B2031" t="s">
        <v>17</v>
      </c>
      <c r="C2031" t="s">
        <v>10</v>
      </c>
      <c r="D2031" t="s">
        <v>14</v>
      </c>
      <c r="E2031">
        <v>202602</v>
      </c>
      <c r="F2031" t="s">
        <v>584</v>
      </c>
      <c r="G2031">
        <v>0</v>
      </c>
      <c r="H2031">
        <v>0</v>
      </c>
      <c r="I2031">
        <v>0</v>
      </c>
      <c r="J2031">
        <v>0</v>
      </c>
      <c r="K2031">
        <v>0</v>
      </c>
      <c r="L2031">
        <v>0</v>
      </c>
      <c r="M2031">
        <v>0</v>
      </c>
      <c r="N2031">
        <v>0</v>
      </c>
      <c r="O2031">
        <v>1</v>
      </c>
      <c r="P2031">
        <v>0</v>
      </c>
      <c r="Q2031">
        <v>1</v>
      </c>
      <c r="R2031">
        <v>0</v>
      </c>
      <c r="S2031">
        <v>0</v>
      </c>
      <c r="T2031">
        <v>0</v>
      </c>
      <c r="U2031">
        <v>0</v>
      </c>
      <c r="V2031">
        <v>0</v>
      </c>
      <c r="W2031">
        <v>0</v>
      </c>
      <c r="X2031">
        <v>0</v>
      </c>
      <c r="Y2031">
        <v>0</v>
      </c>
      <c r="Z2031">
        <v>0</v>
      </c>
      <c r="AA2031">
        <v>0</v>
      </c>
      <c r="AB2031">
        <v>0</v>
      </c>
      <c r="AC2031">
        <v>0</v>
      </c>
      <c r="AD2031">
        <v>0</v>
      </c>
      <c r="AE2031">
        <v>0</v>
      </c>
      <c r="AF2031">
        <v>0</v>
      </c>
      <c r="AG2031">
        <v>0</v>
      </c>
      <c r="AH2031">
        <v>0</v>
      </c>
      <c r="AI2031">
        <v>0</v>
      </c>
      <c r="AJ2031">
        <v>0</v>
      </c>
      <c r="AK2031">
        <v>0</v>
      </c>
      <c r="AL2031">
        <v>2</v>
      </c>
      <c r="AM2031">
        <v>0.66666666666666663</v>
      </c>
      <c r="AN2031">
        <v>10.083482142857227</v>
      </c>
    </row>
    <row r="2032" spans="1:40" x14ac:dyDescent="0.3">
      <c r="A2032" t="s">
        <v>574</v>
      </c>
      <c r="B2032" t="s">
        <v>17</v>
      </c>
      <c r="C2032" t="s">
        <v>10</v>
      </c>
      <c r="D2032" t="s">
        <v>14</v>
      </c>
      <c r="E2032">
        <v>202602</v>
      </c>
      <c r="F2032" t="s">
        <v>582</v>
      </c>
      <c r="G2032">
        <v>0</v>
      </c>
      <c r="H2032">
        <v>0</v>
      </c>
      <c r="I2032">
        <v>1</v>
      </c>
      <c r="J2032">
        <v>0</v>
      </c>
      <c r="K2032">
        <v>0</v>
      </c>
      <c r="L2032">
        <v>0</v>
      </c>
      <c r="M2032">
        <v>0</v>
      </c>
      <c r="N2032">
        <v>0</v>
      </c>
      <c r="O2032">
        <v>0</v>
      </c>
      <c r="P2032">
        <v>1</v>
      </c>
      <c r="Q2032">
        <v>0</v>
      </c>
      <c r="R2032">
        <v>0</v>
      </c>
      <c r="S2032">
        <v>0</v>
      </c>
      <c r="T2032">
        <v>0</v>
      </c>
      <c r="U2032">
        <v>0</v>
      </c>
      <c r="V2032">
        <v>0</v>
      </c>
      <c r="W2032">
        <v>0</v>
      </c>
      <c r="X2032">
        <v>0</v>
      </c>
      <c r="Y2032">
        <v>0</v>
      </c>
      <c r="Z2032">
        <v>0</v>
      </c>
      <c r="AA2032">
        <v>0</v>
      </c>
      <c r="AB2032">
        <v>0</v>
      </c>
      <c r="AC2032">
        <v>0</v>
      </c>
      <c r="AD2032">
        <v>0</v>
      </c>
      <c r="AE2032">
        <v>0</v>
      </c>
      <c r="AF2032">
        <v>0</v>
      </c>
      <c r="AG2032">
        <v>0</v>
      </c>
      <c r="AH2032">
        <v>0</v>
      </c>
      <c r="AI2032">
        <v>0</v>
      </c>
      <c r="AJ2032">
        <v>0</v>
      </c>
      <c r="AK2032">
        <v>0</v>
      </c>
      <c r="AL2032">
        <v>2</v>
      </c>
      <c r="AM2032">
        <v>0.33333333333333331</v>
      </c>
      <c r="AN2032">
        <v>6.0417410714286133</v>
      </c>
    </row>
    <row r="2033" spans="1:40" x14ac:dyDescent="0.3">
      <c r="A2033" t="s">
        <v>574</v>
      </c>
      <c r="B2033" t="s">
        <v>17</v>
      </c>
      <c r="C2033" t="s">
        <v>10</v>
      </c>
      <c r="D2033" t="s">
        <v>14</v>
      </c>
      <c r="E2033">
        <v>202602</v>
      </c>
      <c r="F2033" t="s">
        <v>585</v>
      </c>
      <c r="G2033">
        <v>0</v>
      </c>
      <c r="H2033">
        <v>0</v>
      </c>
      <c r="I2033">
        <v>0</v>
      </c>
      <c r="J2033">
        <v>0</v>
      </c>
      <c r="K2033">
        <v>0</v>
      </c>
      <c r="L2033">
        <v>0</v>
      </c>
      <c r="M2033">
        <v>0</v>
      </c>
      <c r="N2033">
        <v>0</v>
      </c>
      <c r="O2033">
        <v>1</v>
      </c>
      <c r="P2033">
        <v>0</v>
      </c>
      <c r="Q2033">
        <v>0</v>
      </c>
      <c r="R2033">
        <v>0</v>
      </c>
      <c r="S2033">
        <v>0</v>
      </c>
      <c r="T2033">
        <v>0</v>
      </c>
      <c r="U2033">
        <v>0</v>
      </c>
      <c r="V2033">
        <v>0</v>
      </c>
      <c r="W2033">
        <v>0</v>
      </c>
      <c r="X2033">
        <v>0</v>
      </c>
      <c r="Y2033">
        <v>0</v>
      </c>
      <c r="Z2033">
        <v>0</v>
      </c>
      <c r="AA2033">
        <v>0</v>
      </c>
      <c r="AB2033">
        <v>0</v>
      </c>
      <c r="AC2033">
        <v>0</v>
      </c>
      <c r="AD2033">
        <v>0</v>
      </c>
      <c r="AE2033">
        <v>0</v>
      </c>
      <c r="AF2033">
        <v>0</v>
      </c>
      <c r="AG2033">
        <v>0</v>
      </c>
      <c r="AH2033">
        <v>0</v>
      </c>
      <c r="AI2033">
        <v>0</v>
      </c>
      <c r="AJ2033">
        <v>0</v>
      </c>
      <c r="AK2033">
        <v>0</v>
      </c>
      <c r="AL2033">
        <v>1</v>
      </c>
      <c r="AM2033">
        <v>0.33333333333333331</v>
      </c>
      <c r="AN2033">
        <v>5.0417410714286133</v>
      </c>
    </row>
    <row r="2034" spans="1:40" x14ac:dyDescent="0.3">
      <c r="A2034" t="s">
        <v>574</v>
      </c>
      <c r="B2034" t="s">
        <v>17</v>
      </c>
      <c r="C2034" t="s">
        <v>16</v>
      </c>
      <c r="D2034" t="s">
        <v>11</v>
      </c>
      <c r="E2034">
        <v>202602</v>
      </c>
      <c r="F2034" t="s">
        <v>583</v>
      </c>
      <c r="G2034">
        <v>0</v>
      </c>
      <c r="H2034">
        <v>0</v>
      </c>
      <c r="I2034">
        <v>1</v>
      </c>
      <c r="J2034">
        <v>0</v>
      </c>
      <c r="K2034">
        <v>0</v>
      </c>
      <c r="L2034">
        <v>0</v>
      </c>
      <c r="M2034">
        <v>0</v>
      </c>
      <c r="N2034">
        <v>0</v>
      </c>
      <c r="O2034">
        <v>0</v>
      </c>
      <c r="P2034">
        <v>0</v>
      </c>
      <c r="Q2034">
        <v>0</v>
      </c>
      <c r="R2034">
        <v>0</v>
      </c>
      <c r="S2034">
        <v>0</v>
      </c>
      <c r="T2034">
        <v>0</v>
      </c>
      <c r="U2034">
        <v>0</v>
      </c>
      <c r="V2034">
        <v>0</v>
      </c>
      <c r="W2034">
        <v>0</v>
      </c>
      <c r="X2034">
        <v>0</v>
      </c>
      <c r="Y2034">
        <v>0</v>
      </c>
      <c r="Z2034">
        <v>0</v>
      </c>
      <c r="AA2034">
        <v>0</v>
      </c>
      <c r="AB2034">
        <v>0</v>
      </c>
      <c r="AC2034">
        <v>0</v>
      </c>
      <c r="AD2034">
        <v>0</v>
      </c>
      <c r="AE2034">
        <v>0</v>
      </c>
      <c r="AF2034">
        <v>0</v>
      </c>
      <c r="AG2034">
        <v>0</v>
      </c>
      <c r="AH2034">
        <v>0</v>
      </c>
      <c r="AI2034">
        <v>0</v>
      </c>
      <c r="AJ2034">
        <v>0</v>
      </c>
      <c r="AK2034">
        <v>0</v>
      </c>
      <c r="AL2034">
        <v>1</v>
      </c>
      <c r="AM2034">
        <v>0</v>
      </c>
      <c r="AN2034">
        <v>1</v>
      </c>
    </row>
    <row r="2035" spans="1:40" x14ac:dyDescent="0.3">
      <c r="A2035" t="s">
        <v>574</v>
      </c>
      <c r="B2035" t="s">
        <v>17</v>
      </c>
      <c r="C2035" t="s">
        <v>16</v>
      </c>
      <c r="D2035" t="s">
        <v>11</v>
      </c>
      <c r="E2035">
        <v>202602</v>
      </c>
      <c r="F2035" t="s">
        <v>586</v>
      </c>
      <c r="G2035">
        <v>0</v>
      </c>
      <c r="H2035">
        <v>0</v>
      </c>
      <c r="I2035">
        <v>0</v>
      </c>
      <c r="J2035">
        <v>0</v>
      </c>
      <c r="K2035">
        <v>0</v>
      </c>
      <c r="L2035">
        <v>1</v>
      </c>
      <c r="M2035">
        <v>0</v>
      </c>
      <c r="N2035">
        <v>0</v>
      </c>
      <c r="O2035">
        <v>0</v>
      </c>
      <c r="P2035">
        <v>0</v>
      </c>
      <c r="Q2035">
        <v>0</v>
      </c>
      <c r="R2035">
        <v>0</v>
      </c>
      <c r="S2035">
        <v>0</v>
      </c>
      <c r="T2035">
        <v>0</v>
      </c>
      <c r="U2035">
        <v>0</v>
      </c>
      <c r="V2035">
        <v>0</v>
      </c>
      <c r="W2035">
        <v>0</v>
      </c>
      <c r="X2035">
        <v>0</v>
      </c>
      <c r="Y2035">
        <v>0</v>
      </c>
      <c r="Z2035">
        <v>0</v>
      </c>
      <c r="AA2035">
        <v>0</v>
      </c>
      <c r="AB2035">
        <v>0</v>
      </c>
      <c r="AC2035">
        <v>0</v>
      </c>
      <c r="AD2035">
        <v>0</v>
      </c>
      <c r="AE2035">
        <v>0</v>
      </c>
      <c r="AF2035">
        <v>0</v>
      </c>
      <c r="AG2035">
        <v>0</v>
      </c>
      <c r="AH2035">
        <v>0</v>
      </c>
      <c r="AI2035">
        <v>0</v>
      </c>
      <c r="AJ2035">
        <v>0</v>
      </c>
      <c r="AK2035">
        <v>0</v>
      </c>
      <c r="AL2035">
        <v>1</v>
      </c>
      <c r="AM2035">
        <v>0</v>
      </c>
      <c r="AN2035">
        <v>1</v>
      </c>
    </row>
    <row r="2036" spans="1:40" x14ac:dyDescent="0.3">
      <c r="A2036" t="s">
        <v>574</v>
      </c>
      <c r="B2036" t="s">
        <v>17</v>
      </c>
      <c r="C2036" t="s">
        <v>16</v>
      </c>
      <c r="D2036" t="s">
        <v>14</v>
      </c>
      <c r="E2036">
        <v>202602</v>
      </c>
      <c r="F2036" t="s">
        <v>42</v>
      </c>
      <c r="G2036">
        <v>0</v>
      </c>
      <c r="H2036">
        <v>0</v>
      </c>
      <c r="I2036">
        <v>0</v>
      </c>
      <c r="J2036">
        <v>0</v>
      </c>
      <c r="K2036">
        <v>0</v>
      </c>
      <c r="L2036">
        <v>0</v>
      </c>
      <c r="M2036">
        <v>0</v>
      </c>
      <c r="N2036">
        <v>0</v>
      </c>
      <c r="O2036">
        <v>0</v>
      </c>
      <c r="P2036">
        <v>0</v>
      </c>
      <c r="Q2036">
        <v>1</v>
      </c>
      <c r="R2036">
        <v>0</v>
      </c>
      <c r="S2036">
        <v>0</v>
      </c>
      <c r="T2036">
        <v>0</v>
      </c>
      <c r="U2036">
        <v>0</v>
      </c>
      <c r="V2036">
        <v>0</v>
      </c>
      <c r="W2036">
        <v>0</v>
      </c>
      <c r="X2036">
        <v>0</v>
      </c>
      <c r="Y2036">
        <v>0</v>
      </c>
      <c r="Z2036">
        <v>0</v>
      </c>
      <c r="AA2036">
        <v>0</v>
      </c>
      <c r="AB2036">
        <v>0</v>
      </c>
      <c r="AC2036">
        <v>0</v>
      </c>
      <c r="AD2036">
        <v>0</v>
      </c>
      <c r="AE2036">
        <v>0</v>
      </c>
      <c r="AF2036">
        <v>0</v>
      </c>
      <c r="AG2036">
        <v>0</v>
      </c>
      <c r="AH2036">
        <v>0</v>
      </c>
      <c r="AI2036">
        <v>0</v>
      </c>
      <c r="AJ2036">
        <v>0</v>
      </c>
      <c r="AK2036">
        <v>0</v>
      </c>
      <c r="AL2036">
        <v>1</v>
      </c>
      <c r="AM2036">
        <v>0.33333333333333331</v>
      </c>
      <c r="AN2036">
        <v>5.0417410714286133</v>
      </c>
    </row>
    <row r="2037" spans="1:40" x14ac:dyDescent="0.3">
      <c r="A2037" t="s">
        <v>574</v>
      </c>
      <c r="B2037" t="s">
        <v>17</v>
      </c>
      <c r="C2037" t="s">
        <v>16</v>
      </c>
      <c r="D2037" t="s">
        <v>14</v>
      </c>
      <c r="E2037">
        <v>202602</v>
      </c>
      <c r="F2037" t="s">
        <v>579</v>
      </c>
      <c r="G2037">
        <v>0</v>
      </c>
      <c r="H2037">
        <v>0</v>
      </c>
      <c r="I2037">
        <v>0</v>
      </c>
      <c r="J2037">
        <v>0</v>
      </c>
      <c r="K2037">
        <v>0</v>
      </c>
      <c r="L2037">
        <v>0</v>
      </c>
      <c r="M2037">
        <v>0</v>
      </c>
      <c r="N2037">
        <v>0</v>
      </c>
      <c r="O2037">
        <v>1</v>
      </c>
      <c r="P2037">
        <v>0</v>
      </c>
      <c r="Q2037">
        <v>0</v>
      </c>
      <c r="R2037">
        <v>0</v>
      </c>
      <c r="S2037">
        <v>0</v>
      </c>
      <c r="T2037">
        <v>0</v>
      </c>
      <c r="U2037">
        <v>0</v>
      </c>
      <c r="V2037">
        <v>0</v>
      </c>
      <c r="W2037">
        <v>0</v>
      </c>
      <c r="X2037">
        <v>0</v>
      </c>
      <c r="Y2037">
        <v>0</v>
      </c>
      <c r="Z2037">
        <v>0</v>
      </c>
      <c r="AA2037">
        <v>0</v>
      </c>
      <c r="AB2037">
        <v>0</v>
      </c>
      <c r="AC2037">
        <v>0</v>
      </c>
      <c r="AD2037">
        <v>0</v>
      </c>
      <c r="AE2037">
        <v>0</v>
      </c>
      <c r="AF2037">
        <v>0</v>
      </c>
      <c r="AG2037">
        <v>0</v>
      </c>
      <c r="AH2037">
        <v>0</v>
      </c>
      <c r="AI2037">
        <v>0</v>
      </c>
      <c r="AJ2037">
        <v>0</v>
      </c>
      <c r="AK2037">
        <v>0</v>
      </c>
      <c r="AL2037">
        <v>1</v>
      </c>
      <c r="AM2037">
        <v>0.33333333333333331</v>
      </c>
      <c r="AN2037">
        <v>5.0417410714286133</v>
      </c>
    </row>
    <row r="2038" spans="1:40" x14ac:dyDescent="0.3">
      <c r="A2038" t="s">
        <v>574</v>
      </c>
      <c r="B2038" t="s">
        <v>17</v>
      </c>
      <c r="C2038" t="s">
        <v>16</v>
      </c>
      <c r="D2038" t="s">
        <v>14</v>
      </c>
      <c r="E2038">
        <v>202602</v>
      </c>
      <c r="F2038" t="s">
        <v>583</v>
      </c>
      <c r="G2038">
        <v>0</v>
      </c>
      <c r="H2038">
        <v>1</v>
      </c>
      <c r="I2038">
        <v>0</v>
      </c>
      <c r="J2038">
        <v>0</v>
      </c>
      <c r="K2038">
        <v>0</v>
      </c>
      <c r="L2038">
        <v>0</v>
      </c>
      <c r="M2038">
        <v>0</v>
      </c>
      <c r="N2038">
        <v>0</v>
      </c>
      <c r="O2038">
        <v>0</v>
      </c>
      <c r="P2038">
        <v>0</v>
      </c>
      <c r="Q2038">
        <v>0</v>
      </c>
      <c r="R2038">
        <v>0</v>
      </c>
      <c r="S2038">
        <v>0</v>
      </c>
      <c r="T2038">
        <v>0</v>
      </c>
      <c r="U2038">
        <v>0</v>
      </c>
      <c r="V2038">
        <v>0</v>
      </c>
      <c r="W2038">
        <v>0</v>
      </c>
      <c r="X2038">
        <v>0</v>
      </c>
      <c r="Y2038">
        <v>0</v>
      </c>
      <c r="Z2038">
        <v>0</v>
      </c>
      <c r="AA2038">
        <v>0</v>
      </c>
      <c r="AB2038">
        <v>0</v>
      </c>
      <c r="AC2038">
        <v>0</v>
      </c>
      <c r="AD2038">
        <v>0</v>
      </c>
      <c r="AE2038">
        <v>0</v>
      </c>
      <c r="AF2038">
        <v>0</v>
      </c>
      <c r="AG2038">
        <v>0</v>
      </c>
      <c r="AH2038">
        <v>0</v>
      </c>
      <c r="AI2038">
        <v>0</v>
      </c>
      <c r="AJ2038">
        <v>0</v>
      </c>
      <c r="AK2038">
        <v>0</v>
      </c>
      <c r="AL2038">
        <v>1</v>
      </c>
      <c r="AM2038">
        <v>0</v>
      </c>
      <c r="AN2038">
        <v>1</v>
      </c>
    </row>
    <row r="2039" spans="1:40" x14ac:dyDescent="0.3">
      <c r="A2039" t="s">
        <v>574</v>
      </c>
      <c r="B2039" t="s">
        <v>17</v>
      </c>
      <c r="C2039" t="s">
        <v>16</v>
      </c>
      <c r="D2039" t="s">
        <v>14</v>
      </c>
      <c r="E2039">
        <v>202602</v>
      </c>
      <c r="F2039" t="s">
        <v>586</v>
      </c>
      <c r="G2039">
        <v>0</v>
      </c>
      <c r="H2039">
        <v>1</v>
      </c>
      <c r="I2039">
        <v>0</v>
      </c>
      <c r="J2039">
        <v>0</v>
      </c>
      <c r="K2039">
        <v>0</v>
      </c>
      <c r="L2039">
        <v>0</v>
      </c>
      <c r="M2039">
        <v>0</v>
      </c>
      <c r="N2039">
        <v>0</v>
      </c>
      <c r="O2039">
        <v>0</v>
      </c>
      <c r="P2039">
        <v>0</v>
      </c>
      <c r="Q2039">
        <v>0</v>
      </c>
      <c r="R2039">
        <v>0</v>
      </c>
      <c r="S2039">
        <v>0</v>
      </c>
      <c r="T2039">
        <v>0</v>
      </c>
      <c r="U2039">
        <v>0</v>
      </c>
      <c r="V2039">
        <v>0</v>
      </c>
      <c r="W2039">
        <v>0</v>
      </c>
      <c r="X2039">
        <v>0</v>
      </c>
      <c r="Y2039">
        <v>0</v>
      </c>
      <c r="Z2039">
        <v>0</v>
      </c>
      <c r="AA2039">
        <v>0</v>
      </c>
      <c r="AB2039">
        <v>0</v>
      </c>
      <c r="AC2039">
        <v>0</v>
      </c>
      <c r="AD2039">
        <v>0</v>
      </c>
      <c r="AE2039">
        <v>0</v>
      </c>
      <c r="AF2039">
        <v>0</v>
      </c>
      <c r="AG2039">
        <v>0</v>
      </c>
      <c r="AH2039">
        <v>0</v>
      </c>
      <c r="AI2039">
        <v>0</v>
      </c>
      <c r="AJ2039">
        <v>0</v>
      </c>
      <c r="AK2039">
        <v>0</v>
      </c>
      <c r="AL2039">
        <v>1</v>
      </c>
      <c r="AM2039">
        <v>0</v>
      </c>
      <c r="AN2039">
        <v>1</v>
      </c>
    </row>
    <row r="2040" spans="1:40" x14ac:dyDescent="0.3">
      <c r="A2040" t="s">
        <v>574</v>
      </c>
      <c r="B2040" t="s">
        <v>49</v>
      </c>
      <c r="C2040" t="s">
        <v>10</v>
      </c>
      <c r="D2040" t="s">
        <v>14</v>
      </c>
      <c r="E2040">
        <v>202602</v>
      </c>
      <c r="F2040" t="s">
        <v>50</v>
      </c>
      <c r="G2040">
        <v>0</v>
      </c>
      <c r="H2040">
        <v>0</v>
      </c>
      <c r="I2040">
        <v>0</v>
      </c>
      <c r="J2040">
        <v>0</v>
      </c>
      <c r="K2040">
        <v>0</v>
      </c>
      <c r="L2040">
        <v>0</v>
      </c>
      <c r="M2040">
        <v>1</v>
      </c>
      <c r="N2040">
        <v>0</v>
      </c>
      <c r="O2040">
        <v>1</v>
      </c>
      <c r="P2040">
        <v>0</v>
      </c>
      <c r="Q2040">
        <v>0</v>
      </c>
      <c r="R2040">
        <v>0</v>
      </c>
      <c r="S2040">
        <v>0</v>
      </c>
      <c r="T2040">
        <v>0</v>
      </c>
      <c r="U2040">
        <v>0</v>
      </c>
      <c r="V2040">
        <v>0</v>
      </c>
      <c r="W2040">
        <v>0</v>
      </c>
      <c r="X2040">
        <v>0</v>
      </c>
      <c r="Y2040">
        <v>0</v>
      </c>
      <c r="Z2040">
        <v>0</v>
      </c>
      <c r="AA2040">
        <v>0</v>
      </c>
      <c r="AB2040">
        <v>0</v>
      </c>
      <c r="AC2040">
        <v>0</v>
      </c>
      <c r="AD2040">
        <v>0</v>
      </c>
      <c r="AE2040">
        <v>0</v>
      </c>
      <c r="AF2040">
        <v>0</v>
      </c>
      <c r="AG2040">
        <v>0</v>
      </c>
      <c r="AH2040">
        <v>0</v>
      </c>
      <c r="AI2040">
        <v>0</v>
      </c>
      <c r="AJ2040">
        <v>0</v>
      </c>
      <c r="AK2040">
        <v>0</v>
      </c>
      <c r="AL2040">
        <v>2</v>
      </c>
      <c r="AM2040">
        <v>0.33333333333333331</v>
      </c>
      <c r="AN2040">
        <v>6.0417410714286133</v>
      </c>
    </row>
    <row r="2041" spans="1:40" x14ac:dyDescent="0.3">
      <c r="A2041" t="s">
        <v>574</v>
      </c>
      <c r="B2041" t="s">
        <v>49</v>
      </c>
      <c r="C2041" t="s">
        <v>16</v>
      </c>
      <c r="D2041" t="s">
        <v>14</v>
      </c>
      <c r="E2041">
        <v>202602</v>
      </c>
      <c r="F2041" t="s">
        <v>50</v>
      </c>
      <c r="G2041">
        <v>0</v>
      </c>
      <c r="H2041">
        <v>0</v>
      </c>
      <c r="I2041">
        <v>0</v>
      </c>
      <c r="J2041">
        <v>0</v>
      </c>
      <c r="K2041">
        <v>0</v>
      </c>
      <c r="L2041">
        <v>0</v>
      </c>
      <c r="M2041">
        <v>1</v>
      </c>
      <c r="N2041">
        <v>0</v>
      </c>
      <c r="O2041">
        <v>0</v>
      </c>
      <c r="P2041">
        <v>0</v>
      </c>
      <c r="Q2041">
        <v>0</v>
      </c>
      <c r="R2041">
        <v>0</v>
      </c>
      <c r="S2041">
        <v>0</v>
      </c>
      <c r="T2041">
        <v>0</v>
      </c>
      <c r="U2041">
        <v>0</v>
      </c>
      <c r="V2041">
        <v>0</v>
      </c>
      <c r="W2041">
        <v>0</v>
      </c>
      <c r="X2041">
        <v>0</v>
      </c>
      <c r="Y2041">
        <v>0</v>
      </c>
      <c r="Z2041">
        <v>0</v>
      </c>
      <c r="AA2041">
        <v>0</v>
      </c>
      <c r="AB2041">
        <v>0</v>
      </c>
      <c r="AC2041">
        <v>0</v>
      </c>
      <c r="AD2041">
        <v>0</v>
      </c>
      <c r="AE2041">
        <v>0</v>
      </c>
      <c r="AF2041">
        <v>0</v>
      </c>
      <c r="AG2041">
        <v>0</v>
      </c>
      <c r="AH2041">
        <v>0</v>
      </c>
      <c r="AI2041">
        <v>0</v>
      </c>
      <c r="AJ2041">
        <v>0</v>
      </c>
      <c r="AK2041">
        <v>0</v>
      </c>
      <c r="AL2041">
        <v>1</v>
      </c>
      <c r="AM2041">
        <v>0</v>
      </c>
      <c r="AN2041">
        <v>1</v>
      </c>
    </row>
    <row r="2042" spans="1:40" x14ac:dyDescent="0.3">
      <c r="A2042" t="s">
        <v>574</v>
      </c>
      <c r="B2042" t="s">
        <v>54</v>
      </c>
      <c r="C2042" t="s">
        <v>10</v>
      </c>
      <c r="D2042" t="s">
        <v>11</v>
      </c>
      <c r="E2042">
        <v>202602</v>
      </c>
      <c r="F2042" t="s">
        <v>55</v>
      </c>
      <c r="G2042">
        <v>0</v>
      </c>
      <c r="H2042">
        <v>0</v>
      </c>
      <c r="I2042">
        <v>0</v>
      </c>
      <c r="J2042">
        <v>0</v>
      </c>
      <c r="K2042">
        <v>1</v>
      </c>
      <c r="L2042">
        <v>1</v>
      </c>
      <c r="M2042">
        <v>1</v>
      </c>
      <c r="N2042">
        <v>0</v>
      </c>
      <c r="O2042">
        <v>0</v>
      </c>
      <c r="P2042">
        <v>0</v>
      </c>
      <c r="Q2042">
        <v>0</v>
      </c>
      <c r="R2042">
        <v>0</v>
      </c>
      <c r="S2042">
        <v>0</v>
      </c>
      <c r="T2042">
        <v>0</v>
      </c>
      <c r="U2042">
        <v>0</v>
      </c>
      <c r="V2042">
        <v>0</v>
      </c>
      <c r="W2042">
        <v>0</v>
      </c>
      <c r="X2042">
        <v>0</v>
      </c>
      <c r="Y2042">
        <v>0</v>
      </c>
      <c r="Z2042">
        <v>0</v>
      </c>
      <c r="AA2042">
        <v>0</v>
      </c>
      <c r="AB2042">
        <v>0</v>
      </c>
      <c r="AC2042">
        <v>0</v>
      </c>
      <c r="AD2042">
        <v>0</v>
      </c>
      <c r="AE2042">
        <v>0</v>
      </c>
      <c r="AF2042">
        <v>0</v>
      </c>
      <c r="AG2042">
        <v>0</v>
      </c>
      <c r="AH2042">
        <v>0</v>
      </c>
      <c r="AI2042">
        <v>0</v>
      </c>
      <c r="AJ2042">
        <v>0</v>
      </c>
      <c r="AK2042">
        <v>0</v>
      </c>
      <c r="AL2042">
        <v>3</v>
      </c>
      <c r="AM2042">
        <v>0</v>
      </c>
      <c r="AN2042">
        <v>3</v>
      </c>
    </row>
    <row r="2043" spans="1:40" x14ac:dyDescent="0.3">
      <c r="A2043" t="s">
        <v>574</v>
      </c>
      <c r="B2043" t="s">
        <v>54</v>
      </c>
      <c r="C2043" t="s">
        <v>10</v>
      </c>
      <c r="D2043" t="s">
        <v>11</v>
      </c>
      <c r="E2043">
        <v>202602</v>
      </c>
      <c r="F2043" t="s">
        <v>56</v>
      </c>
      <c r="G2043">
        <v>0</v>
      </c>
      <c r="H2043">
        <v>6</v>
      </c>
      <c r="I2043">
        <v>6</v>
      </c>
      <c r="J2043">
        <v>5</v>
      </c>
      <c r="K2043">
        <v>1</v>
      </c>
      <c r="L2043">
        <v>2</v>
      </c>
      <c r="M2043">
        <v>1</v>
      </c>
      <c r="N2043">
        <v>1</v>
      </c>
      <c r="O2043">
        <v>2</v>
      </c>
      <c r="P2043">
        <v>3</v>
      </c>
      <c r="Q2043">
        <v>7</v>
      </c>
      <c r="R2043">
        <v>0</v>
      </c>
      <c r="S2043">
        <v>0</v>
      </c>
      <c r="T2043">
        <v>0</v>
      </c>
      <c r="U2043">
        <v>0</v>
      </c>
      <c r="V2043">
        <v>0</v>
      </c>
      <c r="W2043">
        <v>0</v>
      </c>
      <c r="X2043">
        <v>0</v>
      </c>
      <c r="Y2043">
        <v>0</v>
      </c>
      <c r="Z2043">
        <v>0</v>
      </c>
      <c r="AA2043">
        <v>0</v>
      </c>
      <c r="AB2043">
        <v>0</v>
      </c>
      <c r="AC2043">
        <v>0</v>
      </c>
      <c r="AD2043">
        <v>0</v>
      </c>
      <c r="AE2043">
        <v>0</v>
      </c>
      <c r="AF2043">
        <v>0</v>
      </c>
      <c r="AG2043">
        <v>0</v>
      </c>
      <c r="AH2043">
        <v>0</v>
      </c>
      <c r="AI2043">
        <v>0</v>
      </c>
      <c r="AJ2043">
        <v>0</v>
      </c>
      <c r="AK2043">
        <v>0</v>
      </c>
      <c r="AL2043">
        <v>34</v>
      </c>
      <c r="AM2043">
        <v>4</v>
      </c>
      <c r="AN2043">
        <v>89.255501678477344</v>
      </c>
    </row>
    <row r="2044" spans="1:40" x14ac:dyDescent="0.3">
      <c r="A2044" t="s">
        <v>574</v>
      </c>
      <c r="B2044" t="s">
        <v>54</v>
      </c>
      <c r="C2044" t="s">
        <v>10</v>
      </c>
      <c r="D2044" t="s">
        <v>11</v>
      </c>
      <c r="E2044">
        <v>202602</v>
      </c>
      <c r="F2044" t="s">
        <v>57</v>
      </c>
      <c r="G2044">
        <v>0</v>
      </c>
      <c r="H2044">
        <v>0</v>
      </c>
      <c r="I2044">
        <v>0</v>
      </c>
      <c r="J2044">
        <v>0</v>
      </c>
      <c r="K2044">
        <v>0</v>
      </c>
      <c r="L2044">
        <v>0</v>
      </c>
      <c r="M2044">
        <v>0</v>
      </c>
      <c r="N2044">
        <v>0</v>
      </c>
      <c r="O2044">
        <v>2</v>
      </c>
      <c r="P2044">
        <v>0</v>
      </c>
      <c r="Q2044">
        <v>2</v>
      </c>
      <c r="R2044">
        <v>0</v>
      </c>
      <c r="S2044">
        <v>0</v>
      </c>
      <c r="T2044">
        <v>0</v>
      </c>
      <c r="U2044">
        <v>0</v>
      </c>
      <c r="V2044">
        <v>0</v>
      </c>
      <c r="W2044">
        <v>0</v>
      </c>
      <c r="X2044">
        <v>0</v>
      </c>
      <c r="Y2044">
        <v>0</v>
      </c>
      <c r="Z2044">
        <v>0</v>
      </c>
      <c r="AA2044">
        <v>0</v>
      </c>
      <c r="AB2044">
        <v>0</v>
      </c>
      <c r="AC2044">
        <v>0</v>
      </c>
      <c r="AD2044">
        <v>0</v>
      </c>
      <c r="AE2044">
        <v>0</v>
      </c>
      <c r="AF2044">
        <v>0</v>
      </c>
      <c r="AG2044">
        <v>0</v>
      </c>
      <c r="AH2044">
        <v>0</v>
      </c>
      <c r="AI2044">
        <v>0</v>
      </c>
      <c r="AJ2044">
        <v>0</v>
      </c>
      <c r="AK2044">
        <v>0</v>
      </c>
      <c r="AL2044">
        <v>4</v>
      </c>
      <c r="AM2044">
        <v>1.3333333333333333</v>
      </c>
      <c r="AN2044">
        <v>22.418500559492447</v>
      </c>
    </row>
    <row r="2045" spans="1:40" x14ac:dyDescent="0.3">
      <c r="A2045" t="s">
        <v>574</v>
      </c>
      <c r="B2045" t="s">
        <v>54</v>
      </c>
      <c r="C2045" t="s">
        <v>10</v>
      </c>
      <c r="D2045" t="s">
        <v>11</v>
      </c>
      <c r="E2045">
        <v>202602</v>
      </c>
      <c r="F2045" t="s">
        <v>58</v>
      </c>
      <c r="G2045">
        <v>0</v>
      </c>
      <c r="H2045">
        <v>3</v>
      </c>
      <c r="I2045">
        <v>3</v>
      </c>
      <c r="J2045">
        <v>0</v>
      </c>
      <c r="K2045">
        <v>0</v>
      </c>
      <c r="L2045">
        <v>0</v>
      </c>
      <c r="M2045">
        <v>0</v>
      </c>
      <c r="N2045">
        <v>0</v>
      </c>
      <c r="O2045">
        <v>0</v>
      </c>
      <c r="P2045">
        <v>0</v>
      </c>
      <c r="Q2045">
        <v>0</v>
      </c>
      <c r="R2045">
        <v>0</v>
      </c>
      <c r="S2045">
        <v>0</v>
      </c>
      <c r="T2045">
        <v>0</v>
      </c>
      <c r="U2045">
        <v>0</v>
      </c>
      <c r="V2045">
        <v>0</v>
      </c>
      <c r="W2045">
        <v>0</v>
      </c>
      <c r="X2045">
        <v>0</v>
      </c>
      <c r="Y2045">
        <v>0</v>
      </c>
      <c r="Z2045">
        <v>0</v>
      </c>
      <c r="AA2045">
        <v>0</v>
      </c>
      <c r="AB2045">
        <v>0</v>
      </c>
      <c r="AC2045">
        <v>0</v>
      </c>
      <c r="AD2045">
        <v>0</v>
      </c>
      <c r="AE2045">
        <v>0</v>
      </c>
      <c r="AF2045">
        <v>0</v>
      </c>
      <c r="AG2045">
        <v>0</v>
      </c>
      <c r="AH2045">
        <v>0</v>
      </c>
      <c r="AI2045">
        <v>0</v>
      </c>
      <c r="AJ2045">
        <v>0</v>
      </c>
      <c r="AK2045">
        <v>0</v>
      </c>
      <c r="AL2045">
        <v>6</v>
      </c>
      <c r="AM2045">
        <v>0</v>
      </c>
      <c r="AN2045">
        <v>6</v>
      </c>
    </row>
    <row r="2046" spans="1:40" x14ac:dyDescent="0.3">
      <c r="A2046" t="s">
        <v>574</v>
      </c>
      <c r="B2046" t="s">
        <v>54</v>
      </c>
      <c r="C2046" t="s">
        <v>10</v>
      </c>
      <c r="D2046" t="s">
        <v>14</v>
      </c>
      <c r="E2046">
        <v>202602</v>
      </c>
      <c r="F2046" t="s">
        <v>55</v>
      </c>
      <c r="G2046">
        <v>0</v>
      </c>
      <c r="H2046">
        <v>0</v>
      </c>
      <c r="I2046">
        <v>2</v>
      </c>
      <c r="J2046">
        <v>0</v>
      </c>
      <c r="K2046">
        <v>1</v>
      </c>
      <c r="L2046">
        <v>0</v>
      </c>
      <c r="M2046">
        <v>0</v>
      </c>
      <c r="N2046">
        <v>0</v>
      </c>
      <c r="O2046">
        <v>2</v>
      </c>
      <c r="P2046">
        <v>0</v>
      </c>
      <c r="Q2046">
        <v>2</v>
      </c>
      <c r="R2046">
        <v>0</v>
      </c>
      <c r="S2046">
        <v>0</v>
      </c>
      <c r="T2046">
        <v>0</v>
      </c>
      <c r="U2046">
        <v>0</v>
      </c>
      <c r="V2046">
        <v>0</v>
      </c>
      <c r="W2046">
        <v>0</v>
      </c>
      <c r="X2046">
        <v>0</v>
      </c>
      <c r="Y2046">
        <v>0</v>
      </c>
      <c r="Z2046">
        <v>0</v>
      </c>
      <c r="AA2046">
        <v>0</v>
      </c>
      <c r="AB2046">
        <v>0</v>
      </c>
      <c r="AC2046">
        <v>0</v>
      </c>
      <c r="AD2046">
        <v>0</v>
      </c>
      <c r="AE2046">
        <v>0</v>
      </c>
      <c r="AF2046">
        <v>0</v>
      </c>
      <c r="AG2046">
        <v>0</v>
      </c>
      <c r="AH2046">
        <v>0</v>
      </c>
      <c r="AI2046">
        <v>0</v>
      </c>
      <c r="AJ2046">
        <v>0</v>
      </c>
      <c r="AK2046">
        <v>0</v>
      </c>
      <c r="AL2046">
        <v>7</v>
      </c>
      <c r="AM2046">
        <v>1.3333333333333333</v>
      </c>
      <c r="AN2046">
        <v>23.166964285714453</v>
      </c>
    </row>
    <row r="2047" spans="1:40" x14ac:dyDescent="0.3">
      <c r="A2047" t="s">
        <v>574</v>
      </c>
      <c r="B2047" t="s">
        <v>54</v>
      </c>
      <c r="C2047" t="s">
        <v>10</v>
      </c>
      <c r="D2047" t="s">
        <v>14</v>
      </c>
      <c r="E2047">
        <v>202602</v>
      </c>
      <c r="F2047" t="s">
        <v>56</v>
      </c>
      <c r="G2047">
        <v>0</v>
      </c>
      <c r="H2047">
        <v>8</v>
      </c>
      <c r="I2047">
        <v>10</v>
      </c>
      <c r="J2047">
        <v>11</v>
      </c>
      <c r="K2047">
        <v>2</v>
      </c>
      <c r="L2047">
        <v>4</v>
      </c>
      <c r="M2047">
        <v>0</v>
      </c>
      <c r="N2047">
        <v>3</v>
      </c>
      <c r="O2047">
        <v>9</v>
      </c>
      <c r="P2047">
        <v>4</v>
      </c>
      <c r="Q2047">
        <v>8</v>
      </c>
      <c r="R2047">
        <v>0</v>
      </c>
      <c r="S2047">
        <v>0</v>
      </c>
      <c r="T2047">
        <v>0</v>
      </c>
      <c r="U2047">
        <v>0</v>
      </c>
      <c r="V2047">
        <v>0</v>
      </c>
      <c r="W2047">
        <v>0</v>
      </c>
      <c r="X2047">
        <v>0</v>
      </c>
      <c r="Y2047">
        <v>0</v>
      </c>
      <c r="Z2047">
        <v>0</v>
      </c>
      <c r="AA2047">
        <v>0</v>
      </c>
      <c r="AB2047">
        <v>0</v>
      </c>
      <c r="AC2047">
        <v>0</v>
      </c>
      <c r="AD2047">
        <v>0</v>
      </c>
      <c r="AE2047">
        <v>0</v>
      </c>
      <c r="AF2047">
        <v>0</v>
      </c>
      <c r="AG2047">
        <v>0</v>
      </c>
      <c r="AH2047">
        <v>0</v>
      </c>
      <c r="AI2047">
        <v>0</v>
      </c>
      <c r="AJ2047">
        <v>0</v>
      </c>
      <c r="AK2047">
        <v>0</v>
      </c>
      <c r="AL2047">
        <v>59</v>
      </c>
      <c r="AM2047">
        <v>7</v>
      </c>
      <c r="AN2047">
        <v>143.87656250000089</v>
      </c>
    </row>
    <row r="2048" spans="1:40" x14ac:dyDescent="0.3">
      <c r="A2048" t="s">
        <v>574</v>
      </c>
      <c r="B2048" t="s">
        <v>54</v>
      </c>
      <c r="C2048" t="s">
        <v>10</v>
      </c>
      <c r="D2048" t="s">
        <v>14</v>
      </c>
      <c r="E2048">
        <v>202602</v>
      </c>
      <c r="F2048" t="s">
        <v>57</v>
      </c>
      <c r="G2048">
        <v>0</v>
      </c>
      <c r="H2048">
        <v>1</v>
      </c>
      <c r="I2048">
        <v>2</v>
      </c>
      <c r="J2048">
        <v>2</v>
      </c>
      <c r="K2048">
        <v>2</v>
      </c>
      <c r="L2048">
        <v>1</v>
      </c>
      <c r="M2048">
        <v>1</v>
      </c>
      <c r="N2048">
        <v>0</v>
      </c>
      <c r="O2048">
        <v>2</v>
      </c>
      <c r="P2048">
        <v>1</v>
      </c>
      <c r="Q2048">
        <v>0</v>
      </c>
      <c r="R2048">
        <v>0</v>
      </c>
      <c r="S2048">
        <v>0</v>
      </c>
      <c r="T2048">
        <v>0</v>
      </c>
      <c r="U2048">
        <v>0</v>
      </c>
      <c r="V2048">
        <v>0</v>
      </c>
      <c r="W2048">
        <v>0</v>
      </c>
      <c r="X2048">
        <v>0</v>
      </c>
      <c r="Y2048">
        <v>0</v>
      </c>
      <c r="Z2048">
        <v>0</v>
      </c>
      <c r="AA2048">
        <v>0</v>
      </c>
      <c r="AB2048">
        <v>0</v>
      </c>
      <c r="AC2048">
        <v>0</v>
      </c>
      <c r="AD2048">
        <v>0</v>
      </c>
      <c r="AE2048">
        <v>0</v>
      </c>
      <c r="AF2048">
        <v>0</v>
      </c>
      <c r="AG2048">
        <v>0</v>
      </c>
      <c r="AH2048">
        <v>0</v>
      </c>
      <c r="AI2048">
        <v>0</v>
      </c>
      <c r="AJ2048">
        <v>0</v>
      </c>
      <c r="AK2048">
        <v>0</v>
      </c>
      <c r="AL2048">
        <v>12</v>
      </c>
      <c r="AM2048">
        <v>1</v>
      </c>
      <c r="AN2048">
        <v>24.125223214285839</v>
      </c>
    </row>
    <row r="2049" spans="1:40" x14ac:dyDescent="0.3">
      <c r="A2049" t="s">
        <v>574</v>
      </c>
      <c r="B2049" t="s">
        <v>54</v>
      </c>
      <c r="C2049" t="s">
        <v>10</v>
      </c>
      <c r="D2049" t="s">
        <v>14</v>
      </c>
      <c r="E2049">
        <v>202602</v>
      </c>
      <c r="F2049" t="s">
        <v>58</v>
      </c>
      <c r="G2049">
        <v>0</v>
      </c>
      <c r="H2049">
        <v>3</v>
      </c>
      <c r="I2049">
        <v>3</v>
      </c>
      <c r="J2049">
        <v>0</v>
      </c>
      <c r="K2049">
        <v>0</v>
      </c>
      <c r="L2049">
        <v>0</v>
      </c>
      <c r="M2049">
        <v>0</v>
      </c>
      <c r="N2049">
        <v>0</v>
      </c>
      <c r="O2049">
        <v>0</v>
      </c>
      <c r="P2049">
        <v>0</v>
      </c>
      <c r="Q2049">
        <v>0</v>
      </c>
      <c r="R2049">
        <v>0</v>
      </c>
      <c r="S2049">
        <v>0</v>
      </c>
      <c r="T2049">
        <v>0</v>
      </c>
      <c r="U2049">
        <v>0</v>
      </c>
      <c r="V2049">
        <v>0</v>
      </c>
      <c r="W2049">
        <v>0</v>
      </c>
      <c r="X2049">
        <v>0</v>
      </c>
      <c r="Y2049">
        <v>0</v>
      </c>
      <c r="Z2049">
        <v>0</v>
      </c>
      <c r="AA2049">
        <v>0</v>
      </c>
      <c r="AB2049">
        <v>0</v>
      </c>
      <c r="AC2049">
        <v>0</v>
      </c>
      <c r="AD2049">
        <v>0</v>
      </c>
      <c r="AE2049">
        <v>0</v>
      </c>
      <c r="AF2049">
        <v>0</v>
      </c>
      <c r="AG2049">
        <v>0</v>
      </c>
      <c r="AH2049">
        <v>0</v>
      </c>
      <c r="AI2049">
        <v>0</v>
      </c>
      <c r="AJ2049">
        <v>0</v>
      </c>
      <c r="AK2049">
        <v>0</v>
      </c>
      <c r="AL2049">
        <v>6</v>
      </c>
      <c r="AM2049">
        <v>0</v>
      </c>
      <c r="AN2049">
        <v>6</v>
      </c>
    </row>
    <row r="2050" spans="1:40" x14ac:dyDescent="0.3">
      <c r="A2050" t="s">
        <v>574</v>
      </c>
      <c r="B2050" t="s">
        <v>54</v>
      </c>
      <c r="C2050" t="s">
        <v>16</v>
      </c>
      <c r="D2050" t="s">
        <v>14</v>
      </c>
      <c r="E2050">
        <v>202602</v>
      </c>
      <c r="F2050" t="s">
        <v>57</v>
      </c>
      <c r="G2050">
        <v>0</v>
      </c>
      <c r="H2050">
        <v>0</v>
      </c>
      <c r="I2050">
        <v>0</v>
      </c>
      <c r="J2050">
        <v>0</v>
      </c>
      <c r="K2050">
        <v>0</v>
      </c>
      <c r="L2050">
        <v>0</v>
      </c>
      <c r="M2050">
        <v>0</v>
      </c>
      <c r="N2050">
        <v>0</v>
      </c>
      <c r="O2050">
        <v>0</v>
      </c>
      <c r="P2050">
        <v>0</v>
      </c>
      <c r="Q2050">
        <v>1</v>
      </c>
      <c r="R2050">
        <v>0</v>
      </c>
      <c r="S2050">
        <v>0</v>
      </c>
      <c r="T2050">
        <v>0</v>
      </c>
      <c r="U2050">
        <v>0</v>
      </c>
      <c r="V2050">
        <v>0</v>
      </c>
      <c r="W2050">
        <v>0</v>
      </c>
      <c r="X2050">
        <v>0</v>
      </c>
      <c r="Y2050">
        <v>0</v>
      </c>
      <c r="Z2050">
        <v>0</v>
      </c>
      <c r="AA2050">
        <v>0</v>
      </c>
      <c r="AB2050">
        <v>0</v>
      </c>
      <c r="AC2050">
        <v>0</v>
      </c>
      <c r="AD2050">
        <v>0</v>
      </c>
      <c r="AE2050">
        <v>0</v>
      </c>
      <c r="AF2050">
        <v>0</v>
      </c>
      <c r="AG2050">
        <v>0</v>
      </c>
      <c r="AH2050">
        <v>0</v>
      </c>
      <c r="AI2050">
        <v>0</v>
      </c>
      <c r="AJ2050">
        <v>0</v>
      </c>
      <c r="AK2050">
        <v>0</v>
      </c>
      <c r="AL2050">
        <v>1</v>
      </c>
      <c r="AM2050">
        <v>0.33333333333333331</v>
      </c>
      <c r="AN2050">
        <v>5.0417410714286133</v>
      </c>
    </row>
    <row r="2051" spans="1:40" x14ac:dyDescent="0.3">
      <c r="A2051" t="s">
        <v>574</v>
      </c>
      <c r="B2051" t="s">
        <v>59</v>
      </c>
      <c r="C2051" t="s">
        <v>10</v>
      </c>
      <c r="D2051" t="s">
        <v>11</v>
      </c>
      <c r="E2051">
        <v>202602</v>
      </c>
      <c r="F2051" t="s">
        <v>60</v>
      </c>
      <c r="G2051">
        <v>0</v>
      </c>
      <c r="H2051">
        <v>0</v>
      </c>
      <c r="I2051">
        <v>0</v>
      </c>
      <c r="J2051">
        <v>0</v>
      </c>
      <c r="K2051">
        <v>0</v>
      </c>
      <c r="L2051">
        <v>0</v>
      </c>
      <c r="M2051">
        <v>0</v>
      </c>
      <c r="N2051">
        <v>0</v>
      </c>
      <c r="O2051">
        <v>0</v>
      </c>
      <c r="P2051">
        <v>1</v>
      </c>
      <c r="Q2051">
        <v>0</v>
      </c>
      <c r="R2051">
        <v>0</v>
      </c>
      <c r="S2051">
        <v>0</v>
      </c>
      <c r="T2051">
        <v>0</v>
      </c>
      <c r="U2051">
        <v>0</v>
      </c>
      <c r="V2051">
        <v>0</v>
      </c>
      <c r="W2051">
        <v>0</v>
      </c>
      <c r="X2051">
        <v>0</v>
      </c>
      <c r="Y2051">
        <v>0</v>
      </c>
      <c r="Z2051">
        <v>0</v>
      </c>
      <c r="AA2051">
        <v>0</v>
      </c>
      <c r="AB2051">
        <v>0</v>
      </c>
      <c r="AC2051">
        <v>0</v>
      </c>
      <c r="AD2051">
        <v>0</v>
      </c>
      <c r="AE2051">
        <v>0</v>
      </c>
      <c r="AF2051">
        <v>0</v>
      </c>
      <c r="AG2051">
        <v>0</v>
      </c>
      <c r="AH2051">
        <v>0</v>
      </c>
      <c r="AI2051">
        <v>0</v>
      </c>
      <c r="AJ2051">
        <v>0</v>
      </c>
      <c r="AK2051">
        <v>0</v>
      </c>
      <c r="AL2051">
        <v>1</v>
      </c>
      <c r="AM2051">
        <v>0.33333333333333331</v>
      </c>
      <c r="AN2051">
        <v>5.6046251398731117</v>
      </c>
    </row>
    <row r="2052" spans="1:40" x14ac:dyDescent="0.3">
      <c r="A2052" t="s">
        <v>574</v>
      </c>
      <c r="B2052" t="s">
        <v>59</v>
      </c>
      <c r="C2052" t="s">
        <v>10</v>
      </c>
      <c r="D2052" t="s">
        <v>11</v>
      </c>
      <c r="E2052">
        <v>202602</v>
      </c>
      <c r="F2052" t="s">
        <v>205</v>
      </c>
      <c r="G2052">
        <v>0</v>
      </c>
      <c r="H2052">
        <v>0</v>
      </c>
      <c r="I2052">
        <v>1</v>
      </c>
      <c r="J2052">
        <v>3</v>
      </c>
      <c r="K2052">
        <v>0</v>
      </c>
      <c r="L2052">
        <v>2</v>
      </c>
      <c r="M2052">
        <v>0</v>
      </c>
      <c r="N2052">
        <v>0</v>
      </c>
      <c r="O2052">
        <v>0</v>
      </c>
      <c r="P2052">
        <v>0</v>
      </c>
      <c r="Q2052">
        <v>3</v>
      </c>
      <c r="R2052">
        <v>0</v>
      </c>
      <c r="S2052">
        <v>0</v>
      </c>
      <c r="T2052">
        <v>0</v>
      </c>
      <c r="U2052">
        <v>0</v>
      </c>
      <c r="V2052">
        <v>0</v>
      </c>
      <c r="W2052">
        <v>0</v>
      </c>
      <c r="X2052">
        <v>0</v>
      </c>
      <c r="Y2052">
        <v>0</v>
      </c>
      <c r="Z2052">
        <v>0</v>
      </c>
      <c r="AA2052">
        <v>0</v>
      </c>
      <c r="AB2052">
        <v>0</v>
      </c>
      <c r="AC2052">
        <v>0</v>
      </c>
      <c r="AD2052">
        <v>0</v>
      </c>
      <c r="AE2052">
        <v>0</v>
      </c>
      <c r="AF2052">
        <v>0</v>
      </c>
      <c r="AG2052">
        <v>0</v>
      </c>
      <c r="AH2052">
        <v>0</v>
      </c>
      <c r="AI2052">
        <v>0</v>
      </c>
      <c r="AJ2052">
        <v>0</v>
      </c>
      <c r="AK2052">
        <v>0</v>
      </c>
      <c r="AL2052">
        <v>9</v>
      </c>
      <c r="AM2052">
        <v>1</v>
      </c>
      <c r="AN2052">
        <v>22.813875419619336</v>
      </c>
    </row>
    <row r="2053" spans="1:40" x14ac:dyDescent="0.3">
      <c r="A2053" t="s">
        <v>574</v>
      </c>
      <c r="B2053" t="s">
        <v>59</v>
      </c>
      <c r="C2053" t="s">
        <v>10</v>
      </c>
      <c r="D2053" t="s">
        <v>11</v>
      </c>
      <c r="E2053">
        <v>202602</v>
      </c>
      <c r="F2053" t="s">
        <v>61</v>
      </c>
      <c r="G2053">
        <v>0</v>
      </c>
      <c r="H2053">
        <v>1</v>
      </c>
      <c r="I2053">
        <v>0</v>
      </c>
      <c r="J2053">
        <v>0</v>
      </c>
      <c r="K2053">
        <v>0</v>
      </c>
      <c r="L2053">
        <v>1</v>
      </c>
      <c r="M2053">
        <v>0</v>
      </c>
      <c r="N2053">
        <v>0</v>
      </c>
      <c r="O2053">
        <v>0</v>
      </c>
      <c r="P2053">
        <v>0</v>
      </c>
      <c r="Q2053">
        <v>0</v>
      </c>
      <c r="R2053">
        <v>0</v>
      </c>
      <c r="S2053">
        <v>0</v>
      </c>
      <c r="T2053">
        <v>0</v>
      </c>
      <c r="U2053">
        <v>0</v>
      </c>
      <c r="V2053">
        <v>0</v>
      </c>
      <c r="W2053">
        <v>0</v>
      </c>
      <c r="X2053">
        <v>0</v>
      </c>
      <c r="Y2053">
        <v>0</v>
      </c>
      <c r="Z2053">
        <v>0</v>
      </c>
      <c r="AA2053">
        <v>0</v>
      </c>
      <c r="AB2053">
        <v>0</v>
      </c>
      <c r="AC2053">
        <v>0</v>
      </c>
      <c r="AD2053">
        <v>0</v>
      </c>
      <c r="AE2053">
        <v>0</v>
      </c>
      <c r="AF2053">
        <v>0</v>
      </c>
      <c r="AG2053">
        <v>0</v>
      </c>
      <c r="AH2053">
        <v>0</v>
      </c>
      <c r="AI2053">
        <v>0</v>
      </c>
      <c r="AJ2053">
        <v>0</v>
      </c>
      <c r="AK2053">
        <v>0</v>
      </c>
      <c r="AL2053">
        <v>2</v>
      </c>
      <c r="AM2053">
        <v>0</v>
      </c>
      <c r="AN2053">
        <v>2</v>
      </c>
    </row>
    <row r="2054" spans="1:40" x14ac:dyDescent="0.3">
      <c r="A2054" t="s">
        <v>574</v>
      </c>
      <c r="B2054" t="s">
        <v>59</v>
      </c>
      <c r="C2054" t="s">
        <v>10</v>
      </c>
      <c r="D2054" t="s">
        <v>11</v>
      </c>
      <c r="E2054">
        <v>202602</v>
      </c>
      <c r="F2054" t="s">
        <v>465</v>
      </c>
      <c r="G2054">
        <v>0</v>
      </c>
      <c r="H2054">
        <v>0</v>
      </c>
      <c r="I2054">
        <v>3</v>
      </c>
      <c r="J2054">
        <v>2</v>
      </c>
      <c r="K2054">
        <v>5</v>
      </c>
      <c r="L2054">
        <v>0</v>
      </c>
      <c r="M2054">
        <v>1</v>
      </c>
      <c r="N2054">
        <v>0</v>
      </c>
      <c r="O2054">
        <v>2</v>
      </c>
      <c r="P2054">
        <v>1</v>
      </c>
      <c r="Q2054">
        <v>4</v>
      </c>
      <c r="R2054">
        <v>0</v>
      </c>
      <c r="S2054">
        <v>0</v>
      </c>
      <c r="T2054">
        <v>0</v>
      </c>
      <c r="U2054">
        <v>0</v>
      </c>
      <c r="V2054">
        <v>0</v>
      </c>
      <c r="W2054">
        <v>0</v>
      </c>
      <c r="X2054">
        <v>0</v>
      </c>
      <c r="Y2054">
        <v>0</v>
      </c>
      <c r="Z2054">
        <v>0</v>
      </c>
      <c r="AA2054">
        <v>0</v>
      </c>
      <c r="AB2054">
        <v>0</v>
      </c>
      <c r="AC2054">
        <v>0</v>
      </c>
      <c r="AD2054">
        <v>0</v>
      </c>
      <c r="AE2054">
        <v>0</v>
      </c>
      <c r="AF2054">
        <v>0</v>
      </c>
      <c r="AG2054">
        <v>0</v>
      </c>
      <c r="AH2054">
        <v>0</v>
      </c>
      <c r="AI2054">
        <v>0</v>
      </c>
      <c r="AJ2054">
        <v>0</v>
      </c>
      <c r="AK2054">
        <v>0</v>
      </c>
      <c r="AL2054">
        <v>18</v>
      </c>
      <c r="AM2054">
        <v>2.3333333333333335</v>
      </c>
      <c r="AN2054">
        <v>50.232375979111779</v>
      </c>
    </row>
    <row r="2055" spans="1:40" x14ac:dyDescent="0.3">
      <c r="A2055" t="s">
        <v>574</v>
      </c>
      <c r="B2055" t="s">
        <v>59</v>
      </c>
      <c r="C2055" t="s">
        <v>10</v>
      </c>
      <c r="D2055" t="s">
        <v>11</v>
      </c>
      <c r="E2055">
        <v>202602</v>
      </c>
      <c r="F2055" t="s">
        <v>587</v>
      </c>
      <c r="G2055">
        <v>0</v>
      </c>
      <c r="H2055">
        <v>0</v>
      </c>
      <c r="I2055">
        <v>2</v>
      </c>
      <c r="J2055">
        <v>1</v>
      </c>
      <c r="K2055">
        <v>2</v>
      </c>
      <c r="L2055">
        <v>3</v>
      </c>
      <c r="M2055">
        <v>0</v>
      </c>
      <c r="N2055">
        <v>0</v>
      </c>
      <c r="O2055">
        <v>1</v>
      </c>
      <c r="P2055">
        <v>7</v>
      </c>
      <c r="Q2055">
        <v>2</v>
      </c>
      <c r="R2055">
        <v>0</v>
      </c>
      <c r="S2055">
        <v>0</v>
      </c>
      <c r="T2055">
        <v>0</v>
      </c>
      <c r="U2055">
        <v>0</v>
      </c>
      <c r="V2055">
        <v>0</v>
      </c>
      <c r="W2055">
        <v>0</v>
      </c>
      <c r="X2055">
        <v>0</v>
      </c>
      <c r="Y2055">
        <v>0</v>
      </c>
      <c r="Z2055">
        <v>0</v>
      </c>
      <c r="AA2055">
        <v>0</v>
      </c>
      <c r="AB2055">
        <v>0</v>
      </c>
      <c r="AC2055">
        <v>0</v>
      </c>
      <c r="AD2055">
        <v>0</v>
      </c>
      <c r="AE2055">
        <v>0</v>
      </c>
      <c r="AF2055">
        <v>0</v>
      </c>
      <c r="AG2055">
        <v>0</v>
      </c>
      <c r="AH2055">
        <v>0</v>
      </c>
      <c r="AI2055">
        <v>0</v>
      </c>
      <c r="AJ2055">
        <v>0</v>
      </c>
      <c r="AK2055">
        <v>0</v>
      </c>
      <c r="AL2055">
        <v>18</v>
      </c>
      <c r="AM2055">
        <v>3.3333333333333335</v>
      </c>
      <c r="AN2055">
        <v>64.046251398731116</v>
      </c>
    </row>
    <row r="2056" spans="1:40" x14ac:dyDescent="0.3">
      <c r="A2056" t="s">
        <v>574</v>
      </c>
      <c r="B2056" t="s">
        <v>59</v>
      </c>
      <c r="C2056" t="s">
        <v>10</v>
      </c>
      <c r="D2056" t="s">
        <v>11</v>
      </c>
      <c r="E2056">
        <v>202602</v>
      </c>
      <c r="F2056" t="s">
        <v>467</v>
      </c>
      <c r="G2056">
        <v>0</v>
      </c>
      <c r="H2056">
        <v>0</v>
      </c>
      <c r="I2056">
        <v>0</v>
      </c>
      <c r="J2056">
        <v>0</v>
      </c>
      <c r="K2056">
        <v>0</v>
      </c>
      <c r="L2056">
        <v>0</v>
      </c>
      <c r="M2056">
        <v>0</v>
      </c>
      <c r="N2056">
        <v>0</v>
      </c>
      <c r="O2056">
        <v>0</v>
      </c>
      <c r="P2056">
        <v>0</v>
      </c>
      <c r="Q2056">
        <v>1</v>
      </c>
      <c r="R2056">
        <v>0</v>
      </c>
      <c r="S2056">
        <v>0</v>
      </c>
      <c r="T2056">
        <v>0</v>
      </c>
      <c r="U2056">
        <v>0</v>
      </c>
      <c r="V2056">
        <v>0</v>
      </c>
      <c r="W2056">
        <v>0</v>
      </c>
      <c r="X2056">
        <v>0</v>
      </c>
      <c r="Y2056">
        <v>0</v>
      </c>
      <c r="Z2056">
        <v>0</v>
      </c>
      <c r="AA2056">
        <v>0</v>
      </c>
      <c r="AB2056">
        <v>0</v>
      </c>
      <c r="AC2056">
        <v>0</v>
      </c>
      <c r="AD2056">
        <v>0</v>
      </c>
      <c r="AE2056">
        <v>0</v>
      </c>
      <c r="AF2056">
        <v>0</v>
      </c>
      <c r="AG2056">
        <v>0</v>
      </c>
      <c r="AH2056">
        <v>0</v>
      </c>
      <c r="AI2056">
        <v>0</v>
      </c>
      <c r="AJ2056">
        <v>0</v>
      </c>
      <c r="AK2056">
        <v>0</v>
      </c>
      <c r="AL2056">
        <v>1</v>
      </c>
      <c r="AM2056">
        <v>0.33333333333333331</v>
      </c>
      <c r="AN2056">
        <v>5.6046251398731117</v>
      </c>
    </row>
    <row r="2057" spans="1:40" x14ac:dyDescent="0.3">
      <c r="A2057" t="s">
        <v>574</v>
      </c>
      <c r="B2057" t="s">
        <v>59</v>
      </c>
      <c r="C2057" t="s">
        <v>10</v>
      </c>
      <c r="D2057" t="s">
        <v>11</v>
      </c>
      <c r="E2057">
        <v>202602</v>
      </c>
      <c r="F2057" t="s">
        <v>66</v>
      </c>
      <c r="G2057">
        <v>0</v>
      </c>
      <c r="H2057">
        <v>0</v>
      </c>
      <c r="I2057">
        <v>1</v>
      </c>
      <c r="J2057">
        <v>0</v>
      </c>
      <c r="K2057">
        <v>1</v>
      </c>
      <c r="L2057">
        <v>1</v>
      </c>
      <c r="M2057">
        <v>1</v>
      </c>
      <c r="N2057">
        <v>0</v>
      </c>
      <c r="O2057">
        <v>0</v>
      </c>
      <c r="P2057">
        <v>1</v>
      </c>
      <c r="Q2057">
        <v>0</v>
      </c>
      <c r="R2057">
        <v>0</v>
      </c>
      <c r="S2057">
        <v>0</v>
      </c>
      <c r="T2057">
        <v>0</v>
      </c>
      <c r="U2057">
        <v>0</v>
      </c>
      <c r="V2057">
        <v>0</v>
      </c>
      <c r="W2057">
        <v>0</v>
      </c>
      <c r="X2057">
        <v>0</v>
      </c>
      <c r="Y2057">
        <v>0</v>
      </c>
      <c r="Z2057">
        <v>0</v>
      </c>
      <c r="AA2057">
        <v>0</v>
      </c>
      <c r="AB2057">
        <v>0</v>
      </c>
      <c r="AC2057">
        <v>0</v>
      </c>
      <c r="AD2057">
        <v>0</v>
      </c>
      <c r="AE2057">
        <v>0</v>
      </c>
      <c r="AF2057">
        <v>0</v>
      </c>
      <c r="AG2057">
        <v>0</v>
      </c>
      <c r="AH2057">
        <v>0</v>
      </c>
      <c r="AI2057">
        <v>0</v>
      </c>
      <c r="AJ2057">
        <v>0</v>
      </c>
      <c r="AK2057">
        <v>0</v>
      </c>
      <c r="AL2057">
        <v>5</v>
      </c>
      <c r="AM2057">
        <v>0.33333333333333331</v>
      </c>
      <c r="AN2057">
        <v>9.6046251398731108</v>
      </c>
    </row>
    <row r="2058" spans="1:40" x14ac:dyDescent="0.3">
      <c r="A2058" t="s">
        <v>574</v>
      </c>
      <c r="B2058" t="s">
        <v>59</v>
      </c>
      <c r="C2058" t="s">
        <v>10</v>
      </c>
      <c r="D2058" t="s">
        <v>11</v>
      </c>
      <c r="E2058">
        <v>202602</v>
      </c>
      <c r="F2058" t="s">
        <v>69</v>
      </c>
      <c r="G2058">
        <v>0</v>
      </c>
      <c r="H2058">
        <v>0</v>
      </c>
      <c r="I2058">
        <v>1</v>
      </c>
      <c r="J2058">
        <v>1</v>
      </c>
      <c r="K2058">
        <v>0</v>
      </c>
      <c r="L2058">
        <v>0</v>
      </c>
      <c r="M2058">
        <v>0</v>
      </c>
      <c r="N2058">
        <v>0</v>
      </c>
      <c r="O2058">
        <v>1</v>
      </c>
      <c r="P2058">
        <v>0</v>
      </c>
      <c r="Q2058">
        <v>0</v>
      </c>
      <c r="R2058">
        <v>0</v>
      </c>
      <c r="S2058">
        <v>0</v>
      </c>
      <c r="T2058">
        <v>0</v>
      </c>
      <c r="U2058">
        <v>0</v>
      </c>
      <c r="V2058">
        <v>0</v>
      </c>
      <c r="W2058">
        <v>0</v>
      </c>
      <c r="X2058">
        <v>0</v>
      </c>
      <c r="Y2058">
        <v>0</v>
      </c>
      <c r="Z2058">
        <v>0</v>
      </c>
      <c r="AA2058">
        <v>0</v>
      </c>
      <c r="AB2058">
        <v>0</v>
      </c>
      <c r="AC2058">
        <v>0</v>
      </c>
      <c r="AD2058">
        <v>0</v>
      </c>
      <c r="AE2058">
        <v>0</v>
      </c>
      <c r="AF2058">
        <v>0</v>
      </c>
      <c r="AG2058">
        <v>0</v>
      </c>
      <c r="AH2058">
        <v>0</v>
      </c>
      <c r="AI2058">
        <v>0</v>
      </c>
      <c r="AJ2058">
        <v>0</v>
      </c>
      <c r="AK2058">
        <v>0</v>
      </c>
      <c r="AL2058">
        <v>3</v>
      </c>
      <c r="AM2058">
        <v>0.33333333333333331</v>
      </c>
      <c r="AN2058">
        <v>7.6046251398731117</v>
      </c>
    </row>
    <row r="2059" spans="1:40" x14ac:dyDescent="0.3">
      <c r="A2059" t="s">
        <v>574</v>
      </c>
      <c r="B2059" t="s">
        <v>59</v>
      </c>
      <c r="C2059" t="s">
        <v>10</v>
      </c>
      <c r="D2059" t="s">
        <v>11</v>
      </c>
      <c r="E2059">
        <v>202602</v>
      </c>
      <c r="F2059" t="s">
        <v>70</v>
      </c>
      <c r="G2059">
        <v>0</v>
      </c>
      <c r="H2059">
        <v>0</v>
      </c>
      <c r="I2059">
        <v>0</v>
      </c>
      <c r="J2059">
        <v>0</v>
      </c>
      <c r="K2059">
        <v>0</v>
      </c>
      <c r="L2059">
        <v>0</v>
      </c>
      <c r="M2059">
        <v>1</v>
      </c>
      <c r="N2059">
        <v>0</v>
      </c>
      <c r="O2059">
        <v>0</v>
      </c>
      <c r="P2059">
        <v>0</v>
      </c>
      <c r="Q2059">
        <v>0</v>
      </c>
      <c r="R2059">
        <v>0</v>
      </c>
      <c r="S2059">
        <v>0</v>
      </c>
      <c r="T2059">
        <v>0</v>
      </c>
      <c r="U2059">
        <v>0</v>
      </c>
      <c r="V2059">
        <v>0</v>
      </c>
      <c r="W2059">
        <v>0</v>
      </c>
      <c r="X2059">
        <v>0</v>
      </c>
      <c r="Y2059">
        <v>0</v>
      </c>
      <c r="Z2059">
        <v>0</v>
      </c>
      <c r="AA2059">
        <v>0</v>
      </c>
      <c r="AB2059">
        <v>0</v>
      </c>
      <c r="AC2059">
        <v>0</v>
      </c>
      <c r="AD2059">
        <v>0</v>
      </c>
      <c r="AE2059">
        <v>0</v>
      </c>
      <c r="AF2059">
        <v>0</v>
      </c>
      <c r="AG2059">
        <v>0</v>
      </c>
      <c r="AH2059">
        <v>0</v>
      </c>
      <c r="AI2059">
        <v>0</v>
      </c>
      <c r="AJ2059">
        <v>0</v>
      </c>
      <c r="AK2059">
        <v>0</v>
      </c>
      <c r="AL2059">
        <v>1</v>
      </c>
      <c r="AM2059">
        <v>0</v>
      </c>
      <c r="AN2059">
        <v>1</v>
      </c>
    </row>
    <row r="2060" spans="1:40" x14ac:dyDescent="0.3">
      <c r="A2060" t="s">
        <v>574</v>
      </c>
      <c r="B2060" t="s">
        <v>59</v>
      </c>
      <c r="C2060" t="s">
        <v>10</v>
      </c>
      <c r="D2060" t="s">
        <v>11</v>
      </c>
      <c r="E2060">
        <v>202602</v>
      </c>
      <c r="F2060" t="s">
        <v>588</v>
      </c>
      <c r="G2060">
        <v>0</v>
      </c>
      <c r="H2060">
        <v>0</v>
      </c>
      <c r="I2060">
        <v>0</v>
      </c>
      <c r="J2060">
        <v>0</v>
      </c>
      <c r="K2060">
        <v>0</v>
      </c>
      <c r="L2060">
        <v>0</v>
      </c>
      <c r="M2060">
        <v>0</v>
      </c>
      <c r="N2060">
        <v>0</v>
      </c>
      <c r="O2060">
        <v>2</v>
      </c>
      <c r="P2060">
        <v>0</v>
      </c>
      <c r="Q2060">
        <v>0</v>
      </c>
      <c r="R2060">
        <v>0</v>
      </c>
      <c r="S2060">
        <v>0</v>
      </c>
      <c r="T2060">
        <v>0</v>
      </c>
      <c r="U2060">
        <v>0</v>
      </c>
      <c r="V2060">
        <v>0</v>
      </c>
      <c r="W2060">
        <v>0</v>
      </c>
      <c r="X2060">
        <v>0</v>
      </c>
      <c r="Y2060">
        <v>0</v>
      </c>
      <c r="Z2060">
        <v>0</v>
      </c>
      <c r="AA2060">
        <v>0</v>
      </c>
      <c r="AB2060">
        <v>0</v>
      </c>
      <c r="AC2060">
        <v>0</v>
      </c>
      <c r="AD2060">
        <v>0</v>
      </c>
      <c r="AE2060">
        <v>0</v>
      </c>
      <c r="AF2060">
        <v>0</v>
      </c>
      <c r="AG2060">
        <v>0</v>
      </c>
      <c r="AH2060">
        <v>0</v>
      </c>
      <c r="AI2060">
        <v>0</v>
      </c>
      <c r="AJ2060">
        <v>0</v>
      </c>
      <c r="AK2060">
        <v>0</v>
      </c>
      <c r="AL2060">
        <v>2</v>
      </c>
      <c r="AM2060">
        <v>0.66666666666666663</v>
      </c>
      <c r="AN2060">
        <v>11.209250279746223</v>
      </c>
    </row>
    <row r="2061" spans="1:40" x14ac:dyDescent="0.3">
      <c r="A2061" t="s">
        <v>574</v>
      </c>
      <c r="B2061" t="s">
        <v>59</v>
      </c>
      <c r="C2061" t="s">
        <v>10</v>
      </c>
      <c r="D2061" t="s">
        <v>11</v>
      </c>
      <c r="E2061">
        <v>202602</v>
      </c>
      <c r="F2061" t="s">
        <v>589</v>
      </c>
      <c r="G2061">
        <v>0</v>
      </c>
      <c r="H2061">
        <v>0</v>
      </c>
      <c r="I2061">
        <v>0</v>
      </c>
      <c r="J2061">
        <v>0</v>
      </c>
      <c r="K2061">
        <v>1</v>
      </c>
      <c r="L2061">
        <v>0</v>
      </c>
      <c r="M2061">
        <v>0</v>
      </c>
      <c r="N2061">
        <v>0</v>
      </c>
      <c r="O2061">
        <v>0</v>
      </c>
      <c r="P2061">
        <v>0</v>
      </c>
      <c r="Q2061">
        <v>0</v>
      </c>
      <c r="R2061">
        <v>0</v>
      </c>
      <c r="S2061">
        <v>0</v>
      </c>
      <c r="T2061">
        <v>0</v>
      </c>
      <c r="U2061">
        <v>0</v>
      </c>
      <c r="V2061">
        <v>0</v>
      </c>
      <c r="W2061">
        <v>0</v>
      </c>
      <c r="X2061">
        <v>0</v>
      </c>
      <c r="Y2061">
        <v>0</v>
      </c>
      <c r="Z2061">
        <v>0</v>
      </c>
      <c r="AA2061">
        <v>0</v>
      </c>
      <c r="AB2061">
        <v>0</v>
      </c>
      <c r="AC2061">
        <v>0</v>
      </c>
      <c r="AD2061">
        <v>0</v>
      </c>
      <c r="AE2061">
        <v>0</v>
      </c>
      <c r="AF2061">
        <v>0</v>
      </c>
      <c r="AG2061">
        <v>0</v>
      </c>
      <c r="AH2061">
        <v>0</v>
      </c>
      <c r="AI2061">
        <v>0</v>
      </c>
      <c r="AJ2061">
        <v>0</v>
      </c>
      <c r="AK2061">
        <v>0</v>
      </c>
      <c r="AL2061">
        <v>1</v>
      </c>
      <c r="AM2061">
        <v>0</v>
      </c>
      <c r="AN2061">
        <v>1</v>
      </c>
    </row>
    <row r="2062" spans="1:40" x14ac:dyDescent="0.3">
      <c r="A2062" t="s">
        <v>574</v>
      </c>
      <c r="B2062" t="s">
        <v>59</v>
      </c>
      <c r="C2062" t="s">
        <v>10</v>
      </c>
      <c r="D2062" t="s">
        <v>11</v>
      </c>
      <c r="E2062">
        <v>202602</v>
      </c>
      <c r="F2062" t="s">
        <v>590</v>
      </c>
      <c r="G2062">
        <v>0</v>
      </c>
      <c r="H2062">
        <v>0</v>
      </c>
      <c r="I2062">
        <v>1</v>
      </c>
      <c r="J2062">
        <v>0</v>
      </c>
      <c r="K2062">
        <v>1</v>
      </c>
      <c r="L2062">
        <v>0</v>
      </c>
      <c r="M2062">
        <v>0</v>
      </c>
      <c r="N2062">
        <v>0</v>
      </c>
      <c r="O2062">
        <v>0</v>
      </c>
      <c r="P2062">
        <v>0</v>
      </c>
      <c r="Q2062">
        <v>0</v>
      </c>
      <c r="R2062">
        <v>0</v>
      </c>
      <c r="S2062">
        <v>0</v>
      </c>
      <c r="T2062">
        <v>0</v>
      </c>
      <c r="U2062">
        <v>0</v>
      </c>
      <c r="V2062">
        <v>0</v>
      </c>
      <c r="W2062">
        <v>0</v>
      </c>
      <c r="X2062">
        <v>0</v>
      </c>
      <c r="Y2062">
        <v>0</v>
      </c>
      <c r="Z2062">
        <v>0</v>
      </c>
      <c r="AA2062">
        <v>0</v>
      </c>
      <c r="AB2062">
        <v>0</v>
      </c>
      <c r="AC2062">
        <v>0</v>
      </c>
      <c r="AD2062">
        <v>0</v>
      </c>
      <c r="AE2062">
        <v>0</v>
      </c>
      <c r="AF2062">
        <v>0</v>
      </c>
      <c r="AG2062">
        <v>0</v>
      </c>
      <c r="AH2062">
        <v>0</v>
      </c>
      <c r="AI2062">
        <v>0</v>
      </c>
      <c r="AJ2062">
        <v>0</v>
      </c>
      <c r="AK2062">
        <v>0</v>
      </c>
      <c r="AL2062">
        <v>2</v>
      </c>
      <c r="AM2062">
        <v>0</v>
      </c>
      <c r="AN2062">
        <v>2</v>
      </c>
    </row>
    <row r="2063" spans="1:40" x14ac:dyDescent="0.3">
      <c r="A2063" t="s">
        <v>574</v>
      </c>
      <c r="B2063" t="s">
        <v>59</v>
      </c>
      <c r="C2063" t="s">
        <v>10</v>
      </c>
      <c r="D2063" t="s">
        <v>11</v>
      </c>
      <c r="E2063">
        <v>202602</v>
      </c>
      <c r="F2063" t="s">
        <v>591</v>
      </c>
      <c r="G2063">
        <v>0</v>
      </c>
      <c r="H2063">
        <v>1</v>
      </c>
      <c r="I2063">
        <v>2</v>
      </c>
      <c r="J2063">
        <v>1</v>
      </c>
      <c r="K2063">
        <v>1</v>
      </c>
      <c r="L2063">
        <v>0</v>
      </c>
      <c r="M2063">
        <v>0</v>
      </c>
      <c r="N2063">
        <v>0</v>
      </c>
      <c r="O2063">
        <v>0</v>
      </c>
      <c r="P2063">
        <v>1</v>
      </c>
      <c r="Q2063">
        <v>2</v>
      </c>
      <c r="R2063">
        <v>0</v>
      </c>
      <c r="S2063">
        <v>0</v>
      </c>
      <c r="T2063">
        <v>0</v>
      </c>
      <c r="U2063">
        <v>0</v>
      </c>
      <c r="V2063">
        <v>0</v>
      </c>
      <c r="W2063">
        <v>0</v>
      </c>
      <c r="X2063">
        <v>0</v>
      </c>
      <c r="Y2063">
        <v>0</v>
      </c>
      <c r="Z2063">
        <v>0</v>
      </c>
      <c r="AA2063">
        <v>0</v>
      </c>
      <c r="AB2063">
        <v>0</v>
      </c>
      <c r="AC2063">
        <v>0</v>
      </c>
      <c r="AD2063">
        <v>0</v>
      </c>
      <c r="AE2063">
        <v>0</v>
      </c>
      <c r="AF2063">
        <v>0</v>
      </c>
      <c r="AG2063">
        <v>0</v>
      </c>
      <c r="AH2063">
        <v>0</v>
      </c>
      <c r="AI2063">
        <v>0</v>
      </c>
      <c r="AJ2063">
        <v>0</v>
      </c>
      <c r="AK2063">
        <v>0</v>
      </c>
      <c r="AL2063">
        <v>8</v>
      </c>
      <c r="AM2063">
        <v>1</v>
      </c>
      <c r="AN2063">
        <v>21.813875419619336</v>
      </c>
    </row>
    <row r="2064" spans="1:40" x14ac:dyDescent="0.3">
      <c r="A2064" t="s">
        <v>574</v>
      </c>
      <c r="B2064" t="s">
        <v>59</v>
      </c>
      <c r="C2064" t="s">
        <v>10</v>
      </c>
      <c r="D2064" t="s">
        <v>11</v>
      </c>
      <c r="E2064">
        <v>202602</v>
      </c>
      <c r="F2064" t="s">
        <v>592</v>
      </c>
      <c r="G2064">
        <v>0</v>
      </c>
      <c r="H2064">
        <v>0</v>
      </c>
      <c r="I2064">
        <v>1</v>
      </c>
      <c r="J2064">
        <v>0</v>
      </c>
      <c r="K2064">
        <v>1</v>
      </c>
      <c r="L2064">
        <v>0</v>
      </c>
      <c r="M2064">
        <v>0</v>
      </c>
      <c r="N2064">
        <v>0</v>
      </c>
      <c r="O2064">
        <v>0</v>
      </c>
      <c r="P2064">
        <v>0</v>
      </c>
      <c r="Q2064">
        <v>0</v>
      </c>
      <c r="R2064">
        <v>0</v>
      </c>
      <c r="S2064">
        <v>0</v>
      </c>
      <c r="T2064">
        <v>0</v>
      </c>
      <c r="U2064">
        <v>0</v>
      </c>
      <c r="V2064">
        <v>0</v>
      </c>
      <c r="W2064">
        <v>0</v>
      </c>
      <c r="X2064">
        <v>0</v>
      </c>
      <c r="Y2064">
        <v>0</v>
      </c>
      <c r="Z2064">
        <v>0</v>
      </c>
      <c r="AA2064">
        <v>0</v>
      </c>
      <c r="AB2064">
        <v>0</v>
      </c>
      <c r="AC2064">
        <v>0</v>
      </c>
      <c r="AD2064">
        <v>0</v>
      </c>
      <c r="AE2064">
        <v>0</v>
      </c>
      <c r="AF2064">
        <v>0</v>
      </c>
      <c r="AG2064">
        <v>0</v>
      </c>
      <c r="AH2064">
        <v>0</v>
      </c>
      <c r="AI2064">
        <v>0</v>
      </c>
      <c r="AJ2064">
        <v>0</v>
      </c>
      <c r="AK2064">
        <v>0</v>
      </c>
      <c r="AL2064">
        <v>2</v>
      </c>
      <c r="AM2064">
        <v>0</v>
      </c>
      <c r="AN2064">
        <v>2</v>
      </c>
    </row>
    <row r="2065" spans="1:40" x14ac:dyDescent="0.3">
      <c r="A2065" t="s">
        <v>574</v>
      </c>
      <c r="B2065" t="s">
        <v>59</v>
      </c>
      <c r="C2065" t="s">
        <v>10</v>
      </c>
      <c r="D2065" t="s">
        <v>11</v>
      </c>
      <c r="E2065">
        <v>202602</v>
      </c>
      <c r="F2065" t="s">
        <v>553</v>
      </c>
      <c r="G2065">
        <v>0</v>
      </c>
      <c r="H2065">
        <v>1</v>
      </c>
      <c r="I2065">
        <v>0</v>
      </c>
      <c r="J2065">
        <v>2</v>
      </c>
      <c r="K2065">
        <v>3</v>
      </c>
      <c r="L2065">
        <v>1</v>
      </c>
      <c r="M2065">
        <v>2</v>
      </c>
      <c r="N2065">
        <v>0</v>
      </c>
      <c r="O2065">
        <v>3</v>
      </c>
      <c r="P2065">
        <v>1</v>
      </c>
      <c r="Q2065">
        <v>4</v>
      </c>
      <c r="R2065">
        <v>0</v>
      </c>
      <c r="S2065">
        <v>0</v>
      </c>
      <c r="T2065">
        <v>0</v>
      </c>
      <c r="U2065">
        <v>0</v>
      </c>
      <c r="V2065">
        <v>0</v>
      </c>
      <c r="W2065">
        <v>0</v>
      </c>
      <c r="X2065">
        <v>0</v>
      </c>
      <c r="Y2065">
        <v>0</v>
      </c>
      <c r="Z2065">
        <v>0</v>
      </c>
      <c r="AA2065">
        <v>0</v>
      </c>
      <c r="AB2065">
        <v>0</v>
      </c>
      <c r="AC2065">
        <v>0</v>
      </c>
      <c r="AD2065">
        <v>0</v>
      </c>
      <c r="AE2065">
        <v>0</v>
      </c>
      <c r="AF2065">
        <v>0</v>
      </c>
      <c r="AG2065">
        <v>0</v>
      </c>
      <c r="AH2065">
        <v>0</v>
      </c>
      <c r="AI2065">
        <v>0</v>
      </c>
      <c r="AJ2065">
        <v>0</v>
      </c>
      <c r="AK2065">
        <v>0</v>
      </c>
      <c r="AL2065">
        <v>17</v>
      </c>
      <c r="AM2065">
        <v>2.6666666666666665</v>
      </c>
      <c r="AN2065">
        <v>53.837001118984894</v>
      </c>
    </row>
    <row r="2066" spans="1:40" x14ac:dyDescent="0.3">
      <c r="A2066" t="s">
        <v>574</v>
      </c>
      <c r="B2066" t="s">
        <v>59</v>
      </c>
      <c r="C2066" t="s">
        <v>10</v>
      </c>
      <c r="D2066" t="s">
        <v>11</v>
      </c>
      <c r="E2066">
        <v>202602</v>
      </c>
      <c r="F2066" t="s">
        <v>593</v>
      </c>
      <c r="G2066">
        <v>0</v>
      </c>
      <c r="H2066">
        <v>0</v>
      </c>
      <c r="I2066">
        <v>0</v>
      </c>
      <c r="J2066">
        <v>1</v>
      </c>
      <c r="K2066">
        <v>1</v>
      </c>
      <c r="L2066">
        <v>1</v>
      </c>
      <c r="M2066">
        <v>0</v>
      </c>
      <c r="N2066">
        <v>0</v>
      </c>
      <c r="O2066">
        <v>0</v>
      </c>
      <c r="P2066">
        <v>0</v>
      </c>
      <c r="Q2066">
        <v>2</v>
      </c>
      <c r="R2066">
        <v>0</v>
      </c>
      <c r="S2066">
        <v>0</v>
      </c>
      <c r="T2066">
        <v>0</v>
      </c>
      <c r="U2066">
        <v>0</v>
      </c>
      <c r="V2066">
        <v>0</v>
      </c>
      <c r="W2066">
        <v>0</v>
      </c>
      <c r="X2066">
        <v>0</v>
      </c>
      <c r="Y2066">
        <v>0</v>
      </c>
      <c r="Z2066">
        <v>0</v>
      </c>
      <c r="AA2066">
        <v>0</v>
      </c>
      <c r="AB2066">
        <v>0</v>
      </c>
      <c r="AC2066">
        <v>0</v>
      </c>
      <c r="AD2066">
        <v>0</v>
      </c>
      <c r="AE2066">
        <v>0</v>
      </c>
      <c r="AF2066">
        <v>0</v>
      </c>
      <c r="AG2066">
        <v>0</v>
      </c>
      <c r="AH2066">
        <v>0</v>
      </c>
      <c r="AI2066">
        <v>0</v>
      </c>
      <c r="AJ2066">
        <v>0</v>
      </c>
      <c r="AK2066">
        <v>0</v>
      </c>
      <c r="AL2066">
        <v>5</v>
      </c>
      <c r="AM2066">
        <v>0.66666666666666663</v>
      </c>
      <c r="AN2066">
        <v>14.209250279746223</v>
      </c>
    </row>
    <row r="2067" spans="1:40" x14ac:dyDescent="0.3">
      <c r="A2067" t="s">
        <v>574</v>
      </c>
      <c r="B2067" t="s">
        <v>59</v>
      </c>
      <c r="C2067" t="s">
        <v>10</v>
      </c>
      <c r="D2067" t="s">
        <v>11</v>
      </c>
      <c r="E2067">
        <v>202602</v>
      </c>
      <c r="F2067" t="s">
        <v>594</v>
      </c>
      <c r="G2067">
        <v>0</v>
      </c>
      <c r="H2067">
        <v>0</v>
      </c>
      <c r="I2067">
        <v>1</v>
      </c>
      <c r="J2067">
        <v>1</v>
      </c>
      <c r="K2067">
        <v>0</v>
      </c>
      <c r="L2067">
        <v>1</v>
      </c>
      <c r="M2067">
        <v>0</v>
      </c>
      <c r="N2067">
        <v>0</v>
      </c>
      <c r="O2067">
        <v>1</v>
      </c>
      <c r="P2067">
        <v>0</v>
      </c>
      <c r="Q2067">
        <v>0</v>
      </c>
      <c r="R2067">
        <v>0</v>
      </c>
      <c r="S2067">
        <v>0</v>
      </c>
      <c r="T2067">
        <v>0</v>
      </c>
      <c r="U2067">
        <v>0</v>
      </c>
      <c r="V2067">
        <v>0</v>
      </c>
      <c r="W2067">
        <v>0</v>
      </c>
      <c r="X2067">
        <v>0</v>
      </c>
      <c r="Y2067">
        <v>0</v>
      </c>
      <c r="Z2067">
        <v>0</v>
      </c>
      <c r="AA2067">
        <v>0</v>
      </c>
      <c r="AB2067">
        <v>0</v>
      </c>
      <c r="AC2067">
        <v>0</v>
      </c>
      <c r="AD2067">
        <v>0</v>
      </c>
      <c r="AE2067">
        <v>0</v>
      </c>
      <c r="AF2067">
        <v>0</v>
      </c>
      <c r="AG2067">
        <v>0</v>
      </c>
      <c r="AH2067">
        <v>0</v>
      </c>
      <c r="AI2067">
        <v>0</v>
      </c>
      <c r="AJ2067">
        <v>0</v>
      </c>
      <c r="AK2067">
        <v>0</v>
      </c>
      <c r="AL2067">
        <v>4</v>
      </c>
      <c r="AM2067">
        <v>0.33333333333333331</v>
      </c>
      <c r="AN2067">
        <v>8.6046251398731108</v>
      </c>
    </row>
    <row r="2068" spans="1:40" x14ac:dyDescent="0.3">
      <c r="A2068" t="s">
        <v>574</v>
      </c>
      <c r="B2068" t="s">
        <v>59</v>
      </c>
      <c r="C2068" t="s">
        <v>10</v>
      </c>
      <c r="D2068" t="s">
        <v>11</v>
      </c>
      <c r="E2068">
        <v>202602</v>
      </c>
      <c r="F2068" t="s">
        <v>79</v>
      </c>
      <c r="G2068">
        <v>0</v>
      </c>
      <c r="H2068">
        <v>0</v>
      </c>
      <c r="I2068">
        <v>0</v>
      </c>
      <c r="J2068">
        <v>0</v>
      </c>
      <c r="K2068">
        <v>0</v>
      </c>
      <c r="L2068">
        <v>0</v>
      </c>
      <c r="M2068">
        <v>0</v>
      </c>
      <c r="N2068">
        <v>0</v>
      </c>
      <c r="O2068">
        <v>0</v>
      </c>
      <c r="P2068">
        <v>0</v>
      </c>
      <c r="Q2068">
        <v>1</v>
      </c>
      <c r="R2068">
        <v>0</v>
      </c>
      <c r="S2068">
        <v>0</v>
      </c>
      <c r="T2068">
        <v>0</v>
      </c>
      <c r="U2068">
        <v>0</v>
      </c>
      <c r="V2068">
        <v>0</v>
      </c>
      <c r="W2068">
        <v>0</v>
      </c>
      <c r="X2068">
        <v>0</v>
      </c>
      <c r="Y2068">
        <v>0</v>
      </c>
      <c r="Z2068">
        <v>0</v>
      </c>
      <c r="AA2068">
        <v>0</v>
      </c>
      <c r="AB2068">
        <v>0</v>
      </c>
      <c r="AC2068">
        <v>0</v>
      </c>
      <c r="AD2068">
        <v>0</v>
      </c>
      <c r="AE2068">
        <v>0</v>
      </c>
      <c r="AF2068">
        <v>0</v>
      </c>
      <c r="AG2068">
        <v>0</v>
      </c>
      <c r="AH2068">
        <v>0</v>
      </c>
      <c r="AI2068">
        <v>0</v>
      </c>
      <c r="AJ2068">
        <v>0</v>
      </c>
      <c r="AK2068">
        <v>0</v>
      </c>
      <c r="AL2068">
        <v>1</v>
      </c>
      <c r="AM2068">
        <v>0.33333333333333331</v>
      </c>
      <c r="AN2068">
        <v>5.6046251398731117</v>
      </c>
    </row>
    <row r="2069" spans="1:40" x14ac:dyDescent="0.3">
      <c r="A2069" t="s">
        <v>574</v>
      </c>
      <c r="B2069" t="s">
        <v>59</v>
      </c>
      <c r="C2069" t="s">
        <v>10</v>
      </c>
      <c r="D2069" t="s">
        <v>14</v>
      </c>
      <c r="E2069">
        <v>202602</v>
      </c>
      <c r="F2069" t="s">
        <v>60</v>
      </c>
      <c r="G2069">
        <v>0</v>
      </c>
      <c r="H2069">
        <v>0</v>
      </c>
      <c r="I2069">
        <v>0</v>
      </c>
      <c r="J2069">
        <v>0</v>
      </c>
      <c r="K2069">
        <v>1</v>
      </c>
      <c r="L2069">
        <v>0</v>
      </c>
      <c r="M2069">
        <v>0</v>
      </c>
      <c r="N2069">
        <v>0</v>
      </c>
      <c r="O2069">
        <v>0</v>
      </c>
      <c r="P2069">
        <v>0</v>
      </c>
      <c r="Q2069">
        <v>0</v>
      </c>
      <c r="R2069">
        <v>0</v>
      </c>
      <c r="S2069">
        <v>0</v>
      </c>
      <c r="T2069">
        <v>0</v>
      </c>
      <c r="U2069">
        <v>0</v>
      </c>
      <c r="V2069">
        <v>0</v>
      </c>
      <c r="W2069">
        <v>0</v>
      </c>
      <c r="X2069">
        <v>0</v>
      </c>
      <c r="Y2069">
        <v>0</v>
      </c>
      <c r="Z2069">
        <v>0</v>
      </c>
      <c r="AA2069">
        <v>0</v>
      </c>
      <c r="AB2069">
        <v>0</v>
      </c>
      <c r="AC2069">
        <v>0</v>
      </c>
      <c r="AD2069">
        <v>0</v>
      </c>
      <c r="AE2069">
        <v>0</v>
      </c>
      <c r="AF2069">
        <v>0</v>
      </c>
      <c r="AG2069">
        <v>0</v>
      </c>
      <c r="AH2069">
        <v>0</v>
      </c>
      <c r="AI2069">
        <v>0</v>
      </c>
      <c r="AJ2069">
        <v>0</v>
      </c>
      <c r="AK2069">
        <v>0</v>
      </c>
      <c r="AL2069">
        <v>1</v>
      </c>
      <c r="AM2069">
        <v>0</v>
      </c>
      <c r="AN2069">
        <v>1</v>
      </c>
    </row>
    <row r="2070" spans="1:40" x14ac:dyDescent="0.3">
      <c r="A2070" t="s">
        <v>574</v>
      </c>
      <c r="B2070" t="s">
        <v>59</v>
      </c>
      <c r="C2070" t="s">
        <v>10</v>
      </c>
      <c r="D2070" t="s">
        <v>14</v>
      </c>
      <c r="E2070">
        <v>202602</v>
      </c>
      <c r="F2070" t="s">
        <v>205</v>
      </c>
      <c r="G2070">
        <v>0</v>
      </c>
      <c r="H2070">
        <v>4</v>
      </c>
      <c r="I2070">
        <v>3</v>
      </c>
      <c r="J2070">
        <v>0</v>
      </c>
      <c r="K2070">
        <v>2</v>
      </c>
      <c r="L2070">
        <v>2</v>
      </c>
      <c r="M2070">
        <v>0</v>
      </c>
      <c r="N2070">
        <v>0</v>
      </c>
      <c r="O2070">
        <v>1</v>
      </c>
      <c r="P2070">
        <v>3</v>
      </c>
      <c r="Q2070">
        <v>1</v>
      </c>
      <c r="R2070">
        <v>0</v>
      </c>
      <c r="S2070">
        <v>0</v>
      </c>
      <c r="T2070">
        <v>0</v>
      </c>
      <c r="U2070">
        <v>0</v>
      </c>
      <c r="V2070">
        <v>0</v>
      </c>
      <c r="W2070">
        <v>0</v>
      </c>
      <c r="X2070">
        <v>0</v>
      </c>
      <c r="Y2070">
        <v>0</v>
      </c>
      <c r="Z2070">
        <v>0</v>
      </c>
      <c r="AA2070">
        <v>0</v>
      </c>
      <c r="AB2070">
        <v>0</v>
      </c>
      <c r="AC2070">
        <v>0</v>
      </c>
      <c r="AD2070">
        <v>0</v>
      </c>
      <c r="AE2070">
        <v>0</v>
      </c>
      <c r="AF2070">
        <v>0</v>
      </c>
      <c r="AG2070">
        <v>0</v>
      </c>
      <c r="AH2070">
        <v>0</v>
      </c>
      <c r="AI2070">
        <v>0</v>
      </c>
      <c r="AJ2070">
        <v>0</v>
      </c>
      <c r="AK2070">
        <v>0</v>
      </c>
      <c r="AL2070">
        <v>16</v>
      </c>
      <c r="AM2070">
        <v>1.6666666666666667</v>
      </c>
      <c r="AN2070">
        <v>36.20870535714306</v>
      </c>
    </row>
    <row r="2071" spans="1:40" x14ac:dyDescent="0.3">
      <c r="A2071" t="s">
        <v>574</v>
      </c>
      <c r="B2071" t="s">
        <v>59</v>
      </c>
      <c r="C2071" t="s">
        <v>10</v>
      </c>
      <c r="D2071" t="s">
        <v>14</v>
      </c>
      <c r="E2071">
        <v>202602</v>
      </c>
      <c r="F2071" t="s">
        <v>61</v>
      </c>
      <c r="G2071">
        <v>0</v>
      </c>
      <c r="H2071">
        <v>0</v>
      </c>
      <c r="I2071">
        <v>0</v>
      </c>
      <c r="J2071">
        <v>1</v>
      </c>
      <c r="K2071">
        <v>1</v>
      </c>
      <c r="L2071">
        <v>0</v>
      </c>
      <c r="M2071">
        <v>0</v>
      </c>
      <c r="N2071">
        <v>0</v>
      </c>
      <c r="O2071">
        <v>0</v>
      </c>
      <c r="P2071">
        <v>0</v>
      </c>
      <c r="Q2071">
        <v>0</v>
      </c>
      <c r="R2071">
        <v>0</v>
      </c>
      <c r="S2071">
        <v>0</v>
      </c>
      <c r="T2071">
        <v>0</v>
      </c>
      <c r="U2071">
        <v>0</v>
      </c>
      <c r="V2071">
        <v>0</v>
      </c>
      <c r="W2071">
        <v>0</v>
      </c>
      <c r="X2071">
        <v>0</v>
      </c>
      <c r="Y2071">
        <v>0</v>
      </c>
      <c r="Z2071">
        <v>0</v>
      </c>
      <c r="AA2071">
        <v>0</v>
      </c>
      <c r="AB2071">
        <v>0</v>
      </c>
      <c r="AC2071">
        <v>0</v>
      </c>
      <c r="AD2071">
        <v>0</v>
      </c>
      <c r="AE2071">
        <v>0</v>
      </c>
      <c r="AF2071">
        <v>0</v>
      </c>
      <c r="AG2071">
        <v>0</v>
      </c>
      <c r="AH2071">
        <v>0</v>
      </c>
      <c r="AI2071">
        <v>0</v>
      </c>
      <c r="AJ2071">
        <v>0</v>
      </c>
      <c r="AK2071">
        <v>0</v>
      </c>
      <c r="AL2071">
        <v>2</v>
      </c>
      <c r="AM2071">
        <v>0</v>
      </c>
      <c r="AN2071">
        <v>2</v>
      </c>
    </row>
    <row r="2072" spans="1:40" x14ac:dyDescent="0.3">
      <c r="A2072" t="s">
        <v>574</v>
      </c>
      <c r="B2072" t="s">
        <v>59</v>
      </c>
      <c r="C2072" t="s">
        <v>10</v>
      </c>
      <c r="D2072" t="s">
        <v>14</v>
      </c>
      <c r="E2072">
        <v>202602</v>
      </c>
      <c r="F2072" t="s">
        <v>465</v>
      </c>
      <c r="G2072">
        <v>0</v>
      </c>
      <c r="H2072">
        <v>4</v>
      </c>
      <c r="I2072">
        <v>6</v>
      </c>
      <c r="J2072">
        <v>2</v>
      </c>
      <c r="K2072">
        <v>3</v>
      </c>
      <c r="L2072">
        <v>2</v>
      </c>
      <c r="M2072">
        <v>0</v>
      </c>
      <c r="N2072">
        <v>0</v>
      </c>
      <c r="O2072">
        <v>5</v>
      </c>
      <c r="P2072">
        <v>3</v>
      </c>
      <c r="Q2072">
        <v>0</v>
      </c>
      <c r="R2072">
        <v>0</v>
      </c>
      <c r="S2072">
        <v>0</v>
      </c>
      <c r="T2072">
        <v>0</v>
      </c>
      <c r="U2072">
        <v>0</v>
      </c>
      <c r="V2072">
        <v>0</v>
      </c>
      <c r="W2072">
        <v>0</v>
      </c>
      <c r="X2072">
        <v>0</v>
      </c>
      <c r="Y2072">
        <v>0</v>
      </c>
      <c r="Z2072">
        <v>0</v>
      </c>
      <c r="AA2072">
        <v>0</v>
      </c>
      <c r="AB2072">
        <v>0</v>
      </c>
      <c r="AC2072">
        <v>0</v>
      </c>
      <c r="AD2072">
        <v>0</v>
      </c>
      <c r="AE2072">
        <v>0</v>
      </c>
      <c r="AF2072">
        <v>0</v>
      </c>
      <c r="AG2072">
        <v>0</v>
      </c>
      <c r="AH2072">
        <v>0</v>
      </c>
      <c r="AI2072">
        <v>0</v>
      </c>
      <c r="AJ2072">
        <v>0</v>
      </c>
      <c r="AK2072">
        <v>0</v>
      </c>
      <c r="AL2072">
        <v>25</v>
      </c>
      <c r="AM2072">
        <v>2.6666666666666665</v>
      </c>
      <c r="AN2072">
        <v>57.333928571428906</v>
      </c>
    </row>
    <row r="2073" spans="1:40" x14ac:dyDescent="0.3">
      <c r="A2073" t="s">
        <v>574</v>
      </c>
      <c r="B2073" t="s">
        <v>59</v>
      </c>
      <c r="C2073" t="s">
        <v>10</v>
      </c>
      <c r="D2073" t="s">
        <v>14</v>
      </c>
      <c r="E2073">
        <v>202602</v>
      </c>
      <c r="F2073" t="s">
        <v>587</v>
      </c>
      <c r="G2073">
        <v>0</v>
      </c>
      <c r="H2073">
        <v>1</v>
      </c>
      <c r="I2073">
        <v>2</v>
      </c>
      <c r="J2073">
        <v>3</v>
      </c>
      <c r="K2073">
        <v>3</v>
      </c>
      <c r="L2073">
        <v>5</v>
      </c>
      <c r="M2073">
        <v>1</v>
      </c>
      <c r="N2073">
        <v>0</v>
      </c>
      <c r="O2073">
        <v>7</v>
      </c>
      <c r="P2073">
        <v>4</v>
      </c>
      <c r="Q2073">
        <v>4</v>
      </c>
      <c r="R2073">
        <v>0</v>
      </c>
      <c r="S2073">
        <v>0</v>
      </c>
      <c r="T2073">
        <v>0</v>
      </c>
      <c r="U2073">
        <v>0</v>
      </c>
      <c r="V2073">
        <v>0</v>
      </c>
      <c r="W2073">
        <v>0</v>
      </c>
      <c r="X2073">
        <v>0</v>
      </c>
      <c r="Y2073">
        <v>0</v>
      </c>
      <c r="Z2073">
        <v>0</v>
      </c>
      <c r="AA2073">
        <v>0</v>
      </c>
      <c r="AB2073">
        <v>0</v>
      </c>
      <c r="AC2073">
        <v>0</v>
      </c>
      <c r="AD2073">
        <v>0</v>
      </c>
      <c r="AE2073">
        <v>0</v>
      </c>
      <c r="AF2073">
        <v>0</v>
      </c>
      <c r="AG2073">
        <v>0</v>
      </c>
      <c r="AH2073">
        <v>0</v>
      </c>
      <c r="AI2073">
        <v>0</v>
      </c>
      <c r="AJ2073">
        <v>0</v>
      </c>
      <c r="AK2073">
        <v>0</v>
      </c>
      <c r="AL2073">
        <v>30</v>
      </c>
      <c r="AM2073">
        <v>5</v>
      </c>
      <c r="AN2073">
        <v>90.62611607142918</v>
      </c>
    </row>
    <row r="2074" spans="1:40" x14ac:dyDescent="0.3">
      <c r="A2074" t="s">
        <v>574</v>
      </c>
      <c r="B2074" t="s">
        <v>59</v>
      </c>
      <c r="C2074" t="s">
        <v>10</v>
      </c>
      <c r="D2074" t="s">
        <v>14</v>
      </c>
      <c r="E2074">
        <v>202602</v>
      </c>
      <c r="F2074" t="s">
        <v>467</v>
      </c>
      <c r="G2074">
        <v>0</v>
      </c>
      <c r="H2074">
        <v>0</v>
      </c>
      <c r="I2074">
        <v>0</v>
      </c>
      <c r="J2074">
        <v>0</v>
      </c>
      <c r="K2074">
        <v>0</v>
      </c>
      <c r="L2074">
        <v>0</v>
      </c>
      <c r="M2074">
        <v>0</v>
      </c>
      <c r="N2074">
        <v>0</v>
      </c>
      <c r="O2074">
        <v>1</v>
      </c>
      <c r="P2074">
        <v>1</v>
      </c>
      <c r="Q2074">
        <v>0</v>
      </c>
      <c r="R2074">
        <v>0</v>
      </c>
      <c r="S2074">
        <v>0</v>
      </c>
      <c r="T2074">
        <v>0</v>
      </c>
      <c r="U2074">
        <v>0</v>
      </c>
      <c r="V2074">
        <v>0</v>
      </c>
      <c r="W2074">
        <v>0</v>
      </c>
      <c r="X2074">
        <v>0</v>
      </c>
      <c r="Y2074">
        <v>0</v>
      </c>
      <c r="Z2074">
        <v>0</v>
      </c>
      <c r="AA2074">
        <v>0</v>
      </c>
      <c r="AB2074">
        <v>0</v>
      </c>
      <c r="AC2074">
        <v>0</v>
      </c>
      <c r="AD2074">
        <v>0</v>
      </c>
      <c r="AE2074">
        <v>0</v>
      </c>
      <c r="AF2074">
        <v>0</v>
      </c>
      <c r="AG2074">
        <v>0</v>
      </c>
      <c r="AH2074">
        <v>0</v>
      </c>
      <c r="AI2074">
        <v>0</v>
      </c>
      <c r="AJ2074">
        <v>0</v>
      </c>
      <c r="AK2074">
        <v>0</v>
      </c>
      <c r="AL2074">
        <v>2</v>
      </c>
      <c r="AM2074">
        <v>0.66666666666666663</v>
      </c>
      <c r="AN2074">
        <v>10.083482142857227</v>
      </c>
    </row>
    <row r="2075" spans="1:40" x14ac:dyDescent="0.3">
      <c r="A2075" t="s">
        <v>574</v>
      </c>
      <c r="B2075" t="s">
        <v>59</v>
      </c>
      <c r="C2075" t="s">
        <v>10</v>
      </c>
      <c r="D2075" t="s">
        <v>14</v>
      </c>
      <c r="E2075">
        <v>202602</v>
      </c>
      <c r="F2075" t="s">
        <v>65</v>
      </c>
      <c r="G2075">
        <v>0</v>
      </c>
      <c r="H2075">
        <v>0</v>
      </c>
      <c r="I2075">
        <v>0</v>
      </c>
      <c r="J2075">
        <v>0</v>
      </c>
      <c r="K2075">
        <v>0</v>
      </c>
      <c r="L2075">
        <v>1</v>
      </c>
      <c r="M2075">
        <v>0</v>
      </c>
      <c r="N2075">
        <v>0</v>
      </c>
      <c r="O2075">
        <v>0</v>
      </c>
      <c r="P2075">
        <v>0</v>
      </c>
      <c r="Q2075">
        <v>0</v>
      </c>
      <c r="R2075">
        <v>0</v>
      </c>
      <c r="S2075">
        <v>0</v>
      </c>
      <c r="T2075">
        <v>0</v>
      </c>
      <c r="U2075">
        <v>0</v>
      </c>
      <c r="V2075">
        <v>0</v>
      </c>
      <c r="W2075">
        <v>0</v>
      </c>
      <c r="X2075">
        <v>0</v>
      </c>
      <c r="Y2075">
        <v>0</v>
      </c>
      <c r="Z2075">
        <v>0</v>
      </c>
      <c r="AA2075">
        <v>0</v>
      </c>
      <c r="AB2075">
        <v>0</v>
      </c>
      <c r="AC2075">
        <v>0</v>
      </c>
      <c r="AD2075">
        <v>0</v>
      </c>
      <c r="AE2075">
        <v>0</v>
      </c>
      <c r="AF2075">
        <v>0</v>
      </c>
      <c r="AG2075">
        <v>0</v>
      </c>
      <c r="AH2075">
        <v>0</v>
      </c>
      <c r="AI2075">
        <v>0</v>
      </c>
      <c r="AJ2075">
        <v>0</v>
      </c>
      <c r="AK2075">
        <v>0</v>
      </c>
      <c r="AL2075">
        <v>1</v>
      </c>
      <c r="AM2075">
        <v>0</v>
      </c>
      <c r="AN2075">
        <v>1</v>
      </c>
    </row>
    <row r="2076" spans="1:40" x14ac:dyDescent="0.3">
      <c r="A2076" t="s">
        <v>574</v>
      </c>
      <c r="B2076" t="s">
        <v>59</v>
      </c>
      <c r="C2076" t="s">
        <v>10</v>
      </c>
      <c r="D2076" t="s">
        <v>14</v>
      </c>
      <c r="E2076">
        <v>202602</v>
      </c>
      <c r="F2076" t="s">
        <v>66</v>
      </c>
      <c r="G2076">
        <v>0</v>
      </c>
      <c r="H2076">
        <v>1</v>
      </c>
      <c r="I2076">
        <v>1</v>
      </c>
      <c r="J2076">
        <v>2</v>
      </c>
      <c r="K2076">
        <v>0</v>
      </c>
      <c r="L2076">
        <v>0</v>
      </c>
      <c r="M2076">
        <v>0</v>
      </c>
      <c r="N2076">
        <v>0</v>
      </c>
      <c r="O2076">
        <v>1</v>
      </c>
      <c r="P2076">
        <v>0</v>
      </c>
      <c r="Q2076">
        <v>0</v>
      </c>
      <c r="R2076">
        <v>0</v>
      </c>
      <c r="S2076">
        <v>0</v>
      </c>
      <c r="T2076">
        <v>0</v>
      </c>
      <c r="U2076">
        <v>0</v>
      </c>
      <c r="V2076">
        <v>0</v>
      </c>
      <c r="W2076">
        <v>0</v>
      </c>
      <c r="X2076">
        <v>0</v>
      </c>
      <c r="Y2076">
        <v>0</v>
      </c>
      <c r="Z2076">
        <v>0</v>
      </c>
      <c r="AA2076">
        <v>0</v>
      </c>
      <c r="AB2076">
        <v>0</v>
      </c>
      <c r="AC2076">
        <v>0</v>
      </c>
      <c r="AD2076">
        <v>0</v>
      </c>
      <c r="AE2076">
        <v>0</v>
      </c>
      <c r="AF2076">
        <v>0</v>
      </c>
      <c r="AG2076">
        <v>0</v>
      </c>
      <c r="AH2076">
        <v>0</v>
      </c>
      <c r="AI2076">
        <v>0</v>
      </c>
      <c r="AJ2076">
        <v>0</v>
      </c>
      <c r="AK2076">
        <v>0</v>
      </c>
      <c r="AL2076">
        <v>5</v>
      </c>
      <c r="AM2076">
        <v>0.33333333333333331</v>
      </c>
      <c r="AN2076">
        <v>9.0417410714286142</v>
      </c>
    </row>
    <row r="2077" spans="1:40" x14ac:dyDescent="0.3">
      <c r="A2077" t="s">
        <v>574</v>
      </c>
      <c r="B2077" t="s">
        <v>59</v>
      </c>
      <c r="C2077" t="s">
        <v>10</v>
      </c>
      <c r="D2077" t="s">
        <v>14</v>
      </c>
      <c r="E2077">
        <v>202602</v>
      </c>
      <c r="F2077" t="s">
        <v>69</v>
      </c>
      <c r="G2077">
        <v>0</v>
      </c>
      <c r="H2077">
        <v>3</v>
      </c>
      <c r="I2077">
        <v>0</v>
      </c>
      <c r="J2077">
        <v>0</v>
      </c>
      <c r="K2077">
        <v>0</v>
      </c>
      <c r="L2077">
        <v>1</v>
      </c>
      <c r="M2077">
        <v>0</v>
      </c>
      <c r="N2077">
        <v>0</v>
      </c>
      <c r="O2077">
        <v>0</v>
      </c>
      <c r="P2077">
        <v>0</v>
      </c>
      <c r="Q2077">
        <v>0</v>
      </c>
      <c r="R2077">
        <v>0</v>
      </c>
      <c r="S2077">
        <v>0</v>
      </c>
      <c r="T2077">
        <v>0</v>
      </c>
      <c r="U2077">
        <v>0</v>
      </c>
      <c r="V2077">
        <v>0</v>
      </c>
      <c r="W2077">
        <v>0</v>
      </c>
      <c r="X2077">
        <v>0</v>
      </c>
      <c r="Y2077">
        <v>0</v>
      </c>
      <c r="Z2077">
        <v>0</v>
      </c>
      <c r="AA2077">
        <v>0</v>
      </c>
      <c r="AB2077">
        <v>0</v>
      </c>
      <c r="AC2077">
        <v>0</v>
      </c>
      <c r="AD2077">
        <v>0</v>
      </c>
      <c r="AE2077">
        <v>0</v>
      </c>
      <c r="AF2077">
        <v>0</v>
      </c>
      <c r="AG2077">
        <v>0</v>
      </c>
      <c r="AH2077">
        <v>0</v>
      </c>
      <c r="AI2077">
        <v>0</v>
      </c>
      <c r="AJ2077">
        <v>0</v>
      </c>
      <c r="AK2077">
        <v>0</v>
      </c>
      <c r="AL2077">
        <v>4</v>
      </c>
      <c r="AM2077">
        <v>0</v>
      </c>
      <c r="AN2077">
        <v>4</v>
      </c>
    </row>
    <row r="2078" spans="1:40" x14ac:dyDescent="0.3">
      <c r="A2078" t="s">
        <v>574</v>
      </c>
      <c r="B2078" t="s">
        <v>59</v>
      </c>
      <c r="C2078" t="s">
        <v>10</v>
      </c>
      <c r="D2078" t="s">
        <v>14</v>
      </c>
      <c r="E2078">
        <v>202602</v>
      </c>
      <c r="F2078" t="s">
        <v>70</v>
      </c>
      <c r="G2078">
        <v>0</v>
      </c>
      <c r="H2078">
        <v>0</v>
      </c>
      <c r="I2078">
        <v>0</v>
      </c>
      <c r="J2078">
        <v>0</v>
      </c>
      <c r="K2078">
        <v>0</v>
      </c>
      <c r="L2078">
        <v>1</v>
      </c>
      <c r="M2078">
        <v>0</v>
      </c>
      <c r="N2078">
        <v>0</v>
      </c>
      <c r="O2078">
        <v>0</v>
      </c>
      <c r="P2078">
        <v>0</v>
      </c>
      <c r="Q2078">
        <v>0</v>
      </c>
      <c r="R2078">
        <v>0</v>
      </c>
      <c r="S2078">
        <v>0</v>
      </c>
      <c r="T2078">
        <v>0</v>
      </c>
      <c r="U2078">
        <v>0</v>
      </c>
      <c r="V2078">
        <v>0</v>
      </c>
      <c r="W2078">
        <v>0</v>
      </c>
      <c r="X2078">
        <v>0</v>
      </c>
      <c r="Y2078">
        <v>0</v>
      </c>
      <c r="Z2078">
        <v>0</v>
      </c>
      <c r="AA2078">
        <v>0</v>
      </c>
      <c r="AB2078">
        <v>0</v>
      </c>
      <c r="AC2078">
        <v>0</v>
      </c>
      <c r="AD2078">
        <v>0</v>
      </c>
      <c r="AE2078">
        <v>0</v>
      </c>
      <c r="AF2078">
        <v>0</v>
      </c>
      <c r="AG2078">
        <v>0</v>
      </c>
      <c r="AH2078">
        <v>0</v>
      </c>
      <c r="AI2078">
        <v>0</v>
      </c>
      <c r="AJ2078">
        <v>0</v>
      </c>
      <c r="AK2078">
        <v>0</v>
      </c>
      <c r="AL2078">
        <v>1</v>
      </c>
      <c r="AM2078">
        <v>0</v>
      </c>
      <c r="AN2078">
        <v>1</v>
      </c>
    </row>
    <row r="2079" spans="1:40" x14ac:dyDescent="0.3">
      <c r="A2079" t="s">
        <v>574</v>
      </c>
      <c r="B2079" t="s">
        <v>59</v>
      </c>
      <c r="C2079" t="s">
        <v>10</v>
      </c>
      <c r="D2079" t="s">
        <v>14</v>
      </c>
      <c r="E2079">
        <v>202602</v>
      </c>
      <c r="F2079" t="s">
        <v>595</v>
      </c>
      <c r="G2079">
        <v>0</v>
      </c>
      <c r="H2079">
        <v>0</v>
      </c>
      <c r="I2079">
        <v>0</v>
      </c>
      <c r="J2079">
        <v>0</v>
      </c>
      <c r="K2079">
        <v>1</v>
      </c>
      <c r="L2079">
        <v>0</v>
      </c>
      <c r="M2079">
        <v>0</v>
      </c>
      <c r="N2079">
        <v>0</v>
      </c>
      <c r="O2079">
        <v>0</v>
      </c>
      <c r="P2079">
        <v>0</v>
      </c>
      <c r="Q2079">
        <v>0</v>
      </c>
      <c r="R2079">
        <v>0</v>
      </c>
      <c r="S2079">
        <v>0</v>
      </c>
      <c r="T2079">
        <v>0</v>
      </c>
      <c r="U2079">
        <v>0</v>
      </c>
      <c r="V2079">
        <v>0</v>
      </c>
      <c r="W2079">
        <v>0</v>
      </c>
      <c r="X2079">
        <v>0</v>
      </c>
      <c r="Y2079">
        <v>0</v>
      </c>
      <c r="Z2079">
        <v>0</v>
      </c>
      <c r="AA2079">
        <v>0</v>
      </c>
      <c r="AB2079">
        <v>0</v>
      </c>
      <c r="AC2079">
        <v>0</v>
      </c>
      <c r="AD2079">
        <v>0</v>
      </c>
      <c r="AE2079">
        <v>0</v>
      </c>
      <c r="AF2079">
        <v>0</v>
      </c>
      <c r="AG2079">
        <v>0</v>
      </c>
      <c r="AH2079">
        <v>0</v>
      </c>
      <c r="AI2079">
        <v>0</v>
      </c>
      <c r="AJ2079">
        <v>0</v>
      </c>
      <c r="AK2079">
        <v>0</v>
      </c>
      <c r="AL2079">
        <v>1</v>
      </c>
      <c r="AM2079">
        <v>0</v>
      </c>
      <c r="AN2079">
        <v>1</v>
      </c>
    </row>
    <row r="2080" spans="1:40" x14ac:dyDescent="0.3">
      <c r="A2080" t="s">
        <v>574</v>
      </c>
      <c r="B2080" t="s">
        <v>59</v>
      </c>
      <c r="C2080" t="s">
        <v>10</v>
      </c>
      <c r="D2080" t="s">
        <v>14</v>
      </c>
      <c r="E2080">
        <v>202602</v>
      </c>
      <c r="F2080" t="s">
        <v>588</v>
      </c>
      <c r="G2080">
        <v>0</v>
      </c>
      <c r="H2080">
        <v>0</v>
      </c>
      <c r="I2080">
        <v>0</v>
      </c>
      <c r="J2080">
        <v>0</v>
      </c>
      <c r="K2080">
        <v>0</v>
      </c>
      <c r="L2080">
        <v>2</v>
      </c>
      <c r="M2080">
        <v>0</v>
      </c>
      <c r="N2080">
        <v>0</v>
      </c>
      <c r="O2080">
        <v>1</v>
      </c>
      <c r="P2080">
        <v>0</v>
      </c>
      <c r="Q2080">
        <v>0</v>
      </c>
      <c r="R2080">
        <v>0</v>
      </c>
      <c r="S2080">
        <v>0</v>
      </c>
      <c r="T2080">
        <v>0</v>
      </c>
      <c r="U2080">
        <v>0</v>
      </c>
      <c r="V2080">
        <v>0</v>
      </c>
      <c r="W2080">
        <v>0</v>
      </c>
      <c r="X2080">
        <v>0</v>
      </c>
      <c r="Y2080">
        <v>0</v>
      </c>
      <c r="Z2080">
        <v>0</v>
      </c>
      <c r="AA2080">
        <v>0</v>
      </c>
      <c r="AB2080">
        <v>0</v>
      </c>
      <c r="AC2080">
        <v>0</v>
      </c>
      <c r="AD2080">
        <v>0</v>
      </c>
      <c r="AE2080">
        <v>0</v>
      </c>
      <c r="AF2080">
        <v>0</v>
      </c>
      <c r="AG2080">
        <v>0</v>
      </c>
      <c r="AH2080">
        <v>0</v>
      </c>
      <c r="AI2080">
        <v>0</v>
      </c>
      <c r="AJ2080">
        <v>0</v>
      </c>
      <c r="AK2080">
        <v>0</v>
      </c>
      <c r="AL2080">
        <v>3</v>
      </c>
      <c r="AM2080">
        <v>0.33333333333333331</v>
      </c>
      <c r="AN2080">
        <v>7.0417410714286133</v>
      </c>
    </row>
    <row r="2081" spans="1:40" x14ac:dyDescent="0.3">
      <c r="A2081" t="s">
        <v>574</v>
      </c>
      <c r="B2081" t="s">
        <v>59</v>
      </c>
      <c r="C2081" t="s">
        <v>10</v>
      </c>
      <c r="D2081" t="s">
        <v>14</v>
      </c>
      <c r="E2081">
        <v>202602</v>
      </c>
      <c r="F2081" t="s">
        <v>589</v>
      </c>
      <c r="G2081">
        <v>0</v>
      </c>
      <c r="H2081">
        <v>0</v>
      </c>
      <c r="I2081">
        <v>2</v>
      </c>
      <c r="J2081">
        <v>0</v>
      </c>
      <c r="K2081">
        <v>1</v>
      </c>
      <c r="L2081">
        <v>0</v>
      </c>
      <c r="M2081">
        <v>0</v>
      </c>
      <c r="N2081">
        <v>0</v>
      </c>
      <c r="O2081">
        <v>0</v>
      </c>
      <c r="P2081">
        <v>0</v>
      </c>
      <c r="Q2081">
        <v>0</v>
      </c>
      <c r="R2081">
        <v>0</v>
      </c>
      <c r="S2081">
        <v>0</v>
      </c>
      <c r="T2081">
        <v>0</v>
      </c>
      <c r="U2081">
        <v>0</v>
      </c>
      <c r="V2081">
        <v>0</v>
      </c>
      <c r="W2081">
        <v>0</v>
      </c>
      <c r="X2081">
        <v>0</v>
      </c>
      <c r="Y2081">
        <v>0</v>
      </c>
      <c r="Z2081">
        <v>0</v>
      </c>
      <c r="AA2081">
        <v>0</v>
      </c>
      <c r="AB2081">
        <v>0</v>
      </c>
      <c r="AC2081">
        <v>0</v>
      </c>
      <c r="AD2081">
        <v>0</v>
      </c>
      <c r="AE2081">
        <v>0</v>
      </c>
      <c r="AF2081">
        <v>0</v>
      </c>
      <c r="AG2081">
        <v>0</v>
      </c>
      <c r="AH2081">
        <v>0</v>
      </c>
      <c r="AI2081">
        <v>0</v>
      </c>
      <c r="AJ2081">
        <v>0</v>
      </c>
      <c r="AK2081">
        <v>0</v>
      </c>
      <c r="AL2081">
        <v>3</v>
      </c>
      <c r="AM2081">
        <v>0</v>
      </c>
      <c r="AN2081">
        <v>3</v>
      </c>
    </row>
    <row r="2082" spans="1:40" x14ac:dyDescent="0.3">
      <c r="A2082" t="s">
        <v>574</v>
      </c>
      <c r="B2082" t="s">
        <v>59</v>
      </c>
      <c r="C2082" t="s">
        <v>10</v>
      </c>
      <c r="D2082" t="s">
        <v>14</v>
      </c>
      <c r="E2082">
        <v>202602</v>
      </c>
      <c r="F2082" t="s">
        <v>590</v>
      </c>
      <c r="G2082">
        <v>0</v>
      </c>
      <c r="H2082">
        <v>2</v>
      </c>
      <c r="I2082">
        <v>0</v>
      </c>
      <c r="J2082">
        <v>1</v>
      </c>
      <c r="K2082">
        <v>0</v>
      </c>
      <c r="L2082">
        <v>0</v>
      </c>
      <c r="M2082">
        <v>0</v>
      </c>
      <c r="N2082">
        <v>0</v>
      </c>
      <c r="O2082">
        <v>1</v>
      </c>
      <c r="P2082">
        <v>0</v>
      </c>
      <c r="Q2082">
        <v>3</v>
      </c>
      <c r="R2082">
        <v>0</v>
      </c>
      <c r="S2082">
        <v>0</v>
      </c>
      <c r="T2082">
        <v>0</v>
      </c>
      <c r="U2082">
        <v>0</v>
      </c>
      <c r="V2082">
        <v>0</v>
      </c>
      <c r="W2082">
        <v>0</v>
      </c>
      <c r="X2082">
        <v>0</v>
      </c>
      <c r="Y2082">
        <v>0</v>
      </c>
      <c r="Z2082">
        <v>0</v>
      </c>
      <c r="AA2082">
        <v>0</v>
      </c>
      <c r="AB2082">
        <v>0</v>
      </c>
      <c r="AC2082">
        <v>0</v>
      </c>
      <c r="AD2082">
        <v>0</v>
      </c>
      <c r="AE2082">
        <v>0</v>
      </c>
      <c r="AF2082">
        <v>0</v>
      </c>
      <c r="AG2082">
        <v>0</v>
      </c>
      <c r="AH2082">
        <v>0</v>
      </c>
      <c r="AI2082">
        <v>0</v>
      </c>
      <c r="AJ2082">
        <v>0</v>
      </c>
      <c r="AK2082">
        <v>0</v>
      </c>
      <c r="AL2082">
        <v>7</v>
      </c>
      <c r="AM2082">
        <v>1.3333333333333333</v>
      </c>
      <c r="AN2082">
        <v>23.166964285714453</v>
      </c>
    </row>
    <row r="2083" spans="1:40" x14ac:dyDescent="0.3">
      <c r="A2083" t="s">
        <v>574</v>
      </c>
      <c r="B2083" t="s">
        <v>59</v>
      </c>
      <c r="C2083" t="s">
        <v>10</v>
      </c>
      <c r="D2083" t="s">
        <v>14</v>
      </c>
      <c r="E2083">
        <v>202602</v>
      </c>
      <c r="F2083" t="s">
        <v>591</v>
      </c>
      <c r="G2083">
        <v>0</v>
      </c>
      <c r="H2083">
        <v>0</v>
      </c>
      <c r="I2083">
        <v>2</v>
      </c>
      <c r="J2083">
        <v>1</v>
      </c>
      <c r="K2083">
        <v>0</v>
      </c>
      <c r="L2083">
        <v>0</v>
      </c>
      <c r="M2083">
        <v>1</v>
      </c>
      <c r="N2083">
        <v>0</v>
      </c>
      <c r="O2083">
        <v>0</v>
      </c>
      <c r="P2083">
        <v>2</v>
      </c>
      <c r="Q2083">
        <v>4</v>
      </c>
      <c r="R2083">
        <v>0</v>
      </c>
      <c r="S2083">
        <v>0</v>
      </c>
      <c r="T2083">
        <v>0</v>
      </c>
      <c r="U2083">
        <v>0</v>
      </c>
      <c r="V2083">
        <v>0</v>
      </c>
      <c r="W2083">
        <v>0</v>
      </c>
      <c r="X2083">
        <v>0</v>
      </c>
      <c r="Y2083">
        <v>0</v>
      </c>
      <c r="Z2083">
        <v>0</v>
      </c>
      <c r="AA2083">
        <v>0</v>
      </c>
      <c r="AB2083">
        <v>0</v>
      </c>
      <c r="AC2083">
        <v>0</v>
      </c>
      <c r="AD2083">
        <v>0</v>
      </c>
      <c r="AE2083">
        <v>0</v>
      </c>
      <c r="AF2083">
        <v>0</v>
      </c>
      <c r="AG2083">
        <v>0</v>
      </c>
      <c r="AH2083">
        <v>0</v>
      </c>
      <c r="AI2083">
        <v>0</v>
      </c>
      <c r="AJ2083">
        <v>0</v>
      </c>
      <c r="AK2083">
        <v>0</v>
      </c>
      <c r="AL2083">
        <v>10</v>
      </c>
      <c r="AM2083">
        <v>2</v>
      </c>
      <c r="AN2083">
        <v>34.250446428571678</v>
      </c>
    </row>
    <row r="2084" spans="1:40" x14ac:dyDescent="0.3">
      <c r="A2084" t="s">
        <v>574</v>
      </c>
      <c r="B2084" t="s">
        <v>59</v>
      </c>
      <c r="C2084" t="s">
        <v>10</v>
      </c>
      <c r="D2084" t="s">
        <v>14</v>
      </c>
      <c r="E2084">
        <v>202602</v>
      </c>
      <c r="F2084" t="s">
        <v>592</v>
      </c>
      <c r="G2084">
        <v>0</v>
      </c>
      <c r="H2084">
        <v>0</v>
      </c>
      <c r="I2084">
        <v>0</v>
      </c>
      <c r="J2084">
        <v>1</v>
      </c>
      <c r="K2084">
        <v>0</v>
      </c>
      <c r="L2084">
        <v>0</v>
      </c>
      <c r="M2084">
        <v>0</v>
      </c>
      <c r="N2084">
        <v>0</v>
      </c>
      <c r="O2084">
        <v>3</v>
      </c>
      <c r="P2084">
        <v>0</v>
      </c>
      <c r="Q2084">
        <v>0</v>
      </c>
      <c r="R2084">
        <v>0</v>
      </c>
      <c r="S2084">
        <v>0</v>
      </c>
      <c r="T2084">
        <v>0</v>
      </c>
      <c r="U2084">
        <v>0</v>
      </c>
      <c r="V2084">
        <v>0</v>
      </c>
      <c r="W2084">
        <v>0</v>
      </c>
      <c r="X2084">
        <v>0</v>
      </c>
      <c r="Y2084">
        <v>0</v>
      </c>
      <c r="Z2084">
        <v>0</v>
      </c>
      <c r="AA2084">
        <v>0</v>
      </c>
      <c r="AB2084">
        <v>0</v>
      </c>
      <c r="AC2084">
        <v>0</v>
      </c>
      <c r="AD2084">
        <v>0</v>
      </c>
      <c r="AE2084">
        <v>0</v>
      </c>
      <c r="AF2084">
        <v>0</v>
      </c>
      <c r="AG2084">
        <v>0</v>
      </c>
      <c r="AH2084">
        <v>0</v>
      </c>
      <c r="AI2084">
        <v>0</v>
      </c>
      <c r="AJ2084">
        <v>0</v>
      </c>
      <c r="AK2084">
        <v>0</v>
      </c>
      <c r="AL2084">
        <v>4</v>
      </c>
      <c r="AM2084">
        <v>1</v>
      </c>
      <c r="AN2084">
        <v>16.125223214285839</v>
      </c>
    </row>
    <row r="2085" spans="1:40" x14ac:dyDescent="0.3">
      <c r="A2085" t="s">
        <v>574</v>
      </c>
      <c r="B2085" t="s">
        <v>59</v>
      </c>
      <c r="C2085" t="s">
        <v>10</v>
      </c>
      <c r="D2085" t="s">
        <v>14</v>
      </c>
      <c r="E2085">
        <v>202602</v>
      </c>
      <c r="F2085" t="s">
        <v>553</v>
      </c>
      <c r="G2085">
        <v>0</v>
      </c>
      <c r="H2085">
        <v>1</v>
      </c>
      <c r="I2085">
        <v>1</v>
      </c>
      <c r="J2085">
        <v>6</v>
      </c>
      <c r="K2085">
        <v>0</v>
      </c>
      <c r="L2085">
        <v>4</v>
      </c>
      <c r="M2085">
        <v>2</v>
      </c>
      <c r="N2085">
        <v>0</v>
      </c>
      <c r="O2085">
        <v>2</v>
      </c>
      <c r="P2085">
        <v>5</v>
      </c>
      <c r="Q2085">
        <v>5</v>
      </c>
      <c r="R2085">
        <v>0</v>
      </c>
      <c r="S2085">
        <v>0</v>
      </c>
      <c r="T2085">
        <v>0</v>
      </c>
      <c r="U2085">
        <v>0</v>
      </c>
      <c r="V2085">
        <v>0</v>
      </c>
      <c r="W2085">
        <v>0</v>
      </c>
      <c r="X2085">
        <v>0</v>
      </c>
      <c r="Y2085">
        <v>0</v>
      </c>
      <c r="Z2085">
        <v>0</v>
      </c>
      <c r="AA2085">
        <v>0</v>
      </c>
      <c r="AB2085">
        <v>0</v>
      </c>
      <c r="AC2085">
        <v>0</v>
      </c>
      <c r="AD2085">
        <v>0</v>
      </c>
      <c r="AE2085">
        <v>0</v>
      </c>
      <c r="AF2085">
        <v>0</v>
      </c>
      <c r="AG2085">
        <v>0</v>
      </c>
      <c r="AH2085">
        <v>0</v>
      </c>
      <c r="AI2085">
        <v>0</v>
      </c>
      <c r="AJ2085">
        <v>0</v>
      </c>
      <c r="AK2085">
        <v>0</v>
      </c>
      <c r="AL2085">
        <v>26</v>
      </c>
      <c r="AM2085">
        <v>4</v>
      </c>
      <c r="AN2085">
        <v>74.500892857143356</v>
      </c>
    </row>
    <row r="2086" spans="1:40" x14ac:dyDescent="0.3">
      <c r="A2086" t="s">
        <v>574</v>
      </c>
      <c r="B2086" t="s">
        <v>59</v>
      </c>
      <c r="C2086" t="s">
        <v>10</v>
      </c>
      <c r="D2086" t="s">
        <v>14</v>
      </c>
      <c r="E2086">
        <v>202602</v>
      </c>
      <c r="F2086" t="s">
        <v>593</v>
      </c>
      <c r="G2086">
        <v>0</v>
      </c>
      <c r="H2086">
        <v>1</v>
      </c>
      <c r="I2086">
        <v>1</v>
      </c>
      <c r="J2086">
        <v>1</v>
      </c>
      <c r="K2086">
        <v>1</v>
      </c>
      <c r="L2086">
        <v>0</v>
      </c>
      <c r="M2086">
        <v>0</v>
      </c>
      <c r="N2086">
        <v>0</v>
      </c>
      <c r="O2086">
        <v>1</v>
      </c>
      <c r="P2086">
        <v>0</v>
      </c>
      <c r="Q2086">
        <v>0</v>
      </c>
      <c r="R2086">
        <v>0</v>
      </c>
      <c r="S2086">
        <v>0</v>
      </c>
      <c r="T2086">
        <v>0</v>
      </c>
      <c r="U2086">
        <v>0</v>
      </c>
      <c r="V2086">
        <v>0</v>
      </c>
      <c r="W2086">
        <v>0</v>
      </c>
      <c r="X2086">
        <v>0</v>
      </c>
      <c r="Y2086">
        <v>0</v>
      </c>
      <c r="Z2086">
        <v>0</v>
      </c>
      <c r="AA2086">
        <v>0</v>
      </c>
      <c r="AB2086">
        <v>0</v>
      </c>
      <c r="AC2086">
        <v>0</v>
      </c>
      <c r="AD2086">
        <v>0</v>
      </c>
      <c r="AE2086">
        <v>0</v>
      </c>
      <c r="AF2086">
        <v>0</v>
      </c>
      <c r="AG2086">
        <v>0</v>
      </c>
      <c r="AH2086">
        <v>0</v>
      </c>
      <c r="AI2086">
        <v>0</v>
      </c>
      <c r="AJ2086">
        <v>0</v>
      </c>
      <c r="AK2086">
        <v>0</v>
      </c>
      <c r="AL2086">
        <v>5</v>
      </c>
      <c r="AM2086">
        <v>0.33333333333333331</v>
      </c>
      <c r="AN2086">
        <v>9.0417410714286142</v>
      </c>
    </row>
    <row r="2087" spans="1:40" x14ac:dyDescent="0.3">
      <c r="A2087" t="s">
        <v>574</v>
      </c>
      <c r="B2087" t="s">
        <v>59</v>
      </c>
      <c r="C2087" t="s">
        <v>10</v>
      </c>
      <c r="D2087" t="s">
        <v>14</v>
      </c>
      <c r="E2087">
        <v>202602</v>
      </c>
      <c r="F2087" t="s">
        <v>594</v>
      </c>
      <c r="G2087">
        <v>0</v>
      </c>
      <c r="H2087">
        <v>1</v>
      </c>
      <c r="I2087">
        <v>2</v>
      </c>
      <c r="J2087">
        <v>2</v>
      </c>
      <c r="K2087">
        <v>0</v>
      </c>
      <c r="L2087">
        <v>2</v>
      </c>
      <c r="M2087">
        <v>0</v>
      </c>
      <c r="N2087">
        <v>0</v>
      </c>
      <c r="O2087">
        <v>1</v>
      </c>
      <c r="P2087">
        <v>0</v>
      </c>
      <c r="Q2087">
        <v>2</v>
      </c>
      <c r="R2087">
        <v>0</v>
      </c>
      <c r="S2087">
        <v>0</v>
      </c>
      <c r="T2087">
        <v>0</v>
      </c>
      <c r="U2087">
        <v>0</v>
      </c>
      <c r="V2087">
        <v>0</v>
      </c>
      <c r="W2087">
        <v>0</v>
      </c>
      <c r="X2087">
        <v>0</v>
      </c>
      <c r="Y2087">
        <v>0</v>
      </c>
      <c r="Z2087">
        <v>0</v>
      </c>
      <c r="AA2087">
        <v>0</v>
      </c>
      <c r="AB2087">
        <v>0</v>
      </c>
      <c r="AC2087">
        <v>0</v>
      </c>
      <c r="AD2087">
        <v>0</v>
      </c>
      <c r="AE2087">
        <v>0</v>
      </c>
      <c r="AF2087">
        <v>0</v>
      </c>
      <c r="AG2087">
        <v>0</v>
      </c>
      <c r="AH2087">
        <v>0</v>
      </c>
      <c r="AI2087">
        <v>0</v>
      </c>
      <c r="AJ2087">
        <v>0</v>
      </c>
      <c r="AK2087">
        <v>0</v>
      </c>
      <c r="AL2087">
        <v>10</v>
      </c>
      <c r="AM2087">
        <v>1</v>
      </c>
      <c r="AN2087">
        <v>22.125223214285839</v>
      </c>
    </row>
    <row r="2088" spans="1:40" x14ac:dyDescent="0.3">
      <c r="A2088" t="s">
        <v>574</v>
      </c>
      <c r="B2088" t="s">
        <v>59</v>
      </c>
      <c r="C2088" t="s">
        <v>10</v>
      </c>
      <c r="D2088" t="s">
        <v>14</v>
      </c>
      <c r="E2088">
        <v>202602</v>
      </c>
      <c r="F2088" t="s">
        <v>79</v>
      </c>
      <c r="G2088">
        <v>0</v>
      </c>
      <c r="H2088">
        <v>0</v>
      </c>
      <c r="I2088">
        <v>0</v>
      </c>
      <c r="J2088">
        <v>0</v>
      </c>
      <c r="K2088">
        <v>0</v>
      </c>
      <c r="L2088">
        <v>0</v>
      </c>
      <c r="M2088">
        <v>0</v>
      </c>
      <c r="N2088">
        <v>0</v>
      </c>
      <c r="O2088">
        <v>1</v>
      </c>
      <c r="P2088">
        <v>0</v>
      </c>
      <c r="Q2088">
        <v>0</v>
      </c>
      <c r="R2088">
        <v>0</v>
      </c>
      <c r="S2088">
        <v>0</v>
      </c>
      <c r="T2088">
        <v>0</v>
      </c>
      <c r="U2088">
        <v>0</v>
      </c>
      <c r="V2088">
        <v>0</v>
      </c>
      <c r="W2088">
        <v>0</v>
      </c>
      <c r="X2088">
        <v>0</v>
      </c>
      <c r="Y2088">
        <v>0</v>
      </c>
      <c r="Z2088">
        <v>0</v>
      </c>
      <c r="AA2088">
        <v>0</v>
      </c>
      <c r="AB2088">
        <v>0</v>
      </c>
      <c r="AC2088">
        <v>0</v>
      </c>
      <c r="AD2088">
        <v>0</v>
      </c>
      <c r="AE2088">
        <v>0</v>
      </c>
      <c r="AF2088">
        <v>0</v>
      </c>
      <c r="AG2088">
        <v>0</v>
      </c>
      <c r="AH2088">
        <v>0</v>
      </c>
      <c r="AI2088">
        <v>0</v>
      </c>
      <c r="AJ2088">
        <v>0</v>
      </c>
      <c r="AK2088">
        <v>0</v>
      </c>
      <c r="AL2088">
        <v>1</v>
      </c>
      <c r="AM2088">
        <v>0.33333333333333331</v>
      </c>
      <c r="AN2088">
        <v>5.0417410714286133</v>
      </c>
    </row>
    <row r="2089" spans="1:40" x14ac:dyDescent="0.3">
      <c r="A2089" t="s">
        <v>574</v>
      </c>
      <c r="B2089" t="s">
        <v>59</v>
      </c>
      <c r="C2089" t="s">
        <v>10</v>
      </c>
      <c r="D2089" t="s">
        <v>14</v>
      </c>
      <c r="E2089">
        <v>202602</v>
      </c>
      <c r="F2089" t="s">
        <v>700</v>
      </c>
      <c r="G2089">
        <v>0</v>
      </c>
      <c r="H2089">
        <v>0</v>
      </c>
      <c r="I2089">
        <v>0</v>
      </c>
      <c r="J2089">
        <v>0</v>
      </c>
      <c r="K2089">
        <v>0</v>
      </c>
      <c r="L2089">
        <v>0</v>
      </c>
      <c r="M2089">
        <v>0</v>
      </c>
      <c r="N2089">
        <v>0</v>
      </c>
      <c r="O2089">
        <v>0</v>
      </c>
      <c r="P2089">
        <v>0</v>
      </c>
      <c r="Q2089">
        <v>1</v>
      </c>
      <c r="R2089">
        <v>0</v>
      </c>
      <c r="S2089">
        <v>0</v>
      </c>
      <c r="T2089">
        <v>0</v>
      </c>
      <c r="U2089">
        <v>0</v>
      </c>
      <c r="V2089">
        <v>0</v>
      </c>
      <c r="W2089">
        <v>0</v>
      </c>
      <c r="X2089">
        <v>0</v>
      </c>
      <c r="Y2089">
        <v>0</v>
      </c>
      <c r="Z2089">
        <v>0</v>
      </c>
      <c r="AA2089">
        <v>0</v>
      </c>
      <c r="AB2089">
        <v>0</v>
      </c>
      <c r="AC2089">
        <v>0</v>
      </c>
      <c r="AD2089">
        <v>0</v>
      </c>
      <c r="AE2089">
        <v>0</v>
      </c>
      <c r="AF2089">
        <v>0</v>
      </c>
      <c r="AG2089">
        <v>0</v>
      </c>
      <c r="AH2089">
        <v>0</v>
      </c>
      <c r="AI2089">
        <v>0</v>
      </c>
      <c r="AJ2089">
        <v>0</v>
      </c>
      <c r="AK2089">
        <v>0</v>
      </c>
      <c r="AL2089">
        <v>1</v>
      </c>
      <c r="AM2089">
        <v>0.33333333333333331</v>
      </c>
      <c r="AN2089">
        <v>5.0417410714286133</v>
      </c>
    </row>
    <row r="2090" spans="1:40" x14ac:dyDescent="0.3">
      <c r="A2090" t="s">
        <v>574</v>
      </c>
      <c r="B2090" t="s">
        <v>81</v>
      </c>
      <c r="C2090" t="s">
        <v>10</v>
      </c>
      <c r="D2090" t="s">
        <v>11</v>
      </c>
      <c r="E2090">
        <v>202602</v>
      </c>
      <c r="F2090" t="s">
        <v>596</v>
      </c>
      <c r="G2090">
        <v>0</v>
      </c>
      <c r="H2090">
        <v>0</v>
      </c>
      <c r="I2090">
        <v>0</v>
      </c>
      <c r="J2090">
        <v>0</v>
      </c>
      <c r="K2090">
        <v>0</v>
      </c>
      <c r="L2090">
        <v>0</v>
      </c>
      <c r="M2090">
        <v>1</v>
      </c>
      <c r="N2090">
        <v>0</v>
      </c>
      <c r="O2090">
        <v>0</v>
      </c>
      <c r="P2090">
        <v>0</v>
      </c>
      <c r="Q2090">
        <v>0</v>
      </c>
      <c r="R2090">
        <v>0</v>
      </c>
      <c r="S2090">
        <v>0</v>
      </c>
      <c r="T2090">
        <v>0</v>
      </c>
      <c r="U2090">
        <v>0</v>
      </c>
      <c r="V2090">
        <v>0</v>
      </c>
      <c r="W2090">
        <v>0</v>
      </c>
      <c r="X2090">
        <v>0</v>
      </c>
      <c r="Y2090">
        <v>0</v>
      </c>
      <c r="Z2090">
        <v>0</v>
      </c>
      <c r="AA2090">
        <v>0</v>
      </c>
      <c r="AB2090">
        <v>0</v>
      </c>
      <c r="AC2090">
        <v>0</v>
      </c>
      <c r="AD2090">
        <v>0</v>
      </c>
      <c r="AE2090">
        <v>0</v>
      </c>
      <c r="AF2090">
        <v>0</v>
      </c>
      <c r="AG2090">
        <v>0</v>
      </c>
      <c r="AH2090">
        <v>0</v>
      </c>
      <c r="AI2090">
        <v>0</v>
      </c>
      <c r="AJ2090">
        <v>0</v>
      </c>
      <c r="AK2090">
        <v>0</v>
      </c>
      <c r="AL2090">
        <v>1</v>
      </c>
      <c r="AM2090">
        <v>0</v>
      </c>
      <c r="AN2090">
        <v>1</v>
      </c>
    </row>
    <row r="2091" spans="1:40" x14ac:dyDescent="0.3">
      <c r="A2091" t="s">
        <v>574</v>
      </c>
      <c r="B2091" t="s">
        <v>81</v>
      </c>
      <c r="C2091" t="s">
        <v>10</v>
      </c>
      <c r="D2091" t="s">
        <v>11</v>
      </c>
      <c r="E2091">
        <v>202602</v>
      </c>
      <c r="F2091" t="s">
        <v>428</v>
      </c>
      <c r="G2091">
        <v>0</v>
      </c>
      <c r="H2091">
        <v>0</v>
      </c>
      <c r="I2091">
        <v>0</v>
      </c>
      <c r="J2091">
        <v>0</v>
      </c>
      <c r="K2091">
        <v>0</v>
      </c>
      <c r="L2091">
        <v>0</v>
      </c>
      <c r="M2091">
        <v>0</v>
      </c>
      <c r="N2091">
        <v>0</v>
      </c>
      <c r="O2091">
        <v>1</v>
      </c>
      <c r="P2091">
        <v>0</v>
      </c>
      <c r="Q2091">
        <v>0</v>
      </c>
      <c r="R2091">
        <v>0</v>
      </c>
      <c r="S2091">
        <v>0</v>
      </c>
      <c r="T2091">
        <v>0</v>
      </c>
      <c r="U2091">
        <v>0</v>
      </c>
      <c r="V2091">
        <v>0</v>
      </c>
      <c r="W2091">
        <v>0</v>
      </c>
      <c r="X2091">
        <v>0</v>
      </c>
      <c r="Y2091">
        <v>0</v>
      </c>
      <c r="Z2091">
        <v>0</v>
      </c>
      <c r="AA2091">
        <v>0</v>
      </c>
      <c r="AB2091">
        <v>0</v>
      </c>
      <c r="AC2091">
        <v>0</v>
      </c>
      <c r="AD2091">
        <v>0</v>
      </c>
      <c r="AE2091">
        <v>0</v>
      </c>
      <c r="AF2091">
        <v>0</v>
      </c>
      <c r="AG2091">
        <v>0</v>
      </c>
      <c r="AH2091">
        <v>0</v>
      </c>
      <c r="AI2091">
        <v>0</v>
      </c>
      <c r="AJ2091">
        <v>0</v>
      </c>
      <c r="AK2091">
        <v>0</v>
      </c>
      <c r="AL2091">
        <v>1</v>
      </c>
      <c r="AM2091">
        <v>0.33333333333333331</v>
      </c>
      <c r="AN2091">
        <v>5.6046251398731117</v>
      </c>
    </row>
    <row r="2092" spans="1:40" x14ac:dyDescent="0.3">
      <c r="A2092" t="s">
        <v>574</v>
      </c>
      <c r="B2092" t="s">
        <v>81</v>
      </c>
      <c r="C2092" t="s">
        <v>10</v>
      </c>
      <c r="D2092" t="s">
        <v>11</v>
      </c>
      <c r="E2092">
        <v>202602</v>
      </c>
      <c r="F2092" t="s">
        <v>588</v>
      </c>
      <c r="G2092">
        <v>0</v>
      </c>
      <c r="H2092">
        <v>1</v>
      </c>
      <c r="I2092">
        <v>0</v>
      </c>
      <c r="J2092">
        <v>1</v>
      </c>
      <c r="K2092">
        <v>0</v>
      </c>
      <c r="L2092">
        <v>1</v>
      </c>
      <c r="M2092">
        <v>0</v>
      </c>
      <c r="N2092">
        <v>0</v>
      </c>
      <c r="O2092">
        <v>0</v>
      </c>
      <c r="P2092">
        <v>0</v>
      </c>
      <c r="Q2092">
        <v>2</v>
      </c>
      <c r="R2092">
        <v>0</v>
      </c>
      <c r="S2092">
        <v>0</v>
      </c>
      <c r="T2092">
        <v>0</v>
      </c>
      <c r="U2092">
        <v>0</v>
      </c>
      <c r="V2092">
        <v>0</v>
      </c>
      <c r="W2092">
        <v>0</v>
      </c>
      <c r="X2092">
        <v>0</v>
      </c>
      <c r="Y2092">
        <v>0</v>
      </c>
      <c r="Z2092">
        <v>0</v>
      </c>
      <c r="AA2092">
        <v>0</v>
      </c>
      <c r="AB2092">
        <v>0</v>
      </c>
      <c r="AC2092">
        <v>0</v>
      </c>
      <c r="AD2092">
        <v>0</v>
      </c>
      <c r="AE2092">
        <v>0</v>
      </c>
      <c r="AF2092">
        <v>0</v>
      </c>
      <c r="AG2092">
        <v>0</v>
      </c>
      <c r="AH2092">
        <v>0</v>
      </c>
      <c r="AI2092">
        <v>0</v>
      </c>
      <c r="AJ2092">
        <v>0</v>
      </c>
      <c r="AK2092">
        <v>0</v>
      </c>
      <c r="AL2092">
        <v>5</v>
      </c>
      <c r="AM2092">
        <v>0.66666666666666663</v>
      </c>
      <c r="AN2092">
        <v>14.209250279746223</v>
      </c>
    </row>
    <row r="2093" spans="1:40" x14ac:dyDescent="0.3">
      <c r="A2093" t="s">
        <v>574</v>
      </c>
      <c r="B2093" t="s">
        <v>81</v>
      </c>
      <c r="C2093" t="s">
        <v>10</v>
      </c>
      <c r="D2093" t="s">
        <v>11</v>
      </c>
      <c r="E2093">
        <v>202602</v>
      </c>
      <c r="F2093" t="s">
        <v>597</v>
      </c>
      <c r="G2093">
        <v>0</v>
      </c>
      <c r="H2093">
        <v>0</v>
      </c>
      <c r="I2093">
        <v>0</v>
      </c>
      <c r="J2093">
        <v>0</v>
      </c>
      <c r="K2093">
        <v>1</v>
      </c>
      <c r="L2093">
        <v>0</v>
      </c>
      <c r="M2093">
        <v>0</v>
      </c>
      <c r="N2093">
        <v>0</v>
      </c>
      <c r="O2093">
        <v>0</v>
      </c>
      <c r="P2093">
        <v>0</v>
      </c>
      <c r="Q2093">
        <v>0</v>
      </c>
      <c r="R2093">
        <v>0</v>
      </c>
      <c r="S2093">
        <v>0</v>
      </c>
      <c r="T2093">
        <v>0</v>
      </c>
      <c r="U2093">
        <v>0</v>
      </c>
      <c r="V2093">
        <v>0</v>
      </c>
      <c r="W2093">
        <v>0</v>
      </c>
      <c r="X2093">
        <v>0</v>
      </c>
      <c r="Y2093">
        <v>0</v>
      </c>
      <c r="Z2093">
        <v>0</v>
      </c>
      <c r="AA2093">
        <v>0</v>
      </c>
      <c r="AB2093">
        <v>0</v>
      </c>
      <c r="AC2093">
        <v>0</v>
      </c>
      <c r="AD2093">
        <v>0</v>
      </c>
      <c r="AE2093">
        <v>0</v>
      </c>
      <c r="AF2093">
        <v>0</v>
      </c>
      <c r="AG2093">
        <v>0</v>
      </c>
      <c r="AH2093">
        <v>0</v>
      </c>
      <c r="AI2093">
        <v>0</v>
      </c>
      <c r="AJ2093">
        <v>0</v>
      </c>
      <c r="AK2093">
        <v>0</v>
      </c>
      <c r="AL2093">
        <v>1</v>
      </c>
      <c r="AM2093">
        <v>0</v>
      </c>
      <c r="AN2093">
        <v>1</v>
      </c>
    </row>
    <row r="2094" spans="1:40" x14ac:dyDescent="0.3">
      <c r="A2094" t="s">
        <v>574</v>
      </c>
      <c r="B2094" t="s">
        <v>81</v>
      </c>
      <c r="C2094" t="s">
        <v>10</v>
      </c>
      <c r="D2094" t="s">
        <v>14</v>
      </c>
      <c r="E2094">
        <v>202602</v>
      </c>
      <c r="F2094" t="s">
        <v>596</v>
      </c>
      <c r="G2094">
        <v>0</v>
      </c>
      <c r="H2094">
        <v>0</v>
      </c>
      <c r="I2094">
        <v>0</v>
      </c>
      <c r="J2094">
        <v>0</v>
      </c>
      <c r="K2094">
        <v>1</v>
      </c>
      <c r="L2094">
        <v>0</v>
      </c>
      <c r="M2094">
        <v>0</v>
      </c>
      <c r="N2094">
        <v>0</v>
      </c>
      <c r="O2094">
        <v>0</v>
      </c>
      <c r="P2094">
        <v>0</v>
      </c>
      <c r="Q2094">
        <v>0</v>
      </c>
      <c r="R2094">
        <v>0</v>
      </c>
      <c r="S2094">
        <v>0</v>
      </c>
      <c r="T2094">
        <v>0</v>
      </c>
      <c r="U2094">
        <v>0</v>
      </c>
      <c r="V2094">
        <v>0</v>
      </c>
      <c r="W2094">
        <v>0</v>
      </c>
      <c r="X2094">
        <v>0</v>
      </c>
      <c r="Y2094">
        <v>0</v>
      </c>
      <c r="Z2094">
        <v>0</v>
      </c>
      <c r="AA2094">
        <v>0</v>
      </c>
      <c r="AB2094">
        <v>0</v>
      </c>
      <c r="AC2094">
        <v>0</v>
      </c>
      <c r="AD2094">
        <v>0</v>
      </c>
      <c r="AE2094">
        <v>0</v>
      </c>
      <c r="AF2094">
        <v>0</v>
      </c>
      <c r="AG2094">
        <v>0</v>
      </c>
      <c r="AH2094">
        <v>0</v>
      </c>
      <c r="AI2094">
        <v>0</v>
      </c>
      <c r="AJ2094">
        <v>0</v>
      </c>
      <c r="AK2094">
        <v>0</v>
      </c>
      <c r="AL2094">
        <v>1</v>
      </c>
      <c r="AM2094">
        <v>0</v>
      </c>
      <c r="AN2094">
        <v>1</v>
      </c>
    </row>
    <row r="2095" spans="1:40" x14ac:dyDescent="0.3">
      <c r="A2095" t="s">
        <v>574</v>
      </c>
      <c r="B2095" t="s">
        <v>81</v>
      </c>
      <c r="C2095" t="s">
        <v>10</v>
      </c>
      <c r="D2095" t="s">
        <v>14</v>
      </c>
      <c r="E2095">
        <v>202602</v>
      </c>
      <c r="F2095" t="s">
        <v>428</v>
      </c>
      <c r="G2095">
        <v>0</v>
      </c>
      <c r="H2095">
        <v>0</v>
      </c>
      <c r="I2095">
        <v>0</v>
      </c>
      <c r="J2095">
        <v>0</v>
      </c>
      <c r="K2095">
        <v>1</v>
      </c>
      <c r="L2095">
        <v>1</v>
      </c>
      <c r="M2095">
        <v>0</v>
      </c>
      <c r="N2095">
        <v>0</v>
      </c>
      <c r="O2095">
        <v>0</v>
      </c>
      <c r="P2095">
        <v>0</v>
      </c>
      <c r="Q2095">
        <v>0</v>
      </c>
      <c r="R2095">
        <v>0</v>
      </c>
      <c r="S2095">
        <v>0</v>
      </c>
      <c r="T2095">
        <v>0</v>
      </c>
      <c r="U2095">
        <v>0</v>
      </c>
      <c r="V2095">
        <v>0</v>
      </c>
      <c r="W2095">
        <v>0</v>
      </c>
      <c r="X2095">
        <v>0</v>
      </c>
      <c r="Y2095">
        <v>0</v>
      </c>
      <c r="Z2095">
        <v>0</v>
      </c>
      <c r="AA2095">
        <v>0</v>
      </c>
      <c r="AB2095">
        <v>0</v>
      </c>
      <c r="AC2095">
        <v>0</v>
      </c>
      <c r="AD2095">
        <v>0</v>
      </c>
      <c r="AE2095">
        <v>0</v>
      </c>
      <c r="AF2095">
        <v>0</v>
      </c>
      <c r="AG2095">
        <v>0</v>
      </c>
      <c r="AH2095">
        <v>0</v>
      </c>
      <c r="AI2095">
        <v>0</v>
      </c>
      <c r="AJ2095">
        <v>0</v>
      </c>
      <c r="AK2095">
        <v>0</v>
      </c>
      <c r="AL2095">
        <v>2</v>
      </c>
      <c r="AM2095">
        <v>0</v>
      </c>
      <c r="AN2095">
        <v>2</v>
      </c>
    </row>
    <row r="2096" spans="1:40" x14ac:dyDescent="0.3">
      <c r="A2096" t="s">
        <v>574</v>
      </c>
      <c r="B2096" t="s">
        <v>81</v>
      </c>
      <c r="C2096" t="s">
        <v>10</v>
      </c>
      <c r="D2096" t="s">
        <v>14</v>
      </c>
      <c r="E2096">
        <v>202602</v>
      </c>
      <c r="F2096" t="s">
        <v>588</v>
      </c>
      <c r="G2096">
        <v>0</v>
      </c>
      <c r="H2096">
        <v>0</v>
      </c>
      <c r="I2096">
        <v>1</v>
      </c>
      <c r="J2096">
        <v>0</v>
      </c>
      <c r="K2096">
        <v>1</v>
      </c>
      <c r="L2096">
        <v>0</v>
      </c>
      <c r="M2096">
        <v>0</v>
      </c>
      <c r="N2096">
        <v>0</v>
      </c>
      <c r="O2096">
        <v>0</v>
      </c>
      <c r="P2096">
        <v>1</v>
      </c>
      <c r="Q2096">
        <v>2</v>
      </c>
      <c r="R2096">
        <v>0</v>
      </c>
      <c r="S2096">
        <v>0</v>
      </c>
      <c r="T2096">
        <v>0</v>
      </c>
      <c r="U2096">
        <v>0</v>
      </c>
      <c r="V2096">
        <v>0</v>
      </c>
      <c r="W2096">
        <v>0</v>
      </c>
      <c r="X2096">
        <v>0</v>
      </c>
      <c r="Y2096">
        <v>0</v>
      </c>
      <c r="Z2096">
        <v>0</v>
      </c>
      <c r="AA2096">
        <v>0</v>
      </c>
      <c r="AB2096">
        <v>0</v>
      </c>
      <c r="AC2096">
        <v>0</v>
      </c>
      <c r="AD2096">
        <v>0</v>
      </c>
      <c r="AE2096">
        <v>0</v>
      </c>
      <c r="AF2096">
        <v>0</v>
      </c>
      <c r="AG2096">
        <v>0</v>
      </c>
      <c r="AH2096">
        <v>0</v>
      </c>
      <c r="AI2096">
        <v>0</v>
      </c>
      <c r="AJ2096">
        <v>0</v>
      </c>
      <c r="AK2096">
        <v>0</v>
      </c>
      <c r="AL2096">
        <v>5</v>
      </c>
      <c r="AM2096">
        <v>1</v>
      </c>
      <c r="AN2096">
        <v>17.125223214285839</v>
      </c>
    </row>
    <row r="2097" spans="1:40" x14ac:dyDescent="0.3">
      <c r="A2097" t="s">
        <v>574</v>
      </c>
      <c r="B2097" t="s">
        <v>81</v>
      </c>
      <c r="C2097" t="s">
        <v>10</v>
      </c>
      <c r="D2097" t="s">
        <v>14</v>
      </c>
      <c r="E2097">
        <v>202602</v>
      </c>
      <c r="F2097" t="s">
        <v>597</v>
      </c>
      <c r="G2097">
        <v>0</v>
      </c>
      <c r="H2097">
        <v>0</v>
      </c>
      <c r="I2097">
        <v>1</v>
      </c>
      <c r="J2097">
        <v>0</v>
      </c>
      <c r="K2097">
        <v>0</v>
      </c>
      <c r="L2097">
        <v>0</v>
      </c>
      <c r="M2097">
        <v>0</v>
      </c>
      <c r="N2097">
        <v>0</v>
      </c>
      <c r="O2097">
        <v>0</v>
      </c>
      <c r="P2097">
        <v>0</v>
      </c>
      <c r="Q2097">
        <v>0</v>
      </c>
      <c r="R2097">
        <v>0</v>
      </c>
      <c r="S2097">
        <v>0</v>
      </c>
      <c r="T2097">
        <v>0</v>
      </c>
      <c r="U2097">
        <v>0</v>
      </c>
      <c r="V2097">
        <v>0</v>
      </c>
      <c r="W2097">
        <v>0</v>
      </c>
      <c r="X2097">
        <v>0</v>
      </c>
      <c r="Y2097">
        <v>0</v>
      </c>
      <c r="Z2097">
        <v>0</v>
      </c>
      <c r="AA2097">
        <v>0</v>
      </c>
      <c r="AB2097">
        <v>0</v>
      </c>
      <c r="AC2097">
        <v>0</v>
      </c>
      <c r="AD2097">
        <v>0</v>
      </c>
      <c r="AE2097">
        <v>0</v>
      </c>
      <c r="AF2097">
        <v>0</v>
      </c>
      <c r="AG2097">
        <v>0</v>
      </c>
      <c r="AH2097">
        <v>0</v>
      </c>
      <c r="AI2097">
        <v>0</v>
      </c>
      <c r="AJ2097">
        <v>0</v>
      </c>
      <c r="AK2097">
        <v>0</v>
      </c>
      <c r="AL2097">
        <v>1</v>
      </c>
      <c r="AM2097">
        <v>0</v>
      </c>
      <c r="AN2097">
        <v>1</v>
      </c>
    </row>
    <row r="2098" spans="1:40" x14ac:dyDescent="0.3">
      <c r="A2098" t="s">
        <v>574</v>
      </c>
      <c r="B2098" t="s">
        <v>644</v>
      </c>
      <c r="C2098" t="s">
        <v>10</v>
      </c>
      <c r="D2098" t="s">
        <v>11</v>
      </c>
      <c r="E2098">
        <v>202602</v>
      </c>
      <c r="F2098" t="s">
        <v>56</v>
      </c>
      <c r="G2098">
        <v>0</v>
      </c>
      <c r="H2098">
        <v>0</v>
      </c>
      <c r="I2098">
        <v>0</v>
      </c>
      <c r="J2098">
        <v>1</v>
      </c>
      <c r="K2098">
        <v>0</v>
      </c>
      <c r="L2098">
        <v>0</v>
      </c>
      <c r="M2098">
        <v>0</v>
      </c>
      <c r="N2098">
        <v>0</v>
      </c>
      <c r="O2098">
        <v>0</v>
      </c>
      <c r="P2098">
        <v>0</v>
      </c>
      <c r="Q2098">
        <v>0</v>
      </c>
      <c r="R2098">
        <v>0</v>
      </c>
      <c r="S2098">
        <v>0</v>
      </c>
      <c r="T2098">
        <v>0</v>
      </c>
      <c r="U2098">
        <v>0</v>
      </c>
      <c r="V2098">
        <v>0</v>
      </c>
      <c r="W2098">
        <v>0</v>
      </c>
      <c r="X2098">
        <v>0</v>
      </c>
      <c r="Y2098">
        <v>0</v>
      </c>
      <c r="Z2098">
        <v>0</v>
      </c>
      <c r="AA2098">
        <v>0</v>
      </c>
      <c r="AB2098">
        <v>0</v>
      </c>
      <c r="AC2098">
        <v>0</v>
      </c>
      <c r="AD2098">
        <v>0</v>
      </c>
      <c r="AE2098">
        <v>0</v>
      </c>
      <c r="AF2098">
        <v>0</v>
      </c>
      <c r="AG2098">
        <v>0</v>
      </c>
      <c r="AH2098">
        <v>0</v>
      </c>
      <c r="AI2098">
        <v>0</v>
      </c>
      <c r="AJ2098">
        <v>0</v>
      </c>
      <c r="AK2098">
        <v>0</v>
      </c>
      <c r="AL2098">
        <v>1</v>
      </c>
      <c r="AM2098">
        <v>0</v>
      </c>
      <c r="AN2098">
        <v>1</v>
      </c>
    </row>
    <row r="2099" spans="1:40" x14ac:dyDescent="0.3">
      <c r="A2099" t="s">
        <v>574</v>
      </c>
      <c r="B2099" t="s">
        <v>644</v>
      </c>
      <c r="C2099" t="s">
        <v>10</v>
      </c>
      <c r="D2099" t="s">
        <v>11</v>
      </c>
      <c r="E2099">
        <v>202602</v>
      </c>
      <c r="F2099" t="s">
        <v>61</v>
      </c>
      <c r="G2099">
        <v>0</v>
      </c>
      <c r="H2099">
        <v>0</v>
      </c>
      <c r="I2099">
        <v>1</v>
      </c>
      <c r="J2099">
        <v>0</v>
      </c>
      <c r="K2099">
        <v>0</v>
      </c>
      <c r="L2099">
        <v>0</v>
      </c>
      <c r="M2099">
        <v>0</v>
      </c>
      <c r="N2099">
        <v>0</v>
      </c>
      <c r="O2099">
        <v>0</v>
      </c>
      <c r="P2099">
        <v>0</v>
      </c>
      <c r="Q2099">
        <v>0</v>
      </c>
      <c r="R2099">
        <v>0</v>
      </c>
      <c r="S2099">
        <v>0</v>
      </c>
      <c r="T2099">
        <v>0</v>
      </c>
      <c r="U2099">
        <v>0</v>
      </c>
      <c r="V2099">
        <v>0</v>
      </c>
      <c r="W2099">
        <v>0</v>
      </c>
      <c r="X2099">
        <v>0</v>
      </c>
      <c r="Y2099">
        <v>0</v>
      </c>
      <c r="Z2099">
        <v>0</v>
      </c>
      <c r="AA2099">
        <v>0</v>
      </c>
      <c r="AB2099">
        <v>0</v>
      </c>
      <c r="AC2099">
        <v>0</v>
      </c>
      <c r="AD2099">
        <v>0</v>
      </c>
      <c r="AE2099">
        <v>0</v>
      </c>
      <c r="AF2099">
        <v>0</v>
      </c>
      <c r="AG2099">
        <v>0</v>
      </c>
      <c r="AH2099">
        <v>0</v>
      </c>
      <c r="AI2099">
        <v>0</v>
      </c>
      <c r="AJ2099">
        <v>0</v>
      </c>
      <c r="AK2099">
        <v>0</v>
      </c>
      <c r="AL2099">
        <v>1</v>
      </c>
      <c r="AM2099">
        <v>0</v>
      </c>
      <c r="AN2099">
        <v>1</v>
      </c>
    </row>
    <row r="2100" spans="1:40" x14ac:dyDescent="0.3">
      <c r="A2100" t="s">
        <v>574</v>
      </c>
      <c r="B2100" t="s">
        <v>644</v>
      </c>
      <c r="C2100" t="s">
        <v>10</v>
      </c>
      <c r="D2100" t="s">
        <v>11</v>
      </c>
      <c r="E2100">
        <v>202602</v>
      </c>
      <c r="F2100" t="s">
        <v>112</v>
      </c>
      <c r="G2100">
        <v>0</v>
      </c>
      <c r="H2100">
        <v>0</v>
      </c>
      <c r="I2100">
        <v>0</v>
      </c>
      <c r="J2100">
        <v>0</v>
      </c>
      <c r="K2100">
        <v>0</v>
      </c>
      <c r="L2100">
        <v>0</v>
      </c>
      <c r="M2100">
        <v>1</v>
      </c>
      <c r="N2100">
        <v>0</v>
      </c>
      <c r="O2100">
        <v>0</v>
      </c>
      <c r="P2100">
        <v>1</v>
      </c>
      <c r="Q2100">
        <v>0</v>
      </c>
      <c r="R2100">
        <v>0</v>
      </c>
      <c r="S2100">
        <v>0</v>
      </c>
      <c r="T2100">
        <v>0</v>
      </c>
      <c r="U2100">
        <v>0</v>
      </c>
      <c r="V2100">
        <v>0</v>
      </c>
      <c r="W2100">
        <v>0</v>
      </c>
      <c r="X2100">
        <v>0</v>
      </c>
      <c r="Y2100">
        <v>0</v>
      </c>
      <c r="Z2100">
        <v>0</v>
      </c>
      <c r="AA2100">
        <v>0</v>
      </c>
      <c r="AB2100">
        <v>0</v>
      </c>
      <c r="AC2100">
        <v>0</v>
      </c>
      <c r="AD2100">
        <v>0</v>
      </c>
      <c r="AE2100">
        <v>0</v>
      </c>
      <c r="AF2100">
        <v>0</v>
      </c>
      <c r="AG2100">
        <v>0</v>
      </c>
      <c r="AH2100">
        <v>0</v>
      </c>
      <c r="AI2100">
        <v>0</v>
      </c>
      <c r="AJ2100">
        <v>0</v>
      </c>
      <c r="AK2100">
        <v>0</v>
      </c>
      <c r="AL2100">
        <v>2</v>
      </c>
      <c r="AM2100">
        <v>0.33333333333333331</v>
      </c>
      <c r="AN2100">
        <v>6.6046251398731117</v>
      </c>
    </row>
    <row r="2101" spans="1:40" x14ac:dyDescent="0.3">
      <c r="A2101" t="s">
        <v>574</v>
      </c>
      <c r="B2101" t="s">
        <v>644</v>
      </c>
      <c r="C2101" t="s">
        <v>10</v>
      </c>
      <c r="D2101" t="s">
        <v>11</v>
      </c>
      <c r="E2101">
        <v>202602</v>
      </c>
      <c r="F2101" t="s">
        <v>366</v>
      </c>
      <c r="G2101">
        <v>0</v>
      </c>
      <c r="H2101">
        <v>1</v>
      </c>
      <c r="I2101">
        <v>0</v>
      </c>
      <c r="J2101">
        <v>0</v>
      </c>
      <c r="K2101">
        <v>0</v>
      </c>
      <c r="L2101">
        <v>0</v>
      </c>
      <c r="M2101">
        <v>0</v>
      </c>
      <c r="N2101">
        <v>0</v>
      </c>
      <c r="O2101">
        <v>0</v>
      </c>
      <c r="P2101">
        <v>0</v>
      </c>
      <c r="Q2101">
        <v>1</v>
      </c>
      <c r="R2101">
        <v>0</v>
      </c>
      <c r="S2101">
        <v>0</v>
      </c>
      <c r="T2101">
        <v>0</v>
      </c>
      <c r="U2101">
        <v>0</v>
      </c>
      <c r="V2101">
        <v>0</v>
      </c>
      <c r="W2101">
        <v>0</v>
      </c>
      <c r="X2101">
        <v>0</v>
      </c>
      <c r="Y2101">
        <v>0</v>
      </c>
      <c r="Z2101">
        <v>0</v>
      </c>
      <c r="AA2101">
        <v>0</v>
      </c>
      <c r="AB2101">
        <v>0</v>
      </c>
      <c r="AC2101">
        <v>0</v>
      </c>
      <c r="AD2101">
        <v>0</v>
      </c>
      <c r="AE2101">
        <v>0</v>
      </c>
      <c r="AF2101">
        <v>0</v>
      </c>
      <c r="AG2101">
        <v>0</v>
      </c>
      <c r="AH2101">
        <v>0</v>
      </c>
      <c r="AI2101">
        <v>0</v>
      </c>
      <c r="AJ2101">
        <v>0</v>
      </c>
      <c r="AK2101">
        <v>0</v>
      </c>
      <c r="AL2101">
        <v>2</v>
      </c>
      <c r="AM2101">
        <v>0.33333333333333331</v>
      </c>
      <c r="AN2101">
        <v>6.6046251398731117</v>
      </c>
    </row>
    <row r="2102" spans="1:40" x14ac:dyDescent="0.3">
      <c r="A2102" t="s">
        <v>574</v>
      </c>
      <c r="B2102" t="s">
        <v>644</v>
      </c>
      <c r="C2102" t="s">
        <v>10</v>
      </c>
      <c r="D2102" t="s">
        <v>11</v>
      </c>
      <c r="E2102">
        <v>202602</v>
      </c>
      <c r="F2102" t="s">
        <v>114</v>
      </c>
      <c r="G2102">
        <v>0</v>
      </c>
      <c r="H2102">
        <v>2</v>
      </c>
      <c r="I2102">
        <v>0</v>
      </c>
      <c r="J2102">
        <v>1</v>
      </c>
      <c r="K2102">
        <v>4</v>
      </c>
      <c r="L2102">
        <v>0</v>
      </c>
      <c r="M2102">
        <v>3</v>
      </c>
      <c r="N2102">
        <v>0</v>
      </c>
      <c r="O2102">
        <v>1</v>
      </c>
      <c r="P2102">
        <v>0</v>
      </c>
      <c r="Q2102">
        <v>1</v>
      </c>
      <c r="R2102">
        <v>0</v>
      </c>
      <c r="S2102">
        <v>0</v>
      </c>
      <c r="T2102">
        <v>0</v>
      </c>
      <c r="U2102">
        <v>0</v>
      </c>
      <c r="V2102">
        <v>0</v>
      </c>
      <c r="W2102">
        <v>0</v>
      </c>
      <c r="X2102">
        <v>0</v>
      </c>
      <c r="Y2102">
        <v>0</v>
      </c>
      <c r="Z2102">
        <v>0</v>
      </c>
      <c r="AA2102">
        <v>0</v>
      </c>
      <c r="AB2102">
        <v>0</v>
      </c>
      <c r="AC2102">
        <v>0</v>
      </c>
      <c r="AD2102">
        <v>0</v>
      </c>
      <c r="AE2102">
        <v>0</v>
      </c>
      <c r="AF2102">
        <v>0</v>
      </c>
      <c r="AG2102">
        <v>0</v>
      </c>
      <c r="AH2102">
        <v>0</v>
      </c>
      <c r="AI2102">
        <v>0</v>
      </c>
      <c r="AJ2102">
        <v>0</v>
      </c>
      <c r="AK2102">
        <v>0</v>
      </c>
      <c r="AL2102">
        <v>12</v>
      </c>
      <c r="AM2102">
        <v>0.66666666666666663</v>
      </c>
      <c r="AN2102">
        <v>21.209250279746222</v>
      </c>
    </row>
    <row r="2103" spans="1:40" x14ac:dyDescent="0.3">
      <c r="A2103" t="s">
        <v>574</v>
      </c>
      <c r="B2103" t="s">
        <v>644</v>
      </c>
      <c r="C2103" t="s">
        <v>10</v>
      </c>
      <c r="D2103" t="s">
        <v>11</v>
      </c>
      <c r="E2103">
        <v>202602</v>
      </c>
      <c r="F2103" t="s">
        <v>115</v>
      </c>
      <c r="G2103">
        <v>0</v>
      </c>
      <c r="H2103">
        <v>0</v>
      </c>
      <c r="I2103">
        <v>0</v>
      </c>
      <c r="J2103">
        <v>0</v>
      </c>
      <c r="K2103">
        <v>1</v>
      </c>
      <c r="L2103">
        <v>0</v>
      </c>
      <c r="M2103">
        <v>0</v>
      </c>
      <c r="N2103">
        <v>0</v>
      </c>
      <c r="O2103">
        <v>1</v>
      </c>
      <c r="P2103">
        <v>0</v>
      </c>
      <c r="Q2103">
        <v>0</v>
      </c>
      <c r="R2103">
        <v>0</v>
      </c>
      <c r="S2103">
        <v>0</v>
      </c>
      <c r="T2103">
        <v>0</v>
      </c>
      <c r="U2103">
        <v>0</v>
      </c>
      <c r="V2103">
        <v>0</v>
      </c>
      <c r="W2103">
        <v>0</v>
      </c>
      <c r="X2103">
        <v>0</v>
      </c>
      <c r="Y2103">
        <v>0</v>
      </c>
      <c r="Z2103">
        <v>0</v>
      </c>
      <c r="AA2103">
        <v>0</v>
      </c>
      <c r="AB2103">
        <v>0</v>
      </c>
      <c r="AC2103">
        <v>0</v>
      </c>
      <c r="AD2103">
        <v>0</v>
      </c>
      <c r="AE2103">
        <v>0</v>
      </c>
      <c r="AF2103">
        <v>0</v>
      </c>
      <c r="AG2103">
        <v>0</v>
      </c>
      <c r="AH2103">
        <v>0</v>
      </c>
      <c r="AI2103">
        <v>0</v>
      </c>
      <c r="AJ2103">
        <v>0</v>
      </c>
      <c r="AK2103">
        <v>0</v>
      </c>
      <c r="AL2103">
        <v>2</v>
      </c>
      <c r="AM2103">
        <v>0.33333333333333331</v>
      </c>
      <c r="AN2103">
        <v>6.6046251398731117</v>
      </c>
    </row>
    <row r="2104" spans="1:40" x14ac:dyDescent="0.3">
      <c r="A2104" t="s">
        <v>574</v>
      </c>
      <c r="B2104" t="s">
        <v>644</v>
      </c>
      <c r="C2104" t="s">
        <v>10</v>
      </c>
      <c r="D2104" t="s">
        <v>11</v>
      </c>
      <c r="E2104">
        <v>202602</v>
      </c>
      <c r="F2104" t="s">
        <v>130</v>
      </c>
      <c r="G2104">
        <v>0</v>
      </c>
      <c r="H2104">
        <v>1</v>
      </c>
      <c r="I2104">
        <v>0</v>
      </c>
      <c r="J2104">
        <v>0</v>
      </c>
      <c r="K2104">
        <v>0</v>
      </c>
      <c r="L2104">
        <v>0</v>
      </c>
      <c r="M2104">
        <v>0</v>
      </c>
      <c r="N2104">
        <v>0</v>
      </c>
      <c r="O2104">
        <v>0</v>
      </c>
      <c r="P2104">
        <v>0</v>
      </c>
      <c r="Q2104">
        <v>0</v>
      </c>
      <c r="R2104">
        <v>0</v>
      </c>
      <c r="S2104">
        <v>0</v>
      </c>
      <c r="T2104">
        <v>0</v>
      </c>
      <c r="U2104">
        <v>0</v>
      </c>
      <c r="V2104">
        <v>0</v>
      </c>
      <c r="W2104">
        <v>0</v>
      </c>
      <c r="X2104">
        <v>0</v>
      </c>
      <c r="Y2104">
        <v>0</v>
      </c>
      <c r="Z2104">
        <v>0</v>
      </c>
      <c r="AA2104">
        <v>0</v>
      </c>
      <c r="AB2104">
        <v>0</v>
      </c>
      <c r="AC2104">
        <v>0</v>
      </c>
      <c r="AD2104">
        <v>0</v>
      </c>
      <c r="AE2104">
        <v>0</v>
      </c>
      <c r="AF2104">
        <v>0</v>
      </c>
      <c r="AG2104">
        <v>0</v>
      </c>
      <c r="AH2104">
        <v>0</v>
      </c>
      <c r="AI2104">
        <v>0</v>
      </c>
      <c r="AJ2104">
        <v>0</v>
      </c>
      <c r="AK2104">
        <v>0</v>
      </c>
      <c r="AL2104">
        <v>1</v>
      </c>
      <c r="AM2104">
        <v>0</v>
      </c>
      <c r="AN2104">
        <v>1</v>
      </c>
    </row>
    <row r="2105" spans="1:40" x14ac:dyDescent="0.3">
      <c r="A2105" t="s">
        <v>574</v>
      </c>
      <c r="B2105" t="s">
        <v>644</v>
      </c>
      <c r="C2105" t="s">
        <v>10</v>
      </c>
      <c r="D2105" t="s">
        <v>11</v>
      </c>
      <c r="E2105">
        <v>202602</v>
      </c>
      <c r="F2105" t="s">
        <v>118</v>
      </c>
      <c r="G2105">
        <v>0</v>
      </c>
      <c r="H2105">
        <v>0</v>
      </c>
      <c r="I2105">
        <v>1</v>
      </c>
      <c r="J2105">
        <v>1</v>
      </c>
      <c r="K2105">
        <v>0</v>
      </c>
      <c r="L2105">
        <v>0</v>
      </c>
      <c r="M2105">
        <v>0</v>
      </c>
      <c r="N2105">
        <v>0</v>
      </c>
      <c r="O2105">
        <v>0</v>
      </c>
      <c r="P2105">
        <v>0</v>
      </c>
      <c r="Q2105">
        <v>0</v>
      </c>
      <c r="R2105">
        <v>0</v>
      </c>
      <c r="S2105">
        <v>0</v>
      </c>
      <c r="T2105">
        <v>0</v>
      </c>
      <c r="U2105">
        <v>0</v>
      </c>
      <c r="V2105">
        <v>0</v>
      </c>
      <c r="W2105">
        <v>0</v>
      </c>
      <c r="X2105">
        <v>0</v>
      </c>
      <c r="Y2105">
        <v>0</v>
      </c>
      <c r="Z2105">
        <v>0</v>
      </c>
      <c r="AA2105">
        <v>0</v>
      </c>
      <c r="AB2105">
        <v>0</v>
      </c>
      <c r="AC2105">
        <v>0</v>
      </c>
      <c r="AD2105">
        <v>0</v>
      </c>
      <c r="AE2105">
        <v>0</v>
      </c>
      <c r="AF2105">
        <v>0</v>
      </c>
      <c r="AG2105">
        <v>0</v>
      </c>
      <c r="AH2105">
        <v>0</v>
      </c>
      <c r="AI2105">
        <v>0</v>
      </c>
      <c r="AJ2105">
        <v>0</v>
      </c>
      <c r="AK2105">
        <v>0</v>
      </c>
      <c r="AL2105">
        <v>2</v>
      </c>
      <c r="AM2105">
        <v>0</v>
      </c>
      <c r="AN2105">
        <v>2</v>
      </c>
    </row>
    <row r="2106" spans="1:40" x14ac:dyDescent="0.3">
      <c r="A2106" t="s">
        <v>574</v>
      </c>
      <c r="B2106" t="s">
        <v>644</v>
      </c>
      <c r="C2106" t="s">
        <v>10</v>
      </c>
      <c r="D2106" t="s">
        <v>11</v>
      </c>
      <c r="E2106">
        <v>202602</v>
      </c>
      <c r="F2106" t="s">
        <v>131</v>
      </c>
      <c r="G2106">
        <v>0</v>
      </c>
      <c r="H2106">
        <v>0</v>
      </c>
      <c r="I2106">
        <v>0</v>
      </c>
      <c r="J2106">
        <v>0</v>
      </c>
      <c r="K2106">
        <v>0</v>
      </c>
      <c r="L2106">
        <v>1</v>
      </c>
      <c r="M2106">
        <v>0</v>
      </c>
      <c r="N2106">
        <v>0</v>
      </c>
      <c r="O2106">
        <v>0</v>
      </c>
      <c r="P2106">
        <v>1</v>
      </c>
      <c r="Q2106">
        <v>0</v>
      </c>
      <c r="R2106">
        <v>0</v>
      </c>
      <c r="S2106">
        <v>0</v>
      </c>
      <c r="T2106">
        <v>0</v>
      </c>
      <c r="U2106">
        <v>0</v>
      </c>
      <c r="V2106">
        <v>0</v>
      </c>
      <c r="W2106">
        <v>0</v>
      </c>
      <c r="X2106">
        <v>0</v>
      </c>
      <c r="Y2106">
        <v>0</v>
      </c>
      <c r="Z2106">
        <v>0</v>
      </c>
      <c r="AA2106">
        <v>0</v>
      </c>
      <c r="AB2106">
        <v>0</v>
      </c>
      <c r="AC2106">
        <v>0</v>
      </c>
      <c r="AD2106">
        <v>0</v>
      </c>
      <c r="AE2106">
        <v>0</v>
      </c>
      <c r="AF2106">
        <v>0</v>
      </c>
      <c r="AG2106">
        <v>0</v>
      </c>
      <c r="AH2106">
        <v>0</v>
      </c>
      <c r="AI2106">
        <v>0</v>
      </c>
      <c r="AJ2106">
        <v>0</v>
      </c>
      <c r="AK2106">
        <v>0</v>
      </c>
      <c r="AL2106">
        <v>2</v>
      </c>
      <c r="AM2106">
        <v>0.33333333333333331</v>
      </c>
      <c r="AN2106">
        <v>6.6046251398731117</v>
      </c>
    </row>
    <row r="2107" spans="1:40" x14ac:dyDescent="0.3">
      <c r="A2107" t="s">
        <v>574</v>
      </c>
      <c r="B2107" t="s">
        <v>644</v>
      </c>
      <c r="C2107" t="s">
        <v>10</v>
      </c>
      <c r="D2107" t="s">
        <v>11</v>
      </c>
      <c r="E2107">
        <v>202602</v>
      </c>
      <c r="F2107" t="s">
        <v>132</v>
      </c>
      <c r="G2107">
        <v>0</v>
      </c>
      <c r="H2107">
        <v>1</v>
      </c>
      <c r="I2107">
        <v>0</v>
      </c>
      <c r="J2107">
        <v>0</v>
      </c>
      <c r="K2107">
        <v>0</v>
      </c>
      <c r="L2107">
        <v>0</v>
      </c>
      <c r="M2107">
        <v>0</v>
      </c>
      <c r="N2107">
        <v>0</v>
      </c>
      <c r="O2107">
        <v>0</v>
      </c>
      <c r="P2107">
        <v>0</v>
      </c>
      <c r="Q2107">
        <v>0</v>
      </c>
      <c r="R2107">
        <v>0</v>
      </c>
      <c r="S2107">
        <v>0</v>
      </c>
      <c r="T2107">
        <v>0</v>
      </c>
      <c r="U2107">
        <v>0</v>
      </c>
      <c r="V2107">
        <v>0</v>
      </c>
      <c r="W2107">
        <v>0</v>
      </c>
      <c r="X2107">
        <v>0</v>
      </c>
      <c r="Y2107">
        <v>0</v>
      </c>
      <c r="Z2107">
        <v>0</v>
      </c>
      <c r="AA2107">
        <v>0</v>
      </c>
      <c r="AB2107">
        <v>0</v>
      </c>
      <c r="AC2107">
        <v>0</v>
      </c>
      <c r="AD2107">
        <v>0</v>
      </c>
      <c r="AE2107">
        <v>0</v>
      </c>
      <c r="AF2107">
        <v>0</v>
      </c>
      <c r="AG2107">
        <v>0</v>
      </c>
      <c r="AH2107">
        <v>0</v>
      </c>
      <c r="AI2107">
        <v>0</v>
      </c>
      <c r="AJ2107">
        <v>0</v>
      </c>
      <c r="AK2107">
        <v>0</v>
      </c>
      <c r="AL2107">
        <v>1</v>
      </c>
      <c r="AM2107">
        <v>0</v>
      </c>
      <c r="AN2107">
        <v>1</v>
      </c>
    </row>
    <row r="2108" spans="1:40" x14ac:dyDescent="0.3">
      <c r="A2108" t="s">
        <v>574</v>
      </c>
      <c r="B2108" t="s">
        <v>644</v>
      </c>
      <c r="C2108" t="s">
        <v>10</v>
      </c>
      <c r="D2108" t="s">
        <v>11</v>
      </c>
      <c r="E2108">
        <v>202602</v>
      </c>
      <c r="F2108" t="s">
        <v>224</v>
      </c>
      <c r="G2108">
        <v>0</v>
      </c>
      <c r="H2108">
        <v>0</v>
      </c>
      <c r="I2108">
        <v>0</v>
      </c>
      <c r="J2108">
        <v>0</v>
      </c>
      <c r="K2108">
        <v>1</v>
      </c>
      <c r="L2108">
        <v>0</v>
      </c>
      <c r="M2108">
        <v>0</v>
      </c>
      <c r="N2108">
        <v>0</v>
      </c>
      <c r="O2108">
        <v>0</v>
      </c>
      <c r="P2108">
        <v>1</v>
      </c>
      <c r="Q2108">
        <v>0</v>
      </c>
      <c r="R2108">
        <v>0</v>
      </c>
      <c r="S2108">
        <v>0</v>
      </c>
      <c r="T2108">
        <v>0</v>
      </c>
      <c r="U2108">
        <v>0</v>
      </c>
      <c r="V2108">
        <v>0</v>
      </c>
      <c r="W2108">
        <v>0</v>
      </c>
      <c r="X2108">
        <v>0</v>
      </c>
      <c r="Y2108">
        <v>0</v>
      </c>
      <c r="Z2108">
        <v>0</v>
      </c>
      <c r="AA2108">
        <v>0</v>
      </c>
      <c r="AB2108">
        <v>0</v>
      </c>
      <c r="AC2108">
        <v>0</v>
      </c>
      <c r="AD2108">
        <v>0</v>
      </c>
      <c r="AE2108">
        <v>0</v>
      </c>
      <c r="AF2108">
        <v>0</v>
      </c>
      <c r="AG2108">
        <v>0</v>
      </c>
      <c r="AH2108">
        <v>0</v>
      </c>
      <c r="AI2108">
        <v>0</v>
      </c>
      <c r="AJ2108">
        <v>0</v>
      </c>
      <c r="AK2108">
        <v>0</v>
      </c>
      <c r="AL2108">
        <v>2</v>
      </c>
      <c r="AM2108">
        <v>0.33333333333333331</v>
      </c>
      <c r="AN2108">
        <v>6.6046251398731117</v>
      </c>
    </row>
    <row r="2109" spans="1:40" x14ac:dyDescent="0.3">
      <c r="A2109" t="s">
        <v>574</v>
      </c>
      <c r="B2109" t="s">
        <v>644</v>
      </c>
      <c r="C2109" t="s">
        <v>10</v>
      </c>
      <c r="D2109" t="s">
        <v>11</v>
      </c>
      <c r="E2109">
        <v>202602</v>
      </c>
      <c r="F2109" t="s">
        <v>225</v>
      </c>
      <c r="G2109">
        <v>0</v>
      </c>
      <c r="H2109">
        <v>1</v>
      </c>
      <c r="I2109">
        <v>0</v>
      </c>
      <c r="J2109">
        <v>0</v>
      </c>
      <c r="K2109">
        <v>0</v>
      </c>
      <c r="L2109">
        <v>0</v>
      </c>
      <c r="M2109">
        <v>0</v>
      </c>
      <c r="N2109">
        <v>0</v>
      </c>
      <c r="O2109">
        <v>0</v>
      </c>
      <c r="P2109">
        <v>0</v>
      </c>
      <c r="Q2109">
        <v>0</v>
      </c>
      <c r="R2109">
        <v>0</v>
      </c>
      <c r="S2109">
        <v>0</v>
      </c>
      <c r="T2109">
        <v>0</v>
      </c>
      <c r="U2109">
        <v>0</v>
      </c>
      <c r="V2109">
        <v>0</v>
      </c>
      <c r="W2109">
        <v>0</v>
      </c>
      <c r="X2109">
        <v>0</v>
      </c>
      <c r="Y2109">
        <v>0</v>
      </c>
      <c r="Z2109">
        <v>0</v>
      </c>
      <c r="AA2109">
        <v>0</v>
      </c>
      <c r="AB2109">
        <v>0</v>
      </c>
      <c r="AC2109">
        <v>0</v>
      </c>
      <c r="AD2109">
        <v>0</v>
      </c>
      <c r="AE2109">
        <v>0</v>
      </c>
      <c r="AF2109">
        <v>0</v>
      </c>
      <c r="AG2109">
        <v>0</v>
      </c>
      <c r="AH2109">
        <v>0</v>
      </c>
      <c r="AI2109">
        <v>0</v>
      </c>
      <c r="AJ2109">
        <v>0</v>
      </c>
      <c r="AK2109">
        <v>0</v>
      </c>
      <c r="AL2109">
        <v>1</v>
      </c>
      <c r="AM2109">
        <v>0</v>
      </c>
      <c r="AN2109">
        <v>1</v>
      </c>
    </row>
    <row r="2110" spans="1:40" x14ac:dyDescent="0.3">
      <c r="A2110" t="s">
        <v>574</v>
      </c>
      <c r="B2110" t="s">
        <v>644</v>
      </c>
      <c r="C2110" t="s">
        <v>10</v>
      </c>
      <c r="D2110" t="s">
        <v>11</v>
      </c>
      <c r="E2110">
        <v>202602</v>
      </c>
      <c r="F2110" t="s">
        <v>122</v>
      </c>
      <c r="G2110">
        <v>0</v>
      </c>
      <c r="H2110">
        <v>0</v>
      </c>
      <c r="I2110">
        <v>0</v>
      </c>
      <c r="J2110">
        <v>0</v>
      </c>
      <c r="K2110">
        <v>0</v>
      </c>
      <c r="L2110">
        <v>0</v>
      </c>
      <c r="M2110">
        <v>0</v>
      </c>
      <c r="N2110">
        <v>0</v>
      </c>
      <c r="O2110">
        <v>1</v>
      </c>
      <c r="P2110">
        <v>0</v>
      </c>
      <c r="Q2110">
        <v>0</v>
      </c>
      <c r="R2110">
        <v>0</v>
      </c>
      <c r="S2110">
        <v>0</v>
      </c>
      <c r="T2110">
        <v>0</v>
      </c>
      <c r="U2110">
        <v>0</v>
      </c>
      <c r="V2110">
        <v>0</v>
      </c>
      <c r="W2110">
        <v>0</v>
      </c>
      <c r="X2110">
        <v>0</v>
      </c>
      <c r="Y2110">
        <v>0</v>
      </c>
      <c r="Z2110">
        <v>0</v>
      </c>
      <c r="AA2110">
        <v>0</v>
      </c>
      <c r="AB2110">
        <v>0</v>
      </c>
      <c r="AC2110">
        <v>0</v>
      </c>
      <c r="AD2110">
        <v>0</v>
      </c>
      <c r="AE2110">
        <v>0</v>
      </c>
      <c r="AF2110">
        <v>0</v>
      </c>
      <c r="AG2110">
        <v>0</v>
      </c>
      <c r="AH2110">
        <v>0</v>
      </c>
      <c r="AI2110">
        <v>0</v>
      </c>
      <c r="AJ2110">
        <v>0</v>
      </c>
      <c r="AK2110">
        <v>0</v>
      </c>
      <c r="AL2110">
        <v>1</v>
      </c>
      <c r="AM2110">
        <v>0.33333333333333331</v>
      </c>
      <c r="AN2110">
        <v>5.6046251398731117</v>
      </c>
    </row>
    <row r="2111" spans="1:40" x14ac:dyDescent="0.3">
      <c r="A2111" t="s">
        <v>574</v>
      </c>
      <c r="B2111" t="s">
        <v>644</v>
      </c>
      <c r="C2111" t="s">
        <v>10</v>
      </c>
      <c r="D2111" t="s">
        <v>11</v>
      </c>
      <c r="E2111">
        <v>202602</v>
      </c>
      <c r="F2111" t="s">
        <v>127</v>
      </c>
      <c r="G2111">
        <v>0</v>
      </c>
      <c r="H2111">
        <v>0</v>
      </c>
      <c r="I2111">
        <v>0</v>
      </c>
      <c r="J2111">
        <v>0</v>
      </c>
      <c r="K2111">
        <v>1</v>
      </c>
      <c r="L2111">
        <v>0</v>
      </c>
      <c r="M2111">
        <v>1</v>
      </c>
      <c r="N2111">
        <v>0</v>
      </c>
      <c r="O2111">
        <v>0</v>
      </c>
      <c r="P2111">
        <v>0</v>
      </c>
      <c r="Q2111">
        <v>0</v>
      </c>
      <c r="R2111">
        <v>0</v>
      </c>
      <c r="S2111">
        <v>0</v>
      </c>
      <c r="T2111">
        <v>0</v>
      </c>
      <c r="U2111">
        <v>0</v>
      </c>
      <c r="V2111">
        <v>0</v>
      </c>
      <c r="W2111">
        <v>0</v>
      </c>
      <c r="X2111">
        <v>0</v>
      </c>
      <c r="Y2111">
        <v>0</v>
      </c>
      <c r="Z2111">
        <v>0</v>
      </c>
      <c r="AA2111">
        <v>0</v>
      </c>
      <c r="AB2111">
        <v>0</v>
      </c>
      <c r="AC2111">
        <v>0</v>
      </c>
      <c r="AD2111">
        <v>0</v>
      </c>
      <c r="AE2111">
        <v>0</v>
      </c>
      <c r="AF2111">
        <v>0</v>
      </c>
      <c r="AG2111">
        <v>0</v>
      </c>
      <c r="AH2111">
        <v>0</v>
      </c>
      <c r="AI2111">
        <v>0</v>
      </c>
      <c r="AJ2111">
        <v>0</v>
      </c>
      <c r="AK2111">
        <v>0</v>
      </c>
      <c r="AL2111">
        <v>2</v>
      </c>
      <c r="AM2111">
        <v>0</v>
      </c>
      <c r="AN2111">
        <v>2</v>
      </c>
    </row>
    <row r="2112" spans="1:40" x14ac:dyDescent="0.3">
      <c r="A2112" t="s">
        <v>574</v>
      </c>
      <c r="B2112" t="s">
        <v>644</v>
      </c>
      <c r="C2112" t="s">
        <v>10</v>
      </c>
      <c r="D2112" t="s">
        <v>11</v>
      </c>
      <c r="E2112">
        <v>202602</v>
      </c>
      <c r="F2112" t="s">
        <v>320</v>
      </c>
      <c r="G2112">
        <v>0</v>
      </c>
      <c r="H2112">
        <v>0</v>
      </c>
      <c r="I2112">
        <v>1</v>
      </c>
      <c r="J2112">
        <v>0</v>
      </c>
      <c r="K2112">
        <v>0</v>
      </c>
      <c r="L2112">
        <v>0</v>
      </c>
      <c r="M2112">
        <v>0</v>
      </c>
      <c r="N2112">
        <v>0</v>
      </c>
      <c r="O2112">
        <v>0</v>
      </c>
      <c r="P2112">
        <v>0</v>
      </c>
      <c r="Q2112">
        <v>0</v>
      </c>
      <c r="R2112">
        <v>0</v>
      </c>
      <c r="S2112">
        <v>0</v>
      </c>
      <c r="T2112">
        <v>0</v>
      </c>
      <c r="U2112">
        <v>0</v>
      </c>
      <c r="V2112">
        <v>0</v>
      </c>
      <c r="W2112">
        <v>0</v>
      </c>
      <c r="X2112">
        <v>0</v>
      </c>
      <c r="Y2112">
        <v>0</v>
      </c>
      <c r="Z2112">
        <v>0</v>
      </c>
      <c r="AA2112">
        <v>0</v>
      </c>
      <c r="AB2112">
        <v>0</v>
      </c>
      <c r="AC2112">
        <v>0</v>
      </c>
      <c r="AD2112">
        <v>0</v>
      </c>
      <c r="AE2112">
        <v>0</v>
      </c>
      <c r="AF2112">
        <v>0</v>
      </c>
      <c r="AG2112">
        <v>0</v>
      </c>
      <c r="AH2112">
        <v>0</v>
      </c>
      <c r="AI2112">
        <v>0</v>
      </c>
      <c r="AJ2112">
        <v>0</v>
      </c>
      <c r="AK2112">
        <v>0</v>
      </c>
      <c r="AL2112">
        <v>1</v>
      </c>
      <c r="AM2112">
        <v>0</v>
      </c>
      <c r="AN2112">
        <v>1</v>
      </c>
    </row>
    <row r="2113" spans="1:40" x14ac:dyDescent="0.3">
      <c r="A2113" t="s">
        <v>574</v>
      </c>
      <c r="B2113" t="s">
        <v>644</v>
      </c>
      <c r="C2113" t="s">
        <v>10</v>
      </c>
      <c r="D2113" t="s">
        <v>11</v>
      </c>
      <c r="E2113">
        <v>202602</v>
      </c>
      <c r="F2113" t="s">
        <v>227</v>
      </c>
      <c r="G2113">
        <v>0</v>
      </c>
      <c r="H2113">
        <v>0</v>
      </c>
      <c r="I2113">
        <v>0</v>
      </c>
      <c r="J2113">
        <v>0</v>
      </c>
      <c r="K2113">
        <v>0</v>
      </c>
      <c r="L2113">
        <v>1</v>
      </c>
      <c r="M2113">
        <v>0</v>
      </c>
      <c r="N2113">
        <v>0</v>
      </c>
      <c r="O2113">
        <v>0</v>
      </c>
      <c r="P2113">
        <v>0</v>
      </c>
      <c r="Q2113">
        <v>0</v>
      </c>
      <c r="R2113">
        <v>0</v>
      </c>
      <c r="S2113">
        <v>0</v>
      </c>
      <c r="T2113">
        <v>0</v>
      </c>
      <c r="U2113">
        <v>0</v>
      </c>
      <c r="V2113">
        <v>0</v>
      </c>
      <c r="W2113">
        <v>0</v>
      </c>
      <c r="X2113">
        <v>0</v>
      </c>
      <c r="Y2113">
        <v>0</v>
      </c>
      <c r="Z2113">
        <v>0</v>
      </c>
      <c r="AA2113">
        <v>0</v>
      </c>
      <c r="AB2113">
        <v>0</v>
      </c>
      <c r="AC2113">
        <v>0</v>
      </c>
      <c r="AD2113">
        <v>0</v>
      </c>
      <c r="AE2113">
        <v>0</v>
      </c>
      <c r="AF2113">
        <v>0</v>
      </c>
      <c r="AG2113">
        <v>0</v>
      </c>
      <c r="AH2113">
        <v>0</v>
      </c>
      <c r="AI2113">
        <v>0</v>
      </c>
      <c r="AJ2113">
        <v>0</v>
      </c>
      <c r="AK2113">
        <v>0</v>
      </c>
      <c r="AL2113">
        <v>1</v>
      </c>
      <c r="AM2113">
        <v>0</v>
      </c>
      <c r="AN2113">
        <v>1</v>
      </c>
    </row>
    <row r="2114" spans="1:40" x14ac:dyDescent="0.3">
      <c r="A2114" t="s">
        <v>574</v>
      </c>
      <c r="B2114" t="s">
        <v>644</v>
      </c>
      <c r="C2114" t="s">
        <v>10</v>
      </c>
      <c r="D2114" t="s">
        <v>11</v>
      </c>
      <c r="E2114">
        <v>202602</v>
      </c>
      <c r="F2114" t="s">
        <v>128</v>
      </c>
      <c r="G2114">
        <v>0</v>
      </c>
      <c r="H2114">
        <v>0</v>
      </c>
      <c r="I2114">
        <v>0</v>
      </c>
      <c r="J2114">
        <v>0</v>
      </c>
      <c r="K2114">
        <v>0</v>
      </c>
      <c r="L2114">
        <v>0</v>
      </c>
      <c r="M2114">
        <v>0</v>
      </c>
      <c r="N2114">
        <v>0</v>
      </c>
      <c r="O2114">
        <v>0</v>
      </c>
      <c r="P2114">
        <v>0</v>
      </c>
      <c r="Q2114">
        <v>1</v>
      </c>
      <c r="R2114">
        <v>0</v>
      </c>
      <c r="S2114">
        <v>0</v>
      </c>
      <c r="T2114">
        <v>0</v>
      </c>
      <c r="U2114">
        <v>0</v>
      </c>
      <c r="V2114">
        <v>0</v>
      </c>
      <c r="W2114">
        <v>0</v>
      </c>
      <c r="X2114">
        <v>0</v>
      </c>
      <c r="Y2114">
        <v>0</v>
      </c>
      <c r="Z2114">
        <v>0</v>
      </c>
      <c r="AA2114">
        <v>0</v>
      </c>
      <c r="AB2114">
        <v>0</v>
      </c>
      <c r="AC2114">
        <v>0</v>
      </c>
      <c r="AD2114">
        <v>0</v>
      </c>
      <c r="AE2114">
        <v>0</v>
      </c>
      <c r="AF2114">
        <v>0</v>
      </c>
      <c r="AG2114">
        <v>0</v>
      </c>
      <c r="AH2114">
        <v>0</v>
      </c>
      <c r="AI2114">
        <v>0</v>
      </c>
      <c r="AJ2114">
        <v>0</v>
      </c>
      <c r="AK2114">
        <v>0</v>
      </c>
      <c r="AL2114">
        <v>1</v>
      </c>
      <c r="AM2114">
        <v>0.33333333333333331</v>
      </c>
      <c r="AN2114">
        <v>5.6046251398731117</v>
      </c>
    </row>
    <row r="2115" spans="1:40" x14ac:dyDescent="0.3">
      <c r="A2115" t="s">
        <v>574</v>
      </c>
      <c r="B2115" t="s">
        <v>644</v>
      </c>
      <c r="C2115" t="s">
        <v>10</v>
      </c>
      <c r="D2115" t="s">
        <v>14</v>
      </c>
      <c r="E2115">
        <v>202602</v>
      </c>
      <c r="F2115" t="s">
        <v>111</v>
      </c>
      <c r="G2115">
        <v>0</v>
      </c>
      <c r="H2115">
        <v>0</v>
      </c>
      <c r="I2115">
        <v>0</v>
      </c>
      <c r="J2115">
        <v>0</v>
      </c>
      <c r="K2115">
        <v>1</v>
      </c>
      <c r="L2115">
        <v>0</v>
      </c>
      <c r="M2115">
        <v>0</v>
      </c>
      <c r="N2115">
        <v>0</v>
      </c>
      <c r="O2115">
        <v>0</v>
      </c>
      <c r="P2115">
        <v>0</v>
      </c>
      <c r="Q2115">
        <v>0</v>
      </c>
      <c r="R2115">
        <v>0</v>
      </c>
      <c r="S2115">
        <v>0</v>
      </c>
      <c r="T2115">
        <v>0</v>
      </c>
      <c r="U2115">
        <v>0</v>
      </c>
      <c r="V2115">
        <v>0</v>
      </c>
      <c r="W2115">
        <v>0</v>
      </c>
      <c r="X2115">
        <v>0</v>
      </c>
      <c r="Y2115">
        <v>0</v>
      </c>
      <c r="Z2115">
        <v>0</v>
      </c>
      <c r="AA2115">
        <v>0</v>
      </c>
      <c r="AB2115">
        <v>0</v>
      </c>
      <c r="AC2115">
        <v>0</v>
      </c>
      <c r="AD2115">
        <v>0</v>
      </c>
      <c r="AE2115">
        <v>0</v>
      </c>
      <c r="AF2115">
        <v>0</v>
      </c>
      <c r="AG2115">
        <v>0</v>
      </c>
      <c r="AH2115">
        <v>0</v>
      </c>
      <c r="AI2115">
        <v>0</v>
      </c>
      <c r="AJ2115">
        <v>0</v>
      </c>
      <c r="AK2115">
        <v>0</v>
      </c>
      <c r="AL2115">
        <v>1</v>
      </c>
      <c r="AM2115">
        <v>0</v>
      </c>
      <c r="AN2115">
        <v>1</v>
      </c>
    </row>
    <row r="2116" spans="1:40" x14ac:dyDescent="0.3">
      <c r="A2116" t="s">
        <v>574</v>
      </c>
      <c r="B2116" t="s">
        <v>644</v>
      </c>
      <c r="C2116" t="s">
        <v>10</v>
      </c>
      <c r="D2116" t="s">
        <v>14</v>
      </c>
      <c r="E2116">
        <v>202602</v>
      </c>
      <c r="F2116" t="s">
        <v>61</v>
      </c>
      <c r="G2116">
        <v>0</v>
      </c>
      <c r="H2116">
        <v>1</v>
      </c>
      <c r="I2116">
        <v>0</v>
      </c>
      <c r="J2116">
        <v>1</v>
      </c>
      <c r="K2116">
        <v>0</v>
      </c>
      <c r="L2116">
        <v>0</v>
      </c>
      <c r="M2116">
        <v>0</v>
      </c>
      <c r="N2116">
        <v>0</v>
      </c>
      <c r="O2116">
        <v>0</v>
      </c>
      <c r="P2116">
        <v>0</v>
      </c>
      <c r="Q2116">
        <v>0</v>
      </c>
      <c r="R2116">
        <v>0</v>
      </c>
      <c r="S2116">
        <v>0</v>
      </c>
      <c r="T2116">
        <v>0</v>
      </c>
      <c r="U2116">
        <v>0</v>
      </c>
      <c r="V2116">
        <v>0</v>
      </c>
      <c r="W2116">
        <v>0</v>
      </c>
      <c r="X2116">
        <v>0</v>
      </c>
      <c r="Y2116">
        <v>0</v>
      </c>
      <c r="Z2116">
        <v>0</v>
      </c>
      <c r="AA2116">
        <v>0</v>
      </c>
      <c r="AB2116">
        <v>0</v>
      </c>
      <c r="AC2116">
        <v>0</v>
      </c>
      <c r="AD2116">
        <v>0</v>
      </c>
      <c r="AE2116">
        <v>0</v>
      </c>
      <c r="AF2116">
        <v>0</v>
      </c>
      <c r="AG2116">
        <v>0</v>
      </c>
      <c r="AH2116">
        <v>0</v>
      </c>
      <c r="AI2116">
        <v>0</v>
      </c>
      <c r="AJ2116">
        <v>0</v>
      </c>
      <c r="AK2116">
        <v>0</v>
      </c>
      <c r="AL2116">
        <v>2</v>
      </c>
      <c r="AM2116">
        <v>0</v>
      </c>
      <c r="AN2116">
        <v>2</v>
      </c>
    </row>
    <row r="2117" spans="1:40" x14ac:dyDescent="0.3">
      <c r="A2117" t="s">
        <v>574</v>
      </c>
      <c r="B2117" t="s">
        <v>644</v>
      </c>
      <c r="C2117" t="s">
        <v>10</v>
      </c>
      <c r="D2117" t="s">
        <v>14</v>
      </c>
      <c r="E2117">
        <v>202602</v>
      </c>
      <c r="F2117" t="s">
        <v>112</v>
      </c>
      <c r="G2117">
        <v>0</v>
      </c>
      <c r="H2117">
        <v>0</v>
      </c>
      <c r="I2117">
        <v>0</v>
      </c>
      <c r="J2117">
        <v>0</v>
      </c>
      <c r="K2117">
        <v>1</v>
      </c>
      <c r="L2117">
        <v>0</v>
      </c>
      <c r="M2117">
        <v>0</v>
      </c>
      <c r="N2117">
        <v>0</v>
      </c>
      <c r="O2117">
        <v>1</v>
      </c>
      <c r="P2117">
        <v>0</v>
      </c>
      <c r="Q2117">
        <v>0</v>
      </c>
      <c r="R2117">
        <v>0</v>
      </c>
      <c r="S2117">
        <v>0</v>
      </c>
      <c r="T2117">
        <v>0</v>
      </c>
      <c r="U2117">
        <v>0</v>
      </c>
      <c r="V2117">
        <v>0</v>
      </c>
      <c r="W2117">
        <v>0</v>
      </c>
      <c r="X2117">
        <v>0</v>
      </c>
      <c r="Y2117">
        <v>0</v>
      </c>
      <c r="Z2117">
        <v>0</v>
      </c>
      <c r="AA2117">
        <v>0</v>
      </c>
      <c r="AB2117">
        <v>0</v>
      </c>
      <c r="AC2117">
        <v>0</v>
      </c>
      <c r="AD2117">
        <v>0</v>
      </c>
      <c r="AE2117">
        <v>0</v>
      </c>
      <c r="AF2117">
        <v>0</v>
      </c>
      <c r="AG2117">
        <v>0</v>
      </c>
      <c r="AH2117">
        <v>0</v>
      </c>
      <c r="AI2117">
        <v>0</v>
      </c>
      <c r="AJ2117">
        <v>0</v>
      </c>
      <c r="AK2117">
        <v>0</v>
      </c>
      <c r="AL2117">
        <v>2</v>
      </c>
      <c r="AM2117">
        <v>0.33333333333333331</v>
      </c>
      <c r="AN2117">
        <v>6.0417410714286133</v>
      </c>
    </row>
    <row r="2118" spans="1:40" x14ac:dyDescent="0.3">
      <c r="A2118" t="s">
        <v>574</v>
      </c>
      <c r="B2118" t="s">
        <v>644</v>
      </c>
      <c r="C2118" t="s">
        <v>10</v>
      </c>
      <c r="D2118" t="s">
        <v>14</v>
      </c>
      <c r="E2118">
        <v>202602</v>
      </c>
      <c r="F2118" t="s">
        <v>366</v>
      </c>
      <c r="G2118">
        <v>0</v>
      </c>
      <c r="H2118">
        <v>0</v>
      </c>
      <c r="I2118">
        <v>0</v>
      </c>
      <c r="J2118">
        <v>0</v>
      </c>
      <c r="K2118">
        <v>0</v>
      </c>
      <c r="L2118">
        <v>0</v>
      </c>
      <c r="M2118">
        <v>0</v>
      </c>
      <c r="N2118">
        <v>0</v>
      </c>
      <c r="O2118">
        <v>1</v>
      </c>
      <c r="P2118">
        <v>0</v>
      </c>
      <c r="Q2118">
        <v>0</v>
      </c>
      <c r="R2118">
        <v>0</v>
      </c>
      <c r="S2118">
        <v>0</v>
      </c>
      <c r="T2118">
        <v>0</v>
      </c>
      <c r="U2118">
        <v>0</v>
      </c>
      <c r="V2118">
        <v>0</v>
      </c>
      <c r="W2118">
        <v>0</v>
      </c>
      <c r="X2118">
        <v>0</v>
      </c>
      <c r="Y2118">
        <v>0</v>
      </c>
      <c r="Z2118">
        <v>0</v>
      </c>
      <c r="AA2118">
        <v>0</v>
      </c>
      <c r="AB2118">
        <v>0</v>
      </c>
      <c r="AC2118">
        <v>0</v>
      </c>
      <c r="AD2118">
        <v>0</v>
      </c>
      <c r="AE2118">
        <v>0</v>
      </c>
      <c r="AF2118">
        <v>0</v>
      </c>
      <c r="AG2118">
        <v>0</v>
      </c>
      <c r="AH2118">
        <v>0</v>
      </c>
      <c r="AI2118">
        <v>0</v>
      </c>
      <c r="AJ2118">
        <v>0</v>
      </c>
      <c r="AK2118">
        <v>0</v>
      </c>
      <c r="AL2118">
        <v>1</v>
      </c>
      <c r="AM2118">
        <v>0.33333333333333331</v>
      </c>
      <c r="AN2118">
        <v>5.0417410714286133</v>
      </c>
    </row>
    <row r="2119" spans="1:40" x14ac:dyDescent="0.3">
      <c r="A2119" t="s">
        <v>574</v>
      </c>
      <c r="B2119" t="s">
        <v>644</v>
      </c>
      <c r="C2119" t="s">
        <v>10</v>
      </c>
      <c r="D2119" t="s">
        <v>14</v>
      </c>
      <c r="E2119">
        <v>202602</v>
      </c>
      <c r="F2119" t="s">
        <v>279</v>
      </c>
      <c r="G2119">
        <v>0</v>
      </c>
      <c r="H2119">
        <v>0</v>
      </c>
      <c r="I2119">
        <v>0</v>
      </c>
      <c r="J2119">
        <v>0</v>
      </c>
      <c r="K2119">
        <v>0</v>
      </c>
      <c r="L2119">
        <v>1</v>
      </c>
      <c r="M2119">
        <v>0</v>
      </c>
      <c r="N2119">
        <v>0</v>
      </c>
      <c r="O2119">
        <v>0</v>
      </c>
      <c r="P2119">
        <v>1</v>
      </c>
      <c r="Q2119">
        <v>0</v>
      </c>
      <c r="R2119">
        <v>0</v>
      </c>
      <c r="S2119">
        <v>0</v>
      </c>
      <c r="T2119">
        <v>0</v>
      </c>
      <c r="U2119">
        <v>0</v>
      </c>
      <c r="V2119">
        <v>0</v>
      </c>
      <c r="W2119">
        <v>0</v>
      </c>
      <c r="X2119">
        <v>0</v>
      </c>
      <c r="Y2119">
        <v>0</v>
      </c>
      <c r="Z2119">
        <v>0</v>
      </c>
      <c r="AA2119">
        <v>0</v>
      </c>
      <c r="AB2119">
        <v>0</v>
      </c>
      <c r="AC2119">
        <v>0</v>
      </c>
      <c r="AD2119">
        <v>0</v>
      </c>
      <c r="AE2119">
        <v>0</v>
      </c>
      <c r="AF2119">
        <v>0</v>
      </c>
      <c r="AG2119">
        <v>0</v>
      </c>
      <c r="AH2119">
        <v>0</v>
      </c>
      <c r="AI2119">
        <v>0</v>
      </c>
      <c r="AJ2119">
        <v>0</v>
      </c>
      <c r="AK2119">
        <v>0</v>
      </c>
      <c r="AL2119">
        <v>2</v>
      </c>
      <c r="AM2119">
        <v>0.33333333333333331</v>
      </c>
      <c r="AN2119">
        <v>6.0417410714286133</v>
      </c>
    </row>
    <row r="2120" spans="1:40" x14ac:dyDescent="0.3">
      <c r="A2120" t="s">
        <v>574</v>
      </c>
      <c r="B2120" t="s">
        <v>644</v>
      </c>
      <c r="C2120" t="s">
        <v>10</v>
      </c>
      <c r="D2120" t="s">
        <v>14</v>
      </c>
      <c r="E2120">
        <v>202602</v>
      </c>
      <c r="F2120" t="s">
        <v>114</v>
      </c>
      <c r="G2120">
        <v>0</v>
      </c>
      <c r="H2120">
        <v>2</v>
      </c>
      <c r="I2120">
        <v>2</v>
      </c>
      <c r="J2120">
        <v>1</v>
      </c>
      <c r="K2120">
        <v>3</v>
      </c>
      <c r="L2120">
        <v>3</v>
      </c>
      <c r="M2120">
        <v>0</v>
      </c>
      <c r="N2120">
        <v>0</v>
      </c>
      <c r="O2120">
        <v>2</v>
      </c>
      <c r="P2120">
        <v>0</v>
      </c>
      <c r="Q2120">
        <v>1</v>
      </c>
      <c r="R2120">
        <v>0</v>
      </c>
      <c r="S2120">
        <v>0</v>
      </c>
      <c r="T2120">
        <v>0</v>
      </c>
      <c r="U2120">
        <v>0</v>
      </c>
      <c r="V2120">
        <v>0</v>
      </c>
      <c r="W2120">
        <v>0</v>
      </c>
      <c r="X2120">
        <v>0</v>
      </c>
      <c r="Y2120">
        <v>0</v>
      </c>
      <c r="Z2120">
        <v>0</v>
      </c>
      <c r="AA2120">
        <v>0</v>
      </c>
      <c r="AB2120">
        <v>0</v>
      </c>
      <c r="AC2120">
        <v>0</v>
      </c>
      <c r="AD2120">
        <v>0</v>
      </c>
      <c r="AE2120">
        <v>0</v>
      </c>
      <c r="AF2120">
        <v>0</v>
      </c>
      <c r="AG2120">
        <v>0</v>
      </c>
      <c r="AH2120">
        <v>0</v>
      </c>
      <c r="AI2120">
        <v>0</v>
      </c>
      <c r="AJ2120">
        <v>0</v>
      </c>
      <c r="AK2120">
        <v>0</v>
      </c>
      <c r="AL2120">
        <v>14</v>
      </c>
      <c r="AM2120">
        <v>1</v>
      </c>
      <c r="AN2120">
        <v>26.125223214285839</v>
      </c>
    </row>
    <row r="2121" spans="1:40" x14ac:dyDescent="0.3">
      <c r="A2121" t="s">
        <v>574</v>
      </c>
      <c r="B2121" t="s">
        <v>644</v>
      </c>
      <c r="C2121" t="s">
        <v>10</v>
      </c>
      <c r="D2121" t="s">
        <v>14</v>
      </c>
      <c r="E2121">
        <v>202602</v>
      </c>
      <c r="F2121" t="s">
        <v>115</v>
      </c>
      <c r="G2121">
        <v>0</v>
      </c>
      <c r="H2121">
        <v>0</v>
      </c>
      <c r="I2121">
        <v>1</v>
      </c>
      <c r="J2121">
        <v>4</v>
      </c>
      <c r="K2121">
        <v>0</v>
      </c>
      <c r="L2121">
        <v>0</v>
      </c>
      <c r="M2121">
        <v>0</v>
      </c>
      <c r="N2121">
        <v>0</v>
      </c>
      <c r="O2121">
        <v>0</v>
      </c>
      <c r="P2121">
        <v>0</v>
      </c>
      <c r="Q2121">
        <v>0</v>
      </c>
      <c r="R2121">
        <v>0</v>
      </c>
      <c r="S2121">
        <v>0</v>
      </c>
      <c r="T2121">
        <v>0</v>
      </c>
      <c r="U2121">
        <v>0</v>
      </c>
      <c r="V2121">
        <v>0</v>
      </c>
      <c r="W2121">
        <v>0</v>
      </c>
      <c r="X2121">
        <v>0</v>
      </c>
      <c r="Y2121">
        <v>0</v>
      </c>
      <c r="Z2121">
        <v>0</v>
      </c>
      <c r="AA2121">
        <v>0</v>
      </c>
      <c r="AB2121">
        <v>0</v>
      </c>
      <c r="AC2121">
        <v>0</v>
      </c>
      <c r="AD2121">
        <v>0</v>
      </c>
      <c r="AE2121">
        <v>0</v>
      </c>
      <c r="AF2121">
        <v>0</v>
      </c>
      <c r="AG2121">
        <v>0</v>
      </c>
      <c r="AH2121">
        <v>0</v>
      </c>
      <c r="AI2121">
        <v>0</v>
      </c>
      <c r="AJ2121">
        <v>0</v>
      </c>
      <c r="AK2121">
        <v>0</v>
      </c>
      <c r="AL2121">
        <v>5</v>
      </c>
      <c r="AM2121">
        <v>0</v>
      </c>
      <c r="AN2121">
        <v>5</v>
      </c>
    </row>
    <row r="2122" spans="1:40" x14ac:dyDescent="0.3">
      <c r="A2122" t="s">
        <v>574</v>
      </c>
      <c r="B2122" t="s">
        <v>644</v>
      </c>
      <c r="C2122" t="s">
        <v>10</v>
      </c>
      <c r="D2122" t="s">
        <v>14</v>
      </c>
      <c r="E2122">
        <v>202602</v>
      </c>
      <c r="F2122" t="s">
        <v>130</v>
      </c>
      <c r="G2122">
        <v>0</v>
      </c>
      <c r="H2122">
        <v>0</v>
      </c>
      <c r="I2122">
        <v>0</v>
      </c>
      <c r="J2122">
        <v>0</v>
      </c>
      <c r="K2122">
        <v>0</v>
      </c>
      <c r="L2122">
        <v>1</v>
      </c>
      <c r="M2122">
        <v>0</v>
      </c>
      <c r="N2122">
        <v>0</v>
      </c>
      <c r="O2122">
        <v>1</v>
      </c>
      <c r="P2122">
        <v>0</v>
      </c>
      <c r="Q2122">
        <v>1</v>
      </c>
      <c r="R2122">
        <v>0</v>
      </c>
      <c r="S2122">
        <v>0</v>
      </c>
      <c r="T2122">
        <v>0</v>
      </c>
      <c r="U2122">
        <v>0</v>
      </c>
      <c r="V2122">
        <v>0</v>
      </c>
      <c r="W2122">
        <v>0</v>
      </c>
      <c r="X2122">
        <v>0</v>
      </c>
      <c r="Y2122">
        <v>0</v>
      </c>
      <c r="Z2122">
        <v>0</v>
      </c>
      <c r="AA2122">
        <v>0</v>
      </c>
      <c r="AB2122">
        <v>0</v>
      </c>
      <c r="AC2122">
        <v>0</v>
      </c>
      <c r="AD2122">
        <v>0</v>
      </c>
      <c r="AE2122">
        <v>0</v>
      </c>
      <c r="AF2122">
        <v>0</v>
      </c>
      <c r="AG2122">
        <v>0</v>
      </c>
      <c r="AH2122">
        <v>0</v>
      </c>
      <c r="AI2122">
        <v>0</v>
      </c>
      <c r="AJ2122">
        <v>0</v>
      </c>
      <c r="AK2122">
        <v>0</v>
      </c>
      <c r="AL2122">
        <v>3</v>
      </c>
      <c r="AM2122">
        <v>0.66666666666666663</v>
      </c>
      <c r="AN2122">
        <v>11.083482142857227</v>
      </c>
    </row>
    <row r="2123" spans="1:40" x14ac:dyDescent="0.3">
      <c r="A2123" t="s">
        <v>574</v>
      </c>
      <c r="B2123" t="s">
        <v>644</v>
      </c>
      <c r="C2123" t="s">
        <v>10</v>
      </c>
      <c r="D2123" t="s">
        <v>14</v>
      </c>
      <c r="E2123">
        <v>202602</v>
      </c>
      <c r="F2123" t="s">
        <v>118</v>
      </c>
      <c r="G2123">
        <v>0</v>
      </c>
      <c r="H2123">
        <v>0</v>
      </c>
      <c r="I2123">
        <v>1</v>
      </c>
      <c r="J2123">
        <v>0</v>
      </c>
      <c r="K2123">
        <v>0</v>
      </c>
      <c r="L2123">
        <v>0</v>
      </c>
      <c r="M2123">
        <v>0</v>
      </c>
      <c r="N2123">
        <v>0</v>
      </c>
      <c r="O2123">
        <v>0</v>
      </c>
      <c r="P2123">
        <v>0</v>
      </c>
      <c r="Q2123">
        <v>1</v>
      </c>
      <c r="R2123">
        <v>0</v>
      </c>
      <c r="S2123">
        <v>0</v>
      </c>
      <c r="T2123">
        <v>0</v>
      </c>
      <c r="U2123">
        <v>0</v>
      </c>
      <c r="V2123">
        <v>0</v>
      </c>
      <c r="W2123">
        <v>0</v>
      </c>
      <c r="X2123">
        <v>0</v>
      </c>
      <c r="Y2123">
        <v>0</v>
      </c>
      <c r="Z2123">
        <v>0</v>
      </c>
      <c r="AA2123">
        <v>0</v>
      </c>
      <c r="AB2123">
        <v>0</v>
      </c>
      <c r="AC2123">
        <v>0</v>
      </c>
      <c r="AD2123">
        <v>0</v>
      </c>
      <c r="AE2123">
        <v>0</v>
      </c>
      <c r="AF2123">
        <v>0</v>
      </c>
      <c r="AG2123">
        <v>0</v>
      </c>
      <c r="AH2123">
        <v>0</v>
      </c>
      <c r="AI2123">
        <v>0</v>
      </c>
      <c r="AJ2123">
        <v>0</v>
      </c>
      <c r="AK2123">
        <v>0</v>
      </c>
      <c r="AL2123">
        <v>2</v>
      </c>
      <c r="AM2123">
        <v>0.33333333333333331</v>
      </c>
      <c r="AN2123">
        <v>6.0417410714286133</v>
      </c>
    </row>
    <row r="2124" spans="1:40" x14ac:dyDescent="0.3">
      <c r="A2124" t="s">
        <v>574</v>
      </c>
      <c r="B2124" t="s">
        <v>644</v>
      </c>
      <c r="C2124" t="s">
        <v>10</v>
      </c>
      <c r="D2124" t="s">
        <v>14</v>
      </c>
      <c r="E2124">
        <v>202602</v>
      </c>
      <c r="F2124" t="s">
        <v>131</v>
      </c>
      <c r="G2124">
        <v>0</v>
      </c>
      <c r="H2124">
        <v>0</v>
      </c>
      <c r="I2124">
        <v>0</v>
      </c>
      <c r="J2124">
        <v>0</v>
      </c>
      <c r="K2124">
        <v>1</v>
      </c>
      <c r="L2124">
        <v>0</v>
      </c>
      <c r="M2124">
        <v>0</v>
      </c>
      <c r="N2124">
        <v>0</v>
      </c>
      <c r="O2124">
        <v>1</v>
      </c>
      <c r="P2124">
        <v>0</v>
      </c>
      <c r="Q2124">
        <v>0</v>
      </c>
      <c r="R2124">
        <v>0</v>
      </c>
      <c r="S2124">
        <v>0</v>
      </c>
      <c r="T2124">
        <v>0</v>
      </c>
      <c r="U2124">
        <v>0</v>
      </c>
      <c r="V2124">
        <v>0</v>
      </c>
      <c r="W2124">
        <v>0</v>
      </c>
      <c r="X2124">
        <v>0</v>
      </c>
      <c r="Y2124">
        <v>0</v>
      </c>
      <c r="Z2124">
        <v>0</v>
      </c>
      <c r="AA2124">
        <v>0</v>
      </c>
      <c r="AB2124">
        <v>0</v>
      </c>
      <c r="AC2124">
        <v>0</v>
      </c>
      <c r="AD2124">
        <v>0</v>
      </c>
      <c r="AE2124">
        <v>0</v>
      </c>
      <c r="AF2124">
        <v>0</v>
      </c>
      <c r="AG2124">
        <v>0</v>
      </c>
      <c r="AH2124">
        <v>0</v>
      </c>
      <c r="AI2124">
        <v>0</v>
      </c>
      <c r="AJ2124">
        <v>0</v>
      </c>
      <c r="AK2124">
        <v>0</v>
      </c>
      <c r="AL2124">
        <v>2</v>
      </c>
      <c r="AM2124">
        <v>0.33333333333333331</v>
      </c>
      <c r="AN2124">
        <v>6.0417410714286133</v>
      </c>
    </row>
    <row r="2125" spans="1:40" x14ac:dyDescent="0.3">
      <c r="A2125" t="s">
        <v>574</v>
      </c>
      <c r="B2125" t="s">
        <v>644</v>
      </c>
      <c r="C2125" t="s">
        <v>10</v>
      </c>
      <c r="D2125" t="s">
        <v>14</v>
      </c>
      <c r="E2125">
        <v>202602</v>
      </c>
      <c r="F2125" t="s">
        <v>224</v>
      </c>
      <c r="G2125">
        <v>0</v>
      </c>
      <c r="H2125">
        <v>0</v>
      </c>
      <c r="I2125">
        <v>1</v>
      </c>
      <c r="J2125">
        <v>0</v>
      </c>
      <c r="K2125">
        <v>0</v>
      </c>
      <c r="L2125">
        <v>0</v>
      </c>
      <c r="M2125">
        <v>0</v>
      </c>
      <c r="N2125">
        <v>0</v>
      </c>
      <c r="O2125">
        <v>1</v>
      </c>
      <c r="P2125">
        <v>0</v>
      </c>
      <c r="Q2125">
        <v>1</v>
      </c>
      <c r="R2125">
        <v>0</v>
      </c>
      <c r="S2125">
        <v>0</v>
      </c>
      <c r="T2125">
        <v>0</v>
      </c>
      <c r="U2125">
        <v>0</v>
      </c>
      <c r="V2125">
        <v>0</v>
      </c>
      <c r="W2125">
        <v>0</v>
      </c>
      <c r="X2125">
        <v>0</v>
      </c>
      <c r="Y2125">
        <v>0</v>
      </c>
      <c r="Z2125">
        <v>0</v>
      </c>
      <c r="AA2125">
        <v>0</v>
      </c>
      <c r="AB2125">
        <v>0</v>
      </c>
      <c r="AC2125">
        <v>0</v>
      </c>
      <c r="AD2125">
        <v>0</v>
      </c>
      <c r="AE2125">
        <v>0</v>
      </c>
      <c r="AF2125">
        <v>0</v>
      </c>
      <c r="AG2125">
        <v>0</v>
      </c>
      <c r="AH2125">
        <v>0</v>
      </c>
      <c r="AI2125">
        <v>0</v>
      </c>
      <c r="AJ2125">
        <v>0</v>
      </c>
      <c r="AK2125">
        <v>0</v>
      </c>
      <c r="AL2125">
        <v>3</v>
      </c>
      <c r="AM2125">
        <v>0.66666666666666663</v>
      </c>
      <c r="AN2125">
        <v>11.083482142857227</v>
      </c>
    </row>
    <row r="2126" spans="1:40" x14ac:dyDescent="0.3">
      <c r="A2126" t="s">
        <v>574</v>
      </c>
      <c r="B2126" t="s">
        <v>644</v>
      </c>
      <c r="C2126" t="s">
        <v>10</v>
      </c>
      <c r="D2126" t="s">
        <v>14</v>
      </c>
      <c r="E2126">
        <v>202602</v>
      </c>
      <c r="F2126" t="s">
        <v>121</v>
      </c>
      <c r="G2126">
        <v>0</v>
      </c>
      <c r="H2126">
        <v>0</v>
      </c>
      <c r="I2126">
        <v>1</v>
      </c>
      <c r="J2126">
        <v>0</v>
      </c>
      <c r="K2126">
        <v>0</v>
      </c>
      <c r="L2126">
        <v>0</v>
      </c>
      <c r="M2126">
        <v>0</v>
      </c>
      <c r="N2126">
        <v>0</v>
      </c>
      <c r="O2126">
        <v>0</v>
      </c>
      <c r="P2126">
        <v>0</v>
      </c>
      <c r="Q2126">
        <v>0</v>
      </c>
      <c r="R2126">
        <v>0</v>
      </c>
      <c r="S2126">
        <v>0</v>
      </c>
      <c r="T2126">
        <v>0</v>
      </c>
      <c r="U2126">
        <v>0</v>
      </c>
      <c r="V2126">
        <v>0</v>
      </c>
      <c r="W2126">
        <v>0</v>
      </c>
      <c r="X2126">
        <v>0</v>
      </c>
      <c r="Y2126">
        <v>0</v>
      </c>
      <c r="Z2126">
        <v>0</v>
      </c>
      <c r="AA2126">
        <v>0</v>
      </c>
      <c r="AB2126">
        <v>0</v>
      </c>
      <c r="AC2126">
        <v>0</v>
      </c>
      <c r="AD2126">
        <v>0</v>
      </c>
      <c r="AE2126">
        <v>0</v>
      </c>
      <c r="AF2126">
        <v>0</v>
      </c>
      <c r="AG2126">
        <v>0</v>
      </c>
      <c r="AH2126">
        <v>0</v>
      </c>
      <c r="AI2126">
        <v>0</v>
      </c>
      <c r="AJ2126">
        <v>0</v>
      </c>
      <c r="AK2126">
        <v>0</v>
      </c>
      <c r="AL2126">
        <v>1</v>
      </c>
      <c r="AM2126">
        <v>0</v>
      </c>
      <c r="AN2126">
        <v>1</v>
      </c>
    </row>
    <row r="2127" spans="1:40" x14ac:dyDescent="0.3">
      <c r="A2127" t="s">
        <v>574</v>
      </c>
      <c r="B2127" t="s">
        <v>644</v>
      </c>
      <c r="C2127" t="s">
        <v>10</v>
      </c>
      <c r="D2127" t="s">
        <v>14</v>
      </c>
      <c r="E2127">
        <v>202602</v>
      </c>
      <c r="F2127" t="s">
        <v>122</v>
      </c>
      <c r="G2127">
        <v>0</v>
      </c>
      <c r="H2127">
        <v>0</v>
      </c>
      <c r="I2127">
        <v>0</v>
      </c>
      <c r="J2127">
        <v>0</v>
      </c>
      <c r="K2127">
        <v>1</v>
      </c>
      <c r="L2127">
        <v>0</v>
      </c>
      <c r="M2127">
        <v>0</v>
      </c>
      <c r="N2127">
        <v>0</v>
      </c>
      <c r="O2127">
        <v>0</v>
      </c>
      <c r="P2127">
        <v>0</v>
      </c>
      <c r="Q2127">
        <v>0</v>
      </c>
      <c r="R2127">
        <v>0</v>
      </c>
      <c r="S2127">
        <v>0</v>
      </c>
      <c r="T2127">
        <v>0</v>
      </c>
      <c r="U2127">
        <v>0</v>
      </c>
      <c r="V2127">
        <v>0</v>
      </c>
      <c r="W2127">
        <v>0</v>
      </c>
      <c r="X2127">
        <v>0</v>
      </c>
      <c r="Y2127">
        <v>0</v>
      </c>
      <c r="Z2127">
        <v>0</v>
      </c>
      <c r="AA2127">
        <v>0</v>
      </c>
      <c r="AB2127">
        <v>0</v>
      </c>
      <c r="AC2127">
        <v>0</v>
      </c>
      <c r="AD2127">
        <v>0</v>
      </c>
      <c r="AE2127">
        <v>0</v>
      </c>
      <c r="AF2127">
        <v>0</v>
      </c>
      <c r="AG2127">
        <v>0</v>
      </c>
      <c r="AH2127">
        <v>0</v>
      </c>
      <c r="AI2127">
        <v>0</v>
      </c>
      <c r="AJ2127">
        <v>0</v>
      </c>
      <c r="AK2127">
        <v>0</v>
      </c>
      <c r="AL2127">
        <v>1</v>
      </c>
      <c r="AM2127">
        <v>0</v>
      </c>
      <c r="AN2127">
        <v>1</v>
      </c>
    </row>
    <row r="2128" spans="1:40" x14ac:dyDescent="0.3">
      <c r="A2128" t="s">
        <v>574</v>
      </c>
      <c r="B2128" t="s">
        <v>644</v>
      </c>
      <c r="C2128" t="s">
        <v>10</v>
      </c>
      <c r="D2128" t="s">
        <v>14</v>
      </c>
      <c r="E2128">
        <v>202602</v>
      </c>
      <c r="F2128" t="s">
        <v>124</v>
      </c>
      <c r="G2128">
        <v>0</v>
      </c>
      <c r="H2128">
        <v>1</v>
      </c>
      <c r="I2128">
        <v>0</v>
      </c>
      <c r="J2128">
        <v>0</v>
      </c>
      <c r="K2128">
        <v>0</v>
      </c>
      <c r="L2128">
        <v>1</v>
      </c>
      <c r="M2128">
        <v>0</v>
      </c>
      <c r="N2128">
        <v>0</v>
      </c>
      <c r="O2128">
        <v>0</v>
      </c>
      <c r="P2128">
        <v>0</v>
      </c>
      <c r="Q2128">
        <v>0</v>
      </c>
      <c r="R2128">
        <v>0</v>
      </c>
      <c r="S2128">
        <v>0</v>
      </c>
      <c r="T2128">
        <v>0</v>
      </c>
      <c r="U2128">
        <v>0</v>
      </c>
      <c r="V2128">
        <v>0</v>
      </c>
      <c r="W2128">
        <v>0</v>
      </c>
      <c r="X2128">
        <v>0</v>
      </c>
      <c r="Y2128">
        <v>0</v>
      </c>
      <c r="Z2128">
        <v>0</v>
      </c>
      <c r="AA2128">
        <v>0</v>
      </c>
      <c r="AB2128">
        <v>0</v>
      </c>
      <c r="AC2128">
        <v>0</v>
      </c>
      <c r="AD2128">
        <v>0</v>
      </c>
      <c r="AE2128">
        <v>0</v>
      </c>
      <c r="AF2128">
        <v>0</v>
      </c>
      <c r="AG2128">
        <v>0</v>
      </c>
      <c r="AH2128">
        <v>0</v>
      </c>
      <c r="AI2128">
        <v>0</v>
      </c>
      <c r="AJ2128">
        <v>0</v>
      </c>
      <c r="AK2128">
        <v>0</v>
      </c>
      <c r="AL2128">
        <v>2</v>
      </c>
      <c r="AM2128">
        <v>0</v>
      </c>
      <c r="AN2128">
        <v>2</v>
      </c>
    </row>
    <row r="2129" spans="1:40" x14ac:dyDescent="0.3">
      <c r="A2129" t="s">
        <v>574</v>
      </c>
      <c r="B2129" t="s">
        <v>644</v>
      </c>
      <c r="C2129" t="s">
        <v>10</v>
      </c>
      <c r="D2129" t="s">
        <v>14</v>
      </c>
      <c r="E2129">
        <v>202602</v>
      </c>
      <c r="F2129" t="s">
        <v>125</v>
      </c>
      <c r="G2129">
        <v>0</v>
      </c>
      <c r="H2129">
        <v>0</v>
      </c>
      <c r="I2129">
        <v>0</v>
      </c>
      <c r="J2129">
        <v>0</v>
      </c>
      <c r="K2129">
        <v>1</v>
      </c>
      <c r="L2129">
        <v>0</v>
      </c>
      <c r="M2129">
        <v>0</v>
      </c>
      <c r="N2129">
        <v>0</v>
      </c>
      <c r="O2129">
        <v>0</v>
      </c>
      <c r="P2129">
        <v>0</v>
      </c>
      <c r="Q2129">
        <v>0</v>
      </c>
      <c r="R2129">
        <v>0</v>
      </c>
      <c r="S2129">
        <v>0</v>
      </c>
      <c r="T2129">
        <v>0</v>
      </c>
      <c r="U2129">
        <v>0</v>
      </c>
      <c r="V2129">
        <v>0</v>
      </c>
      <c r="W2129">
        <v>0</v>
      </c>
      <c r="X2129">
        <v>0</v>
      </c>
      <c r="Y2129">
        <v>0</v>
      </c>
      <c r="Z2129">
        <v>0</v>
      </c>
      <c r="AA2129">
        <v>0</v>
      </c>
      <c r="AB2129">
        <v>0</v>
      </c>
      <c r="AC2129">
        <v>0</v>
      </c>
      <c r="AD2129">
        <v>0</v>
      </c>
      <c r="AE2129">
        <v>0</v>
      </c>
      <c r="AF2129">
        <v>0</v>
      </c>
      <c r="AG2129">
        <v>0</v>
      </c>
      <c r="AH2129">
        <v>0</v>
      </c>
      <c r="AI2129">
        <v>0</v>
      </c>
      <c r="AJ2129">
        <v>0</v>
      </c>
      <c r="AK2129">
        <v>0</v>
      </c>
      <c r="AL2129">
        <v>1</v>
      </c>
      <c r="AM2129">
        <v>0</v>
      </c>
      <c r="AN2129">
        <v>1</v>
      </c>
    </row>
    <row r="2130" spans="1:40" x14ac:dyDescent="0.3">
      <c r="A2130" t="s">
        <v>574</v>
      </c>
      <c r="B2130" t="s">
        <v>644</v>
      </c>
      <c r="C2130" t="s">
        <v>10</v>
      </c>
      <c r="D2130" t="s">
        <v>14</v>
      </c>
      <c r="E2130">
        <v>202602</v>
      </c>
      <c r="F2130" t="s">
        <v>127</v>
      </c>
      <c r="G2130">
        <v>0</v>
      </c>
      <c r="H2130">
        <v>0</v>
      </c>
      <c r="I2130">
        <v>1</v>
      </c>
      <c r="J2130">
        <v>0</v>
      </c>
      <c r="K2130">
        <v>3</v>
      </c>
      <c r="L2130">
        <v>0</v>
      </c>
      <c r="M2130">
        <v>0</v>
      </c>
      <c r="N2130">
        <v>0</v>
      </c>
      <c r="O2130">
        <v>0</v>
      </c>
      <c r="P2130">
        <v>0</v>
      </c>
      <c r="Q2130">
        <v>0</v>
      </c>
      <c r="R2130">
        <v>0</v>
      </c>
      <c r="S2130">
        <v>0</v>
      </c>
      <c r="T2130">
        <v>0</v>
      </c>
      <c r="U2130">
        <v>0</v>
      </c>
      <c r="V2130">
        <v>0</v>
      </c>
      <c r="W2130">
        <v>0</v>
      </c>
      <c r="X2130">
        <v>0</v>
      </c>
      <c r="Y2130">
        <v>0</v>
      </c>
      <c r="Z2130">
        <v>0</v>
      </c>
      <c r="AA2130">
        <v>0</v>
      </c>
      <c r="AB2130">
        <v>0</v>
      </c>
      <c r="AC2130">
        <v>0</v>
      </c>
      <c r="AD2130">
        <v>0</v>
      </c>
      <c r="AE2130">
        <v>0</v>
      </c>
      <c r="AF2130">
        <v>0</v>
      </c>
      <c r="AG2130">
        <v>0</v>
      </c>
      <c r="AH2130">
        <v>0</v>
      </c>
      <c r="AI2130">
        <v>0</v>
      </c>
      <c r="AJ2130">
        <v>0</v>
      </c>
      <c r="AK2130">
        <v>0</v>
      </c>
      <c r="AL2130">
        <v>4</v>
      </c>
      <c r="AM2130">
        <v>0</v>
      </c>
      <c r="AN2130">
        <v>4</v>
      </c>
    </row>
    <row r="2131" spans="1:40" x14ac:dyDescent="0.3">
      <c r="A2131" t="s">
        <v>574</v>
      </c>
      <c r="B2131" t="s">
        <v>644</v>
      </c>
      <c r="C2131" t="s">
        <v>10</v>
      </c>
      <c r="D2131" t="s">
        <v>14</v>
      </c>
      <c r="E2131">
        <v>202602</v>
      </c>
      <c r="F2131" t="s">
        <v>227</v>
      </c>
      <c r="G2131">
        <v>0</v>
      </c>
      <c r="H2131">
        <v>0</v>
      </c>
      <c r="I2131">
        <v>1</v>
      </c>
      <c r="J2131">
        <v>0</v>
      </c>
      <c r="K2131">
        <v>0</v>
      </c>
      <c r="L2131">
        <v>0</v>
      </c>
      <c r="M2131">
        <v>1</v>
      </c>
      <c r="N2131">
        <v>0</v>
      </c>
      <c r="O2131">
        <v>0</v>
      </c>
      <c r="P2131">
        <v>1</v>
      </c>
      <c r="Q2131">
        <v>0</v>
      </c>
      <c r="R2131">
        <v>0</v>
      </c>
      <c r="S2131">
        <v>0</v>
      </c>
      <c r="T2131">
        <v>0</v>
      </c>
      <c r="U2131">
        <v>0</v>
      </c>
      <c r="V2131">
        <v>0</v>
      </c>
      <c r="W2131">
        <v>0</v>
      </c>
      <c r="X2131">
        <v>0</v>
      </c>
      <c r="Y2131">
        <v>0</v>
      </c>
      <c r="Z2131">
        <v>0</v>
      </c>
      <c r="AA2131">
        <v>0</v>
      </c>
      <c r="AB2131">
        <v>0</v>
      </c>
      <c r="AC2131">
        <v>0</v>
      </c>
      <c r="AD2131">
        <v>0</v>
      </c>
      <c r="AE2131">
        <v>0</v>
      </c>
      <c r="AF2131">
        <v>0</v>
      </c>
      <c r="AG2131">
        <v>0</v>
      </c>
      <c r="AH2131">
        <v>0</v>
      </c>
      <c r="AI2131">
        <v>0</v>
      </c>
      <c r="AJ2131">
        <v>0</v>
      </c>
      <c r="AK2131">
        <v>0</v>
      </c>
      <c r="AL2131">
        <v>3</v>
      </c>
      <c r="AM2131">
        <v>0.33333333333333331</v>
      </c>
      <c r="AN2131">
        <v>7.0417410714286133</v>
      </c>
    </row>
    <row r="2132" spans="1:40" x14ac:dyDescent="0.3">
      <c r="A2132" t="s">
        <v>574</v>
      </c>
      <c r="B2132" t="s">
        <v>644</v>
      </c>
      <c r="C2132" t="s">
        <v>10</v>
      </c>
      <c r="D2132" t="s">
        <v>14</v>
      </c>
      <c r="E2132">
        <v>202602</v>
      </c>
      <c r="F2132" t="s">
        <v>128</v>
      </c>
      <c r="G2132">
        <v>0</v>
      </c>
      <c r="H2132">
        <v>0</v>
      </c>
      <c r="I2132">
        <v>0</v>
      </c>
      <c r="J2132">
        <v>0</v>
      </c>
      <c r="K2132">
        <v>0</v>
      </c>
      <c r="L2132">
        <v>0</v>
      </c>
      <c r="M2132">
        <v>0</v>
      </c>
      <c r="N2132">
        <v>0</v>
      </c>
      <c r="O2132">
        <v>1</v>
      </c>
      <c r="P2132">
        <v>0</v>
      </c>
      <c r="Q2132">
        <v>0</v>
      </c>
      <c r="R2132">
        <v>0</v>
      </c>
      <c r="S2132">
        <v>0</v>
      </c>
      <c r="T2132">
        <v>0</v>
      </c>
      <c r="U2132">
        <v>0</v>
      </c>
      <c r="V2132">
        <v>0</v>
      </c>
      <c r="W2132">
        <v>0</v>
      </c>
      <c r="X2132">
        <v>0</v>
      </c>
      <c r="Y2132">
        <v>0</v>
      </c>
      <c r="Z2132">
        <v>0</v>
      </c>
      <c r="AA2132">
        <v>0</v>
      </c>
      <c r="AB2132">
        <v>0</v>
      </c>
      <c r="AC2132">
        <v>0</v>
      </c>
      <c r="AD2132">
        <v>0</v>
      </c>
      <c r="AE2132">
        <v>0</v>
      </c>
      <c r="AF2132">
        <v>0</v>
      </c>
      <c r="AG2132">
        <v>0</v>
      </c>
      <c r="AH2132">
        <v>0</v>
      </c>
      <c r="AI2132">
        <v>0</v>
      </c>
      <c r="AJ2132">
        <v>0</v>
      </c>
      <c r="AK2132">
        <v>0</v>
      </c>
      <c r="AL2132">
        <v>1</v>
      </c>
      <c r="AM2132">
        <v>0.33333333333333331</v>
      </c>
      <c r="AN2132">
        <v>5.0417410714286133</v>
      </c>
    </row>
    <row r="2133" spans="1:40" x14ac:dyDescent="0.3">
      <c r="A2133" t="s">
        <v>574</v>
      </c>
      <c r="B2133" t="s">
        <v>644</v>
      </c>
      <c r="C2133" t="s">
        <v>16</v>
      </c>
      <c r="D2133" t="s">
        <v>14</v>
      </c>
      <c r="E2133">
        <v>202602</v>
      </c>
      <c r="F2133" t="s">
        <v>110</v>
      </c>
      <c r="G2133">
        <v>0</v>
      </c>
      <c r="H2133">
        <v>0</v>
      </c>
      <c r="I2133">
        <v>0</v>
      </c>
      <c r="J2133">
        <v>0</v>
      </c>
      <c r="K2133">
        <v>0</v>
      </c>
      <c r="L2133">
        <v>0</v>
      </c>
      <c r="M2133">
        <v>0</v>
      </c>
      <c r="N2133">
        <v>0</v>
      </c>
      <c r="O2133">
        <v>0</v>
      </c>
      <c r="P2133">
        <v>0</v>
      </c>
      <c r="Q2133">
        <v>1</v>
      </c>
      <c r="R2133">
        <v>0</v>
      </c>
      <c r="S2133">
        <v>0</v>
      </c>
      <c r="T2133">
        <v>0</v>
      </c>
      <c r="U2133">
        <v>0</v>
      </c>
      <c r="V2133">
        <v>0</v>
      </c>
      <c r="W2133">
        <v>0</v>
      </c>
      <c r="X2133">
        <v>0</v>
      </c>
      <c r="Y2133">
        <v>0</v>
      </c>
      <c r="Z2133">
        <v>0</v>
      </c>
      <c r="AA2133">
        <v>0</v>
      </c>
      <c r="AB2133">
        <v>0</v>
      </c>
      <c r="AC2133">
        <v>0</v>
      </c>
      <c r="AD2133">
        <v>0</v>
      </c>
      <c r="AE2133">
        <v>0</v>
      </c>
      <c r="AF2133">
        <v>0</v>
      </c>
      <c r="AG2133">
        <v>0</v>
      </c>
      <c r="AH2133">
        <v>0</v>
      </c>
      <c r="AI2133">
        <v>0</v>
      </c>
      <c r="AJ2133">
        <v>0</v>
      </c>
      <c r="AK2133">
        <v>0</v>
      </c>
      <c r="AL2133">
        <v>1</v>
      </c>
      <c r="AM2133">
        <v>0.33333333333333331</v>
      </c>
      <c r="AN2133">
        <v>5.0417410714286133</v>
      </c>
    </row>
    <row r="2134" spans="1:40" x14ac:dyDescent="0.3">
      <c r="A2134" t="s">
        <v>574</v>
      </c>
      <c r="B2134" t="s">
        <v>644</v>
      </c>
      <c r="C2134" t="s">
        <v>16</v>
      </c>
      <c r="D2134" t="s">
        <v>14</v>
      </c>
      <c r="E2134">
        <v>202602</v>
      </c>
      <c r="F2134" t="s">
        <v>598</v>
      </c>
      <c r="G2134">
        <v>0</v>
      </c>
      <c r="H2134">
        <v>0</v>
      </c>
      <c r="I2134">
        <v>0</v>
      </c>
      <c r="J2134">
        <v>0</v>
      </c>
      <c r="K2134">
        <v>0</v>
      </c>
      <c r="L2134">
        <v>0</v>
      </c>
      <c r="M2134">
        <v>0</v>
      </c>
      <c r="N2134">
        <v>0</v>
      </c>
      <c r="O2134">
        <v>0</v>
      </c>
      <c r="P2134">
        <v>1</v>
      </c>
      <c r="Q2134">
        <v>0</v>
      </c>
      <c r="R2134">
        <v>0</v>
      </c>
      <c r="S2134">
        <v>0</v>
      </c>
      <c r="T2134">
        <v>0</v>
      </c>
      <c r="U2134">
        <v>0</v>
      </c>
      <c r="V2134">
        <v>0</v>
      </c>
      <c r="W2134">
        <v>0</v>
      </c>
      <c r="X2134">
        <v>0</v>
      </c>
      <c r="Y2134">
        <v>0</v>
      </c>
      <c r="Z2134">
        <v>0</v>
      </c>
      <c r="AA2134">
        <v>0</v>
      </c>
      <c r="AB2134">
        <v>0</v>
      </c>
      <c r="AC2134">
        <v>0</v>
      </c>
      <c r="AD2134">
        <v>0</v>
      </c>
      <c r="AE2134">
        <v>0</v>
      </c>
      <c r="AF2134">
        <v>0</v>
      </c>
      <c r="AG2134">
        <v>0</v>
      </c>
      <c r="AH2134">
        <v>0</v>
      </c>
      <c r="AI2134">
        <v>0</v>
      </c>
      <c r="AJ2134">
        <v>0</v>
      </c>
      <c r="AK2134">
        <v>0</v>
      </c>
      <c r="AL2134">
        <v>1</v>
      </c>
      <c r="AM2134">
        <v>0.33333333333333331</v>
      </c>
      <c r="AN2134">
        <v>5.0417410714286133</v>
      </c>
    </row>
    <row r="2135" spans="1:40" x14ac:dyDescent="0.3">
      <c r="A2135" t="s">
        <v>574</v>
      </c>
      <c r="B2135" t="s">
        <v>136</v>
      </c>
      <c r="C2135" t="s">
        <v>10</v>
      </c>
      <c r="D2135" t="s">
        <v>11</v>
      </c>
      <c r="E2135">
        <v>202602</v>
      </c>
      <c r="F2135" t="s">
        <v>102</v>
      </c>
      <c r="G2135">
        <v>0</v>
      </c>
      <c r="H2135">
        <v>0</v>
      </c>
      <c r="I2135">
        <v>0</v>
      </c>
      <c r="J2135">
        <v>1</v>
      </c>
      <c r="K2135">
        <v>1</v>
      </c>
      <c r="L2135">
        <v>0</v>
      </c>
      <c r="M2135">
        <v>0</v>
      </c>
      <c r="N2135">
        <v>0</v>
      </c>
      <c r="O2135">
        <v>0</v>
      </c>
      <c r="P2135">
        <v>1</v>
      </c>
      <c r="Q2135">
        <v>5</v>
      </c>
      <c r="R2135">
        <v>0</v>
      </c>
      <c r="S2135">
        <v>0</v>
      </c>
      <c r="T2135">
        <v>0</v>
      </c>
      <c r="U2135">
        <v>0</v>
      </c>
      <c r="V2135">
        <v>0</v>
      </c>
      <c r="W2135">
        <v>0</v>
      </c>
      <c r="X2135">
        <v>0</v>
      </c>
      <c r="Y2135">
        <v>0</v>
      </c>
      <c r="Z2135">
        <v>0</v>
      </c>
      <c r="AA2135">
        <v>0</v>
      </c>
      <c r="AB2135">
        <v>0</v>
      </c>
      <c r="AC2135">
        <v>0</v>
      </c>
      <c r="AD2135">
        <v>0</v>
      </c>
      <c r="AE2135">
        <v>0</v>
      </c>
      <c r="AF2135">
        <v>0</v>
      </c>
      <c r="AG2135">
        <v>0</v>
      </c>
      <c r="AH2135">
        <v>0</v>
      </c>
      <c r="AI2135">
        <v>0</v>
      </c>
      <c r="AJ2135">
        <v>0</v>
      </c>
      <c r="AK2135">
        <v>0</v>
      </c>
      <c r="AL2135">
        <v>8</v>
      </c>
      <c r="AM2135">
        <v>2</v>
      </c>
      <c r="AN2135">
        <v>35.627750839238672</v>
      </c>
    </row>
    <row r="2136" spans="1:40" x14ac:dyDescent="0.3">
      <c r="A2136" t="s">
        <v>574</v>
      </c>
      <c r="B2136" t="s">
        <v>136</v>
      </c>
      <c r="C2136" t="s">
        <v>10</v>
      </c>
      <c r="D2136" t="s">
        <v>14</v>
      </c>
      <c r="E2136">
        <v>202602</v>
      </c>
      <c r="F2136" t="s">
        <v>102</v>
      </c>
      <c r="G2136">
        <v>0</v>
      </c>
      <c r="H2136">
        <v>1</v>
      </c>
      <c r="I2136">
        <v>3</v>
      </c>
      <c r="J2136">
        <v>2</v>
      </c>
      <c r="K2136">
        <v>1</v>
      </c>
      <c r="L2136">
        <v>3</v>
      </c>
      <c r="M2136">
        <v>1</v>
      </c>
      <c r="N2136">
        <v>0</v>
      </c>
      <c r="O2136">
        <v>8</v>
      </c>
      <c r="P2136">
        <v>2</v>
      </c>
      <c r="Q2136">
        <v>4</v>
      </c>
      <c r="R2136">
        <v>0</v>
      </c>
      <c r="S2136">
        <v>0</v>
      </c>
      <c r="T2136">
        <v>0</v>
      </c>
      <c r="U2136">
        <v>0</v>
      </c>
      <c r="V2136">
        <v>0</v>
      </c>
      <c r="W2136">
        <v>0</v>
      </c>
      <c r="X2136">
        <v>0</v>
      </c>
      <c r="Y2136">
        <v>0</v>
      </c>
      <c r="Z2136">
        <v>0</v>
      </c>
      <c r="AA2136">
        <v>0</v>
      </c>
      <c r="AB2136">
        <v>0</v>
      </c>
      <c r="AC2136">
        <v>0</v>
      </c>
      <c r="AD2136">
        <v>0</v>
      </c>
      <c r="AE2136">
        <v>0</v>
      </c>
      <c r="AF2136">
        <v>0</v>
      </c>
      <c r="AG2136">
        <v>0</v>
      </c>
      <c r="AH2136">
        <v>0</v>
      </c>
      <c r="AI2136">
        <v>0</v>
      </c>
      <c r="AJ2136">
        <v>0</v>
      </c>
      <c r="AK2136">
        <v>0</v>
      </c>
      <c r="AL2136">
        <v>25</v>
      </c>
      <c r="AM2136">
        <v>4.666666666666667</v>
      </c>
      <c r="AN2136">
        <v>81.584375000000591</v>
      </c>
    </row>
    <row r="2137" spans="1:40" x14ac:dyDescent="0.3">
      <c r="A2137" t="s">
        <v>574</v>
      </c>
      <c r="B2137" t="s">
        <v>684</v>
      </c>
      <c r="C2137" t="s">
        <v>10</v>
      </c>
      <c r="D2137" t="s">
        <v>11</v>
      </c>
      <c r="E2137">
        <v>202602</v>
      </c>
      <c r="F2137" t="s">
        <v>101</v>
      </c>
      <c r="G2137">
        <v>0</v>
      </c>
      <c r="H2137">
        <v>0</v>
      </c>
      <c r="I2137">
        <v>0</v>
      </c>
      <c r="J2137">
        <v>0</v>
      </c>
      <c r="K2137">
        <v>0</v>
      </c>
      <c r="L2137">
        <v>0</v>
      </c>
      <c r="M2137">
        <v>0</v>
      </c>
      <c r="N2137">
        <v>0</v>
      </c>
      <c r="O2137">
        <v>0</v>
      </c>
      <c r="P2137">
        <v>1</v>
      </c>
      <c r="Q2137">
        <v>1</v>
      </c>
      <c r="R2137">
        <v>0</v>
      </c>
      <c r="S2137">
        <v>0</v>
      </c>
      <c r="T2137">
        <v>0</v>
      </c>
      <c r="U2137">
        <v>0</v>
      </c>
      <c r="V2137">
        <v>0</v>
      </c>
      <c r="W2137">
        <v>0</v>
      </c>
      <c r="X2137">
        <v>0</v>
      </c>
      <c r="Y2137">
        <v>0</v>
      </c>
      <c r="Z2137">
        <v>0</v>
      </c>
      <c r="AA2137">
        <v>0</v>
      </c>
      <c r="AB2137">
        <v>0</v>
      </c>
      <c r="AC2137">
        <v>0</v>
      </c>
      <c r="AD2137">
        <v>0</v>
      </c>
      <c r="AE2137">
        <v>0</v>
      </c>
      <c r="AF2137">
        <v>0</v>
      </c>
      <c r="AG2137">
        <v>0</v>
      </c>
      <c r="AH2137">
        <v>0</v>
      </c>
      <c r="AI2137">
        <v>0</v>
      </c>
      <c r="AJ2137">
        <v>0</v>
      </c>
      <c r="AK2137">
        <v>0</v>
      </c>
      <c r="AL2137">
        <v>2</v>
      </c>
      <c r="AM2137">
        <v>0.66666666666666663</v>
      </c>
      <c r="AN2137">
        <v>11.209250279746223</v>
      </c>
    </row>
    <row r="2138" spans="1:40" x14ac:dyDescent="0.3">
      <c r="A2138" t="s">
        <v>574</v>
      </c>
      <c r="B2138" t="s">
        <v>684</v>
      </c>
      <c r="C2138" t="s">
        <v>10</v>
      </c>
      <c r="D2138" t="s">
        <v>11</v>
      </c>
      <c r="E2138">
        <v>202602</v>
      </c>
      <c r="F2138" t="s">
        <v>138</v>
      </c>
      <c r="G2138">
        <v>0</v>
      </c>
      <c r="H2138">
        <v>0</v>
      </c>
      <c r="I2138">
        <v>0</v>
      </c>
      <c r="J2138">
        <v>0</v>
      </c>
      <c r="K2138">
        <v>0</v>
      </c>
      <c r="L2138">
        <v>1</v>
      </c>
      <c r="M2138">
        <v>0</v>
      </c>
      <c r="N2138">
        <v>0</v>
      </c>
      <c r="O2138">
        <v>0</v>
      </c>
      <c r="P2138">
        <v>0</v>
      </c>
      <c r="Q2138">
        <v>0</v>
      </c>
      <c r="R2138">
        <v>0</v>
      </c>
      <c r="S2138">
        <v>0</v>
      </c>
      <c r="T2138">
        <v>0</v>
      </c>
      <c r="U2138">
        <v>0</v>
      </c>
      <c r="V2138">
        <v>0</v>
      </c>
      <c r="W2138">
        <v>0</v>
      </c>
      <c r="X2138">
        <v>0</v>
      </c>
      <c r="Y2138">
        <v>0</v>
      </c>
      <c r="Z2138">
        <v>0</v>
      </c>
      <c r="AA2138">
        <v>0</v>
      </c>
      <c r="AB2138">
        <v>0</v>
      </c>
      <c r="AC2138">
        <v>0</v>
      </c>
      <c r="AD2138">
        <v>0</v>
      </c>
      <c r="AE2138">
        <v>0</v>
      </c>
      <c r="AF2138">
        <v>0</v>
      </c>
      <c r="AG2138">
        <v>0</v>
      </c>
      <c r="AH2138">
        <v>0</v>
      </c>
      <c r="AI2138">
        <v>0</v>
      </c>
      <c r="AJ2138">
        <v>0</v>
      </c>
      <c r="AK2138">
        <v>0</v>
      </c>
      <c r="AL2138">
        <v>1</v>
      </c>
      <c r="AM2138">
        <v>0</v>
      </c>
      <c r="AN2138">
        <v>1</v>
      </c>
    </row>
    <row r="2139" spans="1:40" x14ac:dyDescent="0.3">
      <c r="A2139" t="s">
        <v>574</v>
      </c>
      <c r="B2139" t="s">
        <v>684</v>
      </c>
      <c r="C2139" t="s">
        <v>10</v>
      </c>
      <c r="D2139" t="s">
        <v>14</v>
      </c>
      <c r="E2139">
        <v>202602</v>
      </c>
      <c r="F2139" t="s">
        <v>101</v>
      </c>
      <c r="G2139">
        <v>0</v>
      </c>
      <c r="H2139">
        <v>0</v>
      </c>
      <c r="I2139">
        <v>0</v>
      </c>
      <c r="J2139">
        <v>0</v>
      </c>
      <c r="K2139">
        <v>0</v>
      </c>
      <c r="L2139">
        <v>1</v>
      </c>
      <c r="M2139">
        <v>0</v>
      </c>
      <c r="N2139">
        <v>0</v>
      </c>
      <c r="O2139">
        <v>1</v>
      </c>
      <c r="P2139">
        <v>0</v>
      </c>
      <c r="Q2139">
        <v>0</v>
      </c>
      <c r="R2139">
        <v>0</v>
      </c>
      <c r="S2139">
        <v>0</v>
      </c>
      <c r="T2139">
        <v>0</v>
      </c>
      <c r="U2139">
        <v>0</v>
      </c>
      <c r="V2139">
        <v>0</v>
      </c>
      <c r="W2139">
        <v>0</v>
      </c>
      <c r="X2139">
        <v>0</v>
      </c>
      <c r="Y2139">
        <v>0</v>
      </c>
      <c r="Z2139">
        <v>0</v>
      </c>
      <c r="AA2139">
        <v>0</v>
      </c>
      <c r="AB2139">
        <v>0</v>
      </c>
      <c r="AC2139">
        <v>0</v>
      </c>
      <c r="AD2139">
        <v>0</v>
      </c>
      <c r="AE2139">
        <v>0</v>
      </c>
      <c r="AF2139">
        <v>0</v>
      </c>
      <c r="AG2139">
        <v>0</v>
      </c>
      <c r="AH2139">
        <v>0</v>
      </c>
      <c r="AI2139">
        <v>0</v>
      </c>
      <c r="AJ2139">
        <v>0</v>
      </c>
      <c r="AK2139">
        <v>0</v>
      </c>
      <c r="AL2139">
        <v>2</v>
      </c>
      <c r="AM2139">
        <v>0.33333333333333331</v>
      </c>
      <c r="AN2139">
        <v>6.0417410714286133</v>
      </c>
    </row>
    <row r="2140" spans="1:40" x14ac:dyDescent="0.3">
      <c r="A2140" t="s">
        <v>574</v>
      </c>
      <c r="B2140" t="s">
        <v>684</v>
      </c>
      <c r="C2140" t="s">
        <v>10</v>
      </c>
      <c r="D2140" t="s">
        <v>14</v>
      </c>
      <c r="E2140">
        <v>202602</v>
      </c>
      <c r="F2140" t="s">
        <v>138</v>
      </c>
      <c r="G2140">
        <v>0</v>
      </c>
      <c r="H2140">
        <v>0</v>
      </c>
      <c r="I2140">
        <v>0</v>
      </c>
      <c r="J2140">
        <v>0</v>
      </c>
      <c r="K2140">
        <v>2</v>
      </c>
      <c r="L2140">
        <v>0</v>
      </c>
      <c r="M2140">
        <v>0</v>
      </c>
      <c r="N2140">
        <v>0</v>
      </c>
      <c r="O2140">
        <v>0</v>
      </c>
      <c r="P2140">
        <v>0</v>
      </c>
      <c r="Q2140">
        <v>0</v>
      </c>
      <c r="R2140">
        <v>0</v>
      </c>
      <c r="S2140">
        <v>0</v>
      </c>
      <c r="T2140">
        <v>0</v>
      </c>
      <c r="U2140">
        <v>0</v>
      </c>
      <c r="V2140">
        <v>0</v>
      </c>
      <c r="W2140">
        <v>0</v>
      </c>
      <c r="X2140">
        <v>0</v>
      </c>
      <c r="Y2140">
        <v>0</v>
      </c>
      <c r="Z2140">
        <v>0</v>
      </c>
      <c r="AA2140">
        <v>0</v>
      </c>
      <c r="AB2140">
        <v>0</v>
      </c>
      <c r="AC2140">
        <v>0</v>
      </c>
      <c r="AD2140">
        <v>0</v>
      </c>
      <c r="AE2140">
        <v>0</v>
      </c>
      <c r="AF2140">
        <v>0</v>
      </c>
      <c r="AG2140">
        <v>0</v>
      </c>
      <c r="AH2140">
        <v>0</v>
      </c>
      <c r="AI2140">
        <v>0</v>
      </c>
      <c r="AJ2140">
        <v>0</v>
      </c>
      <c r="AK2140">
        <v>0</v>
      </c>
      <c r="AL2140">
        <v>2</v>
      </c>
      <c r="AM2140">
        <v>0</v>
      </c>
      <c r="AN2140">
        <v>2</v>
      </c>
    </row>
    <row r="2141" spans="1:40" x14ac:dyDescent="0.3">
      <c r="A2141" t="s">
        <v>574</v>
      </c>
      <c r="B2141" t="s">
        <v>139</v>
      </c>
      <c r="C2141" t="s">
        <v>10</v>
      </c>
      <c r="D2141" t="s">
        <v>11</v>
      </c>
      <c r="E2141">
        <v>202602</v>
      </c>
      <c r="F2141" t="s">
        <v>587</v>
      </c>
      <c r="G2141">
        <v>0</v>
      </c>
      <c r="H2141">
        <v>0</v>
      </c>
      <c r="I2141">
        <v>0</v>
      </c>
      <c r="J2141">
        <v>0</v>
      </c>
      <c r="K2141">
        <v>0</v>
      </c>
      <c r="L2141">
        <v>0</v>
      </c>
      <c r="M2141">
        <v>0</v>
      </c>
      <c r="N2141">
        <v>0</v>
      </c>
      <c r="O2141">
        <v>0</v>
      </c>
      <c r="P2141">
        <v>0</v>
      </c>
      <c r="Q2141">
        <v>1</v>
      </c>
      <c r="R2141">
        <v>0</v>
      </c>
      <c r="S2141">
        <v>0</v>
      </c>
      <c r="T2141">
        <v>0</v>
      </c>
      <c r="U2141">
        <v>0</v>
      </c>
      <c r="V2141">
        <v>0</v>
      </c>
      <c r="W2141">
        <v>0</v>
      </c>
      <c r="X2141">
        <v>0</v>
      </c>
      <c r="Y2141">
        <v>0</v>
      </c>
      <c r="Z2141">
        <v>0</v>
      </c>
      <c r="AA2141">
        <v>0</v>
      </c>
      <c r="AB2141">
        <v>0</v>
      </c>
      <c r="AC2141">
        <v>0</v>
      </c>
      <c r="AD2141">
        <v>0</v>
      </c>
      <c r="AE2141">
        <v>0</v>
      </c>
      <c r="AF2141">
        <v>0</v>
      </c>
      <c r="AG2141">
        <v>0</v>
      </c>
      <c r="AH2141">
        <v>0</v>
      </c>
      <c r="AI2141">
        <v>0</v>
      </c>
      <c r="AJ2141">
        <v>0</v>
      </c>
      <c r="AK2141">
        <v>0</v>
      </c>
      <c r="AL2141">
        <v>1</v>
      </c>
      <c r="AM2141">
        <v>0.33333333333333331</v>
      </c>
      <c r="AN2141">
        <v>5.6046251398731117</v>
      </c>
    </row>
    <row r="2142" spans="1:40" x14ac:dyDescent="0.3">
      <c r="A2142" t="s">
        <v>574</v>
      </c>
      <c r="B2142" t="s">
        <v>139</v>
      </c>
      <c r="C2142" t="s">
        <v>10</v>
      </c>
      <c r="D2142" t="s">
        <v>11</v>
      </c>
      <c r="E2142">
        <v>202602</v>
      </c>
      <c r="F2142" t="s">
        <v>156</v>
      </c>
      <c r="G2142">
        <v>0</v>
      </c>
      <c r="H2142">
        <v>0</v>
      </c>
      <c r="I2142">
        <v>2</v>
      </c>
      <c r="J2142">
        <v>0</v>
      </c>
      <c r="K2142">
        <v>0</v>
      </c>
      <c r="L2142">
        <v>0</v>
      </c>
      <c r="M2142">
        <v>0</v>
      </c>
      <c r="N2142">
        <v>0</v>
      </c>
      <c r="O2142">
        <v>0</v>
      </c>
      <c r="P2142">
        <v>1</v>
      </c>
      <c r="Q2142">
        <v>0</v>
      </c>
      <c r="R2142">
        <v>0</v>
      </c>
      <c r="S2142">
        <v>0</v>
      </c>
      <c r="T2142">
        <v>0</v>
      </c>
      <c r="U2142">
        <v>0</v>
      </c>
      <c r="V2142">
        <v>0</v>
      </c>
      <c r="W2142">
        <v>0</v>
      </c>
      <c r="X2142">
        <v>0</v>
      </c>
      <c r="Y2142">
        <v>0</v>
      </c>
      <c r="Z2142">
        <v>0</v>
      </c>
      <c r="AA2142">
        <v>0</v>
      </c>
      <c r="AB2142">
        <v>0</v>
      </c>
      <c r="AC2142">
        <v>0</v>
      </c>
      <c r="AD2142">
        <v>0</v>
      </c>
      <c r="AE2142">
        <v>0</v>
      </c>
      <c r="AF2142">
        <v>0</v>
      </c>
      <c r="AG2142">
        <v>0</v>
      </c>
      <c r="AH2142">
        <v>0</v>
      </c>
      <c r="AI2142">
        <v>0</v>
      </c>
      <c r="AJ2142">
        <v>0</v>
      </c>
      <c r="AK2142">
        <v>0</v>
      </c>
      <c r="AL2142">
        <v>3</v>
      </c>
      <c r="AM2142">
        <v>0.33333333333333331</v>
      </c>
      <c r="AN2142">
        <v>7.6046251398731117</v>
      </c>
    </row>
    <row r="2143" spans="1:40" x14ac:dyDescent="0.3">
      <c r="A2143" t="s">
        <v>574</v>
      </c>
      <c r="B2143" t="s">
        <v>139</v>
      </c>
      <c r="C2143" t="s">
        <v>10</v>
      </c>
      <c r="D2143" t="s">
        <v>11</v>
      </c>
      <c r="E2143">
        <v>202602</v>
      </c>
      <c r="F2143" t="s">
        <v>143</v>
      </c>
      <c r="G2143">
        <v>0</v>
      </c>
      <c r="H2143">
        <v>0</v>
      </c>
      <c r="I2143">
        <v>1</v>
      </c>
      <c r="J2143">
        <v>0</v>
      </c>
      <c r="K2143">
        <v>0</v>
      </c>
      <c r="L2143">
        <v>0</v>
      </c>
      <c r="M2143">
        <v>0</v>
      </c>
      <c r="N2143">
        <v>0</v>
      </c>
      <c r="O2143">
        <v>0</v>
      </c>
      <c r="P2143">
        <v>0</v>
      </c>
      <c r="Q2143">
        <v>0</v>
      </c>
      <c r="R2143">
        <v>0</v>
      </c>
      <c r="S2143">
        <v>0</v>
      </c>
      <c r="T2143">
        <v>0</v>
      </c>
      <c r="U2143">
        <v>0</v>
      </c>
      <c r="V2143">
        <v>0</v>
      </c>
      <c r="W2143">
        <v>0</v>
      </c>
      <c r="X2143">
        <v>0</v>
      </c>
      <c r="Y2143">
        <v>0</v>
      </c>
      <c r="Z2143">
        <v>0</v>
      </c>
      <c r="AA2143">
        <v>0</v>
      </c>
      <c r="AB2143">
        <v>0</v>
      </c>
      <c r="AC2143">
        <v>0</v>
      </c>
      <c r="AD2143">
        <v>0</v>
      </c>
      <c r="AE2143">
        <v>0</v>
      </c>
      <c r="AF2143">
        <v>0</v>
      </c>
      <c r="AG2143">
        <v>0</v>
      </c>
      <c r="AH2143">
        <v>0</v>
      </c>
      <c r="AI2143">
        <v>0</v>
      </c>
      <c r="AJ2143">
        <v>0</v>
      </c>
      <c r="AK2143">
        <v>0</v>
      </c>
      <c r="AL2143">
        <v>1</v>
      </c>
      <c r="AM2143">
        <v>0</v>
      </c>
      <c r="AN2143">
        <v>1</v>
      </c>
    </row>
    <row r="2144" spans="1:40" x14ac:dyDescent="0.3">
      <c r="A2144" t="s">
        <v>574</v>
      </c>
      <c r="B2144" t="s">
        <v>139</v>
      </c>
      <c r="C2144" t="s">
        <v>10</v>
      </c>
      <c r="D2144" t="s">
        <v>11</v>
      </c>
      <c r="E2144">
        <v>202602</v>
      </c>
      <c r="F2144" t="s">
        <v>599</v>
      </c>
      <c r="G2144">
        <v>0</v>
      </c>
      <c r="H2144">
        <v>0</v>
      </c>
      <c r="I2144">
        <v>0</v>
      </c>
      <c r="J2144">
        <v>1</v>
      </c>
      <c r="K2144">
        <v>0</v>
      </c>
      <c r="L2144">
        <v>0</v>
      </c>
      <c r="M2144">
        <v>0</v>
      </c>
      <c r="N2144">
        <v>0</v>
      </c>
      <c r="O2144">
        <v>0</v>
      </c>
      <c r="P2144">
        <v>0</v>
      </c>
      <c r="Q2144">
        <v>0</v>
      </c>
      <c r="R2144">
        <v>0</v>
      </c>
      <c r="S2144">
        <v>0</v>
      </c>
      <c r="T2144">
        <v>0</v>
      </c>
      <c r="U2144">
        <v>0</v>
      </c>
      <c r="V2144">
        <v>0</v>
      </c>
      <c r="W2144">
        <v>0</v>
      </c>
      <c r="X2144">
        <v>0</v>
      </c>
      <c r="Y2144">
        <v>0</v>
      </c>
      <c r="Z2144">
        <v>0</v>
      </c>
      <c r="AA2144">
        <v>0</v>
      </c>
      <c r="AB2144">
        <v>0</v>
      </c>
      <c r="AC2144">
        <v>0</v>
      </c>
      <c r="AD2144">
        <v>0</v>
      </c>
      <c r="AE2144">
        <v>0</v>
      </c>
      <c r="AF2144">
        <v>0</v>
      </c>
      <c r="AG2144">
        <v>0</v>
      </c>
      <c r="AH2144">
        <v>0</v>
      </c>
      <c r="AI2144">
        <v>0</v>
      </c>
      <c r="AJ2144">
        <v>0</v>
      </c>
      <c r="AK2144">
        <v>0</v>
      </c>
      <c r="AL2144">
        <v>1</v>
      </c>
      <c r="AM2144">
        <v>0</v>
      </c>
      <c r="AN2144">
        <v>1</v>
      </c>
    </row>
    <row r="2145" spans="1:40" x14ac:dyDescent="0.3">
      <c r="A2145" t="s">
        <v>574</v>
      </c>
      <c r="B2145" t="s">
        <v>139</v>
      </c>
      <c r="C2145" t="s">
        <v>10</v>
      </c>
      <c r="D2145" t="s">
        <v>11</v>
      </c>
      <c r="E2145">
        <v>202602</v>
      </c>
      <c r="F2145" t="s">
        <v>589</v>
      </c>
      <c r="G2145">
        <v>0</v>
      </c>
      <c r="H2145">
        <v>0</v>
      </c>
      <c r="I2145">
        <v>0</v>
      </c>
      <c r="J2145">
        <v>1</v>
      </c>
      <c r="K2145">
        <v>1</v>
      </c>
      <c r="L2145">
        <v>0</v>
      </c>
      <c r="M2145">
        <v>0</v>
      </c>
      <c r="N2145">
        <v>0</v>
      </c>
      <c r="O2145">
        <v>0</v>
      </c>
      <c r="P2145">
        <v>0</v>
      </c>
      <c r="Q2145">
        <v>0</v>
      </c>
      <c r="R2145">
        <v>0</v>
      </c>
      <c r="S2145">
        <v>0</v>
      </c>
      <c r="T2145">
        <v>0</v>
      </c>
      <c r="U2145">
        <v>0</v>
      </c>
      <c r="V2145">
        <v>0</v>
      </c>
      <c r="W2145">
        <v>0</v>
      </c>
      <c r="X2145">
        <v>0</v>
      </c>
      <c r="Y2145">
        <v>0</v>
      </c>
      <c r="Z2145">
        <v>0</v>
      </c>
      <c r="AA2145">
        <v>0</v>
      </c>
      <c r="AB2145">
        <v>0</v>
      </c>
      <c r="AC2145">
        <v>0</v>
      </c>
      <c r="AD2145">
        <v>0</v>
      </c>
      <c r="AE2145">
        <v>0</v>
      </c>
      <c r="AF2145">
        <v>0</v>
      </c>
      <c r="AG2145">
        <v>0</v>
      </c>
      <c r="AH2145">
        <v>0</v>
      </c>
      <c r="AI2145">
        <v>0</v>
      </c>
      <c r="AJ2145">
        <v>0</v>
      </c>
      <c r="AK2145">
        <v>0</v>
      </c>
      <c r="AL2145">
        <v>2</v>
      </c>
      <c r="AM2145">
        <v>0</v>
      </c>
      <c r="AN2145">
        <v>2</v>
      </c>
    </row>
    <row r="2146" spans="1:40" x14ac:dyDescent="0.3">
      <c r="A2146" t="s">
        <v>574</v>
      </c>
      <c r="B2146" t="s">
        <v>139</v>
      </c>
      <c r="C2146" t="s">
        <v>10</v>
      </c>
      <c r="D2146" t="s">
        <v>11</v>
      </c>
      <c r="E2146">
        <v>202602</v>
      </c>
      <c r="F2146" t="s">
        <v>600</v>
      </c>
      <c r="G2146">
        <v>0</v>
      </c>
      <c r="H2146">
        <v>0</v>
      </c>
      <c r="I2146">
        <v>0</v>
      </c>
      <c r="J2146">
        <v>0</v>
      </c>
      <c r="K2146">
        <v>0</v>
      </c>
      <c r="L2146">
        <v>0</v>
      </c>
      <c r="M2146">
        <v>1</v>
      </c>
      <c r="N2146">
        <v>0</v>
      </c>
      <c r="O2146">
        <v>0</v>
      </c>
      <c r="P2146">
        <v>0</v>
      </c>
      <c r="Q2146">
        <v>0</v>
      </c>
      <c r="R2146">
        <v>0</v>
      </c>
      <c r="S2146">
        <v>0</v>
      </c>
      <c r="T2146">
        <v>0</v>
      </c>
      <c r="U2146">
        <v>0</v>
      </c>
      <c r="V2146">
        <v>0</v>
      </c>
      <c r="W2146">
        <v>0</v>
      </c>
      <c r="X2146">
        <v>0</v>
      </c>
      <c r="Y2146">
        <v>0</v>
      </c>
      <c r="Z2146">
        <v>0</v>
      </c>
      <c r="AA2146">
        <v>0</v>
      </c>
      <c r="AB2146">
        <v>0</v>
      </c>
      <c r="AC2146">
        <v>0</v>
      </c>
      <c r="AD2146">
        <v>0</v>
      </c>
      <c r="AE2146">
        <v>0</v>
      </c>
      <c r="AF2146">
        <v>0</v>
      </c>
      <c r="AG2146">
        <v>0</v>
      </c>
      <c r="AH2146">
        <v>0</v>
      </c>
      <c r="AI2146">
        <v>0</v>
      </c>
      <c r="AJ2146">
        <v>0</v>
      </c>
      <c r="AK2146">
        <v>0</v>
      </c>
      <c r="AL2146">
        <v>1</v>
      </c>
      <c r="AM2146">
        <v>0</v>
      </c>
      <c r="AN2146">
        <v>1</v>
      </c>
    </row>
    <row r="2147" spans="1:40" x14ac:dyDescent="0.3">
      <c r="A2147" t="s">
        <v>574</v>
      </c>
      <c r="B2147" t="s">
        <v>139</v>
      </c>
      <c r="C2147" t="s">
        <v>10</v>
      </c>
      <c r="D2147" t="s">
        <v>11</v>
      </c>
      <c r="E2147">
        <v>202602</v>
      </c>
      <c r="F2147" t="s">
        <v>601</v>
      </c>
      <c r="G2147">
        <v>0</v>
      </c>
      <c r="H2147">
        <v>0</v>
      </c>
      <c r="I2147">
        <v>0</v>
      </c>
      <c r="J2147">
        <v>0</v>
      </c>
      <c r="K2147">
        <v>0</v>
      </c>
      <c r="L2147">
        <v>1</v>
      </c>
      <c r="M2147">
        <v>0</v>
      </c>
      <c r="N2147">
        <v>0</v>
      </c>
      <c r="O2147">
        <v>0</v>
      </c>
      <c r="P2147">
        <v>0</v>
      </c>
      <c r="Q2147">
        <v>0</v>
      </c>
      <c r="R2147">
        <v>0</v>
      </c>
      <c r="S2147">
        <v>0</v>
      </c>
      <c r="T2147">
        <v>0</v>
      </c>
      <c r="U2147">
        <v>0</v>
      </c>
      <c r="V2147">
        <v>0</v>
      </c>
      <c r="W2147">
        <v>0</v>
      </c>
      <c r="X2147">
        <v>0</v>
      </c>
      <c r="Y2147">
        <v>0</v>
      </c>
      <c r="Z2147">
        <v>0</v>
      </c>
      <c r="AA2147">
        <v>0</v>
      </c>
      <c r="AB2147">
        <v>0</v>
      </c>
      <c r="AC2147">
        <v>0</v>
      </c>
      <c r="AD2147">
        <v>0</v>
      </c>
      <c r="AE2147">
        <v>0</v>
      </c>
      <c r="AF2147">
        <v>0</v>
      </c>
      <c r="AG2147">
        <v>0</v>
      </c>
      <c r="AH2147">
        <v>0</v>
      </c>
      <c r="AI2147">
        <v>0</v>
      </c>
      <c r="AJ2147">
        <v>0</v>
      </c>
      <c r="AK2147">
        <v>0</v>
      </c>
      <c r="AL2147">
        <v>1</v>
      </c>
      <c r="AM2147">
        <v>0</v>
      </c>
      <c r="AN2147">
        <v>1</v>
      </c>
    </row>
    <row r="2148" spans="1:40" x14ac:dyDescent="0.3">
      <c r="A2148" t="s">
        <v>574</v>
      </c>
      <c r="B2148" t="s">
        <v>139</v>
      </c>
      <c r="C2148" t="s">
        <v>10</v>
      </c>
      <c r="D2148" t="s">
        <v>11</v>
      </c>
      <c r="E2148">
        <v>202602</v>
      </c>
      <c r="F2148" t="s">
        <v>602</v>
      </c>
      <c r="G2148">
        <v>0</v>
      </c>
      <c r="H2148">
        <v>2</v>
      </c>
      <c r="I2148">
        <v>0</v>
      </c>
      <c r="J2148">
        <v>0</v>
      </c>
      <c r="K2148">
        <v>0</v>
      </c>
      <c r="L2148">
        <v>0</v>
      </c>
      <c r="M2148">
        <v>2</v>
      </c>
      <c r="N2148">
        <v>0</v>
      </c>
      <c r="O2148">
        <v>0</v>
      </c>
      <c r="P2148">
        <v>0</v>
      </c>
      <c r="Q2148">
        <v>0</v>
      </c>
      <c r="R2148">
        <v>0</v>
      </c>
      <c r="S2148">
        <v>0</v>
      </c>
      <c r="T2148">
        <v>0</v>
      </c>
      <c r="U2148">
        <v>0</v>
      </c>
      <c r="V2148">
        <v>0</v>
      </c>
      <c r="W2148">
        <v>0</v>
      </c>
      <c r="X2148">
        <v>0</v>
      </c>
      <c r="Y2148">
        <v>0</v>
      </c>
      <c r="Z2148">
        <v>0</v>
      </c>
      <c r="AA2148">
        <v>0</v>
      </c>
      <c r="AB2148">
        <v>0</v>
      </c>
      <c r="AC2148">
        <v>0</v>
      </c>
      <c r="AD2148">
        <v>0</v>
      </c>
      <c r="AE2148">
        <v>0</v>
      </c>
      <c r="AF2148">
        <v>0</v>
      </c>
      <c r="AG2148">
        <v>0</v>
      </c>
      <c r="AH2148">
        <v>0</v>
      </c>
      <c r="AI2148">
        <v>0</v>
      </c>
      <c r="AJ2148">
        <v>0</v>
      </c>
      <c r="AK2148">
        <v>0</v>
      </c>
      <c r="AL2148">
        <v>4</v>
      </c>
      <c r="AM2148">
        <v>0</v>
      </c>
      <c r="AN2148">
        <v>4</v>
      </c>
    </row>
    <row r="2149" spans="1:40" x14ac:dyDescent="0.3">
      <c r="A2149" t="s">
        <v>574</v>
      </c>
      <c r="B2149" t="s">
        <v>139</v>
      </c>
      <c r="C2149" t="s">
        <v>10</v>
      </c>
      <c r="D2149" t="s">
        <v>11</v>
      </c>
      <c r="E2149">
        <v>202602</v>
      </c>
      <c r="F2149" t="s">
        <v>603</v>
      </c>
      <c r="G2149">
        <v>0</v>
      </c>
      <c r="H2149">
        <v>0</v>
      </c>
      <c r="I2149">
        <v>0</v>
      </c>
      <c r="J2149">
        <v>0</v>
      </c>
      <c r="K2149">
        <v>0</v>
      </c>
      <c r="L2149">
        <v>1</v>
      </c>
      <c r="M2149">
        <v>0</v>
      </c>
      <c r="N2149">
        <v>0</v>
      </c>
      <c r="O2149">
        <v>0</v>
      </c>
      <c r="P2149">
        <v>1</v>
      </c>
      <c r="Q2149">
        <v>0</v>
      </c>
      <c r="R2149">
        <v>0</v>
      </c>
      <c r="S2149">
        <v>0</v>
      </c>
      <c r="T2149">
        <v>0</v>
      </c>
      <c r="U2149">
        <v>0</v>
      </c>
      <c r="V2149">
        <v>0</v>
      </c>
      <c r="W2149">
        <v>0</v>
      </c>
      <c r="X2149">
        <v>0</v>
      </c>
      <c r="Y2149">
        <v>0</v>
      </c>
      <c r="Z2149">
        <v>0</v>
      </c>
      <c r="AA2149">
        <v>0</v>
      </c>
      <c r="AB2149">
        <v>0</v>
      </c>
      <c r="AC2149">
        <v>0</v>
      </c>
      <c r="AD2149">
        <v>0</v>
      </c>
      <c r="AE2149">
        <v>0</v>
      </c>
      <c r="AF2149">
        <v>0</v>
      </c>
      <c r="AG2149">
        <v>0</v>
      </c>
      <c r="AH2149">
        <v>0</v>
      </c>
      <c r="AI2149">
        <v>0</v>
      </c>
      <c r="AJ2149">
        <v>0</v>
      </c>
      <c r="AK2149">
        <v>0</v>
      </c>
      <c r="AL2149">
        <v>2</v>
      </c>
      <c r="AM2149">
        <v>0.33333333333333331</v>
      </c>
      <c r="AN2149">
        <v>6.6046251398731117</v>
      </c>
    </row>
    <row r="2150" spans="1:40" x14ac:dyDescent="0.3">
      <c r="A2150" t="s">
        <v>574</v>
      </c>
      <c r="B2150" t="s">
        <v>139</v>
      </c>
      <c r="C2150" t="s">
        <v>10</v>
      </c>
      <c r="D2150" t="s">
        <v>11</v>
      </c>
      <c r="E2150">
        <v>202602</v>
      </c>
      <c r="F2150" t="s">
        <v>238</v>
      </c>
      <c r="G2150">
        <v>0</v>
      </c>
      <c r="H2150">
        <v>0</v>
      </c>
      <c r="I2150">
        <v>0</v>
      </c>
      <c r="J2150">
        <v>0</v>
      </c>
      <c r="K2150">
        <v>0</v>
      </c>
      <c r="L2150">
        <v>0</v>
      </c>
      <c r="M2150">
        <v>0</v>
      </c>
      <c r="N2150">
        <v>0</v>
      </c>
      <c r="O2150">
        <v>1</v>
      </c>
      <c r="P2150">
        <v>0</v>
      </c>
      <c r="Q2150">
        <v>0</v>
      </c>
      <c r="R2150">
        <v>0</v>
      </c>
      <c r="S2150">
        <v>0</v>
      </c>
      <c r="T2150">
        <v>0</v>
      </c>
      <c r="U2150">
        <v>0</v>
      </c>
      <c r="V2150">
        <v>0</v>
      </c>
      <c r="W2150">
        <v>0</v>
      </c>
      <c r="X2150">
        <v>0</v>
      </c>
      <c r="Y2150">
        <v>0</v>
      </c>
      <c r="Z2150">
        <v>0</v>
      </c>
      <c r="AA2150">
        <v>0</v>
      </c>
      <c r="AB2150">
        <v>0</v>
      </c>
      <c r="AC2150">
        <v>0</v>
      </c>
      <c r="AD2150">
        <v>0</v>
      </c>
      <c r="AE2150">
        <v>0</v>
      </c>
      <c r="AF2150">
        <v>0</v>
      </c>
      <c r="AG2150">
        <v>0</v>
      </c>
      <c r="AH2150">
        <v>0</v>
      </c>
      <c r="AI2150">
        <v>0</v>
      </c>
      <c r="AJ2150">
        <v>0</v>
      </c>
      <c r="AK2150">
        <v>0</v>
      </c>
      <c r="AL2150">
        <v>1</v>
      </c>
      <c r="AM2150">
        <v>0.33333333333333331</v>
      </c>
      <c r="AN2150">
        <v>5.6046251398731117</v>
      </c>
    </row>
    <row r="2151" spans="1:40" x14ac:dyDescent="0.3">
      <c r="A2151" t="s">
        <v>574</v>
      </c>
      <c r="B2151" t="s">
        <v>139</v>
      </c>
      <c r="C2151" t="s">
        <v>10</v>
      </c>
      <c r="D2151" t="s">
        <v>14</v>
      </c>
      <c r="E2151">
        <v>202602</v>
      </c>
      <c r="F2151" t="s">
        <v>587</v>
      </c>
      <c r="G2151">
        <v>0</v>
      </c>
      <c r="H2151">
        <v>0</v>
      </c>
      <c r="I2151">
        <v>0</v>
      </c>
      <c r="J2151">
        <v>0</v>
      </c>
      <c r="K2151">
        <v>0</v>
      </c>
      <c r="L2151">
        <v>0</v>
      </c>
      <c r="M2151">
        <v>0</v>
      </c>
      <c r="N2151">
        <v>0</v>
      </c>
      <c r="O2151">
        <v>0</v>
      </c>
      <c r="P2151">
        <v>1</v>
      </c>
      <c r="Q2151">
        <v>0</v>
      </c>
      <c r="R2151">
        <v>0</v>
      </c>
      <c r="S2151">
        <v>0</v>
      </c>
      <c r="T2151">
        <v>0</v>
      </c>
      <c r="U2151">
        <v>0</v>
      </c>
      <c r="V2151">
        <v>0</v>
      </c>
      <c r="W2151">
        <v>0</v>
      </c>
      <c r="X2151">
        <v>0</v>
      </c>
      <c r="Y2151">
        <v>0</v>
      </c>
      <c r="Z2151">
        <v>0</v>
      </c>
      <c r="AA2151">
        <v>0</v>
      </c>
      <c r="AB2151">
        <v>0</v>
      </c>
      <c r="AC2151">
        <v>0</v>
      </c>
      <c r="AD2151">
        <v>0</v>
      </c>
      <c r="AE2151">
        <v>0</v>
      </c>
      <c r="AF2151">
        <v>0</v>
      </c>
      <c r="AG2151">
        <v>0</v>
      </c>
      <c r="AH2151">
        <v>0</v>
      </c>
      <c r="AI2151">
        <v>0</v>
      </c>
      <c r="AJ2151">
        <v>0</v>
      </c>
      <c r="AK2151">
        <v>0</v>
      </c>
      <c r="AL2151">
        <v>1</v>
      </c>
      <c r="AM2151">
        <v>0.33333333333333331</v>
      </c>
      <c r="AN2151">
        <v>5.0417410714286133</v>
      </c>
    </row>
    <row r="2152" spans="1:40" x14ac:dyDescent="0.3">
      <c r="A2152" t="s">
        <v>574</v>
      </c>
      <c r="B2152" t="s">
        <v>139</v>
      </c>
      <c r="C2152" t="s">
        <v>10</v>
      </c>
      <c r="D2152" t="s">
        <v>14</v>
      </c>
      <c r="E2152">
        <v>202602</v>
      </c>
      <c r="F2152" t="s">
        <v>156</v>
      </c>
      <c r="G2152">
        <v>0</v>
      </c>
      <c r="H2152">
        <v>2</v>
      </c>
      <c r="I2152">
        <v>0</v>
      </c>
      <c r="J2152">
        <v>0</v>
      </c>
      <c r="K2152">
        <v>0</v>
      </c>
      <c r="L2152">
        <v>0</v>
      </c>
      <c r="M2152">
        <v>0</v>
      </c>
      <c r="N2152">
        <v>0</v>
      </c>
      <c r="O2152">
        <v>1</v>
      </c>
      <c r="P2152">
        <v>0</v>
      </c>
      <c r="Q2152">
        <v>0</v>
      </c>
      <c r="R2152">
        <v>0</v>
      </c>
      <c r="S2152">
        <v>0</v>
      </c>
      <c r="T2152">
        <v>0</v>
      </c>
      <c r="U2152">
        <v>0</v>
      </c>
      <c r="V2152">
        <v>0</v>
      </c>
      <c r="W2152">
        <v>0</v>
      </c>
      <c r="X2152">
        <v>0</v>
      </c>
      <c r="Y2152">
        <v>0</v>
      </c>
      <c r="Z2152">
        <v>0</v>
      </c>
      <c r="AA2152">
        <v>0</v>
      </c>
      <c r="AB2152">
        <v>0</v>
      </c>
      <c r="AC2152">
        <v>0</v>
      </c>
      <c r="AD2152">
        <v>0</v>
      </c>
      <c r="AE2152">
        <v>0</v>
      </c>
      <c r="AF2152">
        <v>0</v>
      </c>
      <c r="AG2152">
        <v>0</v>
      </c>
      <c r="AH2152">
        <v>0</v>
      </c>
      <c r="AI2152">
        <v>0</v>
      </c>
      <c r="AJ2152">
        <v>0</v>
      </c>
      <c r="AK2152">
        <v>0</v>
      </c>
      <c r="AL2152">
        <v>3</v>
      </c>
      <c r="AM2152">
        <v>0.33333333333333331</v>
      </c>
      <c r="AN2152">
        <v>7.0417410714286133</v>
      </c>
    </row>
    <row r="2153" spans="1:40" x14ac:dyDescent="0.3">
      <c r="A2153" t="s">
        <v>574</v>
      </c>
      <c r="B2153" t="s">
        <v>139</v>
      </c>
      <c r="C2153" t="s">
        <v>10</v>
      </c>
      <c r="D2153" t="s">
        <v>14</v>
      </c>
      <c r="E2153">
        <v>202602</v>
      </c>
      <c r="F2153" t="s">
        <v>143</v>
      </c>
      <c r="G2153">
        <v>0</v>
      </c>
      <c r="H2153">
        <v>0</v>
      </c>
      <c r="I2153">
        <v>0</v>
      </c>
      <c r="J2153">
        <v>0</v>
      </c>
      <c r="K2153">
        <v>1</v>
      </c>
      <c r="L2153">
        <v>0</v>
      </c>
      <c r="M2153">
        <v>0</v>
      </c>
      <c r="N2153">
        <v>0</v>
      </c>
      <c r="O2153">
        <v>0</v>
      </c>
      <c r="P2153">
        <v>0</v>
      </c>
      <c r="Q2153">
        <v>0</v>
      </c>
      <c r="R2153">
        <v>0</v>
      </c>
      <c r="S2153">
        <v>0</v>
      </c>
      <c r="T2153">
        <v>0</v>
      </c>
      <c r="U2153">
        <v>0</v>
      </c>
      <c r="V2153">
        <v>0</v>
      </c>
      <c r="W2153">
        <v>0</v>
      </c>
      <c r="X2153">
        <v>0</v>
      </c>
      <c r="Y2153">
        <v>0</v>
      </c>
      <c r="Z2153">
        <v>0</v>
      </c>
      <c r="AA2153">
        <v>0</v>
      </c>
      <c r="AB2153">
        <v>0</v>
      </c>
      <c r="AC2153">
        <v>0</v>
      </c>
      <c r="AD2153">
        <v>0</v>
      </c>
      <c r="AE2153">
        <v>0</v>
      </c>
      <c r="AF2153">
        <v>0</v>
      </c>
      <c r="AG2153">
        <v>0</v>
      </c>
      <c r="AH2153">
        <v>0</v>
      </c>
      <c r="AI2153">
        <v>0</v>
      </c>
      <c r="AJ2153">
        <v>0</v>
      </c>
      <c r="AK2153">
        <v>0</v>
      </c>
      <c r="AL2153">
        <v>1</v>
      </c>
      <c r="AM2153">
        <v>0</v>
      </c>
      <c r="AN2153">
        <v>1</v>
      </c>
    </row>
    <row r="2154" spans="1:40" x14ac:dyDescent="0.3">
      <c r="A2154" t="s">
        <v>574</v>
      </c>
      <c r="B2154" t="s">
        <v>139</v>
      </c>
      <c r="C2154" t="s">
        <v>10</v>
      </c>
      <c r="D2154" t="s">
        <v>14</v>
      </c>
      <c r="E2154">
        <v>202602</v>
      </c>
      <c r="F2154" t="s">
        <v>595</v>
      </c>
      <c r="G2154">
        <v>0</v>
      </c>
      <c r="H2154">
        <v>0</v>
      </c>
      <c r="I2154">
        <v>0</v>
      </c>
      <c r="J2154">
        <v>0</v>
      </c>
      <c r="K2154">
        <v>0</v>
      </c>
      <c r="L2154">
        <v>0</v>
      </c>
      <c r="M2154">
        <v>0</v>
      </c>
      <c r="N2154">
        <v>0</v>
      </c>
      <c r="O2154">
        <v>0</v>
      </c>
      <c r="P2154">
        <v>2</v>
      </c>
      <c r="Q2154">
        <v>1</v>
      </c>
      <c r="R2154">
        <v>0</v>
      </c>
      <c r="S2154">
        <v>0</v>
      </c>
      <c r="T2154">
        <v>0</v>
      </c>
      <c r="U2154">
        <v>0</v>
      </c>
      <c r="V2154">
        <v>0</v>
      </c>
      <c r="W2154">
        <v>0</v>
      </c>
      <c r="X2154">
        <v>0</v>
      </c>
      <c r="Y2154">
        <v>0</v>
      </c>
      <c r="Z2154">
        <v>0</v>
      </c>
      <c r="AA2154">
        <v>0</v>
      </c>
      <c r="AB2154">
        <v>0</v>
      </c>
      <c r="AC2154">
        <v>0</v>
      </c>
      <c r="AD2154">
        <v>0</v>
      </c>
      <c r="AE2154">
        <v>0</v>
      </c>
      <c r="AF2154">
        <v>0</v>
      </c>
      <c r="AG2154">
        <v>0</v>
      </c>
      <c r="AH2154">
        <v>0</v>
      </c>
      <c r="AI2154">
        <v>0</v>
      </c>
      <c r="AJ2154">
        <v>0</v>
      </c>
      <c r="AK2154">
        <v>0</v>
      </c>
      <c r="AL2154">
        <v>3</v>
      </c>
      <c r="AM2154">
        <v>1</v>
      </c>
      <c r="AN2154">
        <v>15.125223214285839</v>
      </c>
    </row>
    <row r="2155" spans="1:40" x14ac:dyDescent="0.3">
      <c r="A2155" t="s">
        <v>574</v>
      </c>
      <c r="B2155" t="s">
        <v>139</v>
      </c>
      <c r="C2155" t="s">
        <v>10</v>
      </c>
      <c r="D2155" t="s">
        <v>14</v>
      </c>
      <c r="E2155">
        <v>202602</v>
      </c>
      <c r="F2155" t="s">
        <v>148</v>
      </c>
      <c r="G2155">
        <v>0</v>
      </c>
      <c r="H2155">
        <v>0</v>
      </c>
      <c r="I2155">
        <v>0</v>
      </c>
      <c r="J2155">
        <v>0</v>
      </c>
      <c r="K2155">
        <v>0</v>
      </c>
      <c r="L2155">
        <v>0</v>
      </c>
      <c r="M2155">
        <v>0</v>
      </c>
      <c r="N2155">
        <v>0</v>
      </c>
      <c r="O2155">
        <v>0</v>
      </c>
      <c r="P2155">
        <v>1</v>
      </c>
      <c r="Q2155">
        <v>1</v>
      </c>
      <c r="R2155">
        <v>0</v>
      </c>
      <c r="S2155">
        <v>0</v>
      </c>
      <c r="T2155">
        <v>0</v>
      </c>
      <c r="U2155">
        <v>0</v>
      </c>
      <c r="V2155">
        <v>0</v>
      </c>
      <c r="W2155">
        <v>0</v>
      </c>
      <c r="X2155">
        <v>0</v>
      </c>
      <c r="Y2155">
        <v>0</v>
      </c>
      <c r="Z2155">
        <v>0</v>
      </c>
      <c r="AA2155">
        <v>0</v>
      </c>
      <c r="AB2155">
        <v>0</v>
      </c>
      <c r="AC2155">
        <v>0</v>
      </c>
      <c r="AD2155">
        <v>0</v>
      </c>
      <c r="AE2155">
        <v>0</v>
      </c>
      <c r="AF2155">
        <v>0</v>
      </c>
      <c r="AG2155">
        <v>0</v>
      </c>
      <c r="AH2155">
        <v>0</v>
      </c>
      <c r="AI2155">
        <v>0</v>
      </c>
      <c r="AJ2155">
        <v>0</v>
      </c>
      <c r="AK2155">
        <v>0</v>
      </c>
      <c r="AL2155">
        <v>2</v>
      </c>
      <c r="AM2155">
        <v>0.66666666666666663</v>
      </c>
      <c r="AN2155">
        <v>10.083482142857227</v>
      </c>
    </row>
    <row r="2156" spans="1:40" x14ac:dyDescent="0.3">
      <c r="A2156" t="s">
        <v>574</v>
      </c>
      <c r="B2156" t="s">
        <v>139</v>
      </c>
      <c r="C2156" t="s">
        <v>10</v>
      </c>
      <c r="D2156" t="s">
        <v>14</v>
      </c>
      <c r="E2156">
        <v>202602</v>
      </c>
      <c r="F2156" t="s">
        <v>599</v>
      </c>
      <c r="G2156">
        <v>0</v>
      </c>
      <c r="H2156">
        <v>0</v>
      </c>
      <c r="I2156">
        <v>1</v>
      </c>
      <c r="J2156">
        <v>0</v>
      </c>
      <c r="K2156">
        <v>0</v>
      </c>
      <c r="L2156">
        <v>0</v>
      </c>
      <c r="M2156">
        <v>0</v>
      </c>
      <c r="N2156">
        <v>0</v>
      </c>
      <c r="O2156">
        <v>0</v>
      </c>
      <c r="P2156">
        <v>0</v>
      </c>
      <c r="Q2156">
        <v>0</v>
      </c>
      <c r="R2156">
        <v>0</v>
      </c>
      <c r="S2156">
        <v>0</v>
      </c>
      <c r="T2156">
        <v>0</v>
      </c>
      <c r="U2156">
        <v>0</v>
      </c>
      <c r="V2156">
        <v>0</v>
      </c>
      <c r="W2156">
        <v>0</v>
      </c>
      <c r="X2156">
        <v>0</v>
      </c>
      <c r="Y2156">
        <v>0</v>
      </c>
      <c r="Z2156">
        <v>0</v>
      </c>
      <c r="AA2156">
        <v>0</v>
      </c>
      <c r="AB2156">
        <v>0</v>
      </c>
      <c r="AC2156">
        <v>0</v>
      </c>
      <c r="AD2156">
        <v>0</v>
      </c>
      <c r="AE2156">
        <v>0</v>
      </c>
      <c r="AF2156">
        <v>0</v>
      </c>
      <c r="AG2156">
        <v>0</v>
      </c>
      <c r="AH2156">
        <v>0</v>
      </c>
      <c r="AI2156">
        <v>0</v>
      </c>
      <c r="AJ2156">
        <v>0</v>
      </c>
      <c r="AK2156">
        <v>0</v>
      </c>
      <c r="AL2156">
        <v>1</v>
      </c>
      <c r="AM2156">
        <v>0</v>
      </c>
      <c r="AN2156">
        <v>1</v>
      </c>
    </row>
    <row r="2157" spans="1:40" x14ac:dyDescent="0.3">
      <c r="A2157" t="s">
        <v>574</v>
      </c>
      <c r="B2157" t="s">
        <v>139</v>
      </c>
      <c r="C2157" t="s">
        <v>10</v>
      </c>
      <c r="D2157" t="s">
        <v>14</v>
      </c>
      <c r="E2157">
        <v>202602</v>
      </c>
      <c r="F2157" t="s">
        <v>589</v>
      </c>
      <c r="G2157">
        <v>0</v>
      </c>
      <c r="H2157">
        <v>0</v>
      </c>
      <c r="I2157">
        <v>1</v>
      </c>
      <c r="J2157">
        <v>1</v>
      </c>
      <c r="K2157">
        <v>0</v>
      </c>
      <c r="L2157">
        <v>0</v>
      </c>
      <c r="M2157">
        <v>0</v>
      </c>
      <c r="N2157">
        <v>0</v>
      </c>
      <c r="O2157">
        <v>0</v>
      </c>
      <c r="P2157">
        <v>0</v>
      </c>
      <c r="Q2157">
        <v>0</v>
      </c>
      <c r="R2157">
        <v>0</v>
      </c>
      <c r="S2157">
        <v>0</v>
      </c>
      <c r="T2157">
        <v>0</v>
      </c>
      <c r="U2157">
        <v>0</v>
      </c>
      <c r="V2157">
        <v>0</v>
      </c>
      <c r="W2157">
        <v>0</v>
      </c>
      <c r="X2157">
        <v>0</v>
      </c>
      <c r="Y2157">
        <v>0</v>
      </c>
      <c r="Z2157">
        <v>0</v>
      </c>
      <c r="AA2157">
        <v>0</v>
      </c>
      <c r="AB2157">
        <v>0</v>
      </c>
      <c r="AC2157">
        <v>0</v>
      </c>
      <c r="AD2157">
        <v>0</v>
      </c>
      <c r="AE2157">
        <v>0</v>
      </c>
      <c r="AF2157">
        <v>0</v>
      </c>
      <c r="AG2157">
        <v>0</v>
      </c>
      <c r="AH2157">
        <v>0</v>
      </c>
      <c r="AI2157">
        <v>0</v>
      </c>
      <c r="AJ2157">
        <v>0</v>
      </c>
      <c r="AK2157">
        <v>0</v>
      </c>
      <c r="AL2157">
        <v>2</v>
      </c>
      <c r="AM2157">
        <v>0</v>
      </c>
      <c r="AN2157">
        <v>2</v>
      </c>
    </row>
    <row r="2158" spans="1:40" x14ac:dyDescent="0.3">
      <c r="A2158" t="s">
        <v>574</v>
      </c>
      <c r="B2158" t="s">
        <v>139</v>
      </c>
      <c r="C2158" t="s">
        <v>10</v>
      </c>
      <c r="D2158" t="s">
        <v>14</v>
      </c>
      <c r="E2158">
        <v>202602</v>
      </c>
      <c r="F2158" t="s">
        <v>604</v>
      </c>
      <c r="G2158">
        <v>0</v>
      </c>
      <c r="H2158">
        <v>0</v>
      </c>
      <c r="I2158">
        <v>1</v>
      </c>
      <c r="J2158">
        <v>0</v>
      </c>
      <c r="K2158">
        <v>0</v>
      </c>
      <c r="L2158">
        <v>0</v>
      </c>
      <c r="M2158">
        <v>0</v>
      </c>
      <c r="N2158">
        <v>0</v>
      </c>
      <c r="O2158">
        <v>0</v>
      </c>
      <c r="P2158">
        <v>0</v>
      </c>
      <c r="Q2158">
        <v>0</v>
      </c>
      <c r="R2158">
        <v>0</v>
      </c>
      <c r="S2158">
        <v>0</v>
      </c>
      <c r="T2158">
        <v>0</v>
      </c>
      <c r="U2158">
        <v>0</v>
      </c>
      <c r="V2158">
        <v>0</v>
      </c>
      <c r="W2158">
        <v>0</v>
      </c>
      <c r="X2158">
        <v>0</v>
      </c>
      <c r="Y2158">
        <v>0</v>
      </c>
      <c r="Z2158">
        <v>0</v>
      </c>
      <c r="AA2158">
        <v>0</v>
      </c>
      <c r="AB2158">
        <v>0</v>
      </c>
      <c r="AC2158">
        <v>0</v>
      </c>
      <c r="AD2158">
        <v>0</v>
      </c>
      <c r="AE2158">
        <v>0</v>
      </c>
      <c r="AF2158">
        <v>0</v>
      </c>
      <c r="AG2158">
        <v>0</v>
      </c>
      <c r="AH2158">
        <v>0</v>
      </c>
      <c r="AI2158">
        <v>0</v>
      </c>
      <c r="AJ2158">
        <v>0</v>
      </c>
      <c r="AK2158">
        <v>0</v>
      </c>
      <c r="AL2158">
        <v>1</v>
      </c>
      <c r="AM2158">
        <v>0</v>
      </c>
      <c r="AN2158">
        <v>1</v>
      </c>
    </row>
    <row r="2159" spans="1:40" x14ac:dyDescent="0.3">
      <c r="A2159" t="s">
        <v>574</v>
      </c>
      <c r="B2159" t="s">
        <v>139</v>
      </c>
      <c r="C2159" t="s">
        <v>10</v>
      </c>
      <c r="D2159" t="s">
        <v>14</v>
      </c>
      <c r="E2159">
        <v>202602</v>
      </c>
      <c r="F2159" t="s">
        <v>600</v>
      </c>
      <c r="G2159">
        <v>0</v>
      </c>
      <c r="H2159">
        <v>0</v>
      </c>
      <c r="I2159">
        <v>0</v>
      </c>
      <c r="J2159">
        <v>0</v>
      </c>
      <c r="K2159">
        <v>1</v>
      </c>
      <c r="L2159">
        <v>0</v>
      </c>
      <c r="M2159">
        <v>0</v>
      </c>
      <c r="N2159">
        <v>0</v>
      </c>
      <c r="O2159">
        <v>1</v>
      </c>
      <c r="P2159">
        <v>1</v>
      </c>
      <c r="Q2159">
        <v>0</v>
      </c>
      <c r="R2159">
        <v>0</v>
      </c>
      <c r="S2159">
        <v>0</v>
      </c>
      <c r="T2159">
        <v>0</v>
      </c>
      <c r="U2159">
        <v>0</v>
      </c>
      <c r="V2159">
        <v>0</v>
      </c>
      <c r="W2159">
        <v>0</v>
      </c>
      <c r="X2159">
        <v>0</v>
      </c>
      <c r="Y2159">
        <v>0</v>
      </c>
      <c r="Z2159">
        <v>0</v>
      </c>
      <c r="AA2159">
        <v>0</v>
      </c>
      <c r="AB2159">
        <v>0</v>
      </c>
      <c r="AC2159">
        <v>0</v>
      </c>
      <c r="AD2159">
        <v>0</v>
      </c>
      <c r="AE2159">
        <v>0</v>
      </c>
      <c r="AF2159">
        <v>0</v>
      </c>
      <c r="AG2159">
        <v>0</v>
      </c>
      <c r="AH2159">
        <v>0</v>
      </c>
      <c r="AI2159">
        <v>0</v>
      </c>
      <c r="AJ2159">
        <v>0</v>
      </c>
      <c r="AK2159">
        <v>0</v>
      </c>
      <c r="AL2159">
        <v>3</v>
      </c>
      <c r="AM2159">
        <v>0.66666666666666663</v>
      </c>
      <c r="AN2159">
        <v>11.083482142857227</v>
      </c>
    </row>
    <row r="2160" spans="1:40" x14ac:dyDescent="0.3">
      <c r="A2160" t="s">
        <v>574</v>
      </c>
      <c r="B2160" t="s">
        <v>139</v>
      </c>
      <c r="C2160" t="s">
        <v>10</v>
      </c>
      <c r="D2160" t="s">
        <v>14</v>
      </c>
      <c r="E2160">
        <v>202602</v>
      </c>
      <c r="F2160" t="s">
        <v>601</v>
      </c>
      <c r="G2160">
        <v>0</v>
      </c>
      <c r="H2160">
        <v>0</v>
      </c>
      <c r="I2160">
        <v>0</v>
      </c>
      <c r="J2160">
        <v>0</v>
      </c>
      <c r="K2160">
        <v>1</v>
      </c>
      <c r="L2160">
        <v>0</v>
      </c>
      <c r="M2160">
        <v>0</v>
      </c>
      <c r="N2160">
        <v>0</v>
      </c>
      <c r="O2160">
        <v>0</v>
      </c>
      <c r="P2160">
        <v>0</v>
      </c>
      <c r="Q2160">
        <v>0</v>
      </c>
      <c r="R2160">
        <v>0</v>
      </c>
      <c r="S2160">
        <v>0</v>
      </c>
      <c r="T2160">
        <v>0</v>
      </c>
      <c r="U2160">
        <v>0</v>
      </c>
      <c r="V2160">
        <v>0</v>
      </c>
      <c r="W2160">
        <v>0</v>
      </c>
      <c r="X2160">
        <v>0</v>
      </c>
      <c r="Y2160">
        <v>0</v>
      </c>
      <c r="Z2160">
        <v>0</v>
      </c>
      <c r="AA2160">
        <v>0</v>
      </c>
      <c r="AB2160">
        <v>0</v>
      </c>
      <c r="AC2160">
        <v>0</v>
      </c>
      <c r="AD2160">
        <v>0</v>
      </c>
      <c r="AE2160">
        <v>0</v>
      </c>
      <c r="AF2160">
        <v>0</v>
      </c>
      <c r="AG2160">
        <v>0</v>
      </c>
      <c r="AH2160">
        <v>0</v>
      </c>
      <c r="AI2160">
        <v>0</v>
      </c>
      <c r="AJ2160">
        <v>0</v>
      </c>
      <c r="AK2160">
        <v>0</v>
      </c>
      <c r="AL2160">
        <v>1</v>
      </c>
      <c r="AM2160">
        <v>0</v>
      </c>
      <c r="AN2160">
        <v>1</v>
      </c>
    </row>
    <row r="2161" spans="1:40" x14ac:dyDescent="0.3">
      <c r="A2161" t="s">
        <v>574</v>
      </c>
      <c r="B2161" t="s">
        <v>139</v>
      </c>
      <c r="C2161" t="s">
        <v>10</v>
      </c>
      <c r="D2161" t="s">
        <v>14</v>
      </c>
      <c r="E2161">
        <v>202602</v>
      </c>
      <c r="F2161" t="s">
        <v>602</v>
      </c>
      <c r="G2161">
        <v>0</v>
      </c>
      <c r="H2161">
        <v>0</v>
      </c>
      <c r="I2161">
        <v>0</v>
      </c>
      <c r="J2161">
        <v>1</v>
      </c>
      <c r="K2161">
        <v>1</v>
      </c>
      <c r="L2161">
        <v>0</v>
      </c>
      <c r="M2161">
        <v>0</v>
      </c>
      <c r="N2161">
        <v>0</v>
      </c>
      <c r="O2161">
        <v>0</v>
      </c>
      <c r="P2161">
        <v>2</v>
      </c>
      <c r="Q2161">
        <v>0</v>
      </c>
      <c r="R2161">
        <v>0</v>
      </c>
      <c r="S2161">
        <v>0</v>
      </c>
      <c r="T2161">
        <v>0</v>
      </c>
      <c r="U2161">
        <v>0</v>
      </c>
      <c r="V2161">
        <v>0</v>
      </c>
      <c r="W2161">
        <v>0</v>
      </c>
      <c r="X2161">
        <v>0</v>
      </c>
      <c r="Y2161">
        <v>0</v>
      </c>
      <c r="Z2161">
        <v>0</v>
      </c>
      <c r="AA2161">
        <v>0</v>
      </c>
      <c r="AB2161">
        <v>0</v>
      </c>
      <c r="AC2161">
        <v>0</v>
      </c>
      <c r="AD2161">
        <v>0</v>
      </c>
      <c r="AE2161">
        <v>0</v>
      </c>
      <c r="AF2161">
        <v>0</v>
      </c>
      <c r="AG2161">
        <v>0</v>
      </c>
      <c r="AH2161">
        <v>0</v>
      </c>
      <c r="AI2161">
        <v>0</v>
      </c>
      <c r="AJ2161">
        <v>0</v>
      </c>
      <c r="AK2161">
        <v>0</v>
      </c>
      <c r="AL2161">
        <v>4</v>
      </c>
      <c r="AM2161">
        <v>0.66666666666666663</v>
      </c>
      <c r="AN2161">
        <v>12.083482142857227</v>
      </c>
    </row>
    <row r="2162" spans="1:40" x14ac:dyDescent="0.3">
      <c r="A2162" t="s">
        <v>574</v>
      </c>
      <c r="B2162" t="s">
        <v>139</v>
      </c>
      <c r="C2162" t="s">
        <v>10</v>
      </c>
      <c r="D2162" t="s">
        <v>14</v>
      </c>
      <c r="E2162">
        <v>202602</v>
      </c>
      <c r="F2162" t="s">
        <v>603</v>
      </c>
      <c r="G2162">
        <v>0</v>
      </c>
      <c r="H2162">
        <v>1</v>
      </c>
      <c r="I2162">
        <v>0</v>
      </c>
      <c r="J2162">
        <v>0</v>
      </c>
      <c r="K2162">
        <v>0</v>
      </c>
      <c r="L2162">
        <v>0</v>
      </c>
      <c r="M2162">
        <v>0</v>
      </c>
      <c r="N2162">
        <v>1</v>
      </c>
      <c r="O2162">
        <v>0</v>
      </c>
      <c r="P2162">
        <v>0</v>
      </c>
      <c r="Q2162">
        <v>0</v>
      </c>
      <c r="R2162">
        <v>0</v>
      </c>
      <c r="S2162">
        <v>0</v>
      </c>
      <c r="T2162">
        <v>0</v>
      </c>
      <c r="U2162">
        <v>0</v>
      </c>
      <c r="V2162">
        <v>0</v>
      </c>
      <c r="W2162">
        <v>0</v>
      </c>
      <c r="X2162">
        <v>0</v>
      </c>
      <c r="Y2162">
        <v>0</v>
      </c>
      <c r="Z2162">
        <v>0</v>
      </c>
      <c r="AA2162">
        <v>0</v>
      </c>
      <c r="AB2162">
        <v>0</v>
      </c>
      <c r="AC2162">
        <v>0</v>
      </c>
      <c r="AD2162">
        <v>0</v>
      </c>
      <c r="AE2162">
        <v>0</v>
      </c>
      <c r="AF2162">
        <v>0</v>
      </c>
      <c r="AG2162">
        <v>0</v>
      </c>
      <c r="AH2162">
        <v>0</v>
      </c>
      <c r="AI2162">
        <v>0</v>
      </c>
      <c r="AJ2162">
        <v>0</v>
      </c>
      <c r="AK2162">
        <v>0</v>
      </c>
      <c r="AL2162">
        <v>2</v>
      </c>
      <c r="AM2162">
        <v>0</v>
      </c>
      <c r="AN2162">
        <v>2</v>
      </c>
    </row>
    <row r="2163" spans="1:40" x14ac:dyDescent="0.3">
      <c r="A2163" t="s">
        <v>574</v>
      </c>
      <c r="B2163" t="s">
        <v>139</v>
      </c>
      <c r="C2163" t="s">
        <v>10</v>
      </c>
      <c r="D2163" t="s">
        <v>14</v>
      </c>
      <c r="E2163">
        <v>202602</v>
      </c>
      <c r="F2163" t="s">
        <v>592</v>
      </c>
      <c r="G2163">
        <v>0</v>
      </c>
      <c r="H2163">
        <v>0</v>
      </c>
      <c r="I2163">
        <v>0</v>
      </c>
      <c r="J2163">
        <v>0</v>
      </c>
      <c r="K2163">
        <v>0</v>
      </c>
      <c r="L2163">
        <v>0</v>
      </c>
      <c r="M2163">
        <v>0</v>
      </c>
      <c r="N2163">
        <v>0</v>
      </c>
      <c r="O2163">
        <v>0</v>
      </c>
      <c r="P2163">
        <v>0</v>
      </c>
      <c r="Q2163">
        <v>1</v>
      </c>
      <c r="R2163">
        <v>0</v>
      </c>
      <c r="S2163">
        <v>0</v>
      </c>
      <c r="T2163">
        <v>0</v>
      </c>
      <c r="U2163">
        <v>0</v>
      </c>
      <c r="V2163">
        <v>0</v>
      </c>
      <c r="W2163">
        <v>0</v>
      </c>
      <c r="X2163">
        <v>0</v>
      </c>
      <c r="Y2163">
        <v>0</v>
      </c>
      <c r="Z2163">
        <v>0</v>
      </c>
      <c r="AA2163">
        <v>0</v>
      </c>
      <c r="AB2163">
        <v>0</v>
      </c>
      <c r="AC2163">
        <v>0</v>
      </c>
      <c r="AD2163">
        <v>0</v>
      </c>
      <c r="AE2163">
        <v>0</v>
      </c>
      <c r="AF2163">
        <v>0</v>
      </c>
      <c r="AG2163">
        <v>0</v>
      </c>
      <c r="AH2163">
        <v>0</v>
      </c>
      <c r="AI2163">
        <v>0</v>
      </c>
      <c r="AJ2163">
        <v>0</v>
      </c>
      <c r="AK2163">
        <v>0</v>
      </c>
      <c r="AL2163">
        <v>1</v>
      </c>
      <c r="AM2163">
        <v>0.33333333333333331</v>
      </c>
      <c r="AN2163">
        <v>5.0417410714286133</v>
      </c>
    </row>
    <row r="2164" spans="1:40" x14ac:dyDescent="0.3">
      <c r="A2164" t="s">
        <v>574</v>
      </c>
      <c r="B2164" t="s">
        <v>239</v>
      </c>
      <c r="C2164" t="s">
        <v>10</v>
      </c>
      <c r="D2164" t="s">
        <v>11</v>
      </c>
      <c r="E2164">
        <v>202602</v>
      </c>
      <c r="F2164" t="s">
        <v>605</v>
      </c>
      <c r="G2164">
        <v>0</v>
      </c>
      <c r="H2164">
        <v>0</v>
      </c>
      <c r="I2164">
        <v>0</v>
      </c>
      <c r="J2164">
        <v>1</v>
      </c>
      <c r="K2164">
        <v>0</v>
      </c>
      <c r="L2164">
        <v>0</v>
      </c>
      <c r="M2164">
        <v>0</v>
      </c>
      <c r="N2164">
        <v>0</v>
      </c>
      <c r="O2164">
        <v>0</v>
      </c>
      <c r="P2164">
        <v>0</v>
      </c>
      <c r="Q2164">
        <v>0</v>
      </c>
      <c r="R2164">
        <v>0</v>
      </c>
      <c r="S2164">
        <v>0</v>
      </c>
      <c r="T2164">
        <v>0</v>
      </c>
      <c r="U2164">
        <v>0</v>
      </c>
      <c r="V2164">
        <v>0</v>
      </c>
      <c r="W2164">
        <v>0</v>
      </c>
      <c r="X2164">
        <v>0</v>
      </c>
      <c r="Y2164">
        <v>0</v>
      </c>
      <c r="Z2164">
        <v>0</v>
      </c>
      <c r="AA2164">
        <v>0</v>
      </c>
      <c r="AB2164">
        <v>0</v>
      </c>
      <c r="AC2164">
        <v>0</v>
      </c>
      <c r="AD2164">
        <v>0</v>
      </c>
      <c r="AE2164">
        <v>0</v>
      </c>
      <c r="AF2164">
        <v>0</v>
      </c>
      <c r="AG2164">
        <v>0</v>
      </c>
      <c r="AH2164">
        <v>0</v>
      </c>
      <c r="AI2164">
        <v>0</v>
      </c>
      <c r="AJ2164">
        <v>0</v>
      </c>
      <c r="AK2164">
        <v>0</v>
      </c>
      <c r="AL2164">
        <v>1</v>
      </c>
      <c r="AM2164">
        <v>0</v>
      </c>
      <c r="AN2164">
        <v>1</v>
      </c>
    </row>
    <row r="2165" spans="1:40" x14ac:dyDescent="0.3">
      <c r="A2165" t="s">
        <v>574</v>
      </c>
      <c r="B2165" t="s">
        <v>239</v>
      </c>
      <c r="C2165" t="s">
        <v>10</v>
      </c>
      <c r="D2165" t="s">
        <v>14</v>
      </c>
      <c r="E2165">
        <v>202602</v>
      </c>
      <c r="F2165" t="s">
        <v>204</v>
      </c>
      <c r="G2165">
        <v>0</v>
      </c>
      <c r="H2165">
        <v>0</v>
      </c>
      <c r="I2165">
        <v>0</v>
      </c>
      <c r="J2165">
        <v>0</v>
      </c>
      <c r="K2165">
        <v>0</v>
      </c>
      <c r="L2165">
        <v>0</v>
      </c>
      <c r="M2165">
        <v>0</v>
      </c>
      <c r="N2165">
        <v>0</v>
      </c>
      <c r="O2165">
        <v>0</v>
      </c>
      <c r="P2165">
        <v>1</v>
      </c>
      <c r="Q2165">
        <v>0</v>
      </c>
      <c r="R2165">
        <v>0</v>
      </c>
      <c r="S2165">
        <v>0</v>
      </c>
      <c r="T2165">
        <v>0</v>
      </c>
      <c r="U2165">
        <v>0</v>
      </c>
      <c r="V2165">
        <v>0</v>
      </c>
      <c r="W2165">
        <v>0</v>
      </c>
      <c r="X2165">
        <v>0</v>
      </c>
      <c r="Y2165">
        <v>0</v>
      </c>
      <c r="Z2165">
        <v>0</v>
      </c>
      <c r="AA2165">
        <v>0</v>
      </c>
      <c r="AB2165">
        <v>0</v>
      </c>
      <c r="AC2165">
        <v>0</v>
      </c>
      <c r="AD2165">
        <v>0</v>
      </c>
      <c r="AE2165">
        <v>0</v>
      </c>
      <c r="AF2165">
        <v>0</v>
      </c>
      <c r="AG2165">
        <v>0</v>
      </c>
      <c r="AH2165">
        <v>0</v>
      </c>
      <c r="AI2165">
        <v>0</v>
      </c>
      <c r="AJ2165">
        <v>0</v>
      </c>
      <c r="AK2165">
        <v>0</v>
      </c>
      <c r="AL2165">
        <v>1</v>
      </c>
      <c r="AM2165">
        <v>0.33333333333333331</v>
      </c>
      <c r="AN2165">
        <v>5.0417410714286133</v>
      </c>
    </row>
    <row r="2166" spans="1:40" x14ac:dyDescent="0.3">
      <c r="A2166" t="s">
        <v>574</v>
      </c>
      <c r="B2166" t="s">
        <v>239</v>
      </c>
      <c r="C2166" t="s">
        <v>10</v>
      </c>
      <c r="D2166" t="s">
        <v>14</v>
      </c>
      <c r="E2166">
        <v>202602</v>
      </c>
      <c r="F2166" t="s">
        <v>572</v>
      </c>
      <c r="G2166">
        <v>0</v>
      </c>
      <c r="H2166">
        <v>0</v>
      </c>
      <c r="I2166">
        <v>0</v>
      </c>
      <c r="J2166">
        <v>0</v>
      </c>
      <c r="K2166">
        <v>1</v>
      </c>
      <c r="L2166">
        <v>0</v>
      </c>
      <c r="M2166">
        <v>0</v>
      </c>
      <c r="N2166">
        <v>0</v>
      </c>
      <c r="O2166">
        <v>0</v>
      </c>
      <c r="P2166">
        <v>0</v>
      </c>
      <c r="Q2166">
        <v>0</v>
      </c>
      <c r="R2166">
        <v>0</v>
      </c>
      <c r="S2166">
        <v>0</v>
      </c>
      <c r="T2166">
        <v>0</v>
      </c>
      <c r="U2166">
        <v>0</v>
      </c>
      <c r="V2166">
        <v>0</v>
      </c>
      <c r="W2166">
        <v>0</v>
      </c>
      <c r="X2166">
        <v>0</v>
      </c>
      <c r="Y2166">
        <v>0</v>
      </c>
      <c r="Z2166">
        <v>0</v>
      </c>
      <c r="AA2166">
        <v>0</v>
      </c>
      <c r="AB2166">
        <v>0</v>
      </c>
      <c r="AC2166">
        <v>0</v>
      </c>
      <c r="AD2166">
        <v>0</v>
      </c>
      <c r="AE2166">
        <v>0</v>
      </c>
      <c r="AF2166">
        <v>0</v>
      </c>
      <c r="AG2166">
        <v>0</v>
      </c>
      <c r="AH2166">
        <v>0</v>
      </c>
      <c r="AI2166">
        <v>0</v>
      </c>
      <c r="AJ2166">
        <v>0</v>
      </c>
      <c r="AK2166">
        <v>0</v>
      </c>
      <c r="AL2166">
        <v>1</v>
      </c>
      <c r="AM2166">
        <v>0</v>
      </c>
      <c r="AN2166">
        <v>1</v>
      </c>
    </row>
    <row r="2167" spans="1:40" x14ac:dyDescent="0.3">
      <c r="A2167" t="s">
        <v>574</v>
      </c>
      <c r="B2167" t="s">
        <v>239</v>
      </c>
      <c r="C2167" t="s">
        <v>10</v>
      </c>
      <c r="D2167" t="s">
        <v>14</v>
      </c>
      <c r="E2167">
        <v>202602</v>
      </c>
      <c r="F2167" t="s">
        <v>605</v>
      </c>
      <c r="G2167">
        <v>0</v>
      </c>
      <c r="H2167">
        <v>0</v>
      </c>
      <c r="I2167">
        <v>1</v>
      </c>
      <c r="J2167">
        <v>0</v>
      </c>
      <c r="K2167">
        <v>0</v>
      </c>
      <c r="L2167">
        <v>0</v>
      </c>
      <c r="M2167">
        <v>0</v>
      </c>
      <c r="N2167">
        <v>0</v>
      </c>
      <c r="O2167">
        <v>0</v>
      </c>
      <c r="P2167">
        <v>1</v>
      </c>
      <c r="Q2167">
        <v>0</v>
      </c>
      <c r="R2167">
        <v>0</v>
      </c>
      <c r="S2167">
        <v>0</v>
      </c>
      <c r="T2167">
        <v>0</v>
      </c>
      <c r="U2167">
        <v>0</v>
      </c>
      <c r="V2167">
        <v>0</v>
      </c>
      <c r="W2167">
        <v>0</v>
      </c>
      <c r="X2167">
        <v>0</v>
      </c>
      <c r="Y2167">
        <v>0</v>
      </c>
      <c r="Z2167">
        <v>0</v>
      </c>
      <c r="AA2167">
        <v>0</v>
      </c>
      <c r="AB2167">
        <v>0</v>
      </c>
      <c r="AC2167">
        <v>0</v>
      </c>
      <c r="AD2167">
        <v>0</v>
      </c>
      <c r="AE2167">
        <v>0</v>
      </c>
      <c r="AF2167">
        <v>0</v>
      </c>
      <c r="AG2167">
        <v>0</v>
      </c>
      <c r="AH2167">
        <v>0</v>
      </c>
      <c r="AI2167">
        <v>0</v>
      </c>
      <c r="AJ2167">
        <v>0</v>
      </c>
      <c r="AK2167">
        <v>0</v>
      </c>
      <c r="AL2167">
        <v>2</v>
      </c>
      <c r="AM2167">
        <v>0.33333333333333331</v>
      </c>
      <c r="AN2167">
        <v>6.0417410714286133</v>
      </c>
    </row>
    <row r="2168" spans="1:40" x14ac:dyDescent="0.3">
      <c r="A2168" t="s">
        <v>574</v>
      </c>
      <c r="B2168" t="s">
        <v>164</v>
      </c>
      <c r="C2168" t="s">
        <v>10</v>
      </c>
      <c r="D2168" t="s">
        <v>11</v>
      </c>
      <c r="E2168">
        <v>202602</v>
      </c>
      <c r="F2168" t="s">
        <v>18</v>
      </c>
      <c r="G2168">
        <v>0</v>
      </c>
      <c r="H2168">
        <v>1</v>
      </c>
      <c r="I2168">
        <v>4</v>
      </c>
      <c r="J2168">
        <v>3</v>
      </c>
      <c r="K2168">
        <v>3</v>
      </c>
      <c r="L2168">
        <v>2</v>
      </c>
      <c r="M2168">
        <v>3</v>
      </c>
      <c r="N2168">
        <v>0</v>
      </c>
      <c r="O2168">
        <v>0</v>
      </c>
      <c r="P2168">
        <v>0</v>
      </c>
      <c r="Q2168">
        <v>0</v>
      </c>
      <c r="R2168">
        <v>0</v>
      </c>
      <c r="S2168">
        <v>0</v>
      </c>
      <c r="T2168">
        <v>0</v>
      </c>
      <c r="U2168">
        <v>0</v>
      </c>
      <c r="V2168">
        <v>0</v>
      </c>
      <c r="W2168">
        <v>0</v>
      </c>
      <c r="X2168">
        <v>0</v>
      </c>
      <c r="Y2168">
        <v>0</v>
      </c>
      <c r="Z2168">
        <v>0</v>
      </c>
      <c r="AA2168">
        <v>0</v>
      </c>
      <c r="AB2168">
        <v>0</v>
      </c>
      <c r="AC2168">
        <v>0</v>
      </c>
      <c r="AD2168">
        <v>0</v>
      </c>
      <c r="AE2168">
        <v>0</v>
      </c>
      <c r="AF2168">
        <v>0</v>
      </c>
      <c r="AG2168">
        <v>0</v>
      </c>
      <c r="AH2168">
        <v>0</v>
      </c>
      <c r="AI2168">
        <v>0</v>
      </c>
      <c r="AJ2168">
        <v>0</v>
      </c>
      <c r="AK2168">
        <v>0</v>
      </c>
      <c r="AL2168">
        <v>16</v>
      </c>
      <c r="AM2168">
        <v>0</v>
      </c>
      <c r="AN2168">
        <v>16</v>
      </c>
    </row>
    <row r="2169" spans="1:40" x14ac:dyDescent="0.3">
      <c r="A2169" t="s">
        <v>574</v>
      </c>
      <c r="B2169" t="s">
        <v>164</v>
      </c>
      <c r="C2169" t="s">
        <v>10</v>
      </c>
      <c r="D2169" t="s">
        <v>11</v>
      </c>
      <c r="E2169">
        <v>202602</v>
      </c>
      <c r="F2169" t="s">
        <v>138</v>
      </c>
      <c r="G2169">
        <v>0</v>
      </c>
      <c r="H2169">
        <v>5</v>
      </c>
      <c r="I2169">
        <v>1</v>
      </c>
      <c r="J2169">
        <v>2</v>
      </c>
      <c r="K2169">
        <v>5</v>
      </c>
      <c r="L2169">
        <v>2</v>
      </c>
      <c r="M2169">
        <v>1</v>
      </c>
      <c r="N2169">
        <v>0</v>
      </c>
      <c r="O2169">
        <v>2</v>
      </c>
      <c r="P2169">
        <v>2</v>
      </c>
      <c r="Q2169">
        <v>3</v>
      </c>
      <c r="R2169">
        <v>0</v>
      </c>
      <c r="S2169">
        <v>0</v>
      </c>
      <c r="T2169">
        <v>0</v>
      </c>
      <c r="U2169">
        <v>0</v>
      </c>
      <c r="V2169">
        <v>0</v>
      </c>
      <c r="W2169">
        <v>0</v>
      </c>
      <c r="X2169">
        <v>0</v>
      </c>
      <c r="Y2169">
        <v>0</v>
      </c>
      <c r="Z2169">
        <v>0</v>
      </c>
      <c r="AA2169">
        <v>0</v>
      </c>
      <c r="AB2169">
        <v>0</v>
      </c>
      <c r="AC2169">
        <v>0</v>
      </c>
      <c r="AD2169">
        <v>0</v>
      </c>
      <c r="AE2169">
        <v>0</v>
      </c>
      <c r="AF2169">
        <v>0</v>
      </c>
      <c r="AG2169">
        <v>0</v>
      </c>
      <c r="AH2169">
        <v>0</v>
      </c>
      <c r="AI2169">
        <v>0</v>
      </c>
      <c r="AJ2169">
        <v>0</v>
      </c>
      <c r="AK2169">
        <v>0</v>
      </c>
      <c r="AL2169">
        <v>23</v>
      </c>
      <c r="AM2169">
        <v>2.3333333333333335</v>
      </c>
      <c r="AN2169">
        <v>55.232375979111779</v>
      </c>
    </row>
    <row r="2170" spans="1:40" x14ac:dyDescent="0.3">
      <c r="A2170" t="s">
        <v>574</v>
      </c>
      <c r="B2170" t="s">
        <v>164</v>
      </c>
      <c r="C2170" t="s">
        <v>10</v>
      </c>
      <c r="D2170" t="s">
        <v>14</v>
      </c>
      <c r="E2170">
        <v>202602</v>
      </c>
      <c r="F2170" t="s">
        <v>18</v>
      </c>
      <c r="G2170">
        <v>0</v>
      </c>
      <c r="H2170">
        <v>1</v>
      </c>
      <c r="I2170">
        <v>5</v>
      </c>
      <c r="J2170">
        <v>4</v>
      </c>
      <c r="K2170">
        <v>2</v>
      </c>
      <c r="L2170">
        <v>3</v>
      </c>
      <c r="M2170">
        <v>1</v>
      </c>
      <c r="N2170">
        <v>0</v>
      </c>
      <c r="O2170">
        <v>1</v>
      </c>
      <c r="P2170">
        <v>2</v>
      </c>
      <c r="Q2170">
        <v>1</v>
      </c>
      <c r="R2170">
        <v>0</v>
      </c>
      <c r="S2170">
        <v>0</v>
      </c>
      <c r="T2170">
        <v>0</v>
      </c>
      <c r="U2170">
        <v>0</v>
      </c>
      <c r="V2170">
        <v>0</v>
      </c>
      <c r="W2170">
        <v>0</v>
      </c>
      <c r="X2170">
        <v>0</v>
      </c>
      <c r="Y2170">
        <v>0</v>
      </c>
      <c r="Z2170">
        <v>0</v>
      </c>
      <c r="AA2170">
        <v>0</v>
      </c>
      <c r="AB2170">
        <v>0</v>
      </c>
      <c r="AC2170">
        <v>0</v>
      </c>
      <c r="AD2170">
        <v>0</v>
      </c>
      <c r="AE2170">
        <v>0</v>
      </c>
      <c r="AF2170">
        <v>0</v>
      </c>
      <c r="AG2170">
        <v>0</v>
      </c>
      <c r="AH2170">
        <v>0</v>
      </c>
      <c r="AI2170">
        <v>0</v>
      </c>
      <c r="AJ2170">
        <v>0</v>
      </c>
      <c r="AK2170">
        <v>0</v>
      </c>
      <c r="AL2170">
        <v>20</v>
      </c>
      <c r="AM2170">
        <v>1.3333333333333333</v>
      </c>
      <c r="AN2170">
        <v>36.166964285714457</v>
      </c>
    </row>
    <row r="2171" spans="1:40" x14ac:dyDescent="0.3">
      <c r="A2171" t="s">
        <v>574</v>
      </c>
      <c r="B2171" t="s">
        <v>164</v>
      </c>
      <c r="C2171" t="s">
        <v>10</v>
      </c>
      <c r="D2171" t="s">
        <v>14</v>
      </c>
      <c r="E2171">
        <v>202602</v>
      </c>
      <c r="F2171" t="s">
        <v>138</v>
      </c>
      <c r="G2171">
        <v>0</v>
      </c>
      <c r="H2171">
        <v>4</v>
      </c>
      <c r="I2171">
        <v>3</v>
      </c>
      <c r="J2171">
        <v>7</v>
      </c>
      <c r="K2171">
        <v>1</v>
      </c>
      <c r="L2171">
        <v>4</v>
      </c>
      <c r="M2171">
        <v>2</v>
      </c>
      <c r="N2171">
        <v>0</v>
      </c>
      <c r="O2171">
        <v>2</v>
      </c>
      <c r="P2171">
        <v>8</v>
      </c>
      <c r="Q2171">
        <v>8</v>
      </c>
      <c r="R2171">
        <v>0</v>
      </c>
      <c r="S2171">
        <v>0</v>
      </c>
      <c r="T2171">
        <v>0</v>
      </c>
      <c r="U2171">
        <v>0</v>
      </c>
      <c r="V2171">
        <v>0</v>
      </c>
      <c r="W2171">
        <v>0</v>
      </c>
      <c r="X2171">
        <v>0</v>
      </c>
      <c r="Y2171">
        <v>0</v>
      </c>
      <c r="Z2171">
        <v>0</v>
      </c>
      <c r="AA2171">
        <v>0</v>
      </c>
      <c r="AB2171">
        <v>0</v>
      </c>
      <c r="AC2171">
        <v>0</v>
      </c>
      <c r="AD2171">
        <v>0</v>
      </c>
      <c r="AE2171">
        <v>0</v>
      </c>
      <c r="AF2171">
        <v>0</v>
      </c>
      <c r="AG2171">
        <v>0</v>
      </c>
      <c r="AH2171">
        <v>0</v>
      </c>
      <c r="AI2171">
        <v>0</v>
      </c>
      <c r="AJ2171">
        <v>0</v>
      </c>
      <c r="AK2171">
        <v>0</v>
      </c>
      <c r="AL2171">
        <v>39</v>
      </c>
      <c r="AM2171">
        <v>6</v>
      </c>
      <c r="AN2171">
        <v>111.75133928571503</v>
      </c>
    </row>
    <row r="2172" spans="1:40" x14ac:dyDescent="0.3">
      <c r="A2172" t="s">
        <v>574</v>
      </c>
      <c r="B2172" t="s">
        <v>164</v>
      </c>
      <c r="C2172" t="s">
        <v>16</v>
      </c>
      <c r="D2172" t="s">
        <v>11</v>
      </c>
      <c r="E2172">
        <v>202602</v>
      </c>
      <c r="F2172" t="s">
        <v>18</v>
      </c>
      <c r="G2172">
        <v>0</v>
      </c>
      <c r="H2172">
        <v>1</v>
      </c>
      <c r="I2172">
        <v>0</v>
      </c>
      <c r="J2172">
        <v>0</v>
      </c>
      <c r="K2172">
        <v>1</v>
      </c>
      <c r="L2172">
        <v>0</v>
      </c>
      <c r="M2172">
        <v>0</v>
      </c>
      <c r="N2172">
        <v>0</v>
      </c>
      <c r="O2172">
        <v>0</v>
      </c>
      <c r="P2172">
        <v>0</v>
      </c>
      <c r="Q2172">
        <v>0</v>
      </c>
      <c r="R2172">
        <v>0</v>
      </c>
      <c r="S2172">
        <v>0</v>
      </c>
      <c r="T2172">
        <v>0</v>
      </c>
      <c r="U2172">
        <v>0</v>
      </c>
      <c r="V2172">
        <v>0</v>
      </c>
      <c r="W2172">
        <v>0</v>
      </c>
      <c r="X2172">
        <v>0</v>
      </c>
      <c r="Y2172">
        <v>0</v>
      </c>
      <c r="Z2172">
        <v>0</v>
      </c>
      <c r="AA2172">
        <v>0</v>
      </c>
      <c r="AB2172">
        <v>0</v>
      </c>
      <c r="AC2172">
        <v>0</v>
      </c>
      <c r="AD2172">
        <v>0</v>
      </c>
      <c r="AE2172">
        <v>0</v>
      </c>
      <c r="AF2172">
        <v>0</v>
      </c>
      <c r="AG2172">
        <v>0</v>
      </c>
      <c r="AH2172">
        <v>0</v>
      </c>
      <c r="AI2172">
        <v>0</v>
      </c>
      <c r="AJ2172">
        <v>0</v>
      </c>
      <c r="AK2172">
        <v>0</v>
      </c>
      <c r="AL2172">
        <v>2</v>
      </c>
      <c r="AM2172">
        <v>0</v>
      </c>
      <c r="AN2172">
        <v>2</v>
      </c>
    </row>
    <row r="2173" spans="1:40" x14ac:dyDescent="0.3">
      <c r="A2173" t="s">
        <v>574</v>
      </c>
      <c r="B2173" t="s">
        <v>164</v>
      </c>
      <c r="C2173" t="s">
        <v>16</v>
      </c>
      <c r="D2173" t="s">
        <v>14</v>
      </c>
      <c r="E2173">
        <v>202602</v>
      </c>
      <c r="F2173" t="s">
        <v>18</v>
      </c>
      <c r="G2173">
        <v>1</v>
      </c>
      <c r="H2173">
        <v>0</v>
      </c>
      <c r="I2173">
        <v>0</v>
      </c>
      <c r="J2173">
        <v>0</v>
      </c>
      <c r="K2173">
        <v>0</v>
      </c>
      <c r="L2173">
        <v>0</v>
      </c>
      <c r="M2173">
        <v>0</v>
      </c>
      <c r="N2173">
        <v>0</v>
      </c>
      <c r="O2173">
        <v>0</v>
      </c>
      <c r="P2173">
        <v>0</v>
      </c>
      <c r="Q2173">
        <v>0</v>
      </c>
      <c r="R2173">
        <v>0</v>
      </c>
      <c r="S2173">
        <v>0</v>
      </c>
      <c r="T2173">
        <v>0</v>
      </c>
      <c r="U2173">
        <v>0</v>
      </c>
      <c r="V2173">
        <v>0</v>
      </c>
      <c r="W2173">
        <v>0</v>
      </c>
      <c r="X2173">
        <v>0</v>
      </c>
      <c r="Y2173">
        <v>0</v>
      </c>
      <c r="Z2173">
        <v>0</v>
      </c>
      <c r="AA2173">
        <v>0</v>
      </c>
      <c r="AB2173">
        <v>0</v>
      </c>
      <c r="AC2173">
        <v>0</v>
      </c>
      <c r="AD2173">
        <v>0</v>
      </c>
      <c r="AE2173">
        <v>0</v>
      </c>
      <c r="AF2173">
        <v>0</v>
      </c>
      <c r="AG2173">
        <v>0</v>
      </c>
      <c r="AH2173">
        <v>0</v>
      </c>
      <c r="AI2173">
        <v>0</v>
      </c>
      <c r="AJ2173">
        <v>0</v>
      </c>
      <c r="AK2173">
        <v>0</v>
      </c>
      <c r="AL2173">
        <v>1</v>
      </c>
      <c r="AM2173">
        <v>0</v>
      </c>
      <c r="AN2173">
        <v>1</v>
      </c>
    </row>
    <row r="2174" spans="1:40" x14ac:dyDescent="0.3">
      <c r="A2174" t="s">
        <v>574</v>
      </c>
      <c r="B2174" t="s">
        <v>168</v>
      </c>
      <c r="C2174" t="s">
        <v>10</v>
      </c>
      <c r="D2174" t="s">
        <v>11</v>
      </c>
      <c r="E2174">
        <v>202602</v>
      </c>
      <c r="F2174" t="s">
        <v>169</v>
      </c>
      <c r="G2174">
        <v>0</v>
      </c>
      <c r="H2174">
        <v>0</v>
      </c>
      <c r="I2174">
        <v>0</v>
      </c>
      <c r="J2174">
        <v>0</v>
      </c>
      <c r="K2174">
        <v>0</v>
      </c>
      <c r="L2174">
        <v>0</v>
      </c>
      <c r="M2174">
        <v>0</v>
      </c>
      <c r="N2174">
        <v>0</v>
      </c>
      <c r="O2174">
        <v>1</v>
      </c>
      <c r="P2174">
        <v>0</v>
      </c>
      <c r="Q2174">
        <v>0</v>
      </c>
      <c r="R2174">
        <v>0</v>
      </c>
      <c r="S2174">
        <v>0</v>
      </c>
      <c r="T2174">
        <v>0</v>
      </c>
      <c r="U2174">
        <v>0</v>
      </c>
      <c r="V2174">
        <v>0</v>
      </c>
      <c r="W2174">
        <v>0</v>
      </c>
      <c r="X2174">
        <v>0</v>
      </c>
      <c r="Y2174">
        <v>0</v>
      </c>
      <c r="Z2174">
        <v>0</v>
      </c>
      <c r="AA2174">
        <v>0</v>
      </c>
      <c r="AB2174">
        <v>0</v>
      </c>
      <c r="AC2174">
        <v>0</v>
      </c>
      <c r="AD2174">
        <v>0</v>
      </c>
      <c r="AE2174">
        <v>0</v>
      </c>
      <c r="AF2174">
        <v>0</v>
      </c>
      <c r="AG2174">
        <v>0</v>
      </c>
      <c r="AH2174">
        <v>0</v>
      </c>
      <c r="AI2174">
        <v>0</v>
      </c>
      <c r="AJ2174">
        <v>0</v>
      </c>
      <c r="AK2174">
        <v>0</v>
      </c>
      <c r="AL2174">
        <v>1</v>
      </c>
      <c r="AM2174">
        <v>0.33333333333333331</v>
      </c>
      <c r="AN2174">
        <v>5.6046251398731117</v>
      </c>
    </row>
    <row r="2175" spans="1:40" x14ac:dyDescent="0.3">
      <c r="A2175" t="s">
        <v>574</v>
      </c>
      <c r="B2175" t="s">
        <v>168</v>
      </c>
      <c r="C2175" t="s">
        <v>10</v>
      </c>
      <c r="D2175" t="s">
        <v>14</v>
      </c>
      <c r="E2175">
        <v>202602</v>
      </c>
      <c r="F2175" t="s">
        <v>169</v>
      </c>
      <c r="G2175">
        <v>0</v>
      </c>
      <c r="H2175">
        <v>0</v>
      </c>
      <c r="I2175">
        <v>0</v>
      </c>
      <c r="J2175">
        <v>0</v>
      </c>
      <c r="K2175">
        <v>1</v>
      </c>
      <c r="L2175">
        <v>0</v>
      </c>
      <c r="M2175">
        <v>0</v>
      </c>
      <c r="N2175">
        <v>0</v>
      </c>
      <c r="O2175">
        <v>0</v>
      </c>
      <c r="P2175">
        <v>0</v>
      </c>
      <c r="Q2175">
        <v>0</v>
      </c>
      <c r="R2175">
        <v>0</v>
      </c>
      <c r="S2175">
        <v>0</v>
      </c>
      <c r="T2175">
        <v>0</v>
      </c>
      <c r="U2175">
        <v>0</v>
      </c>
      <c r="V2175">
        <v>0</v>
      </c>
      <c r="W2175">
        <v>0</v>
      </c>
      <c r="X2175">
        <v>0</v>
      </c>
      <c r="Y2175">
        <v>0</v>
      </c>
      <c r="Z2175">
        <v>0</v>
      </c>
      <c r="AA2175">
        <v>0</v>
      </c>
      <c r="AB2175">
        <v>0</v>
      </c>
      <c r="AC2175">
        <v>0</v>
      </c>
      <c r="AD2175">
        <v>0</v>
      </c>
      <c r="AE2175">
        <v>0</v>
      </c>
      <c r="AF2175">
        <v>0</v>
      </c>
      <c r="AG2175">
        <v>0</v>
      </c>
      <c r="AH2175">
        <v>0</v>
      </c>
      <c r="AI2175">
        <v>0</v>
      </c>
      <c r="AJ2175">
        <v>0</v>
      </c>
      <c r="AK2175">
        <v>0</v>
      </c>
      <c r="AL2175">
        <v>1</v>
      </c>
      <c r="AM2175">
        <v>0</v>
      </c>
      <c r="AN2175">
        <v>1</v>
      </c>
    </row>
    <row r="2176" spans="1:40" x14ac:dyDescent="0.3">
      <c r="A2176" t="s">
        <v>574</v>
      </c>
      <c r="B2176" t="s">
        <v>170</v>
      </c>
      <c r="C2176" t="s">
        <v>10</v>
      </c>
      <c r="D2176" t="s">
        <v>11</v>
      </c>
      <c r="E2176">
        <v>202602</v>
      </c>
      <c r="F2176" t="s">
        <v>50</v>
      </c>
      <c r="G2176">
        <v>0</v>
      </c>
      <c r="H2176">
        <v>0</v>
      </c>
      <c r="I2176">
        <v>0</v>
      </c>
      <c r="J2176">
        <v>1</v>
      </c>
      <c r="K2176">
        <v>0</v>
      </c>
      <c r="L2176">
        <v>0</v>
      </c>
      <c r="M2176">
        <v>0</v>
      </c>
      <c r="N2176">
        <v>0</v>
      </c>
      <c r="O2176">
        <v>0</v>
      </c>
      <c r="P2176">
        <v>0</v>
      </c>
      <c r="Q2176">
        <v>0</v>
      </c>
      <c r="R2176">
        <v>0</v>
      </c>
      <c r="S2176">
        <v>0</v>
      </c>
      <c r="T2176">
        <v>0</v>
      </c>
      <c r="U2176">
        <v>0</v>
      </c>
      <c r="V2176">
        <v>0</v>
      </c>
      <c r="W2176">
        <v>0</v>
      </c>
      <c r="X2176">
        <v>0</v>
      </c>
      <c r="Y2176">
        <v>0</v>
      </c>
      <c r="Z2176">
        <v>0</v>
      </c>
      <c r="AA2176">
        <v>0</v>
      </c>
      <c r="AB2176">
        <v>0</v>
      </c>
      <c r="AC2176">
        <v>0</v>
      </c>
      <c r="AD2176">
        <v>0</v>
      </c>
      <c r="AE2176">
        <v>0</v>
      </c>
      <c r="AF2176">
        <v>0</v>
      </c>
      <c r="AG2176">
        <v>0</v>
      </c>
      <c r="AH2176">
        <v>0</v>
      </c>
      <c r="AI2176">
        <v>0</v>
      </c>
      <c r="AJ2176">
        <v>0</v>
      </c>
      <c r="AK2176">
        <v>0</v>
      </c>
      <c r="AL2176">
        <v>1</v>
      </c>
      <c r="AM2176">
        <v>0</v>
      </c>
      <c r="AN2176">
        <v>1</v>
      </c>
    </row>
    <row r="2177" spans="1:40" x14ac:dyDescent="0.3">
      <c r="A2177" t="s">
        <v>574</v>
      </c>
      <c r="B2177" t="s">
        <v>171</v>
      </c>
      <c r="C2177" t="s">
        <v>10</v>
      </c>
      <c r="D2177" t="s">
        <v>11</v>
      </c>
      <c r="E2177">
        <v>202602</v>
      </c>
      <c r="F2177" t="s">
        <v>172</v>
      </c>
      <c r="G2177">
        <v>0</v>
      </c>
      <c r="H2177">
        <v>2</v>
      </c>
      <c r="I2177">
        <v>0</v>
      </c>
      <c r="J2177">
        <v>3</v>
      </c>
      <c r="K2177">
        <v>1</v>
      </c>
      <c r="L2177">
        <v>2</v>
      </c>
      <c r="M2177">
        <v>2</v>
      </c>
      <c r="N2177">
        <v>0</v>
      </c>
      <c r="O2177">
        <v>0</v>
      </c>
      <c r="P2177">
        <v>4</v>
      </c>
      <c r="Q2177">
        <v>3</v>
      </c>
      <c r="R2177">
        <v>0</v>
      </c>
      <c r="S2177">
        <v>0</v>
      </c>
      <c r="T2177">
        <v>0</v>
      </c>
      <c r="U2177">
        <v>0</v>
      </c>
      <c r="V2177">
        <v>0</v>
      </c>
      <c r="W2177">
        <v>0</v>
      </c>
      <c r="X2177">
        <v>0</v>
      </c>
      <c r="Y2177">
        <v>0</v>
      </c>
      <c r="Z2177">
        <v>0</v>
      </c>
      <c r="AA2177">
        <v>0</v>
      </c>
      <c r="AB2177">
        <v>0</v>
      </c>
      <c r="AC2177">
        <v>0</v>
      </c>
      <c r="AD2177">
        <v>0</v>
      </c>
      <c r="AE2177">
        <v>0</v>
      </c>
      <c r="AF2177">
        <v>0</v>
      </c>
      <c r="AG2177">
        <v>0</v>
      </c>
      <c r="AH2177">
        <v>0</v>
      </c>
      <c r="AI2177">
        <v>0</v>
      </c>
      <c r="AJ2177">
        <v>0</v>
      </c>
      <c r="AK2177">
        <v>0</v>
      </c>
      <c r="AL2177">
        <v>17</v>
      </c>
      <c r="AM2177">
        <v>2.3333333333333335</v>
      </c>
      <c r="AN2177">
        <v>49.232375979111779</v>
      </c>
    </row>
    <row r="2178" spans="1:40" x14ac:dyDescent="0.3">
      <c r="A2178" t="s">
        <v>574</v>
      </c>
      <c r="B2178" t="s">
        <v>171</v>
      </c>
      <c r="C2178" t="s">
        <v>10</v>
      </c>
      <c r="D2178" t="s">
        <v>14</v>
      </c>
      <c r="E2178">
        <v>202602</v>
      </c>
      <c r="F2178" t="s">
        <v>172</v>
      </c>
      <c r="G2178">
        <v>0</v>
      </c>
      <c r="H2178">
        <v>2</v>
      </c>
      <c r="I2178">
        <v>1</v>
      </c>
      <c r="J2178">
        <v>3</v>
      </c>
      <c r="K2178">
        <v>1</v>
      </c>
      <c r="L2178">
        <v>2</v>
      </c>
      <c r="M2178">
        <v>1</v>
      </c>
      <c r="N2178">
        <v>0</v>
      </c>
      <c r="O2178">
        <v>3</v>
      </c>
      <c r="P2178">
        <v>3</v>
      </c>
      <c r="Q2178">
        <v>2</v>
      </c>
      <c r="R2178">
        <v>0</v>
      </c>
      <c r="S2178">
        <v>0</v>
      </c>
      <c r="T2178">
        <v>0</v>
      </c>
      <c r="U2178">
        <v>0</v>
      </c>
      <c r="V2178">
        <v>0</v>
      </c>
      <c r="W2178">
        <v>0</v>
      </c>
      <c r="X2178">
        <v>0</v>
      </c>
      <c r="Y2178">
        <v>0</v>
      </c>
      <c r="Z2178">
        <v>0</v>
      </c>
      <c r="AA2178">
        <v>0</v>
      </c>
      <c r="AB2178">
        <v>0</v>
      </c>
      <c r="AC2178">
        <v>0</v>
      </c>
      <c r="AD2178">
        <v>0</v>
      </c>
      <c r="AE2178">
        <v>0</v>
      </c>
      <c r="AF2178">
        <v>0</v>
      </c>
      <c r="AG2178">
        <v>0</v>
      </c>
      <c r="AH2178">
        <v>0</v>
      </c>
      <c r="AI2178">
        <v>0</v>
      </c>
      <c r="AJ2178">
        <v>0</v>
      </c>
      <c r="AK2178">
        <v>0</v>
      </c>
      <c r="AL2178">
        <v>18</v>
      </c>
      <c r="AM2178">
        <v>2.6666666666666665</v>
      </c>
      <c r="AN2178">
        <v>50.333928571428906</v>
      </c>
    </row>
    <row r="2179" spans="1:40" x14ac:dyDescent="0.3">
      <c r="A2179" t="s">
        <v>574</v>
      </c>
      <c r="B2179" t="s">
        <v>173</v>
      </c>
      <c r="C2179" t="s">
        <v>10</v>
      </c>
      <c r="D2179" t="s">
        <v>11</v>
      </c>
      <c r="E2179">
        <v>202602</v>
      </c>
      <c r="F2179" t="s">
        <v>172</v>
      </c>
      <c r="G2179">
        <v>0</v>
      </c>
      <c r="H2179">
        <v>1</v>
      </c>
      <c r="I2179">
        <v>0</v>
      </c>
      <c r="J2179">
        <v>1</v>
      </c>
      <c r="K2179">
        <v>4</v>
      </c>
      <c r="L2179">
        <v>7</v>
      </c>
      <c r="M2179">
        <v>5</v>
      </c>
      <c r="N2179">
        <v>1</v>
      </c>
      <c r="O2179">
        <v>2</v>
      </c>
      <c r="P2179">
        <v>0</v>
      </c>
      <c r="Q2179">
        <v>6</v>
      </c>
      <c r="R2179">
        <v>0</v>
      </c>
      <c r="S2179">
        <v>0</v>
      </c>
      <c r="T2179">
        <v>0</v>
      </c>
      <c r="U2179">
        <v>0</v>
      </c>
      <c r="V2179">
        <v>0</v>
      </c>
      <c r="W2179">
        <v>0</v>
      </c>
      <c r="X2179">
        <v>0</v>
      </c>
      <c r="Y2179">
        <v>0</v>
      </c>
      <c r="Z2179">
        <v>0</v>
      </c>
      <c r="AA2179">
        <v>0</v>
      </c>
      <c r="AB2179">
        <v>0</v>
      </c>
      <c r="AC2179">
        <v>0</v>
      </c>
      <c r="AD2179">
        <v>0</v>
      </c>
      <c r="AE2179">
        <v>0</v>
      </c>
      <c r="AF2179">
        <v>0</v>
      </c>
      <c r="AG2179">
        <v>0</v>
      </c>
      <c r="AH2179">
        <v>0</v>
      </c>
      <c r="AI2179">
        <v>0</v>
      </c>
      <c r="AJ2179">
        <v>0</v>
      </c>
      <c r="AK2179">
        <v>0</v>
      </c>
      <c r="AL2179">
        <v>27</v>
      </c>
      <c r="AM2179">
        <v>2.6666666666666665</v>
      </c>
      <c r="AN2179">
        <v>63.837001118984894</v>
      </c>
    </row>
    <row r="2180" spans="1:40" x14ac:dyDescent="0.3">
      <c r="A2180" t="s">
        <v>574</v>
      </c>
      <c r="B2180" t="s">
        <v>173</v>
      </c>
      <c r="C2180" t="s">
        <v>10</v>
      </c>
      <c r="D2180" t="s">
        <v>14</v>
      </c>
      <c r="E2180">
        <v>202602</v>
      </c>
      <c r="F2180" t="s">
        <v>172</v>
      </c>
      <c r="G2180">
        <v>0</v>
      </c>
      <c r="H2180">
        <v>1</v>
      </c>
      <c r="I2180">
        <v>3</v>
      </c>
      <c r="J2180">
        <v>5</v>
      </c>
      <c r="K2180">
        <v>8</v>
      </c>
      <c r="L2180">
        <v>5</v>
      </c>
      <c r="M2180">
        <v>2</v>
      </c>
      <c r="N2180">
        <v>0</v>
      </c>
      <c r="O2180">
        <v>7</v>
      </c>
      <c r="P2180">
        <v>6</v>
      </c>
      <c r="Q2180">
        <v>10</v>
      </c>
      <c r="R2180">
        <v>0</v>
      </c>
      <c r="S2180">
        <v>0</v>
      </c>
      <c r="T2180">
        <v>0</v>
      </c>
      <c r="U2180">
        <v>0</v>
      </c>
      <c r="V2180">
        <v>0</v>
      </c>
      <c r="W2180">
        <v>0</v>
      </c>
      <c r="X2180">
        <v>0</v>
      </c>
      <c r="Y2180">
        <v>0</v>
      </c>
      <c r="Z2180">
        <v>0</v>
      </c>
      <c r="AA2180">
        <v>0</v>
      </c>
      <c r="AB2180">
        <v>0</v>
      </c>
      <c r="AC2180">
        <v>0</v>
      </c>
      <c r="AD2180">
        <v>0</v>
      </c>
      <c r="AE2180">
        <v>0</v>
      </c>
      <c r="AF2180">
        <v>0</v>
      </c>
      <c r="AG2180">
        <v>0</v>
      </c>
      <c r="AH2180">
        <v>0</v>
      </c>
      <c r="AI2180">
        <v>0</v>
      </c>
      <c r="AJ2180">
        <v>0</v>
      </c>
      <c r="AK2180">
        <v>0</v>
      </c>
      <c r="AL2180">
        <v>47</v>
      </c>
      <c r="AM2180">
        <v>7.666666666666667</v>
      </c>
      <c r="AN2180">
        <v>139.96004464285812</v>
      </c>
    </row>
    <row r="2181" spans="1:40" x14ac:dyDescent="0.3">
      <c r="A2181" t="s">
        <v>574</v>
      </c>
      <c r="B2181" t="s">
        <v>173</v>
      </c>
      <c r="C2181" t="s">
        <v>16</v>
      </c>
      <c r="D2181" t="s">
        <v>11</v>
      </c>
      <c r="E2181">
        <v>202602</v>
      </c>
      <c r="F2181" t="s">
        <v>172</v>
      </c>
      <c r="G2181">
        <v>0</v>
      </c>
      <c r="H2181">
        <v>0</v>
      </c>
      <c r="I2181">
        <v>0</v>
      </c>
      <c r="J2181">
        <v>0</v>
      </c>
      <c r="K2181">
        <v>0</v>
      </c>
      <c r="L2181">
        <v>1</v>
      </c>
      <c r="M2181">
        <v>0</v>
      </c>
      <c r="N2181">
        <v>0</v>
      </c>
      <c r="O2181">
        <v>0</v>
      </c>
      <c r="P2181">
        <v>0</v>
      </c>
      <c r="Q2181">
        <v>0</v>
      </c>
      <c r="R2181">
        <v>0</v>
      </c>
      <c r="S2181">
        <v>0</v>
      </c>
      <c r="T2181">
        <v>0</v>
      </c>
      <c r="U2181">
        <v>0</v>
      </c>
      <c r="V2181">
        <v>0</v>
      </c>
      <c r="W2181">
        <v>0</v>
      </c>
      <c r="X2181">
        <v>0</v>
      </c>
      <c r="Y2181">
        <v>0</v>
      </c>
      <c r="Z2181">
        <v>0</v>
      </c>
      <c r="AA2181">
        <v>0</v>
      </c>
      <c r="AB2181">
        <v>0</v>
      </c>
      <c r="AC2181">
        <v>0</v>
      </c>
      <c r="AD2181">
        <v>0</v>
      </c>
      <c r="AE2181">
        <v>0</v>
      </c>
      <c r="AF2181">
        <v>0</v>
      </c>
      <c r="AG2181">
        <v>0</v>
      </c>
      <c r="AH2181">
        <v>0</v>
      </c>
      <c r="AI2181">
        <v>0</v>
      </c>
      <c r="AJ2181">
        <v>0</v>
      </c>
      <c r="AK2181">
        <v>0</v>
      </c>
      <c r="AL2181">
        <v>1</v>
      </c>
      <c r="AM2181">
        <v>0</v>
      </c>
      <c r="AN2181">
        <v>1</v>
      </c>
    </row>
    <row r="2182" spans="1:40" x14ac:dyDescent="0.3">
      <c r="A2182" t="s">
        <v>574</v>
      </c>
      <c r="B2182" t="s">
        <v>173</v>
      </c>
      <c r="C2182" t="s">
        <v>16</v>
      </c>
      <c r="D2182" t="s">
        <v>14</v>
      </c>
      <c r="E2182">
        <v>202602</v>
      </c>
      <c r="F2182" t="s">
        <v>172</v>
      </c>
      <c r="G2182">
        <v>0</v>
      </c>
      <c r="H2182">
        <v>0</v>
      </c>
      <c r="I2182">
        <v>0</v>
      </c>
      <c r="J2182">
        <v>0</v>
      </c>
      <c r="K2182">
        <v>1</v>
      </c>
      <c r="L2182">
        <v>0</v>
      </c>
      <c r="M2182">
        <v>0</v>
      </c>
      <c r="N2182">
        <v>0</v>
      </c>
      <c r="O2182">
        <v>0</v>
      </c>
      <c r="P2182">
        <v>0</v>
      </c>
      <c r="Q2182">
        <v>0</v>
      </c>
      <c r="R2182">
        <v>0</v>
      </c>
      <c r="S2182">
        <v>0</v>
      </c>
      <c r="T2182">
        <v>0</v>
      </c>
      <c r="U2182">
        <v>0</v>
      </c>
      <c r="V2182">
        <v>0</v>
      </c>
      <c r="W2182">
        <v>0</v>
      </c>
      <c r="X2182">
        <v>0</v>
      </c>
      <c r="Y2182">
        <v>0</v>
      </c>
      <c r="Z2182">
        <v>0</v>
      </c>
      <c r="AA2182">
        <v>0</v>
      </c>
      <c r="AB2182">
        <v>0</v>
      </c>
      <c r="AC2182">
        <v>0</v>
      </c>
      <c r="AD2182">
        <v>0</v>
      </c>
      <c r="AE2182">
        <v>0</v>
      </c>
      <c r="AF2182">
        <v>0</v>
      </c>
      <c r="AG2182">
        <v>0</v>
      </c>
      <c r="AH2182">
        <v>0</v>
      </c>
      <c r="AI2182">
        <v>0</v>
      </c>
      <c r="AJ2182">
        <v>0</v>
      </c>
      <c r="AK2182">
        <v>0</v>
      </c>
      <c r="AL2182">
        <v>1</v>
      </c>
      <c r="AM2182">
        <v>0</v>
      </c>
      <c r="AN2182">
        <v>1</v>
      </c>
    </row>
    <row r="2183" spans="1:40" x14ac:dyDescent="0.3">
      <c r="A2183" t="s">
        <v>606</v>
      </c>
      <c r="B2183" t="s">
        <v>9</v>
      </c>
      <c r="C2183" t="s">
        <v>10</v>
      </c>
      <c r="D2183" t="s">
        <v>11</v>
      </c>
      <c r="E2183">
        <v>202602</v>
      </c>
      <c r="F2183" t="s">
        <v>607</v>
      </c>
      <c r="G2183">
        <v>0</v>
      </c>
      <c r="H2183">
        <v>6</v>
      </c>
      <c r="I2183">
        <v>2</v>
      </c>
      <c r="J2183">
        <v>1</v>
      </c>
      <c r="K2183">
        <v>2</v>
      </c>
      <c r="L2183">
        <v>0</v>
      </c>
      <c r="M2183">
        <v>0</v>
      </c>
      <c r="N2183">
        <v>0</v>
      </c>
      <c r="O2183">
        <v>1</v>
      </c>
      <c r="P2183">
        <v>0</v>
      </c>
      <c r="Q2183">
        <v>0</v>
      </c>
      <c r="R2183">
        <v>0</v>
      </c>
      <c r="S2183">
        <v>0</v>
      </c>
      <c r="T2183">
        <v>0</v>
      </c>
      <c r="U2183">
        <v>0</v>
      </c>
      <c r="V2183">
        <v>0</v>
      </c>
      <c r="W2183">
        <v>0</v>
      </c>
      <c r="X2183">
        <v>0</v>
      </c>
      <c r="Y2183">
        <v>0</v>
      </c>
      <c r="Z2183">
        <v>0</v>
      </c>
      <c r="AA2183">
        <v>0</v>
      </c>
      <c r="AB2183">
        <v>0</v>
      </c>
      <c r="AC2183">
        <v>0</v>
      </c>
      <c r="AD2183">
        <v>0</v>
      </c>
      <c r="AE2183">
        <v>0</v>
      </c>
      <c r="AF2183">
        <v>0</v>
      </c>
      <c r="AG2183">
        <v>0</v>
      </c>
      <c r="AH2183">
        <v>0</v>
      </c>
      <c r="AI2183">
        <v>0</v>
      </c>
      <c r="AJ2183">
        <v>0</v>
      </c>
      <c r="AK2183">
        <v>0</v>
      </c>
      <c r="AL2183">
        <v>12</v>
      </c>
      <c r="AM2183">
        <v>0.33333333333333331</v>
      </c>
      <c r="AN2183">
        <v>16.604625139873111</v>
      </c>
    </row>
    <row r="2184" spans="1:40" x14ac:dyDescent="0.3">
      <c r="A2184" t="s">
        <v>606</v>
      </c>
      <c r="B2184" t="s">
        <v>9</v>
      </c>
      <c r="C2184" t="s">
        <v>10</v>
      </c>
      <c r="D2184" t="s">
        <v>14</v>
      </c>
      <c r="E2184">
        <v>202602</v>
      </c>
      <c r="F2184" t="s">
        <v>607</v>
      </c>
      <c r="G2184">
        <v>0</v>
      </c>
      <c r="H2184">
        <v>1</v>
      </c>
      <c r="I2184">
        <v>2</v>
      </c>
      <c r="J2184">
        <v>1</v>
      </c>
      <c r="K2184">
        <v>1</v>
      </c>
      <c r="L2184">
        <v>0</v>
      </c>
      <c r="M2184">
        <v>0</v>
      </c>
      <c r="N2184">
        <v>0</v>
      </c>
      <c r="O2184">
        <v>1</v>
      </c>
      <c r="P2184">
        <v>2</v>
      </c>
      <c r="Q2184">
        <v>0</v>
      </c>
      <c r="R2184">
        <v>0</v>
      </c>
      <c r="S2184">
        <v>0</v>
      </c>
      <c r="T2184">
        <v>0</v>
      </c>
      <c r="U2184">
        <v>0</v>
      </c>
      <c r="V2184">
        <v>0</v>
      </c>
      <c r="W2184">
        <v>0</v>
      </c>
      <c r="X2184">
        <v>0</v>
      </c>
      <c r="Y2184">
        <v>0</v>
      </c>
      <c r="Z2184">
        <v>0</v>
      </c>
      <c r="AA2184">
        <v>0</v>
      </c>
      <c r="AB2184">
        <v>0</v>
      </c>
      <c r="AC2184">
        <v>0</v>
      </c>
      <c r="AD2184">
        <v>0</v>
      </c>
      <c r="AE2184">
        <v>0</v>
      </c>
      <c r="AF2184">
        <v>0</v>
      </c>
      <c r="AG2184">
        <v>0</v>
      </c>
      <c r="AH2184">
        <v>0</v>
      </c>
      <c r="AI2184">
        <v>0</v>
      </c>
      <c r="AJ2184">
        <v>0</v>
      </c>
      <c r="AK2184">
        <v>0</v>
      </c>
      <c r="AL2184">
        <v>8</v>
      </c>
      <c r="AM2184">
        <v>1</v>
      </c>
      <c r="AN2184">
        <v>20.125223214285839</v>
      </c>
    </row>
    <row r="2185" spans="1:40" x14ac:dyDescent="0.3">
      <c r="A2185" t="s">
        <v>606</v>
      </c>
      <c r="B2185" t="s">
        <v>17</v>
      </c>
      <c r="C2185" t="s">
        <v>10</v>
      </c>
      <c r="D2185" t="s">
        <v>11</v>
      </c>
      <c r="E2185">
        <v>202602</v>
      </c>
      <c r="F2185" t="s">
        <v>18</v>
      </c>
      <c r="G2185">
        <v>0</v>
      </c>
      <c r="H2185">
        <v>0</v>
      </c>
      <c r="I2185">
        <v>0</v>
      </c>
      <c r="J2185">
        <v>0</v>
      </c>
      <c r="K2185">
        <v>1</v>
      </c>
      <c r="L2185">
        <v>0</v>
      </c>
      <c r="M2185">
        <v>0</v>
      </c>
      <c r="N2185">
        <v>0</v>
      </c>
      <c r="O2185">
        <v>0</v>
      </c>
      <c r="P2185">
        <v>0</v>
      </c>
      <c r="Q2185">
        <v>0</v>
      </c>
      <c r="R2185">
        <v>0</v>
      </c>
      <c r="S2185">
        <v>0</v>
      </c>
      <c r="T2185">
        <v>0</v>
      </c>
      <c r="U2185">
        <v>0</v>
      </c>
      <c r="V2185">
        <v>0</v>
      </c>
      <c r="W2185">
        <v>0</v>
      </c>
      <c r="X2185">
        <v>0</v>
      </c>
      <c r="Y2185">
        <v>0</v>
      </c>
      <c r="Z2185">
        <v>0</v>
      </c>
      <c r="AA2185">
        <v>0</v>
      </c>
      <c r="AB2185">
        <v>0</v>
      </c>
      <c r="AC2185">
        <v>0</v>
      </c>
      <c r="AD2185">
        <v>0</v>
      </c>
      <c r="AE2185">
        <v>0</v>
      </c>
      <c r="AF2185">
        <v>0</v>
      </c>
      <c r="AG2185">
        <v>0</v>
      </c>
      <c r="AH2185">
        <v>0</v>
      </c>
      <c r="AI2185">
        <v>0</v>
      </c>
      <c r="AJ2185">
        <v>0</v>
      </c>
      <c r="AK2185">
        <v>0</v>
      </c>
      <c r="AL2185">
        <v>1</v>
      </c>
      <c r="AM2185">
        <v>0</v>
      </c>
      <c r="AN2185">
        <v>1</v>
      </c>
    </row>
    <row r="2186" spans="1:40" x14ac:dyDescent="0.3">
      <c r="A2186" t="s">
        <v>606</v>
      </c>
      <c r="B2186" t="s">
        <v>17</v>
      </c>
      <c r="C2186" t="s">
        <v>10</v>
      </c>
      <c r="D2186" t="s">
        <v>11</v>
      </c>
      <c r="E2186">
        <v>202602</v>
      </c>
      <c r="F2186" t="s">
        <v>608</v>
      </c>
      <c r="G2186">
        <v>0</v>
      </c>
      <c r="H2186">
        <v>0</v>
      </c>
      <c r="I2186">
        <v>0</v>
      </c>
      <c r="J2186">
        <v>0</v>
      </c>
      <c r="K2186">
        <v>0</v>
      </c>
      <c r="L2186">
        <v>0</v>
      </c>
      <c r="M2186">
        <v>0</v>
      </c>
      <c r="N2186">
        <v>0</v>
      </c>
      <c r="O2186">
        <v>0</v>
      </c>
      <c r="P2186">
        <v>1</v>
      </c>
      <c r="Q2186">
        <v>0</v>
      </c>
      <c r="R2186">
        <v>0</v>
      </c>
      <c r="S2186">
        <v>0</v>
      </c>
      <c r="T2186">
        <v>0</v>
      </c>
      <c r="U2186">
        <v>0</v>
      </c>
      <c r="V2186">
        <v>0</v>
      </c>
      <c r="W2186">
        <v>0</v>
      </c>
      <c r="X2186">
        <v>0</v>
      </c>
      <c r="Y2186">
        <v>0</v>
      </c>
      <c r="Z2186">
        <v>0</v>
      </c>
      <c r="AA2186">
        <v>0</v>
      </c>
      <c r="AB2186">
        <v>0</v>
      </c>
      <c r="AC2186">
        <v>0</v>
      </c>
      <c r="AD2186">
        <v>0</v>
      </c>
      <c r="AE2186">
        <v>0</v>
      </c>
      <c r="AF2186">
        <v>0</v>
      </c>
      <c r="AG2186">
        <v>0</v>
      </c>
      <c r="AH2186">
        <v>0</v>
      </c>
      <c r="AI2186">
        <v>0</v>
      </c>
      <c r="AJ2186">
        <v>0</v>
      </c>
      <c r="AK2186">
        <v>0</v>
      </c>
      <c r="AL2186">
        <v>1</v>
      </c>
      <c r="AM2186">
        <v>0.33333333333333331</v>
      </c>
      <c r="AN2186">
        <v>5.6046251398731117</v>
      </c>
    </row>
    <row r="2187" spans="1:40" x14ac:dyDescent="0.3">
      <c r="A2187" t="s">
        <v>606</v>
      </c>
      <c r="B2187" t="s">
        <v>17</v>
      </c>
      <c r="C2187" t="s">
        <v>10</v>
      </c>
      <c r="D2187" t="s">
        <v>11</v>
      </c>
      <c r="E2187">
        <v>202602</v>
      </c>
      <c r="F2187" t="s">
        <v>609</v>
      </c>
      <c r="G2187">
        <v>0</v>
      </c>
      <c r="H2187">
        <v>0</v>
      </c>
      <c r="I2187">
        <v>1</v>
      </c>
      <c r="J2187">
        <v>0</v>
      </c>
      <c r="K2187">
        <v>0</v>
      </c>
      <c r="L2187">
        <v>1</v>
      </c>
      <c r="M2187">
        <v>0</v>
      </c>
      <c r="N2187">
        <v>0</v>
      </c>
      <c r="O2187">
        <v>0</v>
      </c>
      <c r="P2187">
        <v>0</v>
      </c>
      <c r="Q2187">
        <v>0</v>
      </c>
      <c r="R2187">
        <v>0</v>
      </c>
      <c r="S2187">
        <v>0</v>
      </c>
      <c r="T2187">
        <v>0</v>
      </c>
      <c r="U2187">
        <v>0</v>
      </c>
      <c r="V2187">
        <v>0</v>
      </c>
      <c r="W2187">
        <v>0</v>
      </c>
      <c r="X2187">
        <v>0</v>
      </c>
      <c r="Y2187">
        <v>0</v>
      </c>
      <c r="Z2187">
        <v>0</v>
      </c>
      <c r="AA2187">
        <v>0</v>
      </c>
      <c r="AB2187">
        <v>0</v>
      </c>
      <c r="AC2187">
        <v>0</v>
      </c>
      <c r="AD2187">
        <v>0</v>
      </c>
      <c r="AE2187">
        <v>0</v>
      </c>
      <c r="AF2187">
        <v>0</v>
      </c>
      <c r="AG2187">
        <v>0</v>
      </c>
      <c r="AH2187">
        <v>0</v>
      </c>
      <c r="AI2187">
        <v>0</v>
      </c>
      <c r="AJ2187">
        <v>0</v>
      </c>
      <c r="AK2187">
        <v>0</v>
      </c>
      <c r="AL2187">
        <v>2</v>
      </c>
      <c r="AM2187">
        <v>0</v>
      </c>
      <c r="AN2187">
        <v>2</v>
      </c>
    </row>
    <row r="2188" spans="1:40" x14ac:dyDescent="0.3">
      <c r="A2188" t="s">
        <v>606</v>
      </c>
      <c r="B2188" t="s">
        <v>17</v>
      </c>
      <c r="C2188" t="s">
        <v>10</v>
      </c>
      <c r="D2188" t="s">
        <v>11</v>
      </c>
      <c r="E2188">
        <v>202602</v>
      </c>
      <c r="F2188" t="s">
        <v>610</v>
      </c>
      <c r="G2188">
        <v>0</v>
      </c>
      <c r="H2188">
        <v>0</v>
      </c>
      <c r="I2188">
        <v>0</v>
      </c>
      <c r="J2188">
        <v>1</v>
      </c>
      <c r="K2188">
        <v>0</v>
      </c>
      <c r="L2188">
        <v>0</v>
      </c>
      <c r="M2188">
        <v>0</v>
      </c>
      <c r="N2188">
        <v>0</v>
      </c>
      <c r="O2188">
        <v>0</v>
      </c>
      <c r="P2188">
        <v>0</v>
      </c>
      <c r="Q2188">
        <v>0</v>
      </c>
      <c r="R2188">
        <v>0</v>
      </c>
      <c r="S2188">
        <v>0</v>
      </c>
      <c r="T2188">
        <v>0</v>
      </c>
      <c r="U2188">
        <v>0</v>
      </c>
      <c r="V2188">
        <v>0</v>
      </c>
      <c r="W2188">
        <v>0</v>
      </c>
      <c r="X2188">
        <v>0</v>
      </c>
      <c r="Y2188">
        <v>0</v>
      </c>
      <c r="Z2188">
        <v>0</v>
      </c>
      <c r="AA2188">
        <v>0</v>
      </c>
      <c r="AB2188">
        <v>0</v>
      </c>
      <c r="AC2188">
        <v>0</v>
      </c>
      <c r="AD2188">
        <v>0</v>
      </c>
      <c r="AE2188">
        <v>0</v>
      </c>
      <c r="AF2188">
        <v>0</v>
      </c>
      <c r="AG2188">
        <v>0</v>
      </c>
      <c r="AH2188">
        <v>0</v>
      </c>
      <c r="AI2188">
        <v>0</v>
      </c>
      <c r="AJ2188">
        <v>0</v>
      </c>
      <c r="AK2188">
        <v>0</v>
      </c>
      <c r="AL2188">
        <v>1</v>
      </c>
      <c r="AM2188">
        <v>0</v>
      </c>
      <c r="AN2188">
        <v>1</v>
      </c>
    </row>
    <row r="2189" spans="1:40" x14ac:dyDescent="0.3">
      <c r="A2189" t="s">
        <v>606</v>
      </c>
      <c r="B2189" t="s">
        <v>17</v>
      </c>
      <c r="C2189" t="s">
        <v>10</v>
      </c>
      <c r="D2189" t="s">
        <v>11</v>
      </c>
      <c r="E2189">
        <v>202602</v>
      </c>
      <c r="F2189" t="s">
        <v>611</v>
      </c>
      <c r="G2189">
        <v>0</v>
      </c>
      <c r="H2189">
        <v>0</v>
      </c>
      <c r="I2189">
        <v>0</v>
      </c>
      <c r="J2189">
        <v>0</v>
      </c>
      <c r="K2189">
        <v>0</v>
      </c>
      <c r="L2189">
        <v>0</v>
      </c>
      <c r="M2189">
        <v>0</v>
      </c>
      <c r="N2189">
        <v>0</v>
      </c>
      <c r="O2189">
        <v>1</v>
      </c>
      <c r="P2189">
        <v>0</v>
      </c>
      <c r="Q2189">
        <v>0</v>
      </c>
      <c r="R2189">
        <v>0</v>
      </c>
      <c r="S2189">
        <v>0</v>
      </c>
      <c r="T2189">
        <v>0</v>
      </c>
      <c r="U2189">
        <v>0</v>
      </c>
      <c r="V2189">
        <v>0</v>
      </c>
      <c r="W2189">
        <v>0</v>
      </c>
      <c r="X2189">
        <v>0</v>
      </c>
      <c r="Y2189">
        <v>0</v>
      </c>
      <c r="Z2189">
        <v>0</v>
      </c>
      <c r="AA2189">
        <v>0</v>
      </c>
      <c r="AB2189">
        <v>0</v>
      </c>
      <c r="AC2189">
        <v>0</v>
      </c>
      <c r="AD2189">
        <v>0</v>
      </c>
      <c r="AE2189">
        <v>0</v>
      </c>
      <c r="AF2189">
        <v>0</v>
      </c>
      <c r="AG2189">
        <v>0</v>
      </c>
      <c r="AH2189">
        <v>0</v>
      </c>
      <c r="AI2189">
        <v>0</v>
      </c>
      <c r="AJ2189">
        <v>0</v>
      </c>
      <c r="AK2189">
        <v>0</v>
      </c>
      <c r="AL2189">
        <v>1</v>
      </c>
      <c r="AM2189">
        <v>0.33333333333333331</v>
      </c>
      <c r="AN2189">
        <v>5.6046251398731117</v>
      </c>
    </row>
    <row r="2190" spans="1:40" x14ac:dyDescent="0.3">
      <c r="A2190" t="s">
        <v>606</v>
      </c>
      <c r="B2190" t="s">
        <v>17</v>
      </c>
      <c r="C2190" t="s">
        <v>10</v>
      </c>
      <c r="D2190" t="s">
        <v>11</v>
      </c>
      <c r="E2190">
        <v>202602</v>
      </c>
      <c r="F2190" t="s">
        <v>612</v>
      </c>
      <c r="G2190">
        <v>0</v>
      </c>
      <c r="H2190">
        <v>0</v>
      </c>
      <c r="I2190">
        <v>0</v>
      </c>
      <c r="J2190">
        <v>0</v>
      </c>
      <c r="K2190">
        <v>0</v>
      </c>
      <c r="L2190">
        <v>0</v>
      </c>
      <c r="M2190">
        <v>0</v>
      </c>
      <c r="N2190">
        <v>0</v>
      </c>
      <c r="O2190">
        <v>0</v>
      </c>
      <c r="P2190">
        <v>1</v>
      </c>
      <c r="Q2190">
        <v>0</v>
      </c>
      <c r="R2190">
        <v>0</v>
      </c>
      <c r="S2190">
        <v>0</v>
      </c>
      <c r="T2190">
        <v>0</v>
      </c>
      <c r="U2190">
        <v>0</v>
      </c>
      <c r="V2190">
        <v>0</v>
      </c>
      <c r="W2190">
        <v>0</v>
      </c>
      <c r="X2190">
        <v>0</v>
      </c>
      <c r="Y2190">
        <v>0</v>
      </c>
      <c r="Z2190">
        <v>0</v>
      </c>
      <c r="AA2190">
        <v>0</v>
      </c>
      <c r="AB2190">
        <v>0</v>
      </c>
      <c r="AC2190">
        <v>0</v>
      </c>
      <c r="AD2190">
        <v>0</v>
      </c>
      <c r="AE2190">
        <v>0</v>
      </c>
      <c r="AF2190">
        <v>0</v>
      </c>
      <c r="AG2190">
        <v>0</v>
      </c>
      <c r="AH2190">
        <v>0</v>
      </c>
      <c r="AI2190">
        <v>0</v>
      </c>
      <c r="AJ2190">
        <v>0</v>
      </c>
      <c r="AK2190">
        <v>0</v>
      </c>
      <c r="AL2190">
        <v>1</v>
      </c>
      <c r="AM2190">
        <v>0.33333333333333331</v>
      </c>
      <c r="AN2190">
        <v>5.6046251398731117</v>
      </c>
    </row>
    <row r="2191" spans="1:40" x14ac:dyDescent="0.3">
      <c r="A2191" t="s">
        <v>606</v>
      </c>
      <c r="B2191" t="s">
        <v>17</v>
      </c>
      <c r="C2191" t="s">
        <v>10</v>
      </c>
      <c r="D2191" t="s">
        <v>11</v>
      </c>
      <c r="E2191">
        <v>202602</v>
      </c>
      <c r="F2191" t="s">
        <v>613</v>
      </c>
      <c r="G2191">
        <v>0</v>
      </c>
      <c r="H2191">
        <v>0</v>
      </c>
      <c r="I2191">
        <v>2</v>
      </c>
      <c r="J2191">
        <v>0</v>
      </c>
      <c r="K2191">
        <v>0</v>
      </c>
      <c r="L2191">
        <v>0</v>
      </c>
      <c r="M2191">
        <v>0</v>
      </c>
      <c r="N2191">
        <v>0</v>
      </c>
      <c r="O2191">
        <v>0</v>
      </c>
      <c r="P2191">
        <v>0</v>
      </c>
      <c r="Q2191">
        <v>0</v>
      </c>
      <c r="R2191">
        <v>0</v>
      </c>
      <c r="S2191">
        <v>0</v>
      </c>
      <c r="T2191">
        <v>0</v>
      </c>
      <c r="U2191">
        <v>0</v>
      </c>
      <c r="V2191">
        <v>0</v>
      </c>
      <c r="W2191">
        <v>0</v>
      </c>
      <c r="X2191">
        <v>0</v>
      </c>
      <c r="Y2191">
        <v>0</v>
      </c>
      <c r="Z2191">
        <v>0</v>
      </c>
      <c r="AA2191">
        <v>0</v>
      </c>
      <c r="AB2191">
        <v>0</v>
      </c>
      <c r="AC2191">
        <v>0</v>
      </c>
      <c r="AD2191">
        <v>0</v>
      </c>
      <c r="AE2191">
        <v>0</v>
      </c>
      <c r="AF2191">
        <v>0</v>
      </c>
      <c r="AG2191">
        <v>0</v>
      </c>
      <c r="AH2191">
        <v>0</v>
      </c>
      <c r="AI2191">
        <v>0</v>
      </c>
      <c r="AJ2191">
        <v>0</v>
      </c>
      <c r="AK2191">
        <v>0</v>
      </c>
      <c r="AL2191">
        <v>2</v>
      </c>
      <c r="AM2191">
        <v>0</v>
      </c>
      <c r="AN2191">
        <v>2</v>
      </c>
    </row>
    <row r="2192" spans="1:40" x14ac:dyDescent="0.3">
      <c r="A2192" t="s">
        <v>606</v>
      </c>
      <c r="B2192" t="s">
        <v>17</v>
      </c>
      <c r="C2192" t="s">
        <v>10</v>
      </c>
      <c r="D2192" t="s">
        <v>11</v>
      </c>
      <c r="E2192">
        <v>202602</v>
      </c>
      <c r="F2192" t="s">
        <v>614</v>
      </c>
      <c r="G2192">
        <v>0</v>
      </c>
      <c r="H2192">
        <v>0</v>
      </c>
      <c r="I2192">
        <v>0</v>
      </c>
      <c r="J2192">
        <v>1</v>
      </c>
      <c r="K2192">
        <v>1</v>
      </c>
      <c r="L2192">
        <v>0</v>
      </c>
      <c r="M2192">
        <v>0</v>
      </c>
      <c r="N2192">
        <v>0</v>
      </c>
      <c r="O2192">
        <v>0</v>
      </c>
      <c r="P2192">
        <v>0</v>
      </c>
      <c r="Q2192">
        <v>0</v>
      </c>
      <c r="R2192">
        <v>0</v>
      </c>
      <c r="S2192">
        <v>0</v>
      </c>
      <c r="T2192">
        <v>0</v>
      </c>
      <c r="U2192">
        <v>0</v>
      </c>
      <c r="V2192">
        <v>0</v>
      </c>
      <c r="W2192">
        <v>0</v>
      </c>
      <c r="X2192">
        <v>0</v>
      </c>
      <c r="Y2192">
        <v>0</v>
      </c>
      <c r="Z2192">
        <v>0</v>
      </c>
      <c r="AA2192">
        <v>0</v>
      </c>
      <c r="AB2192">
        <v>0</v>
      </c>
      <c r="AC2192">
        <v>0</v>
      </c>
      <c r="AD2192">
        <v>0</v>
      </c>
      <c r="AE2192">
        <v>0</v>
      </c>
      <c r="AF2192">
        <v>0</v>
      </c>
      <c r="AG2192">
        <v>0</v>
      </c>
      <c r="AH2192">
        <v>0</v>
      </c>
      <c r="AI2192">
        <v>0</v>
      </c>
      <c r="AJ2192">
        <v>0</v>
      </c>
      <c r="AK2192">
        <v>0</v>
      </c>
      <c r="AL2192">
        <v>2</v>
      </c>
      <c r="AM2192">
        <v>0</v>
      </c>
      <c r="AN2192">
        <v>2</v>
      </c>
    </row>
    <row r="2193" spans="1:40" x14ac:dyDescent="0.3">
      <c r="A2193" t="s">
        <v>606</v>
      </c>
      <c r="B2193" t="s">
        <v>17</v>
      </c>
      <c r="C2193" t="s">
        <v>10</v>
      </c>
      <c r="D2193" t="s">
        <v>11</v>
      </c>
      <c r="E2193">
        <v>202602</v>
      </c>
      <c r="F2193" t="s">
        <v>615</v>
      </c>
      <c r="G2193">
        <v>0</v>
      </c>
      <c r="H2193">
        <v>1</v>
      </c>
      <c r="I2193">
        <v>0</v>
      </c>
      <c r="J2193">
        <v>1</v>
      </c>
      <c r="K2193">
        <v>0</v>
      </c>
      <c r="L2193">
        <v>0</v>
      </c>
      <c r="M2193">
        <v>0</v>
      </c>
      <c r="N2193">
        <v>0</v>
      </c>
      <c r="O2193">
        <v>0</v>
      </c>
      <c r="P2193">
        <v>0</v>
      </c>
      <c r="Q2193">
        <v>0</v>
      </c>
      <c r="R2193">
        <v>0</v>
      </c>
      <c r="S2193">
        <v>0</v>
      </c>
      <c r="T2193">
        <v>0</v>
      </c>
      <c r="U2193">
        <v>0</v>
      </c>
      <c r="V2193">
        <v>0</v>
      </c>
      <c r="W2193">
        <v>0</v>
      </c>
      <c r="X2193">
        <v>0</v>
      </c>
      <c r="Y2193">
        <v>0</v>
      </c>
      <c r="Z2193">
        <v>0</v>
      </c>
      <c r="AA2193">
        <v>0</v>
      </c>
      <c r="AB2193">
        <v>0</v>
      </c>
      <c r="AC2193">
        <v>0</v>
      </c>
      <c r="AD2193">
        <v>0</v>
      </c>
      <c r="AE2193">
        <v>0</v>
      </c>
      <c r="AF2193">
        <v>0</v>
      </c>
      <c r="AG2193">
        <v>0</v>
      </c>
      <c r="AH2193">
        <v>0</v>
      </c>
      <c r="AI2193">
        <v>0</v>
      </c>
      <c r="AJ2193">
        <v>0</v>
      </c>
      <c r="AK2193">
        <v>0</v>
      </c>
      <c r="AL2193">
        <v>2</v>
      </c>
      <c r="AM2193">
        <v>0</v>
      </c>
      <c r="AN2193">
        <v>2</v>
      </c>
    </row>
    <row r="2194" spans="1:40" x14ac:dyDescent="0.3">
      <c r="A2194" t="s">
        <v>606</v>
      </c>
      <c r="B2194" t="s">
        <v>17</v>
      </c>
      <c r="C2194" t="s">
        <v>10</v>
      </c>
      <c r="D2194" t="s">
        <v>11</v>
      </c>
      <c r="E2194">
        <v>202602</v>
      </c>
      <c r="F2194" t="s">
        <v>617</v>
      </c>
      <c r="G2194">
        <v>0</v>
      </c>
      <c r="H2194">
        <v>0</v>
      </c>
      <c r="I2194">
        <v>0</v>
      </c>
      <c r="J2194">
        <v>0</v>
      </c>
      <c r="K2194">
        <v>0</v>
      </c>
      <c r="L2194">
        <v>0</v>
      </c>
      <c r="M2194">
        <v>0</v>
      </c>
      <c r="N2194">
        <v>0</v>
      </c>
      <c r="O2194">
        <v>0</v>
      </c>
      <c r="P2194">
        <v>0</v>
      </c>
      <c r="Q2194">
        <v>1</v>
      </c>
      <c r="R2194">
        <v>0</v>
      </c>
      <c r="S2194">
        <v>0</v>
      </c>
      <c r="T2194">
        <v>0</v>
      </c>
      <c r="U2194">
        <v>0</v>
      </c>
      <c r="V2194">
        <v>0</v>
      </c>
      <c r="W2194">
        <v>0</v>
      </c>
      <c r="X2194">
        <v>0</v>
      </c>
      <c r="Y2194">
        <v>0</v>
      </c>
      <c r="Z2194">
        <v>0</v>
      </c>
      <c r="AA2194">
        <v>0</v>
      </c>
      <c r="AB2194">
        <v>0</v>
      </c>
      <c r="AC2194">
        <v>0</v>
      </c>
      <c r="AD2194">
        <v>0</v>
      </c>
      <c r="AE2194">
        <v>0</v>
      </c>
      <c r="AF2194">
        <v>0</v>
      </c>
      <c r="AG2194">
        <v>0</v>
      </c>
      <c r="AH2194">
        <v>0</v>
      </c>
      <c r="AI2194">
        <v>0</v>
      </c>
      <c r="AJ2194">
        <v>0</v>
      </c>
      <c r="AK2194">
        <v>0</v>
      </c>
      <c r="AL2194">
        <v>1</v>
      </c>
      <c r="AM2194">
        <v>0.33333333333333331</v>
      </c>
      <c r="AN2194">
        <v>5.6046251398731117</v>
      </c>
    </row>
    <row r="2195" spans="1:40" x14ac:dyDescent="0.3">
      <c r="A2195" t="s">
        <v>606</v>
      </c>
      <c r="B2195" t="s">
        <v>17</v>
      </c>
      <c r="C2195" t="s">
        <v>10</v>
      </c>
      <c r="D2195" t="s">
        <v>14</v>
      </c>
      <c r="E2195">
        <v>202602</v>
      </c>
      <c r="F2195" t="s">
        <v>18</v>
      </c>
      <c r="G2195">
        <v>0</v>
      </c>
      <c r="H2195">
        <v>0</v>
      </c>
      <c r="I2195">
        <v>0</v>
      </c>
      <c r="J2195">
        <v>1</v>
      </c>
      <c r="K2195">
        <v>0</v>
      </c>
      <c r="L2195">
        <v>0</v>
      </c>
      <c r="M2195">
        <v>0</v>
      </c>
      <c r="N2195">
        <v>0</v>
      </c>
      <c r="O2195">
        <v>0</v>
      </c>
      <c r="P2195">
        <v>0</v>
      </c>
      <c r="Q2195">
        <v>0</v>
      </c>
      <c r="R2195">
        <v>0</v>
      </c>
      <c r="S2195">
        <v>0</v>
      </c>
      <c r="T2195">
        <v>0</v>
      </c>
      <c r="U2195">
        <v>0</v>
      </c>
      <c r="V2195">
        <v>0</v>
      </c>
      <c r="W2195">
        <v>0</v>
      </c>
      <c r="X2195">
        <v>0</v>
      </c>
      <c r="Y2195">
        <v>0</v>
      </c>
      <c r="Z2195">
        <v>0</v>
      </c>
      <c r="AA2195">
        <v>0</v>
      </c>
      <c r="AB2195">
        <v>0</v>
      </c>
      <c r="AC2195">
        <v>0</v>
      </c>
      <c r="AD2195">
        <v>0</v>
      </c>
      <c r="AE2195">
        <v>0</v>
      </c>
      <c r="AF2195">
        <v>0</v>
      </c>
      <c r="AG2195">
        <v>0</v>
      </c>
      <c r="AH2195">
        <v>0</v>
      </c>
      <c r="AI2195">
        <v>0</v>
      </c>
      <c r="AJ2195">
        <v>0</v>
      </c>
      <c r="AK2195">
        <v>0</v>
      </c>
      <c r="AL2195">
        <v>1</v>
      </c>
      <c r="AM2195">
        <v>0</v>
      </c>
      <c r="AN2195">
        <v>1</v>
      </c>
    </row>
    <row r="2196" spans="1:40" x14ac:dyDescent="0.3">
      <c r="A2196" t="s">
        <v>606</v>
      </c>
      <c r="B2196" t="s">
        <v>17</v>
      </c>
      <c r="C2196" t="s">
        <v>10</v>
      </c>
      <c r="D2196" t="s">
        <v>14</v>
      </c>
      <c r="E2196">
        <v>202602</v>
      </c>
      <c r="F2196" t="s">
        <v>608</v>
      </c>
      <c r="G2196">
        <v>0</v>
      </c>
      <c r="H2196">
        <v>0</v>
      </c>
      <c r="I2196">
        <v>0</v>
      </c>
      <c r="J2196">
        <v>0</v>
      </c>
      <c r="K2196">
        <v>0</v>
      </c>
      <c r="L2196">
        <v>0</v>
      </c>
      <c r="M2196">
        <v>0</v>
      </c>
      <c r="N2196">
        <v>1</v>
      </c>
      <c r="O2196">
        <v>0</v>
      </c>
      <c r="P2196">
        <v>0</v>
      </c>
      <c r="Q2196">
        <v>0</v>
      </c>
      <c r="R2196">
        <v>0</v>
      </c>
      <c r="S2196">
        <v>0</v>
      </c>
      <c r="T2196">
        <v>0</v>
      </c>
      <c r="U2196">
        <v>0</v>
      </c>
      <c r="V2196">
        <v>0</v>
      </c>
      <c r="W2196">
        <v>0</v>
      </c>
      <c r="X2196">
        <v>0</v>
      </c>
      <c r="Y2196">
        <v>0</v>
      </c>
      <c r="Z2196">
        <v>0</v>
      </c>
      <c r="AA2196">
        <v>0</v>
      </c>
      <c r="AB2196">
        <v>0</v>
      </c>
      <c r="AC2196">
        <v>0</v>
      </c>
      <c r="AD2196">
        <v>0</v>
      </c>
      <c r="AE2196">
        <v>0</v>
      </c>
      <c r="AF2196">
        <v>0</v>
      </c>
      <c r="AG2196">
        <v>0</v>
      </c>
      <c r="AH2196">
        <v>0</v>
      </c>
      <c r="AI2196">
        <v>0</v>
      </c>
      <c r="AJ2196">
        <v>0</v>
      </c>
      <c r="AK2196">
        <v>0</v>
      </c>
      <c r="AL2196">
        <v>1</v>
      </c>
      <c r="AM2196">
        <v>0</v>
      </c>
      <c r="AN2196">
        <v>1</v>
      </c>
    </row>
    <row r="2197" spans="1:40" x14ac:dyDescent="0.3">
      <c r="A2197" t="s">
        <v>606</v>
      </c>
      <c r="B2197" t="s">
        <v>17</v>
      </c>
      <c r="C2197" t="s">
        <v>10</v>
      </c>
      <c r="D2197" t="s">
        <v>14</v>
      </c>
      <c r="E2197">
        <v>202602</v>
      </c>
      <c r="F2197" t="s">
        <v>609</v>
      </c>
      <c r="G2197">
        <v>1</v>
      </c>
      <c r="H2197">
        <v>0</v>
      </c>
      <c r="I2197">
        <v>0</v>
      </c>
      <c r="J2197">
        <v>0</v>
      </c>
      <c r="K2197">
        <v>1</v>
      </c>
      <c r="L2197">
        <v>1</v>
      </c>
      <c r="M2197">
        <v>0</v>
      </c>
      <c r="N2197">
        <v>0</v>
      </c>
      <c r="O2197">
        <v>0</v>
      </c>
      <c r="P2197">
        <v>0</v>
      </c>
      <c r="Q2197">
        <v>0</v>
      </c>
      <c r="R2197">
        <v>0</v>
      </c>
      <c r="S2197">
        <v>0</v>
      </c>
      <c r="T2197">
        <v>0</v>
      </c>
      <c r="U2197">
        <v>0</v>
      </c>
      <c r="V2197">
        <v>0</v>
      </c>
      <c r="W2197">
        <v>0</v>
      </c>
      <c r="X2197">
        <v>0</v>
      </c>
      <c r="Y2197">
        <v>0</v>
      </c>
      <c r="Z2197">
        <v>0</v>
      </c>
      <c r="AA2197">
        <v>0</v>
      </c>
      <c r="AB2197">
        <v>0</v>
      </c>
      <c r="AC2197">
        <v>0</v>
      </c>
      <c r="AD2197">
        <v>0</v>
      </c>
      <c r="AE2197">
        <v>0</v>
      </c>
      <c r="AF2197">
        <v>0</v>
      </c>
      <c r="AG2197">
        <v>0</v>
      </c>
      <c r="AH2197">
        <v>0</v>
      </c>
      <c r="AI2197">
        <v>0</v>
      </c>
      <c r="AJ2197">
        <v>0</v>
      </c>
      <c r="AK2197">
        <v>0</v>
      </c>
      <c r="AL2197">
        <v>3</v>
      </c>
      <c r="AM2197">
        <v>0</v>
      </c>
      <c r="AN2197">
        <v>3</v>
      </c>
    </row>
    <row r="2198" spans="1:40" x14ac:dyDescent="0.3">
      <c r="A2198" t="s">
        <v>606</v>
      </c>
      <c r="B2198" t="s">
        <v>17</v>
      </c>
      <c r="C2198" t="s">
        <v>10</v>
      </c>
      <c r="D2198" t="s">
        <v>14</v>
      </c>
      <c r="E2198">
        <v>202602</v>
      </c>
      <c r="F2198" t="s">
        <v>611</v>
      </c>
      <c r="G2198">
        <v>0</v>
      </c>
      <c r="H2198">
        <v>0</v>
      </c>
      <c r="I2198">
        <v>0</v>
      </c>
      <c r="J2198">
        <v>0</v>
      </c>
      <c r="K2198">
        <v>0</v>
      </c>
      <c r="L2198">
        <v>1</v>
      </c>
      <c r="M2198">
        <v>0</v>
      </c>
      <c r="N2198">
        <v>1</v>
      </c>
      <c r="O2198">
        <v>1</v>
      </c>
      <c r="P2198">
        <v>0</v>
      </c>
      <c r="Q2198">
        <v>0</v>
      </c>
      <c r="R2198">
        <v>0</v>
      </c>
      <c r="S2198">
        <v>0</v>
      </c>
      <c r="T2198">
        <v>0</v>
      </c>
      <c r="U2198">
        <v>0</v>
      </c>
      <c r="V2198">
        <v>0</v>
      </c>
      <c r="W2198">
        <v>0</v>
      </c>
      <c r="X2198">
        <v>0</v>
      </c>
      <c r="Y2198">
        <v>0</v>
      </c>
      <c r="Z2198">
        <v>0</v>
      </c>
      <c r="AA2198">
        <v>0</v>
      </c>
      <c r="AB2198">
        <v>0</v>
      </c>
      <c r="AC2198">
        <v>0</v>
      </c>
      <c r="AD2198">
        <v>0</v>
      </c>
      <c r="AE2198">
        <v>0</v>
      </c>
      <c r="AF2198">
        <v>0</v>
      </c>
      <c r="AG2198">
        <v>0</v>
      </c>
      <c r="AH2198">
        <v>0</v>
      </c>
      <c r="AI2198">
        <v>0</v>
      </c>
      <c r="AJ2198">
        <v>0</v>
      </c>
      <c r="AK2198">
        <v>0</v>
      </c>
      <c r="AL2198">
        <v>3</v>
      </c>
      <c r="AM2198">
        <v>0.33333333333333331</v>
      </c>
      <c r="AN2198">
        <v>7.0417410714286133</v>
      </c>
    </row>
    <row r="2199" spans="1:40" x14ac:dyDescent="0.3">
      <c r="A2199" t="s">
        <v>606</v>
      </c>
      <c r="B2199" t="s">
        <v>17</v>
      </c>
      <c r="C2199" t="s">
        <v>10</v>
      </c>
      <c r="D2199" t="s">
        <v>14</v>
      </c>
      <c r="E2199">
        <v>202602</v>
      </c>
      <c r="F2199" t="s">
        <v>612</v>
      </c>
      <c r="G2199">
        <v>0</v>
      </c>
      <c r="H2199">
        <v>1</v>
      </c>
      <c r="I2199">
        <v>0</v>
      </c>
      <c r="J2199">
        <v>0</v>
      </c>
      <c r="K2199">
        <v>1</v>
      </c>
      <c r="L2199">
        <v>0</v>
      </c>
      <c r="M2199">
        <v>0</v>
      </c>
      <c r="N2199">
        <v>0</v>
      </c>
      <c r="O2199">
        <v>1</v>
      </c>
      <c r="P2199">
        <v>0</v>
      </c>
      <c r="Q2199">
        <v>0</v>
      </c>
      <c r="R2199">
        <v>0</v>
      </c>
      <c r="S2199">
        <v>0</v>
      </c>
      <c r="T2199">
        <v>0</v>
      </c>
      <c r="U2199">
        <v>0</v>
      </c>
      <c r="V2199">
        <v>0</v>
      </c>
      <c r="W2199">
        <v>0</v>
      </c>
      <c r="X2199">
        <v>0</v>
      </c>
      <c r="Y2199">
        <v>0</v>
      </c>
      <c r="Z2199">
        <v>0</v>
      </c>
      <c r="AA2199">
        <v>0</v>
      </c>
      <c r="AB2199">
        <v>0</v>
      </c>
      <c r="AC2199">
        <v>0</v>
      </c>
      <c r="AD2199">
        <v>0</v>
      </c>
      <c r="AE2199">
        <v>0</v>
      </c>
      <c r="AF2199">
        <v>0</v>
      </c>
      <c r="AG2199">
        <v>0</v>
      </c>
      <c r="AH2199">
        <v>0</v>
      </c>
      <c r="AI2199">
        <v>0</v>
      </c>
      <c r="AJ2199">
        <v>0</v>
      </c>
      <c r="AK2199">
        <v>0</v>
      </c>
      <c r="AL2199">
        <v>3</v>
      </c>
      <c r="AM2199">
        <v>0.33333333333333331</v>
      </c>
      <c r="AN2199">
        <v>7.0417410714286133</v>
      </c>
    </row>
    <row r="2200" spans="1:40" x14ac:dyDescent="0.3">
      <c r="A2200" t="s">
        <v>606</v>
      </c>
      <c r="B2200" t="s">
        <v>17</v>
      </c>
      <c r="C2200" t="s">
        <v>10</v>
      </c>
      <c r="D2200" t="s">
        <v>14</v>
      </c>
      <c r="E2200">
        <v>202602</v>
      </c>
      <c r="F2200" t="s">
        <v>616</v>
      </c>
      <c r="G2200">
        <v>0</v>
      </c>
      <c r="H2200">
        <v>0</v>
      </c>
      <c r="I2200">
        <v>0</v>
      </c>
      <c r="J2200">
        <v>1</v>
      </c>
      <c r="K2200">
        <v>0</v>
      </c>
      <c r="L2200">
        <v>0</v>
      </c>
      <c r="M2200">
        <v>0</v>
      </c>
      <c r="N2200">
        <v>0</v>
      </c>
      <c r="O2200">
        <v>0</v>
      </c>
      <c r="P2200">
        <v>0</v>
      </c>
      <c r="Q2200">
        <v>0</v>
      </c>
      <c r="R2200">
        <v>0</v>
      </c>
      <c r="S2200">
        <v>0</v>
      </c>
      <c r="T2200">
        <v>0</v>
      </c>
      <c r="U2200">
        <v>0</v>
      </c>
      <c r="V2200">
        <v>0</v>
      </c>
      <c r="W2200">
        <v>0</v>
      </c>
      <c r="X2200">
        <v>0</v>
      </c>
      <c r="Y2200">
        <v>0</v>
      </c>
      <c r="Z2200">
        <v>0</v>
      </c>
      <c r="AA2200">
        <v>0</v>
      </c>
      <c r="AB2200">
        <v>0</v>
      </c>
      <c r="AC2200">
        <v>0</v>
      </c>
      <c r="AD2200">
        <v>0</v>
      </c>
      <c r="AE2200">
        <v>0</v>
      </c>
      <c r="AF2200">
        <v>0</v>
      </c>
      <c r="AG2200">
        <v>0</v>
      </c>
      <c r="AH2200">
        <v>0</v>
      </c>
      <c r="AI2200">
        <v>0</v>
      </c>
      <c r="AJ2200">
        <v>0</v>
      </c>
      <c r="AK2200">
        <v>0</v>
      </c>
      <c r="AL2200">
        <v>1</v>
      </c>
      <c r="AM2200">
        <v>0</v>
      </c>
      <c r="AN2200">
        <v>1</v>
      </c>
    </row>
    <row r="2201" spans="1:40" x14ac:dyDescent="0.3">
      <c r="A2201" t="s">
        <v>606</v>
      </c>
      <c r="B2201" t="s">
        <v>17</v>
      </c>
      <c r="C2201" t="s">
        <v>10</v>
      </c>
      <c r="D2201" t="s">
        <v>14</v>
      </c>
      <c r="E2201">
        <v>202602</v>
      </c>
      <c r="F2201" t="s">
        <v>613</v>
      </c>
      <c r="G2201">
        <v>0</v>
      </c>
      <c r="H2201">
        <v>1</v>
      </c>
      <c r="I2201">
        <v>0</v>
      </c>
      <c r="J2201">
        <v>0</v>
      </c>
      <c r="K2201">
        <v>0</v>
      </c>
      <c r="L2201">
        <v>0</v>
      </c>
      <c r="M2201">
        <v>0</v>
      </c>
      <c r="N2201">
        <v>0</v>
      </c>
      <c r="O2201">
        <v>0</v>
      </c>
      <c r="P2201">
        <v>0</v>
      </c>
      <c r="Q2201">
        <v>0</v>
      </c>
      <c r="R2201">
        <v>0</v>
      </c>
      <c r="S2201">
        <v>0</v>
      </c>
      <c r="T2201">
        <v>0</v>
      </c>
      <c r="U2201">
        <v>0</v>
      </c>
      <c r="V2201">
        <v>0</v>
      </c>
      <c r="W2201">
        <v>0</v>
      </c>
      <c r="X2201">
        <v>0</v>
      </c>
      <c r="Y2201">
        <v>0</v>
      </c>
      <c r="Z2201">
        <v>0</v>
      </c>
      <c r="AA2201">
        <v>0</v>
      </c>
      <c r="AB2201">
        <v>0</v>
      </c>
      <c r="AC2201">
        <v>0</v>
      </c>
      <c r="AD2201">
        <v>0</v>
      </c>
      <c r="AE2201">
        <v>0</v>
      </c>
      <c r="AF2201">
        <v>0</v>
      </c>
      <c r="AG2201">
        <v>0</v>
      </c>
      <c r="AH2201">
        <v>0</v>
      </c>
      <c r="AI2201">
        <v>0</v>
      </c>
      <c r="AJ2201">
        <v>0</v>
      </c>
      <c r="AK2201">
        <v>0</v>
      </c>
      <c r="AL2201">
        <v>1</v>
      </c>
      <c r="AM2201">
        <v>0</v>
      </c>
      <c r="AN2201">
        <v>1</v>
      </c>
    </row>
    <row r="2202" spans="1:40" x14ac:dyDescent="0.3">
      <c r="A2202" t="s">
        <v>606</v>
      </c>
      <c r="B2202" t="s">
        <v>17</v>
      </c>
      <c r="C2202" t="s">
        <v>10</v>
      </c>
      <c r="D2202" t="s">
        <v>14</v>
      </c>
      <c r="E2202">
        <v>202602</v>
      </c>
      <c r="F2202" t="s">
        <v>614</v>
      </c>
      <c r="G2202">
        <v>0</v>
      </c>
      <c r="H2202">
        <v>1</v>
      </c>
      <c r="I2202">
        <v>1</v>
      </c>
      <c r="J2202">
        <v>0</v>
      </c>
      <c r="K2202">
        <v>0</v>
      </c>
      <c r="L2202">
        <v>0</v>
      </c>
      <c r="M2202">
        <v>0</v>
      </c>
      <c r="N2202">
        <v>0</v>
      </c>
      <c r="O2202">
        <v>0</v>
      </c>
      <c r="P2202">
        <v>0</v>
      </c>
      <c r="Q2202">
        <v>1</v>
      </c>
      <c r="R2202">
        <v>0</v>
      </c>
      <c r="S2202">
        <v>0</v>
      </c>
      <c r="T2202">
        <v>0</v>
      </c>
      <c r="U2202">
        <v>0</v>
      </c>
      <c r="V2202">
        <v>0</v>
      </c>
      <c r="W2202">
        <v>0</v>
      </c>
      <c r="X2202">
        <v>0</v>
      </c>
      <c r="Y2202">
        <v>0</v>
      </c>
      <c r="Z2202">
        <v>0</v>
      </c>
      <c r="AA2202">
        <v>0</v>
      </c>
      <c r="AB2202">
        <v>0</v>
      </c>
      <c r="AC2202">
        <v>0</v>
      </c>
      <c r="AD2202">
        <v>0</v>
      </c>
      <c r="AE2202">
        <v>0</v>
      </c>
      <c r="AF2202">
        <v>0</v>
      </c>
      <c r="AG2202">
        <v>0</v>
      </c>
      <c r="AH2202">
        <v>0</v>
      </c>
      <c r="AI2202">
        <v>0</v>
      </c>
      <c r="AJ2202">
        <v>0</v>
      </c>
      <c r="AK2202">
        <v>0</v>
      </c>
      <c r="AL2202">
        <v>3</v>
      </c>
      <c r="AM2202">
        <v>0.33333333333333331</v>
      </c>
      <c r="AN2202">
        <v>7.0417410714286133</v>
      </c>
    </row>
    <row r="2203" spans="1:40" x14ac:dyDescent="0.3">
      <c r="A2203" t="s">
        <v>606</v>
      </c>
      <c r="B2203" t="s">
        <v>17</v>
      </c>
      <c r="C2203" t="s">
        <v>10</v>
      </c>
      <c r="D2203" t="s">
        <v>14</v>
      </c>
      <c r="E2203">
        <v>202602</v>
      </c>
      <c r="F2203" t="s">
        <v>615</v>
      </c>
      <c r="G2203">
        <v>1</v>
      </c>
      <c r="H2203">
        <v>0</v>
      </c>
      <c r="I2203">
        <v>1</v>
      </c>
      <c r="J2203">
        <v>0</v>
      </c>
      <c r="K2203">
        <v>0</v>
      </c>
      <c r="L2203">
        <v>0</v>
      </c>
      <c r="M2203">
        <v>0</v>
      </c>
      <c r="N2203">
        <v>0</v>
      </c>
      <c r="O2203">
        <v>0</v>
      </c>
      <c r="P2203">
        <v>0</v>
      </c>
      <c r="Q2203">
        <v>0</v>
      </c>
      <c r="R2203">
        <v>0</v>
      </c>
      <c r="S2203">
        <v>0</v>
      </c>
      <c r="T2203">
        <v>0</v>
      </c>
      <c r="U2203">
        <v>0</v>
      </c>
      <c r="V2203">
        <v>0</v>
      </c>
      <c r="W2203">
        <v>0</v>
      </c>
      <c r="X2203">
        <v>0</v>
      </c>
      <c r="Y2203">
        <v>0</v>
      </c>
      <c r="Z2203">
        <v>0</v>
      </c>
      <c r="AA2203">
        <v>0</v>
      </c>
      <c r="AB2203">
        <v>0</v>
      </c>
      <c r="AC2203">
        <v>0</v>
      </c>
      <c r="AD2203">
        <v>0</v>
      </c>
      <c r="AE2203">
        <v>0</v>
      </c>
      <c r="AF2203">
        <v>0</v>
      </c>
      <c r="AG2203">
        <v>0</v>
      </c>
      <c r="AH2203">
        <v>0</v>
      </c>
      <c r="AI2203">
        <v>0</v>
      </c>
      <c r="AJ2203">
        <v>0</v>
      </c>
      <c r="AK2203">
        <v>0</v>
      </c>
      <c r="AL2203">
        <v>2</v>
      </c>
      <c r="AM2203">
        <v>0</v>
      </c>
      <c r="AN2203">
        <v>2</v>
      </c>
    </row>
    <row r="2204" spans="1:40" x14ac:dyDescent="0.3">
      <c r="A2204" t="s">
        <v>606</v>
      </c>
      <c r="B2204" t="s">
        <v>17</v>
      </c>
      <c r="C2204" t="s">
        <v>10</v>
      </c>
      <c r="D2204" t="s">
        <v>14</v>
      </c>
      <c r="E2204">
        <v>202602</v>
      </c>
      <c r="F2204" t="s">
        <v>617</v>
      </c>
      <c r="G2204">
        <v>0</v>
      </c>
      <c r="H2204">
        <v>0</v>
      </c>
      <c r="I2204">
        <v>0</v>
      </c>
      <c r="J2204">
        <v>1</v>
      </c>
      <c r="K2204">
        <v>0</v>
      </c>
      <c r="L2204">
        <v>0</v>
      </c>
      <c r="M2204">
        <v>0</v>
      </c>
      <c r="N2204">
        <v>0</v>
      </c>
      <c r="O2204">
        <v>0</v>
      </c>
      <c r="P2204">
        <v>1</v>
      </c>
      <c r="Q2204">
        <v>1</v>
      </c>
      <c r="R2204">
        <v>0</v>
      </c>
      <c r="S2204">
        <v>0</v>
      </c>
      <c r="T2204">
        <v>0</v>
      </c>
      <c r="U2204">
        <v>0</v>
      </c>
      <c r="V2204">
        <v>0</v>
      </c>
      <c r="W2204">
        <v>0</v>
      </c>
      <c r="X2204">
        <v>0</v>
      </c>
      <c r="Y2204">
        <v>0</v>
      </c>
      <c r="Z2204">
        <v>0</v>
      </c>
      <c r="AA2204">
        <v>0</v>
      </c>
      <c r="AB2204">
        <v>0</v>
      </c>
      <c r="AC2204">
        <v>0</v>
      </c>
      <c r="AD2204">
        <v>0</v>
      </c>
      <c r="AE2204">
        <v>0</v>
      </c>
      <c r="AF2204">
        <v>0</v>
      </c>
      <c r="AG2204">
        <v>0</v>
      </c>
      <c r="AH2204">
        <v>0</v>
      </c>
      <c r="AI2204">
        <v>0</v>
      </c>
      <c r="AJ2204">
        <v>0</v>
      </c>
      <c r="AK2204">
        <v>0</v>
      </c>
      <c r="AL2204">
        <v>3</v>
      </c>
      <c r="AM2204">
        <v>0.66666666666666663</v>
      </c>
      <c r="AN2204">
        <v>11.083482142857227</v>
      </c>
    </row>
    <row r="2205" spans="1:40" x14ac:dyDescent="0.3">
      <c r="A2205" t="s">
        <v>606</v>
      </c>
      <c r="B2205" t="s">
        <v>17</v>
      </c>
      <c r="C2205" t="s">
        <v>16</v>
      </c>
      <c r="D2205" t="s">
        <v>14</v>
      </c>
      <c r="E2205">
        <v>202602</v>
      </c>
      <c r="F2205" t="s">
        <v>610</v>
      </c>
      <c r="G2205">
        <v>0</v>
      </c>
      <c r="H2205">
        <v>0</v>
      </c>
      <c r="I2205">
        <v>0</v>
      </c>
      <c r="J2205">
        <v>0</v>
      </c>
      <c r="K2205">
        <v>0</v>
      </c>
      <c r="L2205">
        <v>0</v>
      </c>
      <c r="M2205">
        <v>0</v>
      </c>
      <c r="N2205">
        <v>0</v>
      </c>
      <c r="O2205">
        <v>1</v>
      </c>
      <c r="P2205">
        <v>0</v>
      </c>
      <c r="Q2205">
        <v>1</v>
      </c>
      <c r="R2205">
        <v>0</v>
      </c>
      <c r="S2205">
        <v>0</v>
      </c>
      <c r="T2205">
        <v>0</v>
      </c>
      <c r="U2205">
        <v>0</v>
      </c>
      <c r="V2205">
        <v>0</v>
      </c>
      <c r="W2205">
        <v>0</v>
      </c>
      <c r="X2205">
        <v>0</v>
      </c>
      <c r="Y2205">
        <v>0</v>
      </c>
      <c r="Z2205">
        <v>0</v>
      </c>
      <c r="AA2205">
        <v>0</v>
      </c>
      <c r="AB2205">
        <v>0</v>
      </c>
      <c r="AC2205">
        <v>0</v>
      </c>
      <c r="AD2205">
        <v>0</v>
      </c>
      <c r="AE2205">
        <v>0</v>
      </c>
      <c r="AF2205">
        <v>0</v>
      </c>
      <c r="AG2205">
        <v>0</v>
      </c>
      <c r="AH2205">
        <v>0</v>
      </c>
      <c r="AI2205">
        <v>0</v>
      </c>
      <c r="AJ2205">
        <v>0</v>
      </c>
      <c r="AK2205">
        <v>0</v>
      </c>
      <c r="AL2205">
        <v>2</v>
      </c>
      <c r="AM2205">
        <v>0.66666666666666663</v>
      </c>
      <c r="AN2205">
        <v>10.083482142857227</v>
      </c>
    </row>
    <row r="2206" spans="1:40" x14ac:dyDescent="0.3">
      <c r="A2206" t="s">
        <v>606</v>
      </c>
      <c r="B2206" t="s">
        <v>49</v>
      </c>
      <c r="C2206" t="s">
        <v>16</v>
      </c>
      <c r="D2206" t="s">
        <v>14</v>
      </c>
      <c r="E2206">
        <v>202602</v>
      </c>
      <c r="F2206" t="s">
        <v>50</v>
      </c>
      <c r="G2206">
        <v>0</v>
      </c>
      <c r="H2206">
        <v>0</v>
      </c>
      <c r="I2206">
        <v>0</v>
      </c>
      <c r="J2206">
        <v>1</v>
      </c>
      <c r="K2206">
        <v>0</v>
      </c>
      <c r="L2206">
        <v>0</v>
      </c>
      <c r="M2206">
        <v>0</v>
      </c>
      <c r="N2206">
        <v>0</v>
      </c>
      <c r="O2206">
        <v>0</v>
      </c>
      <c r="P2206">
        <v>0</v>
      </c>
      <c r="Q2206">
        <v>0</v>
      </c>
      <c r="R2206">
        <v>0</v>
      </c>
      <c r="S2206">
        <v>0</v>
      </c>
      <c r="T2206">
        <v>0</v>
      </c>
      <c r="U2206">
        <v>0</v>
      </c>
      <c r="V2206">
        <v>0</v>
      </c>
      <c r="W2206">
        <v>0</v>
      </c>
      <c r="X2206">
        <v>0</v>
      </c>
      <c r="Y2206">
        <v>0</v>
      </c>
      <c r="Z2206">
        <v>0</v>
      </c>
      <c r="AA2206">
        <v>0</v>
      </c>
      <c r="AB2206">
        <v>0</v>
      </c>
      <c r="AC2206">
        <v>0</v>
      </c>
      <c r="AD2206">
        <v>0</v>
      </c>
      <c r="AE2206">
        <v>0</v>
      </c>
      <c r="AF2206">
        <v>0</v>
      </c>
      <c r="AG2206">
        <v>0</v>
      </c>
      <c r="AH2206">
        <v>0</v>
      </c>
      <c r="AI2206">
        <v>0</v>
      </c>
      <c r="AJ2206">
        <v>0</v>
      </c>
      <c r="AK2206">
        <v>0</v>
      </c>
      <c r="AL2206">
        <v>1</v>
      </c>
      <c r="AM2206">
        <v>0</v>
      </c>
      <c r="AN2206">
        <v>1</v>
      </c>
    </row>
    <row r="2207" spans="1:40" x14ac:dyDescent="0.3">
      <c r="A2207" t="s">
        <v>606</v>
      </c>
      <c r="B2207" t="s">
        <v>54</v>
      </c>
      <c r="C2207" t="s">
        <v>10</v>
      </c>
      <c r="D2207" t="s">
        <v>11</v>
      </c>
      <c r="E2207">
        <v>202602</v>
      </c>
      <c r="F2207" t="s">
        <v>55</v>
      </c>
      <c r="G2207">
        <v>0</v>
      </c>
      <c r="H2207">
        <v>0</v>
      </c>
      <c r="I2207">
        <v>0</v>
      </c>
      <c r="J2207">
        <v>1</v>
      </c>
      <c r="K2207">
        <v>0</v>
      </c>
      <c r="L2207">
        <v>0</v>
      </c>
      <c r="M2207">
        <v>0</v>
      </c>
      <c r="N2207">
        <v>0</v>
      </c>
      <c r="O2207">
        <v>0</v>
      </c>
      <c r="P2207">
        <v>0</v>
      </c>
      <c r="Q2207">
        <v>0</v>
      </c>
      <c r="R2207">
        <v>0</v>
      </c>
      <c r="S2207">
        <v>0</v>
      </c>
      <c r="T2207">
        <v>0</v>
      </c>
      <c r="U2207">
        <v>0</v>
      </c>
      <c r="V2207">
        <v>0</v>
      </c>
      <c r="W2207">
        <v>0</v>
      </c>
      <c r="X2207">
        <v>0</v>
      </c>
      <c r="Y2207">
        <v>0</v>
      </c>
      <c r="Z2207">
        <v>0</v>
      </c>
      <c r="AA2207">
        <v>0</v>
      </c>
      <c r="AB2207">
        <v>0</v>
      </c>
      <c r="AC2207">
        <v>0</v>
      </c>
      <c r="AD2207">
        <v>0</v>
      </c>
      <c r="AE2207">
        <v>0</v>
      </c>
      <c r="AF2207">
        <v>0</v>
      </c>
      <c r="AG2207">
        <v>0</v>
      </c>
      <c r="AH2207">
        <v>0</v>
      </c>
      <c r="AI2207">
        <v>0</v>
      </c>
      <c r="AJ2207">
        <v>0</v>
      </c>
      <c r="AK2207">
        <v>0</v>
      </c>
      <c r="AL2207">
        <v>1</v>
      </c>
      <c r="AM2207">
        <v>0</v>
      </c>
      <c r="AN2207">
        <v>1</v>
      </c>
    </row>
    <row r="2208" spans="1:40" x14ac:dyDescent="0.3">
      <c r="A2208" t="s">
        <v>606</v>
      </c>
      <c r="B2208" t="s">
        <v>54</v>
      </c>
      <c r="C2208" t="s">
        <v>10</v>
      </c>
      <c r="D2208" t="s">
        <v>11</v>
      </c>
      <c r="E2208">
        <v>202602</v>
      </c>
      <c r="F2208" t="s">
        <v>56</v>
      </c>
      <c r="G2208">
        <v>0</v>
      </c>
      <c r="H2208">
        <v>1</v>
      </c>
      <c r="I2208">
        <v>1</v>
      </c>
      <c r="J2208">
        <v>0</v>
      </c>
      <c r="K2208">
        <v>1</v>
      </c>
      <c r="L2208">
        <v>0</v>
      </c>
      <c r="M2208">
        <v>0</v>
      </c>
      <c r="N2208">
        <v>0</v>
      </c>
      <c r="O2208">
        <v>1</v>
      </c>
      <c r="P2208">
        <v>3</v>
      </c>
      <c r="Q2208">
        <v>1</v>
      </c>
      <c r="R2208">
        <v>0</v>
      </c>
      <c r="S2208">
        <v>0</v>
      </c>
      <c r="T2208">
        <v>0</v>
      </c>
      <c r="U2208">
        <v>0</v>
      </c>
      <c r="V2208">
        <v>0</v>
      </c>
      <c r="W2208">
        <v>0</v>
      </c>
      <c r="X2208">
        <v>0</v>
      </c>
      <c r="Y2208">
        <v>0</v>
      </c>
      <c r="Z2208">
        <v>0</v>
      </c>
      <c r="AA2208">
        <v>0</v>
      </c>
      <c r="AB2208">
        <v>0</v>
      </c>
      <c r="AC2208">
        <v>0</v>
      </c>
      <c r="AD2208">
        <v>0</v>
      </c>
      <c r="AE2208">
        <v>0</v>
      </c>
      <c r="AF2208">
        <v>0</v>
      </c>
      <c r="AG2208">
        <v>0</v>
      </c>
      <c r="AH2208">
        <v>0</v>
      </c>
      <c r="AI2208">
        <v>0</v>
      </c>
      <c r="AJ2208">
        <v>0</v>
      </c>
      <c r="AK2208">
        <v>0</v>
      </c>
      <c r="AL2208">
        <v>8</v>
      </c>
      <c r="AM2208">
        <v>1.6666666666666667</v>
      </c>
      <c r="AN2208">
        <v>31.023125699365558</v>
      </c>
    </row>
    <row r="2209" spans="1:40" x14ac:dyDescent="0.3">
      <c r="A2209" t="s">
        <v>606</v>
      </c>
      <c r="B2209" t="s">
        <v>54</v>
      </c>
      <c r="C2209" t="s">
        <v>10</v>
      </c>
      <c r="D2209" t="s">
        <v>11</v>
      </c>
      <c r="E2209">
        <v>202602</v>
      </c>
      <c r="F2209" t="s">
        <v>57</v>
      </c>
      <c r="G2209">
        <v>0</v>
      </c>
      <c r="H2209">
        <v>0</v>
      </c>
      <c r="I2209">
        <v>0</v>
      </c>
      <c r="J2209">
        <v>0</v>
      </c>
      <c r="K2209">
        <v>0</v>
      </c>
      <c r="L2209">
        <v>0</v>
      </c>
      <c r="M2209">
        <v>0</v>
      </c>
      <c r="N2209">
        <v>0</v>
      </c>
      <c r="O2209">
        <v>1</v>
      </c>
      <c r="P2209">
        <v>0</v>
      </c>
      <c r="Q2209">
        <v>0</v>
      </c>
      <c r="R2209">
        <v>0</v>
      </c>
      <c r="S2209">
        <v>0</v>
      </c>
      <c r="T2209">
        <v>0</v>
      </c>
      <c r="U2209">
        <v>0</v>
      </c>
      <c r="V2209">
        <v>0</v>
      </c>
      <c r="W2209">
        <v>0</v>
      </c>
      <c r="X2209">
        <v>0</v>
      </c>
      <c r="Y2209">
        <v>0</v>
      </c>
      <c r="Z2209">
        <v>0</v>
      </c>
      <c r="AA2209">
        <v>0</v>
      </c>
      <c r="AB2209">
        <v>0</v>
      </c>
      <c r="AC2209">
        <v>0</v>
      </c>
      <c r="AD2209">
        <v>0</v>
      </c>
      <c r="AE2209">
        <v>0</v>
      </c>
      <c r="AF2209">
        <v>0</v>
      </c>
      <c r="AG2209">
        <v>0</v>
      </c>
      <c r="AH2209">
        <v>0</v>
      </c>
      <c r="AI2209">
        <v>0</v>
      </c>
      <c r="AJ2209">
        <v>0</v>
      </c>
      <c r="AK2209">
        <v>0</v>
      </c>
      <c r="AL2209">
        <v>1</v>
      </c>
      <c r="AM2209">
        <v>0.33333333333333331</v>
      </c>
      <c r="AN2209">
        <v>5.6046251398731117</v>
      </c>
    </row>
    <row r="2210" spans="1:40" x14ac:dyDescent="0.3">
      <c r="A2210" t="s">
        <v>606</v>
      </c>
      <c r="B2210" t="s">
        <v>54</v>
      </c>
      <c r="C2210" t="s">
        <v>10</v>
      </c>
      <c r="D2210" t="s">
        <v>14</v>
      </c>
      <c r="E2210">
        <v>202602</v>
      </c>
      <c r="F2210" t="s">
        <v>55</v>
      </c>
      <c r="G2210">
        <v>0</v>
      </c>
      <c r="H2210">
        <v>0</v>
      </c>
      <c r="I2210">
        <v>1</v>
      </c>
      <c r="J2210">
        <v>0</v>
      </c>
      <c r="K2210">
        <v>0</v>
      </c>
      <c r="L2210">
        <v>0</v>
      </c>
      <c r="M2210">
        <v>0</v>
      </c>
      <c r="N2210">
        <v>0</v>
      </c>
      <c r="O2210">
        <v>0</v>
      </c>
      <c r="P2210">
        <v>0</v>
      </c>
      <c r="Q2210">
        <v>1</v>
      </c>
      <c r="R2210">
        <v>0</v>
      </c>
      <c r="S2210">
        <v>0</v>
      </c>
      <c r="T2210">
        <v>0</v>
      </c>
      <c r="U2210">
        <v>0</v>
      </c>
      <c r="V2210">
        <v>0</v>
      </c>
      <c r="W2210">
        <v>0</v>
      </c>
      <c r="X2210">
        <v>0</v>
      </c>
      <c r="Y2210">
        <v>0</v>
      </c>
      <c r="Z2210">
        <v>0</v>
      </c>
      <c r="AA2210">
        <v>0</v>
      </c>
      <c r="AB2210">
        <v>0</v>
      </c>
      <c r="AC2210">
        <v>0</v>
      </c>
      <c r="AD2210">
        <v>0</v>
      </c>
      <c r="AE2210">
        <v>0</v>
      </c>
      <c r="AF2210">
        <v>0</v>
      </c>
      <c r="AG2210">
        <v>0</v>
      </c>
      <c r="AH2210">
        <v>0</v>
      </c>
      <c r="AI2210">
        <v>0</v>
      </c>
      <c r="AJ2210">
        <v>0</v>
      </c>
      <c r="AK2210">
        <v>0</v>
      </c>
      <c r="AL2210">
        <v>2</v>
      </c>
      <c r="AM2210">
        <v>0.33333333333333331</v>
      </c>
      <c r="AN2210">
        <v>6.0417410714286133</v>
      </c>
    </row>
    <row r="2211" spans="1:40" x14ac:dyDescent="0.3">
      <c r="A2211" t="s">
        <v>606</v>
      </c>
      <c r="B2211" t="s">
        <v>54</v>
      </c>
      <c r="C2211" t="s">
        <v>10</v>
      </c>
      <c r="D2211" t="s">
        <v>14</v>
      </c>
      <c r="E2211">
        <v>202602</v>
      </c>
      <c r="F2211" t="s">
        <v>56</v>
      </c>
      <c r="G2211">
        <v>0</v>
      </c>
      <c r="H2211">
        <v>3</v>
      </c>
      <c r="I2211">
        <v>3</v>
      </c>
      <c r="J2211">
        <v>2</v>
      </c>
      <c r="K2211">
        <v>2</v>
      </c>
      <c r="L2211">
        <v>0</v>
      </c>
      <c r="M2211">
        <v>1</v>
      </c>
      <c r="N2211">
        <v>0</v>
      </c>
      <c r="O2211">
        <v>7</v>
      </c>
      <c r="P2211">
        <v>2</v>
      </c>
      <c r="Q2211">
        <v>2</v>
      </c>
      <c r="R2211">
        <v>0</v>
      </c>
      <c r="S2211">
        <v>0</v>
      </c>
      <c r="T2211">
        <v>0</v>
      </c>
      <c r="U2211">
        <v>0</v>
      </c>
      <c r="V2211">
        <v>0</v>
      </c>
      <c r="W2211">
        <v>0</v>
      </c>
      <c r="X2211">
        <v>0</v>
      </c>
      <c r="Y2211">
        <v>0</v>
      </c>
      <c r="Z2211">
        <v>0</v>
      </c>
      <c r="AA2211">
        <v>0</v>
      </c>
      <c r="AB2211">
        <v>0</v>
      </c>
      <c r="AC2211">
        <v>0</v>
      </c>
      <c r="AD2211">
        <v>0</v>
      </c>
      <c r="AE2211">
        <v>0</v>
      </c>
      <c r="AF2211">
        <v>0</v>
      </c>
      <c r="AG2211">
        <v>0</v>
      </c>
      <c r="AH2211">
        <v>0</v>
      </c>
      <c r="AI2211">
        <v>0</v>
      </c>
      <c r="AJ2211">
        <v>0</v>
      </c>
      <c r="AK2211">
        <v>0</v>
      </c>
      <c r="AL2211">
        <v>22</v>
      </c>
      <c r="AM2211">
        <v>3.6666666666666665</v>
      </c>
      <c r="AN2211">
        <v>66.459151785714738</v>
      </c>
    </row>
    <row r="2212" spans="1:40" x14ac:dyDescent="0.3">
      <c r="A2212" t="s">
        <v>606</v>
      </c>
      <c r="B2212" t="s">
        <v>54</v>
      </c>
      <c r="C2212" t="s">
        <v>10</v>
      </c>
      <c r="D2212" t="s">
        <v>14</v>
      </c>
      <c r="E2212">
        <v>202602</v>
      </c>
      <c r="F2212" t="s">
        <v>57</v>
      </c>
      <c r="G2212">
        <v>0</v>
      </c>
      <c r="H2212">
        <v>2</v>
      </c>
      <c r="I2212">
        <v>1</v>
      </c>
      <c r="J2212">
        <v>0</v>
      </c>
      <c r="K2212">
        <v>1</v>
      </c>
      <c r="L2212">
        <v>1</v>
      </c>
      <c r="M2212">
        <v>0</v>
      </c>
      <c r="N2212">
        <v>0</v>
      </c>
      <c r="O2212">
        <v>0</v>
      </c>
      <c r="P2212">
        <v>1</v>
      </c>
      <c r="Q2212">
        <v>0</v>
      </c>
      <c r="R2212">
        <v>0</v>
      </c>
      <c r="S2212">
        <v>0</v>
      </c>
      <c r="T2212">
        <v>0</v>
      </c>
      <c r="U2212">
        <v>0</v>
      </c>
      <c r="V2212">
        <v>0</v>
      </c>
      <c r="W2212">
        <v>0</v>
      </c>
      <c r="X2212">
        <v>0</v>
      </c>
      <c r="Y2212">
        <v>0</v>
      </c>
      <c r="Z2212">
        <v>0</v>
      </c>
      <c r="AA2212">
        <v>0</v>
      </c>
      <c r="AB2212">
        <v>0</v>
      </c>
      <c r="AC2212">
        <v>0</v>
      </c>
      <c r="AD2212">
        <v>0</v>
      </c>
      <c r="AE2212">
        <v>0</v>
      </c>
      <c r="AF2212">
        <v>0</v>
      </c>
      <c r="AG2212">
        <v>0</v>
      </c>
      <c r="AH2212">
        <v>0</v>
      </c>
      <c r="AI2212">
        <v>0</v>
      </c>
      <c r="AJ2212">
        <v>0</v>
      </c>
      <c r="AK2212">
        <v>0</v>
      </c>
      <c r="AL2212">
        <v>6</v>
      </c>
      <c r="AM2212">
        <v>0.33333333333333331</v>
      </c>
      <c r="AN2212">
        <v>10.041741071428614</v>
      </c>
    </row>
    <row r="2213" spans="1:40" x14ac:dyDescent="0.3">
      <c r="A2213" t="s">
        <v>606</v>
      </c>
      <c r="B2213" t="s">
        <v>54</v>
      </c>
      <c r="C2213" t="s">
        <v>10</v>
      </c>
      <c r="D2213" t="s">
        <v>14</v>
      </c>
      <c r="E2213">
        <v>202602</v>
      </c>
      <c r="F2213" t="s">
        <v>58</v>
      </c>
      <c r="G2213">
        <v>0</v>
      </c>
      <c r="H2213">
        <v>0</v>
      </c>
      <c r="I2213">
        <v>0</v>
      </c>
      <c r="J2213">
        <v>0</v>
      </c>
      <c r="K2213">
        <v>0</v>
      </c>
      <c r="L2213">
        <v>0</v>
      </c>
      <c r="M2213">
        <v>0</v>
      </c>
      <c r="N2213">
        <v>0</v>
      </c>
      <c r="O2213">
        <v>0</v>
      </c>
      <c r="P2213">
        <v>0</v>
      </c>
      <c r="Q2213">
        <v>1</v>
      </c>
      <c r="R2213">
        <v>0</v>
      </c>
      <c r="S2213">
        <v>0</v>
      </c>
      <c r="T2213">
        <v>0</v>
      </c>
      <c r="U2213">
        <v>0</v>
      </c>
      <c r="V2213">
        <v>0</v>
      </c>
      <c r="W2213">
        <v>0</v>
      </c>
      <c r="X2213">
        <v>0</v>
      </c>
      <c r="Y2213">
        <v>0</v>
      </c>
      <c r="Z2213">
        <v>0</v>
      </c>
      <c r="AA2213">
        <v>0</v>
      </c>
      <c r="AB2213">
        <v>0</v>
      </c>
      <c r="AC2213">
        <v>0</v>
      </c>
      <c r="AD2213">
        <v>0</v>
      </c>
      <c r="AE2213">
        <v>0</v>
      </c>
      <c r="AF2213">
        <v>0</v>
      </c>
      <c r="AG2213">
        <v>0</v>
      </c>
      <c r="AH2213">
        <v>0</v>
      </c>
      <c r="AI2213">
        <v>0</v>
      </c>
      <c r="AJ2213">
        <v>0</v>
      </c>
      <c r="AK2213">
        <v>0</v>
      </c>
      <c r="AL2213">
        <v>1</v>
      </c>
      <c r="AM2213">
        <v>0.33333333333333331</v>
      </c>
      <c r="AN2213">
        <v>5.0417410714286133</v>
      </c>
    </row>
    <row r="2214" spans="1:40" x14ac:dyDescent="0.3">
      <c r="A2214" t="s">
        <v>606</v>
      </c>
      <c r="B2214" t="s">
        <v>59</v>
      </c>
      <c r="C2214" t="s">
        <v>10</v>
      </c>
      <c r="D2214" t="s">
        <v>11</v>
      </c>
      <c r="E2214">
        <v>202602</v>
      </c>
      <c r="F2214" t="s">
        <v>205</v>
      </c>
      <c r="G2214">
        <v>0</v>
      </c>
      <c r="H2214">
        <v>1</v>
      </c>
      <c r="I2214">
        <v>0</v>
      </c>
      <c r="J2214">
        <v>0</v>
      </c>
      <c r="K2214">
        <v>0</v>
      </c>
      <c r="L2214">
        <v>0</v>
      </c>
      <c r="M2214">
        <v>0</v>
      </c>
      <c r="N2214">
        <v>0</v>
      </c>
      <c r="O2214">
        <v>0</v>
      </c>
      <c r="P2214">
        <v>1</v>
      </c>
      <c r="Q2214">
        <v>0</v>
      </c>
      <c r="R2214">
        <v>0</v>
      </c>
      <c r="S2214">
        <v>0</v>
      </c>
      <c r="T2214">
        <v>0</v>
      </c>
      <c r="U2214">
        <v>0</v>
      </c>
      <c r="V2214">
        <v>0</v>
      </c>
      <c r="W2214">
        <v>0</v>
      </c>
      <c r="X2214">
        <v>0</v>
      </c>
      <c r="Y2214">
        <v>0</v>
      </c>
      <c r="Z2214">
        <v>0</v>
      </c>
      <c r="AA2214">
        <v>0</v>
      </c>
      <c r="AB2214">
        <v>0</v>
      </c>
      <c r="AC2214">
        <v>0</v>
      </c>
      <c r="AD2214">
        <v>0</v>
      </c>
      <c r="AE2214">
        <v>0</v>
      </c>
      <c r="AF2214">
        <v>0</v>
      </c>
      <c r="AG2214">
        <v>0</v>
      </c>
      <c r="AH2214">
        <v>0</v>
      </c>
      <c r="AI2214">
        <v>0</v>
      </c>
      <c r="AJ2214">
        <v>0</v>
      </c>
      <c r="AK2214">
        <v>0</v>
      </c>
      <c r="AL2214">
        <v>2</v>
      </c>
      <c r="AM2214">
        <v>0.33333333333333331</v>
      </c>
      <c r="AN2214">
        <v>6.6046251398731117</v>
      </c>
    </row>
    <row r="2215" spans="1:40" x14ac:dyDescent="0.3">
      <c r="A2215" t="s">
        <v>606</v>
      </c>
      <c r="B2215" t="s">
        <v>59</v>
      </c>
      <c r="C2215" t="s">
        <v>10</v>
      </c>
      <c r="D2215" t="s">
        <v>11</v>
      </c>
      <c r="E2215">
        <v>202602</v>
      </c>
      <c r="F2215" t="s">
        <v>61</v>
      </c>
      <c r="G2215">
        <v>0</v>
      </c>
      <c r="H2215">
        <v>1</v>
      </c>
      <c r="I2215">
        <v>2</v>
      </c>
      <c r="J2215">
        <v>1</v>
      </c>
      <c r="K2215">
        <v>1</v>
      </c>
      <c r="L2215">
        <v>1</v>
      </c>
      <c r="M2215">
        <v>1</v>
      </c>
      <c r="N2215">
        <v>0</v>
      </c>
      <c r="O2215">
        <v>1</v>
      </c>
      <c r="P2215">
        <v>0</v>
      </c>
      <c r="Q2215">
        <v>4</v>
      </c>
      <c r="R2215">
        <v>0</v>
      </c>
      <c r="S2215">
        <v>0</v>
      </c>
      <c r="T2215">
        <v>0</v>
      </c>
      <c r="U2215">
        <v>0</v>
      </c>
      <c r="V2215">
        <v>0</v>
      </c>
      <c r="W2215">
        <v>0</v>
      </c>
      <c r="X2215">
        <v>0</v>
      </c>
      <c r="Y2215">
        <v>0</v>
      </c>
      <c r="Z2215">
        <v>0</v>
      </c>
      <c r="AA2215">
        <v>0</v>
      </c>
      <c r="AB2215">
        <v>0</v>
      </c>
      <c r="AC2215">
        <v>0</v>
      </c>
      <c r="AD2215">
        <v>0</v>
      </c>
      <c r="AE2215">
        <v>0</v>
      </c>
      <c r="AF2215">
        <v>0</v>
      </c>
      <c r="AG2215">
        <v>0</v>
      </c>
      <c r="AH2215">
        <v>0</v>
      </c>
      <c r="AI2215">
        <v>0</v>
      </c>
      <c r="AJ2215">
        <v>0</v>
      </c>
      <c r="AK2215">
        <v>0</v>
      </c>
      <c r="AL2215">
        <v>12</v>
      </c>
      <c r="AM2215">
        <v>1.6666666666666667</v>
      </c>
      <c r="AN2215">
        <v>35.023125699365558</v>
      </c>
    </row>
    <row r="2216" spans="1:40" x14ac:dyDescent="0.3">
      <c r="A2216" t="s">
        <v>606</v>
      </c>
      <c r="B2216" t="s">
        <v>59</v>
      </c>
      <c r="C2216" t="s">
        <v>10</v>
      </c>
      <c r="D2216" t="s">
        <v>11</v>
      </c>
      <c r="E2216">
        <v>202602</v>
      </c>
      <c r="F2216" t="s">
        <v>63</v>
      </c>
      <c r="G2216">
        <v>0</v>
      </c>
      <c r="H2216">
        <v>0</v>
      </c>
      <c r="I2216">
        <v>0</v>
      </c>
      <c r="J2216">
        <v>0</v>
      </c>
      <c r="K2216">
        <v>0</v>
      </c>
      <c r="L2216">
        <v>0</v>
      </c>
      <c r="M2216">
        <v>1</v>
      </c>
      <c r="N2216">
        <v>0</v>
      </c>
      <c r="O2216">
        <v>0</v>
      </c>
      <c r="P2216">
        <v>0</v>
      </c>
      <c r="Q2216">
        <v>0</v>
      </c>
      <c r="R2216">
        <v>0</v>
      </c>
      <c r="S2216">
        <v>0</v>
      </c>
      <c r="T2216">
        <v>0</v>
      </c>
      <c r="U2216">
        <v>0</v>
      </c>
      <c r="V2216">
        <v>0</v>
      </c>
      <c r="W2216">
        <v>0</v>
      </c>
      <c r="X2216">
        <v>0</v>
      </c>
      <c r="Y2216">
        <v>0</v>
      </c>
      <c r="Z2216">
        <v>0</v>
      </c>
      <c r="AA2216">
        <v>0</v>
      </c>
      <c r="AB2216">
        <v>0</v>
      </c>
      <c r="AC2216">
        <v>0</v>
      </c>
      <c r="AD2216">
        <v>0</v>
      </c>
      <c r="AE2216">
        <v>0</v>
      </c>
      <c r="AF2216">
        <v>0</v>
      </c>
      <c r="AG2216">
        <v>0</v>
      </c>
      <c r="AH2216">
        <v>0</v>
      </c>
      <c r="AI2216">
        <v>0</v>
      </c>
      <c r="AJ2216">
        <v>0</v>
      </c>
      <c r="AK2216">
        <v>0</v>
      </c>
      <c r="AL2216">
        <v>1</v>
      </c>
      <c r="AM2216">
        <v>0</v>
      </c>
      <c r="AN2216">
        <v>1</v>
      </c>
    </row>
    <row r="2217" spans="1:40" x14ac:dyDescent="0.3">
      <c r="A2217" t="s">
        <v>606</v>
      </c>
      <c r="B2217" t="s">
        <v>59</v>
      </c>
      <c r="C2217" t="s">
        <v>10</v>
      </c>
      <c r="D2217" t="s">
        <v>11</v>
      </c>
      <c r="E2217">
        <v>202602</v>
      </c>
      <c r="F2217" t="s">
        <v>415</v>
      </c>
      <c r="G2217">
        <v>0</v>
      </c>
      <c r="H2217">
        <v>0</v>
      </c>
      <c r="I2217">
        <v>0</v>
      </c>
      <c r="J2217">
        <v>0</v>
      </c>
      <c r="K2217">
        <v>0</v>
      </c>
      <c r="L2217">
        <v>1</v>
      </c>
      <c r="M2217">
        <v>0</v>
      </c>
      <c r="N2217">
        <v>0</v>
      </c>
      <c r="O2217">
        <v>0</v>
      </c>
      <c r="P2217">
        <v>0</v>
      </c>
      <c r="Q2217">
        <v>0</v>
      </c>
      <c r="R2217">
        <v>0</v>
      </c>
      <c r="S2217">
        <v>0</v>
      </c>
      <c r="T2217">
        <v>0</v>
      </c>
      <c r="U2217">
        <v>0</v>
      </c>
      <c r="V2217">
        <v>0</v>
      </c>
      <c r="W2217">
        <v>0</v>
      </c>
      <c r="X2217">
        <v>0</v>
      </c>
      <c r="Y2217">
        <v>0</v>
      </c>
      <c r="Z2217">
        <v>0</v>
      </c>
      <c r="AA2217">
        <v>0</v>
      </c>
      <c r="AB2217">
        <v>0</v>
      </c>
      <c r="AC2217">
        <v>0</v>
      </c>
      <c r="AD2217">
        <v>0</v>
      </c>
      <c r="AE2217">
        <v>0</v>
      </c>
      <c r="AF2217">
        <v>0</v>
      </c>
      <c r="AG2217">
        <v>0</v>
      </c>
      <c r="AH2217">
        <v>0</v>
      </c>
      <c r="AI2217">
        <v>0</v>
      </c>
      <c r="AJ2217">
        <v>0</v>
      </c>
      <c r="AK2217">
        <v>0</v>
      </c>
      <c r="AL2217">
        <v>1</v>
      </c>
      <c r="AM2217">
        <v>0</v>
      </c>
      <c r="AN2217">
        <v>1</v>
      </c>
    </row>
    <row r="2218" spans="1:40" x14ac:dyDescent="0.3">
      <c r="A2218" t="s">
        <v>606</v>
      </c>
      <c r="B2218" t="s">
        <v>59</v>
      </c>
      <c r="C2218" t="s">
        <v>10</v>
      </c>
      <c r="D2218" t="s">
        <v>11</v>
      </c>
      <c r="E2218">
        <v>202602</v>
      </c>
      <c r="F2218" t="s">
        <v>69</v>
      </c>
      <c r="G2218">
        <v>0</v>
      </c>
      <c r="H2218">
        <v>0</v>
      </c>
      <c r="I2218">
        <v>0</v>
      </c>
      <c r="J2218">
        <v>0</v>
      </c>
      <c r="K2218">
        <v>0</v>
      </c>
      <c r="L2218">
        <v>0</v>
      </c>
      <c r="M2218">
        <v>1</v>
      </c>
      <c r="N2218">
        <v>0</v>
      </c>
      <c r="O2218">
        <v>1</v>
      </c>
      <c r="P2218">
        <v>0</v>
      </c>
      <c r="Q2218">
        <v>0</v>
      </c>
      <c r="R2218">
        <v>0</v>
      </c>
      <c r="S2218">
        <v>0</v>
      </c>
      <c r="T2218">
        <v>0</v>
      </c>
      <c r="U2218">
        <v>0</v>
      </c>
      <c r="V2218">
        <v>0</v>
      </c>
      <c r="W2218">
        <v>0</v>
      </c>
      <c r="X2218">
        <v>0</v>
      </c>
      <c r="Y2218">
        <v>0</v>
      </c>
      <c r="Z2218">
        <v>0</v>
      </c>
      <c r="AA2218">
        <v>0</v>
      </c>
      <c r="AB2218">
        <v>0</v>
      </c>
      <c r="AC2218">
        <v>0</v>
      </c>
      <c r="AD2218">
        <v>0</v>
      </c>
      <c r="AE2218">
        <v>0</v>
      </c>
      <c r="AF2218">
        <v>0</v>
      </c>
      <c r="AG2218">
        <v>0</v>
      </c>
      <c r="AH2218">
        <v>0</v>
      </c>
      <c r="AI2218">
        <v>0</v>
      </c>
      <c r="AJ2218">
        <v>0</v>
      </c>
      <c r="AK2218">
        <v>0</v>
      </c>
      <c r="AL2218">
        <v>2</v>
      </c>
      <c r="AM2218">
        <v>0.33333333333333331</v>
      </c>
      <c r="AN2218">
        <v>6.6046251398731117</v>
      </c>
    </row>
    <row r="2219" spans="1:40" x14ac:dyDescent="0.3">
      <c r="A2219" t="s">
        <v>606</v>
      </c>
      <c r="B2219" t="s">
        <v>59</v>
      </c>
      <c r="C2219" t="s">
        <v>10</v>
      </c>
      <c r="D2219" t="s">
        <v>11</v>
      </c>
      <c r="E2219">
        <v>202602</v>
      </c>
      <c r="F2219" t="s">
        <v>618</v>
      </c>
      <c r="G2219">
        <v>0</v>
      </c>
      <c r="H2219">
        <v>0</v>
      </c>
      <c r="I2219">
        <v>1</v>
      </c>
      <c r="J2219">
        <v>0</v>
      </c>
      <c r="K2219">
        <v>0</v>
      </c>
      <c r="L2219">
        <v>0</v>
      </c>
      <c r="M2219">
        <v>0</v>
      </c>
      <c r="N2219">
        <v>0</v>
      </c>
      <c r="O2219">
        <v>0</v>
      </c>
      <c r="P2219">
        <v>0</v>
      </c>
      <c r="Q2219">
        <v>1</v>
      </c>
      <c r="R2219">
        <v>0</v>
      </c>
      <c r="S2219">
        <v>0</v>
      </c>
      <c r="T2219">
        <v>0</v>
      </c>
      <c r="U2219">
        <v>0</v>
      </c>
      <c r="V2219">
        <v>0</v>
      </c>
      <c r="W2219">
        <v>0</v>
      </c>
      <c r="X2219">
        <v>0</v>
      </c>
      <c r="Y2219">
        <v>0</v>
      </c>
      <c r="Z2219">
        <v>0</v>
      </c>
      <c r="AA2219">
        <v>0</v>
      </c>
      <c r="AB2219">
        <v>0</v>
      </c>
      <c r="AC2219">
        <v>0</v>
      </c>
      <c r="AD2219">
        <v>0</v>
      </c>
      <c r="AE2219">
        <v>0</v>
      </c>
      <c r="AF2219">
        <v>0</v>
      </c>
      <c r="AG2219">
        <v>0</v>
      </c>
      <c r="AH2219">
        <v>0</v>
      </c>
      <c r="AI2219">
        <v>0</v>
      </c>
      <c r="AJ2219">
        <v>0</v>
      </c>
      <c r="AK2219">
        <v>0</v>
      </c>
      <c r="AL2219">
        <v>2</v>
      </c>
      <c r="AM2219">
        <v>0.33333333333333331</v>
      </c>
      <c r="AN2219">
        <v>6.6046251398731117</v>
      </c>
    </row>
    <row r="2220" spans="1:40" x14ac:dyDescent="0.3">
      <c r="A2220" t="s">
        <v>606</v>
      </c>
      <c r="B2220" t="s">
        <v>59</v>
      </c>
      <c r="C2220" t="s">
        <v>10</v>
      </c>
      <c r="D2220" t="s">
        <v>11</v>
      </c>
      <c r="E2220">
        <v>202602</v>
      </c>
      <c r="F2220" t="s">
        <v>619</v>
      </c>
      <c r="G2220">
        <v>0</v>
      </c>
      <c r="H2220">
        <v>1</v>
      </c>
      <c r="I2220">
        <v>3</v>
      </c>
      <c r="J2220">
        <v>1</v>
      </c>
      <c r="K2220">
        <v>1</v>
      </c>
      <c r="L2220">
        <v>4</v>
      </c>
      <c r="M2220">
        <v>0</v>
      </c>
      <c r="N2220">
        <v>0</v>
      </c>
      <c r="O2220">
        <v>0</v>
      </c>
      <c r="P2220">
        <v>1</v>
      </c>
      <c r="Q2220">
        <v>2</v>
      </c>
      <c r="R2220">
        <v>0</v>
      </c>
      <c r="S2220">
        <v>0</v>
      </c>
      <c r="T2220">
        <v>0</v>
      </c>
      <c r="U2220">
        <v>0</v>
      </c>
      <c r="V2220">
        <v>0</v>
      </c>
      <c r="W2220">
        <v>0</v>
      </c>
      <c r="X2220">
        <v>0</v>
      </c>
      <c r="Y2220">
        <v>0</v>
      </c>
      <c r="Z2220">
        <v>0</v>
      </c>
      <c r="AA2220">
        <v>0</v>
      </c>
      <c r="AB2220">
        <v>0</v>
      </c>
      <c r="AC2220">
        <v>0</v>
      </c>
      <c r="AD2220">
        <v>0</v>
      </c>
      <c r="AE2220">
        <v>0</v>
      </c>
      <c r="AF2220">
        <v>0</v>
      </c>
      <c r="AG2220">
        <v>0</v>
      </c>
      <c r="AH2220">
        <v>0</v>
      </c>
      <c r="AI2220">
        <v>0</v>
      </c>
      <c r="AJ2220">
        <v>0</v>
      </c>
      <c r="AK2220">
        <v>0</v>
      </c>
      <c r="AL2220">
        <v>13</v>
      </c>
      <c r="AM2220">
        <v>1</v>
      </c>
      <c r="AN2220">
        <v>26.813875419619336</v>
      </c>
    </row>
    <row r="2221" spans="1:40" x14ac:dyDescent="0.3">
      <c r="A2221" t="s">
        <v>606</v>
      </c>
      <c r="B2221" t="s">
        <v>59</v>
      </c>
      <c r="C2221" t="s">
        <v>10</v>
      </c>
      <c r="D2221" t="s">
        <v>11</v>
      </c>
      <c r="E2221">
        <v>202602</v>
      </c>
      <c r="F2221" t="s">
        <v>265</v>
      </c>
      <c r="G2221">
        <v>0</v>
      </c>
      <c r="H2221">
        <v>1</v>
      </c>
      <c r="I2221">
        <v>0</v>
      </c>
      <c r="J2221">
        <v>0</v>
      </c>
      <c r="K2221">
        <v>0</v>
      </c>
      <c r="L2221">
        <v>0</v>
      </c>
      <c r="M2221">
        <v>0</v>
      </c>
      <c r="N2221">
        <v>0</v>
      </c>
      <c r="O2221">
        <v>0</v>
      </c>
      <c r="P2221">
        <v>0</v>
      </c>
      <c r="Q2221">
        <v>0</v>
      </c>
      <c r="R2221">
        <v>0</v>
      </c>
      <c r="S2221">
        <v>0</v>
      </c>
      <c r="T2221">
        <v>0</v>
      </c>
      <c r="U2221">
        <v>0</v>
      </c>
      <c r="V2221">
        <v>0</v>
      </c>
      <c r="W2221">
        <v>0</v>
      </c>
      <c r="X2221">
        <v>0</v>
      </c>
      <c r="Y2221">
        <v>0</v>
      </c>
      <c r="Z2221">
        <v>0</v>
      </c>
      <c r="AA2221">
        <v>0</v>
      </c>
      <c r="AB2221">
        <v>0</v>
      </c>
      <c r="AC2221">
        <v>0</v>
      </c>
      <c r="AD2221">
        <v>0</v>
      </c>
      <c r="AE2221">
        <v>0</v>
      </c>
      <c r="AF2221">
        <v>0</v>
      </c>
      <c r="AG2221">
        <v>0</v>
      </c>
      <c r="AH2221">
        <v>0</v>
      </c>
      <c r="AI2221">
        <v>0</v>
      </c>
      <c r="AJ2221">
        <v>0</v>
      </c>
      <c r="AK2221">
        <v>0</v>
      </c>
      <c r="AL2221">
        <v>1</v>
      </c>
      <c r="AM2221">
        <v>0</v>
      </c>
      <c r="AN2221">
        <v>1</v>
      </c>
    </row>
    <row r="2222" spans="1:40" x14ac:dyDescent="0.3">
      <c r="A2222" t="s">
        <v>606</v>
      </c>
      <c r="B2222" t="s">
        <v>59</v>
      </c>
      <c r="C2222" t="s">
        <v>10</v>
      </c>
      <c r="D2222" t="s">
        <v>11</v>
      </c>
      <c r="E2222">
        <v>202602</v>
      </c>
      <c r="F2222" t="s">
        <v>620</v>
      </c>
      <c r="G2222">
        <v>0</v>
      </c>
      <c r="H2222">
        <v>0</v>
      </c>
      <c r="I2222">
        <v>0</v>
      </c>
      <c r="J2222">
        <v>0</v>
      </c>
      <c r="K2222">
        <v>1</v>
      </c>
      <c r="L2222">
        <v>0</v>
      </c>
      <c r="M2222">
        <v>0</v>
      </c>
      <c r="N2222">
        <v>0</v>
      </c>
      <c r="O2222">
        <v>0</v>
      </c>
      <c r="P2222">
        <v>0</v>
      </c>
      <c r="Q2222">
        <v>0</v>
      </c>
      <c r="R2222">
        <v>0</v>
      </c>
      <c r="S2222">
        <v>0</v>
      </c>
      <c r="T2222">
        <v>0</v>
      </c>
      <c r="U2222">
        <v>0</v>
      </c>
      <c r="V2222">
        <v>0</v>
      </c>
      <c r="W2222">
        <v>0</v>
      </c>
      <c r="X2222">
        <v>0</v>
      </c>
      <c r="Y2222">
        <v>0</v>
      </c>
      <c r="Z2222">
        <v>0</v>
      </c>
      <c r="AA2222">
        <v>0</v>
      </c>
      <c r="AB2222">
        <v>0</v>
      </c>
      <c r="AC2222">
        <v>0</v>
      </c>
      <c r="AD2222">
        <v>0</v>
      </c>
      <c r="AE2222">
        <v>0</v>
      </c>
      <c r="AF2222">
        <v>0</v>
      </c>
      <c r="AG2222">
        <v>0</v>
      </c>
      <c r="AH2222">
        <v>0</v>
      </c>
      <c r="AI2222">
        <v>0</v>
      </c>
      <c r="AJ2222">
        <v>0</v>
      </c>
      <c r="AK2222">
        <v>0</v>
      </c>
      <c r="AL2222">
        <v>1</v>
      </c>
      <c r="AM2222">
        <v>0</v>
      </c>
      <c r="AN2222">
        <v>1</v>
      </c>
    </row>
    <row r="2223" spans="1:40" x14ac:dyDescent="0.3">
      <c r="A2223" t="s">
        <v>606</v>
      </c>
      <c r="B2223" t="s">
        <v>59</v>
      </c>
      <c r="C2223" t="s">
        <v>10</v>
      </c>
      <c r="D2223" t="s">
        <v>11</v>
      </c>
      <c r="E2223">
        <v>202602</v>
      </c>
      <c r="F2223" t="s">
        <v>621</v>
      </c>
      <c r="G2223">
        <v>0</v>
      </c>
      <c r="H2223">
        <v>0</v>
      </c>
      <c r="I2223">
        <v>0</v>
      </c>
      <c r="J2223">
        <v>0</v>
      </c>
      <c r="K2223">
        <v>1</v>
      </c>
      <c r="L2223">
        <v>0</v>
      </c>
      <c r="M2223">
        <v>0</v>
      </c>
      <c r="N2223">
        <v>0</v>
      </c>
      <c r="O2223">
        <v>0</v>
      </c>
      <c r="P2223">
        <v>0</v>
      </c>
      <c r="Q2223">
        <v>1</v>
      </c>
      <c r="R2223">
        <v>0</v>
      </c>
      <c r="S2223">
        <v>0</v>
      </c>
      <c r="T2223">
        <v>0</v>
      </c>
      <c r="U2223">
        <v>0</v>
      </c>
      <c r="V2223">
        <v>0</v>
      </c>
      <c r="W2223">
        <v>0</v>
      </c>
      <c r="X2223">
        <v>0</v>
      </c>
      <c r="Y2223">
        <v>0</v>
      </c>
      <c r="Z2223">
        <v>0</v>
      </c>
      <c r="AA2223">
        <v>0</v>
      </c>
      <c r="AB2223">
        <v>0</v>
      </c>
      <c r="AC2223">
        <v>0</v>
      </c>
      <c r="AD2223">
        <v>0</v>
      </c>
      <c r="AE2223">
        <v>0</v>
      </c>
      <c r="AF2223">
        <v>0</v>
      </c>
      <c r="AG2223">
        <v>0</v>
      </c>
      <c r="AH2223">
        <v>0</v>
      </c>
      <c r="AI2223">
        <v>0</v>
      </c>
      <c r="AJ2223">
        <v>0</v>
      </c>
      <c r="AK2223">
        <v>0</v>
      </c>
      <c r="AL2223">
        <v>2</v>
      </c>
      <c r="AM2223">
        <v>0.33333333333333331</v>
      </c>
      <c r="AN2223">
        <v>6.6046251398731117</v>
      </c>
    </row>
    <row r="2224" spans="1:40" x14ac:dyDescent="0.3">
      <c r="A2224" t="s">
        <v>606</v>
      </c>
      <c r="B2224" t="s">
        <v>59</v>
      </c>
      <c r="C2224" t="s">
        <v>10</v>
      </c>
      <c r="D2224" t="s">
        <v>11</v>
      </c>
      <c r="E2224">
        <v>202602</v>
      </c>
      <c r="F2224" t="s">
        <v>622</v>
      </c>
      <c r="G2224">
        <v>0</v>
      </c>
      <c r="H2224">
        <v>0</v>
      </c>
      <c r="I2224">
        <v>0</v>
      </c>
      <c r="J2224">
        <v>0</v>
      </c>
      <c r="K2224">
        <v>0</v>
      </c>
      <c r="L2224">
        <v>0</v>
      </c>
      <c r="M2224">
        <v>0</v>
      </c>
      <c r="N2224">
        <v>0</v>
      </c>
      <c r="O2224">
        <v>0</v>
      </c>
      <c r="P2224">
        <v>0</v>
      </c>
      <c r="Q2224">
        <v>1</v>
      </c>
      <c r="R2224">
        <v>0</v>
      </c>
      <c r="S2224">
        <v>0</v>
      </c>
      <c r="T2224">
        <v>0</v>
      </c>
      <c r="U2224">
        <v>0</v>
      </c>
      <c r="V2224">
        <v>0</v>
      </c>
      <c r="W2224">
        <v>0</v>
      </c>
      <c r="X2224">
        <v>0</v>
      </c>
      <c r="Y2224">
        <v>0</v>
      </c>
      <c r="Z2224">
        <v>0</v>
      </c>
      <c r="AA2224">
        <v>0</v>
      </c>
      <c r="AB2224">
        <v>0</v>
      </c>
      <c r="AC2224">
        <v>0</v>
      </c>
      <c r="AD2224">
        <v>0</v>
      </c>
      <c r="AE2224">
        <v>0</v>
      </c>
      <c r="AF2224">
        <v>0</v>
      </c>
      <c r="AG2224">
        <v>0</v>
      </c>
      <c r="AH2224">
        <v>0</v>
      </c>
      <c r="AI2224">
        <v>0</v>
      </c>
      <c r="AJ2224">
        <v>0</v>
      </c>
      <c r="AK2224">
        <v>0</v>
      </c>
      <c r="AL2224">
        <v>1</v>
      </c>
      <c r="AM2224">
        <v>0.33333333333333331</v>
      </c>
      <c r="AN2224">
        <v>5.6046251398731117</v>
      </c>
    </row>
    <row r="2225" spans="1:40" x14ac:dyDescent="0.3">
      <c r="A2225" t="s">
        <v>606</v>
      </c>
      <c r="B2225" t="s">
        <v>59</v>
      </c>
      <c r="C2225" t="s">
        <v>10</v>
      </c>
      <c r="D2225" t="s">
        <v>14</v>
      </c>
      <c r="E2225">
        <v>202602</v>
      </c>
      <c r="F2225" t="s">
        <v>60</v>
      </c>
      <c r="G2225">
        <v>0</v>
      </c>
      <c r="H2225">
        <v>0</v>
      </c>
      <c r="I2225">
        <v>0</v>
      </c>
      <c r="J2225">
        <v>0</v>
      </c>
      <c r="K2225">
        <v>0</v>
      </c>
      <c r="L2225">
        <v>2</v>
      </c>
      <c r="M2225">
        <v>0</v>
      </c>
      <c r="N2225">
        <v>0</v>
      </c>
      <c r="O2225">
        <v>0</v>
      </c>
      <c r="P2225">
        <v>1</v>
      </c>
      <c r="Q2225">
        <v>0</v>
      </c>
      <c r="R2225">
        <v>0</v>
      </c>
      <c r="S2225">
        <v>0</v>
      </c>
      <c r="T2225">
        <v>0</v>
      </c>
      <c r="U2225">
        <v>0</v>
      </c>
      <c r="V2225">
        <v>0</v>
      </c>
      <c r="W2225">
        <v>0</v>
      </c>
      <c r="X2225">
        <v>0</v>
      </c>
      <c r="Y2225">
        <v>0</v>
      </c>
      <c r="Z2225">
        <v>0</v>
      </c>
      <c r="AA2225">
        <v>0</v>
      </c>
      <c r="AB2225">
        <v>0</v>
      </c>
      <c r="AC2225">
        <v>0</v>
      </c>
      <c r="AD2225">
        <v>0</v>
      </c>
      <c r="AE2225">
        <v>0</v>
      </c>
      <c r="AF2225">
        <v>0</v>
      </c>
      <c r="AG2225">
        <v>0</v>
      </c>
      <c r="AH2225">
        <v>0</v>
      </c>
      <c r="AI2225">
        <v>0</v>
      </c>
      <c r="AJ2225">
        <v>0</v>
      </c>
      <c r="AK2225">
        <v>0</v>
      </c>
      <c r="AL2225">
        <v>3</v>
      </c>
      <c r="AM2225">
        <v>0.33333333333333331</v>
      </c>
      <c r="AN2225">
        <v>7.0417410714286133</v>
      </c>
    </row>
    <row r="2226" spans="1:40" x14ac:dyDescent="0.3">
      <c r="A2226" t="s">
        <v>606</v>
      </c>
      <c r="B2226" t="s">
        <v>59</v>
      </c>
      <c r="C2226" t="s">
        <v>10</v>
      </c>
      <c r="D2226" t="s">
        <v>14</v>
      </c>
      <c r="E2226">
        <v>202602</v>
      </c>
      <c r="F2226" t="s">
        <v>205</v>
      </c>
      <c r="G2226">
        <v>0</v>
      </c>
      <c r="H2226">
        <v>0</v>
      </c>
      <c r="I2226">
        <v>1</v>
      </c>
      <c r="J2226">
        <v>0</v>
      </c>
      <c r="K2226">
        <v>0</v>
      </c>
      <c r="L2226">
        <v>1</v>
      </c>
      <c r="M2226">
        <v>0</v>
      </c>
      <c r="N2226">
        <v>0</v>
      </c>
      <c r="O2226">
        <v>0</v>
      </c>
      <c r="P2226">
        <v>0</v>
      </c>
      <c r="Q2226">
        <v>1</v>
      </c>
      <c r="R2226">
        <v>0</v>
      </c>
      <c r="S2226">
        <v>0</v>
      </c>
      <c r="T2226">
        <v>0</v>
      </c>
      <c r="U2226">
        <v>0</v>
      </c>
      <c r="V2226">
        <v>0</v>
      </c>
      <c r="W2226">
        <v>0</v>
      </c>
      <c r="X2226">
        <v>0</v>
      </c>
      <c r="Y2226">
        <v>0</v>
      </c>
      <c r="Z2226">
        <v>0</v>
      </c>
      <c r="AA2226">
        <v>0</v>
      </c>
      <c r="AB2226">
        <v>0</v>
      </c>
      <c r="AC2226">
        <v>0</v>
      </c>
      <c r="AD2226">
        <v>0</v>
      </c>
      <c r="AE2226">
        <v>0</v>
      </c>
      <c r="AF2226">
        <v>0</v>
      </c>
      <c r="AG2226">
        <v>0</v>
      </c>
      <c r="AH2226">
        <v>0</v>
      </c>
      <c r="AI2226">
        <v>0</v>
      </c>
      <c r="AJ2226">
        <v>0</v>
      </c>
      <c r="AK2226">
        <v>0</v>
      </c>
      <c r="AL2226">
        <v>3</v>
      </c>
      <c r="AM2226">
        <v>0.33333333333333331</v>
      </c>
      <c r="AN2226">
        <v>7.0417410714286133</v>
      </c>
    </row>
    <row r="2227" spans="1:40" x14ac:dyDescent="0.3">
      <c r="A2227" t="s">
        <v>606</v>
      </c>
      <c r="B2227" t="s">
        <v>59</v>
      </c>
      <c r="C2227" t="s">
        <v>10</v>
      </c>
      <c r="D2227" t="s">
        <v>14</v>
      </c>
      <c r="E2227">
        <v>202602</v>
      </c>
      <c r="F2227" t="s">
        <v>61</v>
      </c>
      <c r="G2227">
        <v>0</v>
      </c>
      <c r="H2227">
        <v>0</v>
      </c>
      <c r="I2227">
        <v>5</v>
      </c>
      <c r="J2227">
        <v>2</v>
      </c>
      <c r="K2227">
        <v>1</v>
      </c>
      <c r="L2227">
        <v>1</v>
      </c>
      <c r="M2227">
        <v>0</v>
      </c>
      <c r="N2227">
        <v>0</v>
      </c>
      <c r="O2227">
        <v>6</v>
      </c>
      <c r="P2227">
        <v>2</v>
      </c>
      <c r="Q2227">
        <v>2</v>
      </c>
      <c r="R2227">
        <v>0</v>
      </c>
      <c r="S2227">
        <v>0</v>
      </c>
      <c r="T2227">
        <v>0</v>
      </c>
      <c r="U2227">
        <v>0</v>
      </c>
      <c r="V2227">
        <v>0</v>
      </c>
      <c r="W2227">
        <v>0</v>
      </c>
      <c r="X2227">
        <v>0</v>
      </c>
      <c r="Y2227">
        <v>0</v>
      </c>
      <c r="Z2227">
        <v>0</v>
      </c>
      <c r="AA2227">
        <v>0</v>
      </c>
      <c r="AB2227">
        <v>0</v>
      </c>
      <c r="AC2227">
        <v>0</v>
      </c>
      <c r="AD2227">
        <v>0</v>
      </c>
      <c r="AE2227">
        <v>0</v>
      </c>
      <c r="AF2227">
        <v>0</v>
      </c>
      <c r="AG2227">
        <v>0</v>
      </c>
      <c r="AH2227">
        <v>0</v>
      </c>
      <c r="AI2227">
        <v>0</v>
      </c>
      <c r="AJ2227">
        <v>0</v>
      </c>
      <c r="AK2227">
        <v>0</v>
      </c>
      <c r="AL2227">
        <v>19</v>
      </c>
      <c r="AM2227">
        <v>3.3333333333333335</v>
      </c>
      <c r="AN2227">
        <v>59.417410714286127</v>
      </c>
    </row>
    <row r="2228" spans="1:40" x14ac:dyDescent="0.3">
      <c r="A2228" t="s">
        <v>606</v>
      </c>
      <c r="B2228" t="s">
        <v>59</v>
      </c>
      <c r="C2228" t="s">
        <v>10</v>
      </c>
      <c r="D2228" t="s">
        <v>14</v>
      </c>
      <c r="E2228">
        <v>202602</v>
      </c>
      <c r="F2228" t="s">
        <v>63</v>
      </c>
      <c r="G2228">
        <v>0</v>
      </c>
      <c r="H2228">
        <v>0</v>
      </c>
      <c r="I2228">
        <v>0</v>
      </c>
      <c r="J2228">
        <v>1</v>
      </c>
      <c r="K2228">
        <v>1</v>
      </c>
      <c r="L2228">
        <v>0</v>
      </c>
      <c r="M2228">
        <v>0</v>
      </c>
      <c r="N2228">
        <v>0</v>
      </c>
      <c r="O2228">
        <v>0</v>
      </c>
      <c r="P2228">
        <v>0</v>
      </c>
      <c r="Q2228">
        <v>0</v>
      </c>
      <c r="R2228">
        <v>0</v>
      </c>
      <c r="S2228">
        <v>0</v>
      </c>
      <c r="T2228">
        <v>0</v>
      </c>
      <c r="U2228">
        <v>0</v>
      </c>
      <c r="V2228">
        <v>0</v>
      </c>
      <c r="W2228">
        <v>0</v>
      </c>
      <c r="X2228">
        <v>0</v>
      </c>
      <c r="Y2228">
        <v>0</v>
      </c>
      <c r="Z2228">
        <v>0</v>
      </c>
      <c r="AA2228">
        <v>0</v>
      </c>
      <c r="AB2228">
        <v>0</v>
      </c>
      <c r="AC2228">
        <v>0</v>
      </c>
      <c r="AD2228">
        <v>0</v>
      </c>
      <c r="AE2228">
        <v>0</v>
      </c>
      <c r="AF2228">
        <v>0</v>
      </c>
      <c r="AG2228">
        <v>0</v>
      </c>
      <c r="AH2228">
        <v>0</v>
      </c>
      <c r="AI2228">
        <v>0</v>
      </c>
      <c r="AJ2228">
        <v>0</v>
      </c>
      <c r="AK2228">
        <v>0</v>
      </c>
      <c r="AL2228">
        <v>2</v>
      </c>
      <c r="AM2228">
        <v>0</v>
      </c>
      <c r="AN2228">
        <v>2</v>
      </c>
    </row>
    <row r="2229" spans="1:40" x14ac:dyDescent="0.3">
      <c r="A2229" t="s">
        <v>606</v>
      </c>
      <c r="B2229" t="s">
        <v>59</v>
      </c>
      <c r="C2229" t="s">
        <v>10</v>
      </c>
      <c r="D2229" t="s">
        <v>14</v>
      </c>
      <c r="E2229">
        <v>202602</v>
      </c>
      <c r="F2229" t="s">
        <v>587</v>
      </c>
      <c r="G2229">
        <v>0</v>
      </c>
      <c r="H2229">
        <v>0</v>
      </c>
      <c r="I2229">
        <v>0</v>
      </c>
      <c r="J2229">
        <v>0</v>
      </c>
      <c r="K2229">
        <v>0</v>
      </c>
      <c r="L2229">
        <v>0</v>
      </c>
      <c r="M2229">
        <v>0</v>
      </c>
      <c r="N2229">
        <v>0</v>
      </c>
      <c r="O2229">
        <v>1</v>
      </c>
      <c r="P2229">
        <v>0</v>
      </c>
      <c r="Q2229">
        <v>0</v>
      </c>
      <c r="R2229">
        <v>0</v>
      </c>
      <c r="S2229">
        <v>0</v>
      </c>
      <c r="T2229">
        <v>0</v>
      </c>
      <c r="U2229">
        <v>0</v>
      </c>
      <c r="V2229">
        <v>0</v>
      </c>
      <c r="W2229">
        <v>0</v>
      </c>
      <c r="X2229">
        <v>0</v>
      </c>
      <c r="Y2229">
        <v>0</v>
      </c>
      <c r="Z2229">
        <v>0</v>
      </c>
      <c r="AA2229">
        <v>0</v>
      </c>
      <c r="AB2229">
        <v>0</v>
      </c>
      <c r="AC2229">
        <v>0</v>
      </c>
      <c r="AD2229">
        <v>0</v>
      </c>
      <c r="AE2229">
        <v>0</v>
      </c>
      <c r="AF2229">
        <v>0</v>
      </c>
      <c r="AG2229">
        <v>0</v>
      </c>
      <c r="AH2229">
        <v>0</v>
      </c>
      <c r="AI2229">
        <v>0</v>
      </c>
      <c r="AJ2229">
        <v>0</v>
      </c>
      <c r="AK2229">
        <v>0</v>
      </c>
      <c r="AL2229">
        <v>1</v>
      </c>
      <c r="AM2229">
        <v>0.33333333333333331</v>
      </c>
      <c r="AN2229">
        <v>5.0417410714286133</v>
      </c>
    </row>
    <row r="2230" spans="1:40" x14ac:dyDescent="0.3">
      <c r="A2230" t="s">
        <v>606</v>
      </c>
      <c r="B2230" t="s">
        <v>59</v>
      </c>
      <c r="C2230" t="s">
        <v>10</v>
      </c>
      <c r="D2230" t="s">
        <v>14</v>
      </c>
      <c r="E2230">
        <v>202602</v>
      </c>
      <c r="F2230" t="s">
        <v>68</v>
      </c>
      <c r="G2230">
        <v>0</v>
      </c>
      <c r="H2230">
        <v>0</v>
      </c>
      <c r="I2230">
        <v>0</v>
      </c>
      <c r="J2230">
        <v>0</v>
      </c>
      <c r="K2230">
        <v>0</v>
      </c>
      <c r="L2230">
        <v>0</v>
      </c>
      <c r="M2230">
        <v>0</v>
      </c>
      <c r="N2230">
        <v>0</v>
      </c>
      <c r="O2230">
        <v>0</v>
      </c>
      <c r="P2230">
        <v>0</v>
      </c>
      <c r="Q2230">
        <v>1</v>
      </c>
      <c r="R2230">
        <v>0</v>
      </c>
      <c r="S2230">
        <v>0</v>
      </c>
      <c r="T2230">
        <v>0</v>
      </c>
      <c r="U2230">
        <v>0</v>
      </c>
      <c r="V2230">
        <v>0</v>
      </c>
      <c r="W2230">
        <v>0</v>
      </c>
      <c r="X2230">
        <v>0</v>
      </c>
      <c r="Y2230">
        <v>0</v>
      </c>
      <c r="Z2230">
        <v>0</v>
      </c>
      <c r="AA2230">
        <v>0</v>
      </c>
      <c r="AB2230">
        <v>0</v>
      </c>
      <c r="AC2230">
        <v>0</v>
      </c>
      <c r="AD2230">
        <v>0</v>
      </c>
      <c r="AE2230">
        <v>0</v>
      </c>
      <c r="AF2230">
        <v>0</v>
      </c>
      <c r="AG2230">
        <v>0</v>
      </c>
      <c r="AH2230">
        <v>0</v>
      </c>
      <c r="AI2230">
        <v>0</v>
      </c>
      <c r="AJ2230">
        <v>0</v>
      </c>
      <c r="AK2230">
        <v>0</v>
      </c>
      <c r="AL2230">
        <v>1</v>
      </c>
      <c r="AM2230">
        <v>0.33333333333333331</v>
      </c>
      <c r="AN2230">
        <v>5.0417410714286133</v>
      </c>
    </row>
    <row r="2231" spans="1:40" x14ac:dyDescent="0.3">
      <c r="A2231" t="s">
        <v>606</v>
      </c>
      <c r="B2231" t="s">
        <v>59</v>
      </c>
      <c r="C2231" t="s">
        <v>10</v>
      </c>
      <c r="D2231" t="s">
        <v>14</v>
      </c>
      <c r="E2231">
        <v>202602</v>
      </c>
      <c r="F2231" t="s">
        <v>415</v>
      </c>
      <c r="G2231">
        <v>0</v>
      </c>
      <c r="H2231">
        <v>0</v>
      </c>
      <c r="I2231">
        <v>0</v>
      </c>
      <c r="J2231">
        <v>1</v>
      </c>
      <c r="K2231">
        <v>0</v>
      </c>
      <c r="L2231">
        <v>0</v>
      </c>
      <c r="M2231">
        <v>0</v>
      </c>
      <c r="N2231">
        <v>0</v>
      </c>
      <c r="O2231">
        <v>0</v>
      </c>
      <c r="P2231">
        <v>0</v>
      </c>
      <c r="Q2231">
        <v>0</v>
      </c>
      <c r="R2231">
        <v>0</v>
      </c>
      <c r="S2231">
        <v>0</v>
      </c>
      <c r="T2231">
        <v>0</v>
      </c>
      <c r="U2231">
        <v>0</v>
      </c>
      <c r="V2231">
        <v>0</v>
      </c>
      <c r="W2231">
        <v>0</v>
      </c>
      <c r="X2231">
        <v>0</v>
      </c>
      <c r="Y2231">
        <v>0</v>
      </c>
      <c r="Z2231">
        <v>0</v>
      </c>
      <c r="AA2231">
        <v>0</v>
      </c>
      <c r="AB2231">
        <v>0</v>
      </c>
      <c r="AC2231">
        <v>0</v>
      </c>
      <c r="AD2231">
        <v>0</v>
      </c>
      <c r="AE2231">
        <v>0</v>
      </c>
      <c r="AF2231">
        <v>0</v>
      </c>
      <c r="AG2231">
        <v>0</v>
      </c>
      <c r="AH2231">
        <v>0</v>
      </c>
      <c r="AI2231">
        <v>0</v>
      </c>
      <c r="AJ2231">
        <v>0</v>
      </c>
      <c r="AK2231">
        <v>0</v>
      </c>
      <c r="AL2231">
        <v>1</v>
      </c>
      <c r="AM2231">
        <v>0</v>
      </c>
      <c r="AN2231">
        <v>1</v>
      </c>
    </row>
    <row r="2232" spans="1:40" x14ac:dyDescent="0.3">
      <c r="A2232" t="s">
        <v>606</v>
      </c>
      <c r="B2232" t="s">
        <v>59</v>
      </c>
      <c r="C2232" t="s">
        <v>10</v>
      </c>
      <c r="D2232" t="s">
        <v>14</v>
      </c>
      <c r="E2232">
        <v>202602</v>
      </c>
      <c r="F2232" t="s">
        <v>69</v>
      </c>
      <c r="G2232">
        <v>0</v>
      </c>
      <c r="H2232">
        <v>0</v>
      </c>
      <c r="I2232">
        <v>0</v>
      </c>
      <c r="J2232">
        <v>0</v>
      </c>
      <c r="K2232">
        <v>1</v>
      </c>
      <c r="L2232">
        <v>1</v>
      </c>
      <c r="M2232">
        <v>0</v>
      </c>
      <c r="N2232">
        <v>0</v>
      </c>
      <c r="O2232">
        <v>0</v>
      </c>
      <c r="P2232">
        <v>0</v>
      </c>
      <c r="Q2232">
        <v>0</v>
      </c>
      <c r="R2232">
        <v>0</v>
      </c>
      <c r="S2232">
        <v>0</v>
      </c>
      <c r="T2232">
        <v>0</v>
      </c>
      <c r="U2232">
        <v>0</v>
      </c>
      <c r="V2232">
        <v>0</v>
      </c>
      <c r="W2232">
        <v>0</v>
      </c>
      <c r="X2232">
        <v>0</v>
      </c>
      <c r="Y2232">
        <v>0</v>
      </c>
      <c r="Z2232">
        <v>0</v>
      </c>
      <c r="AA2232">
        <v>0</v>
      </c>
      <c r="AB2232">
        <v>0</v>
      </c>
      <c r="AC2232">
        <v>0</v>
      </c>
      <c r="AD2232">
        <v>0</v>
      </c>
      <c r="AE2232">
        <v>0</v>
      </c>
      <c r="AF2232">
        <v>0</v>
      </c>
      <c r="AG2232">
        <v>0</v>
      </c>
      <c r="AH2232">
        <v>0</v>
      </c>
      <c r="AI2232">
        <v>0</v>
      </c>
      <c r="AJ2232">
        <v>0</v>
      </c>
      <c r="AK2232">
        <v>0</v>
      </c>
      <c r="AL2232">
        <v>2</v>
      </c>
      <c r="AM2232">
        <v>0</v>
      </c>
      <c r="AN2232">
        <v>2</v>
      </c>
    </row>
    <row r="2233" spans="1:40" x14ac:dyDescent="0.3">
      <c r="A2233" t="s">
        <v>606</v>
      </c>
      <c r="B2233" t="s">
        <v>59</v>
      </c>
      <c r="C2233" t="s">
        <v>10</v>
      </c>
      <c r="D2233" t="s">
        <v>14</v>
      </c>
      <c r="E2233">
        <v>202602</v>
      </c>
      <c r="F2233" t="s">
        <v>618</v>
      </c>
      <c r="G2233">
        <v>0</v>
      </c>
      <c r="H2233">
        <v>0</v>
      </c>
      <c r="I2233">
        <v>0</v>
      </c>
      <c r="J2233">
        <v>0</v>
      </c>
      <c r="K2233">
        <v>0</v>
      </c>
      <c r="L2233">
        <v>1</v>
      </c>
      <c r="M2233">
        <v>0</v>
      </c>
      <c r="N2233">
        <v>0</v>
      </c>
      <c r="O2233">
        <v>0</v>
      </c>
      <c r="P2233">
        <v>1</v>
      </c>
      <c r="Q2233">
        <v>0</v>
      </c>
      <c r="R2233">
        <v>0</v>
      </c>
      <c r="S2233">
        <v>0</v>
      </c>
      <c r="T2233">
        <v>0</v>
      </c>
      <c r="U2233">
        <v>0</v>
      </c>
      <c r="V2233">
        <v>0</v>
      </c>
      <c r="W2233">
        <v>0</v>
      </c>
      <c r="X2233">
        <v>0</v>
      </c>
      <c r="Y2233">
        <v>0</v>
      </c>
      <c r="Z2233">
        <v>0</v>
      </c>
      <c r="AA2233">
        <v>0</v>
      </c>
      <c r="AB2233">
        <v>0</v>
      </c>
      <c r="AC2233">
        <v>0</v>
      </c>
      <c r="AD2233">
        <v>0</v>
      </c>
      <c r="AE2233">
        <v>0</v>
      </c>
      <c r="AF2233">
        <v>0</v>
      </c>
      <c r="AG2233">
        <v>0</v>
      </c>
      <c r="AH2233">
        <v>0</v>
      </c>
      <c r="AI2233">
        <v>0</v>
      </c>
      <c r="AJ2233">
        <v>0</v>
      </c>
      <c r="AK2233">
        <v>0</v>
      </c>
      <c r="AL2233">
        <v>2</v>
      </c>
      <c r="AM2233">
        <v>0.33333333333333331</v>
      </c>
      <c r="AN2233">
        <v>6.0417410714286133</v>
      </c>
    </row>
    <row r="2234" spans="1:40" x14ac:dyDescent="0.3">
      <c r="A2234" t="s">
        <v>606</v>
      </c>
      <c r="B2234" t="s">
        <v>59</v>
      </c>
      <c r="C2234" t="s">
        <v>10</v>
      </c>
      <c r="D2234" t="s">
        <v>14</v>
      </c>
      <c r="E2234">
        <v>202602</v>
      </c>
      <c r="F2234" t="s">
        <v>72</v>
      </c>
      <c r="G2234">
        <v>0</v>
      </c>
      <c r="H2234">
        <v>0</v>
      </c>
      <c r="I2234">
        <v>0</v>
      </c>
      <c r="J2234">
        <v>1</v>
      </c>
      <c r="K2234">
        <v>0</v>
      </c>
      <c r="L2234">
        <v>0</v>
      </c>
      <c r="M2234">
        <v>0</v>
      </c>
      <c r="N2234">
        <v>0</v>
      </c>
      <c r="O2234">
        <v>0</v>
      </c>
      <c r="P2234">
        <v>0</v>
      </c>
      <c r="Q2234">
        <v>0</v>
      </c>
      <c r="R2234">
        <v>0</v>
      </c>
      <c r="S2234">
        <v>0</v>
      </c>
      <c r="T2234">
        <v>0</v>
      </c>
      <c r="U2234">
        <v>0</v>
      </c>
      <c r="V2234">
        <v>0</v>
      </c>
      <c r="W2234">
        <v>0</v>
      </c>
      <c r="X2234">
        <v>0</v>
      </c>
      <c r="Y2234">
        <v>0</v>
      </c>
      <c r="Z2234">
        <v>0</v>
      </c>
      <c r="AA2234">
        <v>0</v>
      </c>
      <c r="AB2234">
        <v>0</v>
      </c>
      <c r="AC2234">
        <v>0</v>
      </c>
      <c r="AD2234">
        <v>0</v>
      </c>
      <c r="AE2234">
        <v>0</v>
      </c>
      <c r="AF2234">
        <v>0</v>
      </c>
      <c r="AG2234">
        <v>0</v>
      </c>
      <c r="AH2234">
        <v>0</v>
      </c>
      <c r="AI2234">
        <v>0</v>
      </c>
      <c r="AJ2234">
        <v>0</v>
      </c>
      <c r="AK2234">
        <v>0</v>
      </c>
      <c r="AL2234">
        <v>1</v>
      </c>
      <c r="AM2234">
        <v>0</v>
      </c>
      <c r="AN2234">
        <v>1</v>
      </c>
    </row>
    <row r="2235" spans="1:40" x14ac:dyDescent="0.3">
      <c r="A2235" t="s">
        <v>606</v>
      </c>
      <c r="B2235" t="s">
        <v>59</v>
      </c>
      <c r="C2235" t="s">
        <v>10</v>
      </c>
      <c r="D2235" t="s">
        <v>14</v>
      </c>
      <c r="E2235">
        <v>202602</v>
      </c>
      <c r="F2235" t="s">
        <v>619</v>
      </c>
      <c r="G2235">
        <v>0</v>
      </c>
      <c r="H2235">
        <v>3</v>
      </c>
      <c r="I2235">
        <v>1</v>
      </c>
      <c r="J2235">
        <v>3</v>
      </c>
      <c r="K2235">
        <v>2</v>
      </c>
      <c r="L2235">
        <v>2</v>
      </c>
      <c r="M2235">
        <v>0</v>
      </c>
      <c r="N2235">
        <v>0</v>
      </c>
      <c r="O2235">
        <v>3</v>
      </c>
      <c r="P2235">
        <v>2</v>
      </c>
      <c r="Q2235">
        <v>1</v>
      </c>
      <c r="R2235">
        <v>0</v>
      </c>
      <c r="S2235">
        <v>0</v>
      </c>
      <c r="T2235">
        <v>0</v>
      </c>
      <c r="U2235">
        <v>0</v>
      </c>
      <c r="V2235">
        <v>0</v>
      </c>
      <c r="W2235">
        <v>0</v>
      </c>
      <c r="X2235">
        <v>0</v>
      </c>
      <c r="Y2235">
        <v>0</v>
      </c>
      <c r="Z2235">
        <v>0</v>
      </c>
      <c r="AA2235">
        <v>0</v>
      </c>
      <c r="AB2235">
        <v>0</v>
      </c>
      <c r="AC2235">
        <v>0</v>
      </c>
      <c r="AD2235">
        <v>0</v>
      </c>
      <c r="AE2235">
        <v>0</v>
      </c>
      <c r="AF2235">
        <v>0</v>
      </c>
      <c r="AG2235">
        <v>0</v>
      </c>
      <c r="AH2235">
        <v>0</v>
      </c>
      <c r="AI2235">
        <v>0</v>
      </c>
      <c r="AJ2235">
        <v>0</v>
      </c>
      <c r="AK2235">
        <v>0</v>
      </c>
      <c r="AL2235">
        <v>17</v>
      </c>
      <c r="AM2235">
        <v>2</v>
      </c>
      <c r="AN2235">
        <v>41.250446428571678</v>
      </c>
    </row>
    <row r="2236" spans="1:40" x14ac:dyDescent="0.3">
      <c r="A2236" t="s">
        <v>606</v>
      </c>
      <c r="B2236" t="s">
        <v>59</v>
      </c>
      <c r="C2236" t="s">
        <v>10</v>
      </c>
      <c r="D2236" t="s">
        <v>14</v>
      </c>
      <c r="E2236">
        <v>202602</v>
      </c>
      <c r="F2236" t="s">
        <v>473</v>
      </c>
      <c r="G2236">
        <v>0</v>
      </c>
      <c r="H2236">
        <v>0</v>
      </c>
      <c r="I2236">
        <v>0</v>
      </c>
      <c r="J2236">
        <v>0</v>
      </c>
      <c r="K2236">
        <v>0</v>
      </c>
      <c r="L2236">
        <v>0</v>
      </c>
      <c r="M2236">
        <v>0</v>
      </c>
      <c r="N2236">
        <v>0</v>
      </c>
      <c r="O2236">
        <v>0</v>
      </c>
      <c r="P2236">
        <v>1</v>
      </c>
      <c r="Q2236">
        <v>0</v>
      </c>
      <c r="R2236">
        <v>0</v>
      </c>
      <c r="S2236">
        <v>0</v>
      </c>
      <c r="T2236">
        <v>0</v>
      </c>
      <c r="U2236">
        <v>0</v>
      </c>
      <c r="V2236">
        <v>0</v>
      </c>
      <c r="W2236">
        <v>0</v>
      </c>
      <c r="X2236">
        <v>0</v>
      </c>
      <c r="Y2236">
        <v>0</v>
      </c>
      <c r="Z2236">
        <v>0</v>
      </c>
      <c r="AA2236">
        <v>0</v>
      </c>
      <c r="AB2236">
        <v>0</v>
      </c>
      <c r="AC2236">
        <v>0</v>
      </c>
      <c r="AD2236">
        <v>0</v>
      </c>
      <c r="AE2236">
        <v>0</v>
      </c>
      <c r="AF2236">
        <v>0</v>
      </c>
      <c r="AG2236">
        <v>0</v>
      </c>
      <c r="AH2236">
        <v>0</v>
      </c>
      <c r="AI2236">
        <v>0</v>
      </c>
      <c r="AJ2236">
        <v>0</v>
      </c>
      <c r="AK2236">
        <v>0</v>
      </c>
      <c r="AL2236">
        <v>1</v>
      </c>
      <c r="AM2236">
        <v>0.33333333333333331</v>
      </c>
      <c r="AN2236">
        <v>5.0417410714286133</v>
      </c>
    </row>
    <row r="2237" spans="1:40" x14ac:dyDescent="0.3">
      <c r="A2237" t="s">
        <v>606</v>
      </c>
      <c r="B2237" t="s">
        <v>59</v>
      </c>
      <c r="C2237" t="s">
        <v>10</v>
      </c>
      <c r="D2237" t="s">
        <v>14</v>
      </c>
      <c r="E2237">
        <v>202602</v>
      </c>
      <c r="F2237" t="s">
        <v>620</v>
      </c>
      <c r="G2237">
        <v>0</v>
      </c>
      <c r="H2237">
        <v>0</v>
      </c>
      <c r="I2237">
        <v>1</v>
      </c>
      <c r="J2237">
        <v>0</v>
      </c>
      <c r="K2237">
        <v>0</v>
      </c>
      <c r="L2237">
        <v>0</v>
      </c>
      <c r="M2237">
        <v>0</v>
      </c>
      <c r="N2237">
        <v>0</v>
      </c>
      <c r="O2237">
        <v>0</v>
      </c>
      <c r="P2237">
        <v>0</v>
      </c>
      <c r="Q2237">
        <v>0</v>
      </c>
      <c r="R2237">
        <v>0</v>
      </c>
      <c r="S2237">
        <v>0</v>
      </c>
      <c r="T2237">
        <v>0</v>
      </c>
      <c r="U2237">
        <v>0</v>
      </c>
      <c r="V2237">
        <v>0</v>
      </c>
      <c r="W2237">
        <v>0</v>
      </c>
      <c r="X2237">
        <v>0</v>
      </c>
      <c r="Y2237">
        <v>0</v>
      </c>
      <c r="Z2237">
        <v>0</v>
      </c>
      <c r="AA2237">
        <v>0</v>
      </c>
      <c r="AB2237">
        <v>0</v>
      </c>
      <c r="AC2237">
        <v>0</v>
      </c>
      <c r="AD2237">
        <v>0</v>
      </c>
      <c r="AE2237">
        <v>0</v>
      </c>
      <c r="AF2237">
        <v>0</v>
      </c>
      <c r="AG2237">
        <v>0</v>
      </c>
      <c r="AH2237">
        <v>0</v>
      </c>
      <c r="AI2237">
        <v>0</v>
      </c>
      <c r="AJ2237">
        <v>0</v>
      </c>
      <c r="AK2237">
        <v>0</v>
      </c>
      <c r="AL2237">
        <v>1</v>
      </c>
      <c r="AM2237">
        <v>0</v>
      </c>
      <c r="AN2237">
        <v>1</v>
      </c>
    </row>
    <row r="2238" spans="1:40" x14ac:dyDescent="0.3">
      <c r="A2238" t="s">
        <v>606</v>
      </c>
      <c r="B2238" t="s">
        <v>59</v>
      </c>
      <c r="C2238" t="s">
        <v>10</v>
      </c>
      <c r="D2238" t="s">
        <v>14</v>
      </c>
      <c r="E2238">
        <v>202602</v>
      </c>
      <c r="F2238" t="s">
        <v>621</v>
      </c>
      <c r="G2238">
        <v>0</v>
      </c>
      <c r="H2238">
        <v>0</v>
      </c>
      <c r="I2238">
        <v>1</v>
      </c>
      <c r="J2238">
        <v>0</v>
      </c>
      <c r="K2238">
        <v>0</v>
      </c>
      <c r="L2238">
        <v>0</v>
      </c>
      <c r="M2238">
        <v>0</v>
      </c>
      <c r="N2238">
        <v>0</v>
      </c>
      <c r="O2238">
        <v>0</v>
      </c>
      <c r="P2238">
        <v>1</v>
      </c>
      <c r="Q2238">
        <v>0</v>
      </c>
      <c r="R2238">
        <v>0</v>
      </c>
      <c r="S2238">
        <v>0</v>
      </c>
      <c r="T2238">
        <v>0</v>
      </c>
      <c r="U2238">
        <v>0</v>
      </c>
      <c r="V2238">
        <v>0</v>
      </c>
      <c r="W2238">
        <v>0</v>
      </c>
      <c r="X2238">
        <v>0</v>
      </c>
      <c r="Y2238">
        <v>0</v>
      </c>
      <c r="Z2238">
        <v>0</v>
      </c>
      <c r="AA2238">
        <v>0</v>
      </c>
      <c r="AB2238">
        <v>0</v>
      </c>
      <c r="AC2238">
        <v>0</v>
      </c>
      <c r="AD2238">
        <v>0</v>
      </c>
      <c r="AE2238">
        <v>0</v>
      </c>
      <c r="AF2238">
        <v>0</v>
      </c>
      <c r="AG2238">
        <v>0</v>
      </c>
      <c r="AH2238">
        <v>0</v>
      </c>
      <c r="AI2238">
        <v>0</v>
      </c>
      <c r="AJ2238">
        <v>0</v>
      </c>
      <c r="AK2238">
        <v>0</v>
      </c>
      <c r="AL2238">
        <v>2</v>
      </c>
      <c r="AM2238">
        <v>0.33333333333333331</v>
      </c>
      <c r="AN2238">
        <v>6.0417410714286133</v>
      </c>
    </row>
    <row r="2239" spans="1:40" x14ac:dyDescent="0.3">
      <c r="A2239" t="s">
        <v>606</v>
      </c>
      <c r="B2239" t="s">
        <v>59</v>
      </c>
      <c r="C2239" t="s">
        <v>10</v>
      </c>
      <c r="D2239" t="s">
        <v>14</v>
      </c>
      <c r="E2239">
        <v>202602</v>
      </c>
      <c r="F2239" t="s">
        <v>622</v>
      </c>
      <c r="G2239">
        <v>0</v>
      </c>
      <c r="H2239">
        <v>0</v>
      </c>
      <c r="I2239">
        <v>0</v>
      </c>
      <c r="J2239">
        <v>0</v>
      </c>
      <c r="K2239">
        <v>0</v>
      </c>
      <c r="L2239">
        <v>0</v>
      </c>
      <c r="M2239">
        <v>0</v>
      </c>
      <c r="N2239">
        <v>0</v>
      </c>
      <c r="O2239">
        <v>0</v>
      </c>
      <c r="P2239">
        <v>1</v>
      </c>
      <c r="Q2239">
        <v>0</v>
      </c>
      <c r="R2239">
        <v>0</v>
      </c>
      <c r="S2239">
        <v>0</v>
      </c>
      <c r="T2239">
        <v>0</v>
      </c>
      <c r="U2239">
        <v>0</v>
      </c>
      <c r="V2239">
        <v>0</v>
      </c>
      <c r="W2239">
        <v>0</v>
      </c>
      <c r="X2239">
        <v>0</v>
      </c>
      <c r="Y2239">
        <v>0</v>
      </c>
      <c r="Z2239">
        <v>0</v>
      </c>
      <c r="AA2239">
        <v>0</v>
      </c>
      <c r="AB2239">
        <v>0</v>
      </c>
      <c r="AC2239">
        <v>0</v>
      </c>
      <c r="AD2239">
        <v>0</v>
      </c>
      <c r="AE2239">
        <v>0</v>
      </c>
      <c r="AF2239">
        <v>0</v>
      </c>
      <c r="AG2239">
        <v>0</v>
      </c>
      <c r="AH2239">
        <v>0</v>
      </c>
      <c r="AI2239">
        <v>0</v>
      </c>
      <c r="AJ2239">
        <v>0</v>
      </c>
      <c r="AK2239">
        <v>0</v>
      </c>
      <c r="AL2239">
        <v>1</v>
      </c>
      <c r="AM2239">
        <v>0.33333333333333331</v>
      </c>
      <c r="AN2239">
        <v>5.0417410714286133</v>
      </c>
    </row>
    <row r="2240" spans="1:40" x14ac:dyDescent="0.3">
      <c r="A2240" t="s">
        <v>606</v>
      </c>
      <c r="B2240" t="s">
        <v>81</v>
      </c>
      <c r="C2240" t="s">
        <v>10</v>
      </c>
      <c r="D2240" t="s">
        <v>11</v>
      </c>
      <c r="E2240">
        <v>202602</v>
      </c>
      <c r="F2240" t="s">
        <v>483</v>
      </c>
      <c r="G2240">
        <v>0</v>
      </c>
      <c r="H2240">
        <v>2</v>
      </c>
      <c r="I2240">
        <v>0</v>
      </c>
      <c r="J2240">
        <v>0</v>
      </c>
      <c r="K2240">
        <v>3</v>
      </c>
      <c r="L2240">
        <v>4</v>
      </c>
      <c r="M2240">
        <v>1</v>
      </c>
      <c r="N2240">
        <v>0</v>
      </c>
      <c r="O2240">
        <v>1</v>
      </c>
      <c r="P2240">
        <v>1</v>
      </c>
      <c r="Q2240">
        <v>4</v>
      </c>
      <c r="R2240">
        <v>0</v>
      </c>
      <c r="S2240">
        <v>0</v>
      </c>
      <c r="T2240">
        <v>0</v>
      </c>
      <c r="U2240">
        <v>0</v>
      </c>
      <c r="V2240">
        <v>0</v>
      </c>
      <c r="W2240">
        <v>0</v>
      </c>
      <c r="X2240">
        <v>0</v>
      </c>
      <c r="Y2240">
        <v>0</v>
      </c>
      <c r="Z2240">
        <v>0</v>
      </c>
      <c r="AA2240">
        <v>0</v>
      </c>
      <c r="AB2240">
        <v>0</v>
      </c>
      <c r="AC2240">
        <v>0</v>
      </c>
      <c r="AD2240">
        <v>0</v>
      </c>
      <c r="AE2240">
        <v>0</v>
      </c>
      <c r="AF2240">
        <v>0</v>
      </c>
      <c r="AG2240">
        <v>0</v>
      </c>
      <c r="AH2240">
        <v>0</v>
      </c>
      <c r="AI2240">
        <v>0</v>
      </c>
      <c r="AJ2240">
        <v>0</v>
      </c>
      <c r="AK2240">
        <v>0</v>
      </c>
      <c r="AL2240">
        <v>16</v>
      </c>
      <c r="AM2240">
        <v>2</v>
      </c>
      <c r="AN2240">
        <v>43.627750839238672</v>
      </c>
    </row>
    <row r="2241" spans="1:40" x14ac:dyDescent="0.3">
      <c r="A2241" t="s">
        <v>606</v>
      </c>
      <c r="B2241" t="s">
        <v>81</v>
      </c>
      <c r="C2241" t="s">
        <v>10</v>
      </c>
      <c r="D2241" t="s">
        <v>11</v>
      </c>
      <c r="E2241">
        <v>202602</v>
      </c>
      <c r="F2241" t="s">
        <v>269</v>
      </c>
      <c r="G2241">
        <v>0</v>
      </c>
      <c r="H2241">
        <v>0</v>
      </c>
      <c r="I2241">
        <v>0</v>
      </c>
      <c r="J2241">
        <v>0</v>
      </c>
      <c r="K2241">
        <v>0</v>
      </c>
      <c r="L2241">
        <v>0</v>
      </c>
      <c r="M2241">
        <v>0</v>
      </c>
      <c r="N2241">
        <v>0</v>
      </c>
      <c r="O2241">
        <v>0</v>
      </c>
      <c r="P2241">
        <v>0</v>
      </c>
      <c r="Q2241">
        <v>2</v>
      </c>
      <c r="R2241">
        <v>0</v>
      </c>
      <c r="S2241">
        <v>0</v>
      </c>
      <c r="T2241">
        <v>0</v>
      </c>
      <c r="U2241">
        <v>0</v>
      </c>
      <c r="V2241">
        <v>0</v>
      </c>
      <c r="W2241">
        <v>0</v>
      </c>
      <c r="X2241">
        <v>0</v>
      </c>
      <c r="Y2241">
        <v>0</v>
      </c>
      <c r="Z2241">
        <v>0</v>
      </c>
      <c r="AA2241">
        <v>0</v>
      </c>
      <c r="AB2241">
        <v>0</v>
      </c>
      <c r="AC2241">
        <v>0</v>
      </c>
      <c r="AD2241">
        <v>0</v>
      </c>
      <c r="AE2241">
        <v>0</v>
      </c>
      <c r="AF2241">
        <v>0</v>
      </c>
      <c r="AG2241">
        <v>0</v>
      </c>
      <c r="AH2241">
        <v>0</v>
      </c>
      <c r="AI2241">
        <v>0</v>
      </c>
      <c r="AJ2241">
        <v>0</v>
      </c>
      <c r="AK2241">
        <v>0</v>
      </c>
      <c r="AL2241">
        <v>2</v>
      </c>
      <c r="AM2241">
        <v>0.66666666666666663</v>
      </c>
      <c r="AN2241">
        <v>11.209250279746223</v>
      </c>
    </row>
    <row r="2242" spans="1:40" x14ac:dyDescent="0.3">
      <c r="A2242" t="s">
        <v>606</v>
      </c>
      <c r="B2242" t="s">
        <v>81</v>
      </c>
      <c r="C2242" t="s">
        <v>10</v>
      </c>
      <c r="D2242" t="s">
        <v>11</v>
      </c>
      <c r="E2242">
        <v>202602</v>
      </c>
      <c r="F2242" t="s">
        <v>623</v>
      </c>
      <c r="G2242">
        <v>0</v>
      </c>
      <c r="H2242">
        <v>0</v>
      </c>
      <c r="I2242">
        <v>0</v>
      </c>
      <c r="J2242">
        <v>0</v>
      </c>
      <c r="K2242">
        <v>1</v>
      </c>
      <c r="L2242">
        <v>0</v>
      </c>
      <c r="M2242">
        <v>1</v>
      </c>
      <c r="N2242">
        <v>0</v>
      </c>
      <c r="O2242">
        <v>0</v>
      </c>
      <c r="P2242">
        <v>0</v>
      </c>
      <c r="Q2242">
        <v>0</v>
      </c>
      <c r="R2242">
        <v>0</v>
      </c>
      <c r="S2242">
        <v>0</v>
      </c>
      <c r="T2242">
        <v>0</v>
      </c>
      <c r="U2242">
        <v>0</v>
      </c>
      <c r="V2242">
        <v>0</v>
      </c>
      <c r="W2242">
        <v>0</v>
      </c>
      <c r="X2242">
        <v>0</v>
      </c>
      <c r="Y2242">
        <v>0</v>
      </c>
      <c r="Z2242">
        <v>0</v>
      </c>
      <c r="AA2242">
        <v>0</v>
      </c>
      <c r="AB2242">
        <v>0</v>
      </c>
      <c r="AC2242">
        <v>0</v>
      </c>
      <c r="AD2242">
        <v>0</v>
      </c>
      <c r="AE2242">
        <v>0</v>
      </c>
      <c r="AF2242">
        <v>0</v>
      </c>
      <c r="AG2242">
        <v>0</v>
      </c>
      <c r="AH2242">
        <v>0</v>
      </c>
      <c r="AI2242">
        <v>0</v>
      </c>
      <c r="AJ2242">
        <v>0</v>
      </c>
      <c r="AK2242">
        <v>0</v>
      </c>
      <c r="AL2242">
        <v>2</v>
      </c>
      <c r="AM2242">
        <v>0</v>
      </c>
      <c r="AN2242">
        <v>2</v>
      </c>
    </row>
    <row r="2243" spans="1:40" x14ac:dyDescent="0.3">
      <c r="A2243" t="s">
        <v>606</v>
      </c>
      <c r="B2243" t="s">
        <v>81</v>
      </c>
      <c r="C2243" t="s">
        <v>10</v>
      </c>
      <c r="D2243" t="s">
        <v>11</v>
      </c>
      <c r="E2243">
        <v>202602</v>
      </c>
      <c r="F2243" t="s">
        <v>624</v>
      </c>
      <c r="G2243">
        <v>0</v>
      </c>
      <c r="H2243">
        <v>0</v>
      </c>
      <c r="I2243">
        <v>0</v>
      </c>
      <c r="J2243">
        <v>0</v>
      </c>
      <c r="K2243">
        <v>0</v>
      </c>
      <c r="L2243">
        <v>1</v>
      </c>
      <c r="M2243">
        <v>0</v>
      </c>
      <c r="N2243">
        <v>0</v>
      </c>
      <c r="O2243">
        <v>1</v>
      </c>
      <c r="P2243">
        <v>3</v>
      </c>
      <c r="Q2243">
        <v>1</v>
      </c>
      <c r="R2243">
        <v>0</v>
      </c>
      <c r="S2243">
        <v>0</v>
      </c>
      <c r="T2243">
        <v>0</v>
      </c>
      <c r="U2243">
        <v>0</v>
      </c>
      <c r="V2243">
        <v>0</v>
      </c>
      <c r="W2243">
        <v>0</v>
      </c>
      <c r="X2243">
        <v>0</v>
      </c>
      <c r="Y2243">
        <v>0</v>
      </c>
      <c r="Z2243">
        <v>0</v>
      </c>
      <c r="AA2243">
        <v>0</v>
      </c>
      <c r="AB2243">
        <v>0</v>
      </c>
      <c r="AC2243">
        <v>0</v>
      </c>
      <c r="AD2243">
        <v>0</v>
      </c>
      <c r="AE2243">
        <v>0</v>
      </c>
      <c r="AF2243">
        <v>0</v>
      </c>
      <c r="AG2243">
        <v>0</v>
      </c>
      <c r="AH2243">
        <v>0</v>
      </c>
      <c r="AI2243">
        <v>0</v>
      </c>
      <c r="AJ2243">
        <v>0</v>
      </c>
      <c r="AK2243">
        <v>0</v>
      </c>
      <c r="AL2243">
        <v>6</v>
      </c>
      <c r="AM2243">
        <v>1.6666666666666667</v>
      </c>
      <c r="AN2243">
        <v>29.023125699365558</v>
      </c>
    </row>
    <row r="2244" spans="1:40" x14ac:dyDescent="0.3">
      <c r="A2244" t="s">
        <v>606</v>
      </c>
      <c r="B2244" t="s">
        <v>81</v>
      </c>
      <c r="C2244" t="s">
        <v>10</v>
      </c>
      <c r="D2244" t="s">
        <v>11</v>
      </c>
      <c r="E2244">
        <v>202602</v>
      </c>
      <c r="F2244" t="s">
        <v>625</v>
      </c>
      <c r="G2244">
        <v>0</v>
      </c>
      <c r="H2244">
        <v>2</v>
      </c>
      <c r="I2244">
        <v>1</v>
      </c>
      <c r="J2244">
        <v>0</v>
      </c>
      <c r="K2244">
        <v>1</v>
      </c>
      <c r="L2244">
        <v>0</v>
      </c>
      <c r="M2244">
        <v>0</v>
      </c>
      <c r="N2244">
        <v>0</v>
      </c>
      <c r="O2244">
        <v>0</v>
      </c>
      <c r="P2244">
        <v>0</v>
      </c>
      <c r="Q2244">
        <v>1</v>
      </c>
      <c r="R2244">
        <v>0</v>
      </c>
      <c r="S2244">
        <v>0</v>
      </c>
      <c r="T2244">
        <v>0</v>
      </c>
      <c r="U2244">
        <v>0</v>
      </c>
      <c r="V2244">
        <v>0</v>
      </c>
      <c r="W2244">
        <v>0</v>
      </c>
      <c r="X2244">
        <v>0</v>
      </c>
      <c r="Y2244">
        <v>0</v>
      </c>
      <c r="Z2244">
        <v>0</v>
      </c>
      <c r="AA2244">
        <v>0</v>
      </c>
      <c r="AB2244">
        <v>0</v>
      </c>
      <c r="AC2244">
        <v>0</v>
      </c>
      <c r="AD2244">
        <v>0</v>
      </c>
      <c r="AE2244">
        <v>0</v>
      </c>
      <c r="AF2244">
        <v>0</v>
      </c>
      <c r="AG2244">
        <v>0</v>
      </c>
      <c r="AH2244">
        <v>0</v>
      </c>
      <c r="AI2244">
        <v>0</v>
      </c>
      <c r="AJ2244">
        <v>0</v>
      </c>
      <c r="AK2244">
        <v>0</v>
      </c>
      <c r="AL2244">
        <v>5</v>
      </c>
      <c r="AM2244">
        <v>0.33333333333333331</v>
      </c>
      <c r="AN2244">
        <v>9.6046251398731108</v>
      </c>
    </row>
    <row r="2245" spans="1:40" x14ac:dyDescent="0.3">
      <c r="A2245" t="s">
        <v>606</v>
      </c>
      <c r="B2245" t="s">
        <v>81</v>
      </c>
      <c r="C2245" t="s">
        <v>10</v>
      </c>
      <c r="D2245" t="s">
        <v>11</v>
      </c>
      <c r="E2245">
        <v>202602</v>
      </c>
      <c r="F2245" t="s">
        <v>621</v>
      </c>
      <c r="G2245">
        <v>0</v>
      </c>
      <c r="H2245">
        <v>0</v>
      </c>
      <c r="I2245">
        <v>0</v>
      </c>
      <c r="J2245">
        <v>2</v>
      </c>
      <c r="K2245">
        <v>0</v>
      </c>
      <c r="L2245">
        <v>0</v>
      </c>
      <c r="M2245">
        <v>0</v>
      </c>
      <c r="N2245">
        <v>0</v>
      </c>
      <c r="O2245">
        <v>0</v>
      </c>
      <c r="P2245">
        <v>0</v>
      </c>
      <c r="Q2245">
        <v>0</v>
      </c>
      <c r="R2245">
        <v>0</v>
      </c>
      <c r="S2245">
        <v>0</v>
      </c>
      <c r="T2245">
        <v>0</v>
      </c>
      <c r="U2245">
        <v>0</v>
      </c>
      <c r="V2245">
        <v>0</v>
      </c>
      <c r="W2245">
        <v>0</v>
      </c>
      <c r="X2245">
        <v>0</v>
      </c>
      <c r="Y2245">
        <v>0</v>
      </c>
      <c r="Z2245">
        <v>0</v>
      </c>
      <c r="AA2245">
        <v>0</v>
      </c>
      <c r="AB2245">
        <v>0</v>
      </c>
      <c r="AC2245">
        <v>0</v>
      </c>
      <c r="AD2245">
        <v>0</v>
      </c>
      <c r="AE2245">
        <v>0</v>
      </c>
      <c r="AF2245">
        <v>0</v>
      </c>
      <c r="AG2245">
        <v>0</v>
      </c>
      <c r="AH2245">
        <v>0</v>
      </c>
      <c r="AI2245">
        <v>0</v>
      </c>
      <c r="AJ2245">
        <v>0</v>
      </c>
      <c r="AK2245">
        <v>0</v>
      </c>
      <c r="AL2245">
        <v>2</v>
      </c>
      <c r="AM2245">
        <v>0</v>
      </c>
      <c r="AN2245">
        <v>2</v>
      </c>
    </row>
    <row r="2246" spans="1:40" x14ac:dyDescent="0.3">
      <c r="A2246" t="s">
        <v>606</v>
      </c>
      <c r="B2246" t="s">
        <v>81</v>
      </c>
      <c r="C2246" t="s">
        <v>10</v>
      </c>
      <c r="D2246" t="s">
        <v>11</v>
      </c>
      <c r="E2246">
        <v>202602</v>
      </c>
      <c r="F2246" t="s">
        <v>626</v>
      </c>
      <c r="G2246">
        <v>0</v>
      </c>
      <c r="H2246">
        <v>0</v>
      </c>
      <c r="I2246">
        <v>0</v>
      </c>
      <c r="J2246">
        <v>0</v>
      </c>
      <c r="K2246">
        <v>0</v>
      </c>
      <c r="L2246">
        <v>0</v>
      </c>
      <c r="M2246">
        <v>0</v>
      </c>
      <c r="N2246">
        <v>0</v>
      </c>
      <c r="O2246">
        <v>0</v>
      </c>
      <c r="P2246">
        <v>1</v>
      </c>
      <c r="Q2246">
        <v>0</v>
      </c>
      <c r="R2246">
        <v>0</v>
      </c>
      <c r="S2246">
        <v>0</v>
      </c>
      <c r="T2246">
        <v>0</v>
      </c>
      <c r="U2246">
        <v>0</v>
      </c>
      <c r="V2246">
        <v>0</v>
      </c>
      <c r="W2246">
        <v>0</v>
      </c>
      <c r="X2246">
        <v>0</v>
      </c>
      <c r="Y2246">
        <v>0</v>
      </c>
      <c r="Z2246">
        <v>0</v>
      </c>
      <c r="AA2246">
        <v>0</v>
      </c>
      <c r="AB2246">
        <v>0</v>
      </c>
      <c r="AC2246">
        <v>0</v>
      </c>
      <c r="AD2246">
        <v>0</v>
      </c>
      <c r="AE2246">
        <v>0</v>
      </c>
      <c r="AF2246">
        <v>0</v>
      </c>
      <c r="AG2246">
        <v>0</v>
      </c>
      <c r="AH2246">
        <v>0</v>
      </c>
      <c r="AI2246">
        <v>0</v>
      </c>
      <c r="AJ2246">
        <v>0</v>
      </c>
      <c r="AK2246">
        <v>0</v>
      </c>
      <c r="AL2246">
        <v>1</v>
      </c>
      <c r="AM2246">
        <v>0.33333333333333331</v>
      </c>
      <c r="AN2246">
        <v>5.6046251398731117</v>
      </c>
    </row>
    <row r="2247" spans="1:40" x14ac:dyDescent="0.3">
      <c r="A2247" t="s">
        <v>606</v>
      </c>
      <c r="B2247" t="s">
        <v>81</v>
      </c>
      <c r="C2247" t="s">
        <v>10</v>
      </c>
      <c r="D2247" t="s">
        <v>14</v>
      </c>
      <c r="E2247">
        <v>202602</v>
      </c>
      <c r="F2247" t="s">
        <v>483</v>
      </c>
      <c r="G2247">
        <v>0</v>
      </c>
      <c r="H2247">
        <v>0</v>
      </c>
      <c r="I2247">
        <v>1</v>
      </c>
      <c r="J2247">
        <v>3</v>
      </c>
      <c r="K2247">
        <v>6</v>
      </c>
      <c r="L2247">
        <v>1</v>
      </c>
      <c r="M2247">
        <v>1</v>
      </c>
      <c r="N2247">
        <v>0</v>
      </c>
      <c r="O2247">
        <v>3</v>
      </c>
      <c r="P2247">
        <v>3</v>
      </c>
      <c r="Q2247">
        <v>2</v>
      </c>
      <c r="R2247">
        <v>0</v>
      </c>
      <c r="S2247">
        <v>0</v>
      </c>
      <c r="T2247">
        <v>0</v>
      </c>
      <c r="U2247">
        <v>0</v>
      </c>
      <c r="V2247">
        <v>0</v>
      </c>
      <c r="W2247">
        <v>0</v>
      </c>
      <c r="X2247">
        <v>0</v>
      </c>
      <c r="Y2247">
        <v>0</v>
      </c>
      <c r="Z2247">
        <v>0</v>
      </c>
      <c r="AA2247">
        <v>0</v>
      </c>
      <c r="AB2247">
        <v>0</v>
      </c>
      <c r="AC2247">
        <v>0</v>
      </c>
      <c r="AD2247">
        <v>0</v>
      </c>
      <c r="AE2247">
        <v>0</v>
      </c>
      <c r="AF2247">
        <v>0</v>
      </c>
      <c r="AG2247">
        <v>0</v>
      </c>
      <c r="AH2247">
        <v>0</v>
      </c>
      <c r="AI2247">
        <v>0</v>
      </c>
      <c r="AJ2247">
        <v>0</v>
      </c>
      <c r="AK2247">
        <v>0</v>
      </c>
      <c r="AL2247">
        <v>20</v>
      </c>
      <c r="AM2247">
        <v>2.6666666666666665</v>
      </c>
      <c r="AN2247">
        <v>52.333928571428906</v>
      </c>
    </row>
    <row r="2248" spans="1:40" x14ac:dyDescent="0.3">
      <c r="A2248" t="s">
        <v>606</v>
      </c>
      <c r="B2248" t="s">
        <v>81</v>
      </c>
      <c r="C2248" t="s">
        <v>10</v>
      </c>
      <c r="D2248" t="s">
        <v>14</v>
      </c>
      <c r="E2248">
        <v>202602</v>
      </c>
      <c r="F2248" t="s">
        <v>269</v>
      </c>
      <c r="G2248">
        <v>0</v>
      </c>
      <c r="H2248">
        <v>0</v>
      </c>
      <c r="I2248">
        <v>0</v>
      </c>
      <c r="J2248">
        <v>0</v>
      </c>
      <c r="K2248">
        <v>0</v>
      </c>
      <c r="L2248">
        <v>0</v>
      </c>
      <c r="M2248">
        <v>0</v>
      </c>
      <c r="N2248">
        <v>0</v>
      </c>
      <c r="O2248">
        <v>2</v>
      </c>
      <c r="P2248">
        <v>0</v>
      </c>
      <c r="Q2248">
        <v>0</v>
      </c>
      <c r="R2248">
        <v>0</v>
      </c>
      <c r="S2248">
        <v>0</v>
      </c>
      <c r="T2248">
        <v>0</v>
      </c>
      <c r="U2248">
        <v>0</v>
      </c>
      <c r="V2248">
        <v>0</v>
      </c>
      <c r="W2248">
        <v>0</v>
      </c>
      <c r="X2248">
        <v>0</v>
      </c>
      <c r="Y2248">
        <v>0</v>
      </c>
      <c r="Z2248">
        <v>0</v>
      </c>
      <c r="AA2248">
        <v>0</v>
      </c>
      <c r="AB2248">
        <v>0</v>
      </c>
      <c r="AC2248">
        <v>0</v>
      </c>
      <c r="AD2248">
        <v>0</v>
      </c>
      <c r="AE2248">
        <v>0</v>
      </c>
      <c r="AF2248">
        <v>0</v>
      </c>
      <c r="AG2248">
        <v>0</v>
      </c>
      <c r="AH2248">
        <v>0</v>
      </c>
      <c r="AI2248">
        <v>0</v>
      </c>
      <c r="AJ2248">
        <v>0</v>
      </c>
      <c r="AK2248">
        <v>0</v>
      </c>
      <c r="AL2248">
        <v>2</v>
      </c>
      <c r="AM2248">
        <v>0.66666666666666663</v>
      </c>
      <c r="AN2248">
        <v>10.083482142857227</v>
      </c>
    </row>
    <row r="2249" spans="1:40" x14ac:dyDescent="0.3">
      <c r="A2249" t="s">
        <v>606</v>
      </c>
      <c r="B2249" t="s">
        <v>81</v>
      </c>
      <c r="C2249" t="s">
        <v>10</v>
      </c>
      <c r="D2249" t="s">
        <v>14</v>
      </c>
      <c r="E2249">
        <v>202602</v>
      </c>
      <c r="F2249" t="s">
        <v>623</v>
      </c>
      <c r="G2249">
        <v>0</v>
      </c>
      <c r="H2249">
        <v>0</v>
      </c>
      <c r="I2249">
        <v>1</v>
      </c>
      <c r="J2249">
        <v>0</v>
      </c>
      <c r="K2249">
        <v>2</v>
      </c>
      <c r="L2249">
        <v>0</v>
      </c>
      <c r="M2249">
        <v>1</v>
      </c>
      <c r="N2249">
        <v>0</v>
      </c>
      <c r="O2249">
        <v>0</v>
      </c>
      <c r="P2249">
        <v>0</v>
      </c>
      <c r="Q2249">
        <v>0</v>
      </c>
      <c r="R2249">
        <v>0</v>
      </c>
      <c r="S2249">
        <v>0</v>
      </c>
      <c r="T2249">
        <v>0</v>
      </c>
      <c r="U2249">
        <v>0</v>
      </c>
      <c r="V2249">
        <v>0</v>
      </c>
      <c r="W2249">
        <v>0</v>
      </c>
      <c r="X2249">
        <v>0</v>
      </c>
      <c r="Y2249">
        <v>0</v>
      </c>
      <c r="Z2249">
        <v>0</v>
      </c>
      <c r="AA2249">
        <v>0</v>
      </c>
      <c r="AB2249">
        <v>0</v>
      </c>
      <c r="AC2249">
        <v>0</v>
      </c>
      <c r="AD2249">
        <v>0</v>
      </c>
      <c r="AE2249">
        <v>0</v>
      </c>
      <c r="AF2249">
        <v>0</v>
      </c>
      <c r="AG2249">
        <v>0</v>
      </c>
      <c r="AH2249">
        <v>0</v>
      </c>
      <c r="AI2249">
        <v>0</v>
      </c>
      <c r="AJ2249">
        <v>0</v>
      </c>
      <c r="AK2249">
        <v>0</v>
      </c>
      <c r="AL2249">
        <v>4</v>
      </c>
      <c r="AM2249">
        <v>0</v>
      </c>
      <c r="AN2249">
        <v>4</v>
      </c>
    </row>
    <row r="2250" spans="1:40" x14ac:dyDescent="0.3">
      <c r="A2250" t="s">
        <v>606</v>
      </c>
      <c r="B2250" t="s">
        <v>81</v>
      </c>
      <c r="C2250" t="s">
        <v>10</v>
      </c>
      <c r="D2250" t="s">
        <v>14</v>
      </c>
      <c r="E2250">
        <v>202602</v>
      </c>
      <c r="F2250" t="s">
        <v>624</v>
      </c>
      <c r="G2250">
        <v>0</v>
      </c>
      <c r="H2250">
        <v>1</v>
      </c>
      <c r="I2250">
        <v>1</v>
      </c>
      <c r="J2250">
        <v>0</v>
      </c>
      <c r="K2250">
        <v>1</v>
      </c>
      <c r="L2250">
        <v>4</v>
      </c>
      <c r="M2250">
        <v>2</v>
      </c>
      <c r="N2250">
        <v>0</v>
      </c>
      <c r="O2250">
        <v>3</v>
      </c>
      <c r="P2250">
        <v>1</v>
      </c>
      <c r="Q2250">
        <v>3</v>
      </c>
      <c r="R2250">
        <v>0</v>
      </c>
      <c r="S2250">
        <v>0</v>
      </c>
      <c r="T2250">
        <v>0</v>
      </c>
      <c r="U2250">
        <v>0</v>
      </c>
      <c r="V2250">
        <v>0</v>
      </c>
      <c r="W2250">
        <v>0</v>
      </c>
      <c r="X2250">
        <v>0</v>
      </c>
      <c r="Y2250">
        <v>0</v>
      </c>
      <c r="Z2250">
        <v>0</v>
      </c>
      <c r="AA2250">
        <v>0</v>
      </c>
      <c r="AB2250">
        <v>0</v>
      </c>
      <c r="AC2250">
        <v>0</v>
      </c>
      <c r="AD2250">
        <v>0</v>
      </c>
      <c r="AE2250">
        <v>0</v>
      </c>
      <c r="AF2250">
        <v>0</v>
      </c>
      <c r="AG2250">
        <v>0</v>
      </c>
      <c r="AH2250">
        <v>0</v>
      </c>
      <c r="AI2250">
        <v>0</v>
      </c>
      <c r="AJ2250">
        <v>0</v>
      </c>
      <c r="AK2250">
        <v>0</v>
      </c>
      <c r="AL2250">
        <v>16</v>
      </c>
      <c r="AM2250">
        <v>2.3333333333333335</v>
      </c>
      <c r="AN2250">
        <v>44.292187500000296</v>
      </c>
    </row>
    <row r="2251" spans="1:40" x14ac:dyDescent="0.3">
      <c r="A2251" t="s">
        <v>606</v>
      </c>
      <c r="B2251" t="s">
        <v>81</v>
      </c>
      <c r="C2251" t="s">
        <v>10</v>
      </c>
      <c r="D2251" t="s">
        <v>14</v>
      </c>
      <c r="E2251">
        <v>202602</v>
      </c>
      <c r="F2251" t="s">
        <v>627</v>
      </c>
      <c r="G2251">
        <v>0</v>
      </c>
      <c r="H2251">
        <v>0</v>
      </c>
      <c r="I2251">
        <v>0</v>
      </c>
      <c r="J2251">
        <v>1</v>
      </c>
      <c r="K2251">
        <v>0</v>
      </c>
      <c r="L2251">
        <v>0</v>
      </c>
      <c r="M2251">
        <v>0</v>
      </c>
      <c r="N2251">
        <v>0</v>
      </c>
      <c r="O2251">
        <v>0</v>
      </c>
      <c r="P2251">
        <v>0</v>
      </c>
      <c r="Q2251">
        <v>0</v>
      </c>
      <c r="R2251">
        <v>0</v>
      </c>
      <c r="S2251">
        <v>0</v>
      </c>
      <c r="T2251">
        <v>0</v>
      </c>
      <c r="U2251">
        <v>0</v>
      </c>
      <c r="V2251">
        <v>0</v>
      </c>
      <c r="W2251">
        <v>0</v>
      </c>
      <c r="X2251">
        <v>0</v>
      </c>
      <c r="Y2251">
        <v>0</v>
      </c>
      <c r="Z2251">
        <v>0</v>
      </c>
      <c r="AA2251">
        <v>0</v>
      </c>
      <c r="AB2251">
        <v>0</v>
      </c>
      <c r="AC2251">
        <v>0</v>
      </c>
      <c r="AD2251">
        <v>0</v>
      </c>
      <c r="AE2251">
        <v>0</v>
      </c>
      <c r="AF2251">
        <v>0</v>
      </c>
      <c r="AG2251">
        <v>0</v>
      </c>
      <c r="AH2251">
        <v>0</v>
      </c>
      <c r="AI2251">
        <v>0</v>
      </c>
      <c r="AJ2251">
        <v>0</v>
      </c>
      <c r="AK2251">
        <v>0</v>
      </c>
      <c r="AL2251">
        <v>1</v>
      </c>
      <c r="AM2251">
        <v>0</v>
      </c>
      <c r="AN2251">
        <v>1</v>
      </c>
    </row>
    <row r="2252" spans="1:40" x14ac:dyDescent="0.3">
      <c r="A2252" t="s">
        <v>606</v>
      </c>
      <c r="B2252" t="s">
        <v>81</v>
      </c>
      <c r="C2252" t="s">
        <v>10</v>
      </c>
      <c r="D2252" t="s">
        <v>14</v>
      </c>
      <c r="E2252">
        <v>202602</v>
      </c>
      <c r="F2252" t="s">
        <v>625</v>
      </c>
      <c r="G2252">
        <v>0</v>
      </c>
      <c r="H2252">
        <v>0</v>
      </c>
      <c r="I2252">
        <v>0</v>
      </c>
      <c r="J2252">
        <v>1</v>
      </c>
      <c r="K2252">
        <v>0</v>
      </c>
      <c r="L2252">
        <v>0</v>
      </c>
      <c r="M2252">
        <v>0</v>
      </c>
      <c r="N2252">
        <v>0</v>
      </c>
      <c r="O2252">
        <v>0</v>
      </c>
      <c r="P2252">
        <v>3</v>
      </c>
      <c r="Q2252">
        <v>1</v>
      </c>
      <c r="R2252">
        <v>0</v>
      </c>
      <c r="S2252">
        <v>0</v>
      </c>
      <c r="T2252">
        <v>0</v>
      </c>
      <c r="U2252">
        <v>0</v>
      </c>
      <c r="V2252">
        <v>0</v>
      </c>
      <c r="W2252">
        <v>0</v>
      </c>
      <c r="X2252">
        <v>0</v>
      </c>
      <c r="Y2252">
        <v>0</v>
      </c>
      <c r="Z2252">
        <v>0</v>
      </c>
      <c r="AA2252">
        <v>0</v>
      </c>
      <c r="AB2252">
        <v>0</v>
      </c>
      <c r="AC2252">
        <v>0</v>
      </c>
      <c r="AD2252">
        <v>0</v>
      </c>
      <c r="AE2252">
        <v>0</v>
      </c>
      <c r="AF2252">
        <v>0</v>
      </c>
      <c r="AG2252">
        <v>0</v>
      </c>
      <c r="AH2252">
        <v>0</v>
      </c>
      <c r="AI2252">
        <v>0</v>
      </c>
      <c r="AJ2252">
        <v>0</v>
      </c>
      <c r="AK2252">
        <v>0</v>
      </c>
      <c r="AL2252">
        <v>5</v>
      </c>
      <c r="AM2252">
        <v>1.3333333333333333</v>
      </c>
      <c r="AN2252">
        <v>21.166964285714453</v>
      </c>
    </row>
    <row r="2253" spans="1:40" x14ac:dyDescent="0.3">
      <c r="A2253" t="s">
        <v>606</v>
      </c>
      <c r="B2253" t="s">
        <v>81</v>
      </c>
      <c r="C2253" t="s">
        <v>10</v>
      </c>
      <c r="D2253" t="s">
        <v>14</v>
      </c>
      <c r="E2253">
        <v>202602</v>
      </c>
      <c r="F2253" t="s">
        <v>621</v>
      </c>
      <c r="G2253">
        <v>0</v>
      </c>
      <c r="H2253">
        <v>0</v>
      </c>
      <c r="I2253">
        <v>1</v>
      </c>
      <c r="J2253">
        <v>0</v>
      </c>
      <c r="K2253">
        <v>0</v>
      </c>
      <c r="L2253">
        <v>0</v>
      </c>
      <c r="M2253">
        <v>0</v>
      </c>
      <c r="N2253">
        <v>0</v>
      </c>
      <c r="O2253">
        <v>0</v>
      </c>
      <c r="P2253">
        <v>0</v>
      </c>
      <c r="Q2253">
        <v>0</v>
      </c>
      <c r="R2253">
        <v>0</v>
      </c>
      <c r="S2253">
        <v>0</v>
      </c>
      <c r="T2253">
        <v>0</v>
      </c>
      <c r="U2253">
        <v>0</v>
      </c>
      <c r="V2253">
        <v>0</v>
      </c>
      <c r="W2253">
        <v>0</v>
      </c>
      <c r="X2253">
        <v>0</v>
      </c>
      <c r="Y2253">
        <v>0</v>
      </c>
      <c r="Z2253">
        <v>0</v>
      </c>
      <c r="AA2253">
        <v>0</v>
      </c>
      <c r="AB2253">
        <v>0</v>
      </c>
      <c r="AC2253">
        <v>0</v>
      </c>
      <c r="AD2253">
        <v>0</v>
      </c>
      <c r="AE2253">
        <v>0</v>
      </c>
      <c r="AF2253">
        <v>0</v>
      </c>
      <c r="AG2253">
        <v>0</v>
      </c>
      <c r="AH2253">
        <v>0</v>
      </c>
      <c r="AI2253">
        <v>0</v>
      </c>
      <c r="AJ2253">
        <v>0</v>
      </c>
      <c r="AK2253">
        <v>0</v>
      </c>
      <c r="AL2253">
        <v>1</v>
      </c>
      <c r="AM2253">
        <v>0</v>
      </c>
      <c r="AN2253">
        <v>1</v>
      </c>
    </row>
    <row r="2254" spans="1:40" x14ac:dyDescent="0.3">
      <c r="A2254" t="s">
        <v>606</v>
      </c>
      <c r="B2254" t="s">
        <v>81</v>
      </c>
      <c r="C2254" t="s">
        <v>10</v>
      </c>
      <c r="D2254" t="s">
        <v>14</v>
      </c>
      <c r="E2254">
        <v>202602</v>
      </c>
      <c r="F2254" t="s">
        <v>626</v>
      </c>
      <c r="G2254">
        <v>0</v>
      </c>
      <c r="H2254">
        <v>0</v>
      </c>
      <c r="I2254">
        <v>0</v>
      </c>
      <c r="J2254">
        <v>2</v>
      </c>
      <c r="K2254">
        <v>0</v>
      </c>
      <c r="L2254">
        <v>1</v>
      </c>
      <c r="M2254">
        <v>0</v>
      </c>
      <c r="N2254">
        <v>0</v>
      </c>
      <c r="O2254">
        <v>1</v>
      </c>
      <c r="P2254">
        <v>0</v>
      </c>
      <c r="Q2254">
        <v>2</v>
      </c>
      <c r="R2254">
        <v>0</v>
      </c>
      <c r="S2254">
        <v>0</v>
      </c>
      <c r="T2254">
        <v>0</v>
      </c>
      <c r="U2254">
        <v>0</v>
      </c>
      <c r="V2254">
        <v>0</v>
      </c>
      <c r="W2254">
        <v>0</v>
      </c>
      <c r="X2254">
        <v>0</v>
      </c>
      <c r="Y2254">
        <v>0</v>
      </c>
      <c r="Z2254">
        <v>0</v>
      </c>
      <c r="AA2254">
        <v>0</v>
      </c>
      <c r="AB2254">
        <v>0</v>
      </c>
      <c r="AC2254">
        <v>0</v>
      </c>
      <c r="AD2254">
        <v>0</v>
      </c>
      <c r="AE2254">
        <v>0</v>
      </c>
      <c r="AF2254">
        <v>0</v>
      </c>
      <c r="AG2254">
        <v>0</v>
      </c>
      <c r="AH2254">
        <v>0</v>
      </c>
      <c r="AI2254">
        <v>0</v>
      </c>
      <c r="AJ2254">
        <v>0</v>
      </c>
      <c r="AK2254">
        <v>0</v>
      </c>
      <c r="AL2254">
        <v>6</v>
      </c>
      <c r="AM2254">
        <v>1</v>
      </c>
      <c r="AN2254">
        <v>18.125223214285839</v>
      </c>
    </row>
    <row r="2255" spans="1:40" x14ac:dyDescent="0.3">
      <c r="A2255" t="s">
        <v>606</v>
      </c>
      <c r="B2255" t="s">
        <v>81</v>
      </c>
      <c r="C2255" t="s">
        <v>16</v>
      </c>
      <c r="D2255" t="s">
        <v>11</v>
      </c>
      <c r="E2255">
        <v>202602</v>
      </c>
      <c r="F2255" t="s">
        <v>628</v>
      </c>
      <c r="G2255">
        <v>0</v>
      </c>
      <c r="H2255">
        <v>0</v>
      </c>
      <c r="I2255">
        <v>0</v>
      </c>
      <c r="J2255">
        <v>1</v>
      </c>
      <c r="K2255">
        <v>0</v>
      </c>
      <c r="L2255">
        <v>0</v>
      </c>
      <c r="M2255">
        <v>0</v>
      </c>
      <c r="N2255">
        <v>0</v>
      </c>
      <c r="O2255">
        <v>0</v>
      </c>
      <c r="P2255">
        <v>0</v>
      </c>
      <c r="Q2255">
        <v>0</v>
      </c>
      <c r="R2255">
        <v>0</v>
      </c>
      <c r="S2255">
        <v>0</v>
      </c>
      <c r="T2255">
        <v>0</v>
      </c>
      <c r="U2255">
        <v>0</v>
      </c>
      <c r="V2255">
        <v>0</v>
      </c>
      <c r="W2255">
        <v>0</v>
      </c>
      <c r="X2255">
        <v>0</v>
      </c>
      <c r="Y2255">
        <v>0</v>
      </c>
      <c r="Z2255">
        <v>0</v>
      </c>
      <c r="AA2255">
        <v>0</v>
      </c>
      <c r="AB2255">
        <v>0</v>
      </c>
      <c r="AC2255">
        <v>0</v>
      </c>
      <c r="AD2255">
        <v>0</v>
      </c>
      <c r="AE2255">
        <v>0</v>
      </c>
      <c r="AF2255">
        <v>0</v>
      </c>
      <c r="AG2255">
        <v>0</v>
      </c>
      <c r="AH2255">
        <v>0</v>
      </c>
      <c r="AI2255">
        <v>0</v>
      </c>
      <c r="AJ2255">
        <v>0</v>
      </c>
      <c r="AK2255">
        <v>0</v>
      </c>
      <c r="AL2255">
        <v>1</v>
      </c>
      <c r="AM2255">
        <v>0</v>
      </c>
      <c r="AN2255">
        <v>1</v>
      </c>
    </row>
    <row r="2256" spans="1:40" x14ac:dyDescent="0.3">
      <c r="A2256" t="s">
        <v>606</v>
      </c>
      <c r="B2256" t="s">
        <v>81</v>
      </c>
      <c r="C2256" t="s">
        <v>16</v>
      </c>
      <c r="D2256" t="s">
        <v>14</v>
      </c>
      <c r="E2256">
        <v>202602</v>
      </c>
      <c r="F2256" t="s">
        <v>628</v>
      </c>
      <c r="G2256">
        <v>0</v>
      </c>
      <c r="H2256">
        <v>0</v>
      </c>
      <c r="I2256">
        <v>1</v>
      </c>
      <c r="J2256">
        <v>0</v>
      </c>
      <c r="K2256">
        <v>0</v>
      </c>
      <c r="L2256">
        <v>0</v>
      </c>
      <c r="M2256">
        <v>0</v>
      </c>
      <c r="N2256">
        <v>0</v>
      </c>
      <c r="O2256">
        <v>0</v>
      </c>
      <c r="P2256">
        <v>0</v>
      </c>
      <c r="Q2256">
        <v>0</v>
      </c>
      <c r="R2256">
        <v>0</v>
      </c>
      <c r="S2256">
        <v>0</v>
      </c>
      <c r="T2256">
        <v>0</v>
      </c>
      <c r="U2256">
        <v>0</v>
      </c>
      <c r="V2256">
        <v>0</v>
      </c>
      <c r="W2256">
        <v>0</v>
      </c>
      <c r="X2256">
        <v>0</v>
      </c>
      <c r="Y2256">
        <v>0</v>
      </c>
      <c r="Z2256">
        <v>0</v>
      </c>
      <c r="AA2256">
        <v>0</v>
      </c>
      <c r="AB2256">
        <v>0</v>
      </c>
      <c r="AC2256">
        <v>0</v>
      </c>
      <c r="AD2256">
        <v>0</v>
      </c>
      <c r="AE2256">
        <v>0</v>
      </c>
      <c r="AF2256">
        <v>0</v>
      </c>
      <c r="AG2256">
        <v>0</v>
      </c>
      <c r="AH2256">
        <v>0</v>
      </c>
      <c r="AI2256">
        <v>0</v>
      </c>
      <c r="AJ2256">
        <v>0</v>
      </c>
      <c r="AK2256">
        <v>0</v>
      </c>
      <c r="AL2256">
        <v>1</v>
      </c>
      <c r="AM2256">
        <v>0</v>
      </c>
      <c r="AN2256">
        <v>1</v>
      </c>
    </row>
    <row r="2257" spans="1:40" x14ac:dyDescent="0.3">
      <c r="A2257" t="s">
        <v>606</v>
      </c>
      <c r="B2257" t="s">
        <v>644</v>
      </c>
      <c r="C2257" t="s">
        <v>10</v>
      </c>
      <c r="D2257" t="s">
        <v>11</v>
      </c>
      <c r="E2257">
        <v>202602</v>
      </c>
      <c r="F2257" t="s">
        <v>112</v>
      </c>
      <c r="G2257">
        <v>0</v>
      </c>
      <c r="H2257">
        <v>1</v>
      </c>
      <c r="I2257">
        <v>0</v>
      </c>
      <c r="J2257">
        <v>0</v>
      </c>
      <c r="K2257">
        <v>0</v>
      </c>
      <c r="L2257">
        <v>0</v>
      </c>
      <c r="M2257">
        <v>0</v>
      </c>
      <c r="N2257">
        <v>0</v>
      </c>
      <c r="O2257">
        <v>0</v>
      </c>
      <c r="P2257">
        <v>0</v>
      </c>
      <c r="Q2257">
        <v>0</v>
      </c>
      <c r="R2257">
        <v>0</v>
      </c>
      <c r="S2257">
        <v>0</v>
      </c>
      <c r="T2257">
        <v>0</v>
      </c>
      <c r="U2257">
        <v>0</v>
      </c>
      <c r="V2257">
        <v>0</v>
      </c>
      <c r="W2257">
        <v>0</v>
      </c>
      <c r="X2257">
        <v>0</v>
      </c>
      <c r="Y2257">
        <v>0</v>
      </c>
      <c r="Z2257">
        <v>0</v>
      </c>
      <c r="AA2257">
        <v>0</v>
      </c>
      <c r="AB2257">
        <v>0</v>
      </c>
      <c r="AC2257">
        <v>0</v>
      </c>
      <c r="AD2257">
        <v>0</v>
      </c>
      <c r="AE2257">
        <v>0</v>
      </c>
      <c r="AF2257">
        <v>0</v>
      </c>
      <c r="AG2257">
        <v>0</v>
      </c>
      <c r="AH2257">
        <v>0</v>
      </c>
      <c r="AI2257">
        <v>0</v>
      </c>
      <c r="AJ2257">
        <v>0</v>
      </c>
      <c r="AK2257">
        <v>0</v>
      </c>
      <c r="AL2257">
        <v>1</v>
      </c>
      <c r="AM2257">
        <v>0</v>
      </c>
      <c r="AN2257">
        <v>1</v>
      </c>
    </row>
    <row r="2258" spans="1:40" x14ac:dyDescent="0.3">
      <c r="A2258" t="s">
        <v>606</v>
      </c>
      <c r="B2258" t="s">
        <v>644</v>
      </c>
      <c r="C2258" t="s">
        <v>10</v>
      </c>
      <c r="D2258" t="s">
        <v>11</v>
      </c>
      <c r="E2258">
        <v>202602</v>
      </c>
      <c r="F2258" t="s">
        <v>114</v>
      </c>
      <c r="G2258">
        <v>0</v>
      </c>
      <c r="H2258">
        <v>0</v>
      </c>
      <c r="I2258">
        <v>0</v>
      </c>
      <c r="J2258">
        <v>1</v>
      </c>
      <c r="K2258">
        <v>2</v>
      </c>
      <c r="L2258">
        <v>1</v>
      </c>
      <c r="M2258">
        <v>0</v>
      </c>
      <c r="N2258">
        <v>0</v>
      </c>
      <c r="O2258">
        <v>1</v>
      </c>
      <c r="P2258">
        <v>0</v>
      </c>
      <c r="Q2258">
        <v>0</v>
      </c>
      <c r="R2258">
        <v>0</v>
      </c>
      <c r="S2258">
        <v>0</v>
      </c>
      <c r="T2258">
        <v>0</v>
      </c>
      <c r="U2258">
        <v>0</v>
      </c>
      <c r="V2258">
        <v>0</v>
      </c>
      <c r="W2258">
        <v>0</v>
      </c>
      <c r="X2258">
        <v>0</v>
      </c>
      <c r="Y2258">
        <v>0</v>
      </c>
      <c r="Z2258">
        <v>0</v>
      </c>
      <c r="AA2258">
        <v>0</v>
      </c>
      <c r="AB2258">
        <v>0</v>
      </c>
      <c r="AC2258">
        <v>0</v>
      </c>
      <c r="AD2258">
        <v>0</v>
      </c>
      <c r="AE2258">
        <v>0</v>
      </c>
      <c r="AF2258">
        <v>0</v>
      </c>
      <c r="AG2258">
        <v>0</v>
      </c>
      <c r="AH2258">
        <v>0</v>
      </c>
      <c r="AI2258">
        <v>0</v>
      </c>
      <c r="AJ2258">
        <v>0</v>
      </c>
      <c r="AK2258">
        <v>0</v>
      </c>
      <c r="AL2258">
        <v>5</v>
      </c>
      <c r="AM2258">
        <v>0.33333333333333331</v>
      </c>
      <c r="AN2258">
        <v>9.6046251398731108</v>
      </c>
    </row>
    <row r="2259" spans="1:40" x14ac:dyDescent="0.3">
      <c r="A2259" t="s">
        <v>606</v>
      </c>
      <c r="B2259" t="s">
        <v>644</v>
      </c>
      <c r="C2259" t="s">
        <v>10</v>
      </c>
      <c r="D2259" t="s">
        <v>11</v>
      </c>
      <c r="E2259">
        <v>202602</v>
      </c>
      <c r="F2259" t="s">
        <v>629</v>
      </c>
      <c r="G2259">
        <v>0</v>
      </c>
      <c r="H2259">
        <v>0</v>
      </c>
      <c r="I2259">
        <v>0</v>
      </c>
      <c r="J2259">
        <v>1</v>
      </c>
      <c r="K2259">
        <v>0</v>
      </c>
      <c r="L2259">
        <v>0</v>
      </c>
      <c r="M2259">
        <v>0</v>
      </c>
      <c r="N2259">
        <v>0</v>
      </c>
      <c r="O2259">
        <v>0</v>
      </c>
      <c r="P2259">
        <v>0</v>
      </c>
      <c r="Q2259">
        <v>0</v>
      </c>
      <c r="R2259">
        <v>0</v>
      </c>
      <c r="S2259">
        <v>0</v>
      </c>
      <c r="T2259">
        <v>0</v>
      </c>
      <c r="U2259">
        <v>0</v>
      </c>
      <c r="V2259">
        <v>0</v>
      </c>
      <c r="W2259">
        <v>0</v>
      </c>
      <c r="X2259">
        <v>0</v>
      </c>
      <c r="Y2259">
        <v>0</v>
      </c>
      <c r="Z2259">
        <v>0</v>
      </c>
      <c r="AA2259">
        <v>0</v>
      </c>
      <c r="AB2259">
        <v>0</v>
      </c>
      <c r="AC2259">
        <v>0</v>
      </c>
      <c r="AD2259">
        <v>0</v>
      </c>
      <c r="AE2259">
        <v>0</v>
      </c>
      <c r="AF2259">
        <v>0</v>
      </c>
      <c r="AG2259">
        <v>0</v>
      </c>
      <c r="AH2259">
        <v>0</v>
      </c>
      <c r="AI2259">
        <v>0</v>
      </c>
      <c r="AJ2259">
        <v>0</v>
      </c>
      <c r="AK2259">
        <v>0</v>
      </c>
      <c r="AL2259">
        <v>1</v>
      </c>
      <c r="AM2259">
        <v>0</v>
      </c>
      <c r="AN2259">
        <v>1</v>
      </c>
    </row>
    <row r="2260" spans="1:40" x14ac:dyDescent="0.3">
      <c r="A2260" t="s">
        <v>606</v>
      </c>
      <c r="B2260" t="s">
        <v>644</v>
      </c>
      <c r="C2260" t="s">
        <v>10</v>
      </c>
      <c r="D2260" t="s">
        <v>11</v>
      </c>
      <c r="E2260">
        <v>202602</v>
      </c>
      <c r="F2260" t="s">
        <v>130</v>
      </c>
      <c r="G2260">
        <v>0</v>
      </c>
      <c r="H2260">
        <v>0</v>
      </c>
      <c r="I2260">
        <v>1</v>
      </c>
      <c r="J2260">
        <v>1</v>
      </c>
      <c r="K2260">
        <v>1</v>
      </c>
      <c r="L2260">
        <v>0</v>
      </c>
      <c r="M2260">
        <v>0</v>
      </c>
      <c r="N2260">
        <v>0</v>
      </c>
      <c r="O2260">
        <v>1</v>
      </c>
      <c r="P2260">
        <v>1</v>
      </c>
      <c r="Q2260">
        <v>1</v>
      </c>
      <c r="R2260">
        <v>0</v>
      </c>
      <c r="S2260">
        <v>0</v>
      </c>
      <c r="T2260">
        <v>0</v>
      </c>
      <c r="U2260">
        <v>0</v>
      </c>
      <c r="V2260">
        <v>0</v>
      </c>
      <c r="W2260">
        <v>0</v>
      </c>
      <c r="X2260">
        <v>0</v>
      </c>
      <c r="Y2260">
        <v>0</v>
      </c>
      <c r="Z2260">
        <v>0</v>
      </c>
      <c r="AA2260">
        <v>0</v>
      </c>
      <c r="AB2260">
        <v>0</v>
      </c>
      <c r="AC2260">
        <v>0</v>
      </c>
      <c r="AD2260">
        <v>0</v>
      </c>
      <c r="AE2260">
        <v>0</v>
      </c>
      <c r="AF2260">
        <v>0</v>
      </c>
      <c r="AG2260">
        <v>0</v>
      </c>
      <c r="AH2260">
        <v>0</v>
      </c>
      <c r="AI2260">
        <v>0</v>
      </c>
      <c r="AJ2260">
        <v>0</v>
      </c>
      <c r="AK2260">
        <v>0</v>
      </c>
      <c r="AL2260">
        <v>6</v>
      </c>
      <c r="AM2260">
        <v>1</v>
      </c>
      <c r="AN2260">
        <v>19.813875419619336</v>
      </c>
    </row>
    <row r="2261" spans="1:40" x14ac:dyDescent="0.3">
      <c r="A2261" t="s">
        <v>606</v>
      </c>
      <c r="B2261" t="s">
        <v>644</v>
      </c>
      <c r="C2261" t="s">
        <v>10</v>
      </c>
      <c r="D2261" t="s">
        <v>11</v>
      </c>
      <c r="E2261">
        <v>202602</v>
      </c>
      <c r="F2261" t="s">
        <v>117</v>
      </c>
      <c r="G2261">
        <v>0</v>
      </c>
      <c r="H2261">
        <v>0</v>
      </c>
      <c r="I2261">
        <v>0</v>
      </c>
      <c r="J2261">
        <v>1</v>
      </c>
      <c r="K2261">
        <v>0</v>
      </c>
      <c r="L2261">
        <v>0</v>
      </c>
      <c r="M2261">
        <v>0</v>
      </c>
      <c r="N2261">
        <v>0</v>
      </c>
      <c r="O2261">
        <v>0</v>
      </c>
      <c r="P2261">
        <v>0</v>
      </c>
      <c r="Q2261">
        <v>0</v>
      </c>
      <c r="R2261">
        <v>0</v>
      </c>
      <c r="S2261">
        <v>0</v>
      </c>
      <c r="T2261">
        <v>0</v>
      </c>
      <c r="U2261">
        <v>0</v>
      </c>
      <c r="V2261">
        <v>0</v>
      </c>
      <c r="W2261">
        <v>0</v>
      </c>
      <c r="X2261">
        <v>0</v>
      </c>
      <c r="Y2261">
        <v>0</v>
      </c>
      <c r="Z2261">
        <v>0</v>
      </c>
      <c r="AA2261">
        <v>0</v>
      </c>
      <c r="AB2261">
        <v>0</v>
      </c>
      <c r="AC2261">
        <v>0</v>
      </c>
      <c r="AD2261">
        <v>0</v>
      </c>
      <c r="AE2261">
        <v>0</v>
      </c>
      <c r="AF2261">
        <v>0</v>
      </c>
      <c r="AG2261">
        <v>0</v>
      </c>
      <c r="AH2261">
        <v>0</v>
      </c>
      <c r="AI2261">
        <v>0</v>
      </c>
      <c r="AJ2261">
        <v>0</v>
      </c>
      <c r="AK2261">
        <v>0</v>
      </c>
      <c r="AL2261">
        <v>1</v>
      </c>
      <c r="AM2261">
        <v>0</v>
      </c>
      <c r="AN2261">
        <v>1</v>
      </c>
    </row>
    <row r="2262" spans="1:40" x14ac:dyDescent="0.3">
      <c r="A2262" t="s">
        <v>606</v>
      </c>
      <c r="B2262" t="s">
        <v>644</v>
      </c>
      <c r="C2262" t="s">
        <v>10</v>
      </c>
      <c r="D2262" t="s">
        <v>11</v>
      </c>
      <c r="E2262">
        <v>202602</v>
      </c>
      <c r="F2262" t="s">
        <v>132</v>
      </c>
      <c r="G2262">
        <v>0</v>
      </c>
      <c r="H2262">
        <v>0</v>
      </c>
      <c r="I2262">
        <v>0</v>
      </c>
      <c r="J2262">
        <v>0</v>
      </c>
      <c r="K2262">
        <v>0</v>
      </c>
      <c r="L2262">
        <v>0</v>
      </c>
      <c r="M2262">
        <v>0</v>
      </c>
      <c r="N2262">
        <v>0</v>
      </c>
      <c r="O2262">
        <v>0</v>
      </c>
      <c r="P2262">
        <v>0</v>
      </c>
      <c r="Q2262">
        <v>1</v>
      </c>
      <c r="R2262">
        <v>0</v>
      </c>
      <c r="S2262">
        <v>0</v>
      </c>
      <c r="T2262">
        <v>0</v>
      </c>
      <c r="U2262">
        <v>0</v>
      </c>
      <c r="V2262">
        <v>0</v>
      </c>
      <c r="W2262">
        <v>0</v>
      </c>
      <c r="X2262">
        <v>0</v>
      </c>
      <c r="Y2262">
        <v>0</v>
      </c>
      <c r="Z2262">
        <v>0</v>
      </c>
      <c r="AA2262">
        <v>0</v>
      </c>
      <c r="AB2262">
        <v>0</v>
      </c>
      <c r="AC2262">
        <v>0</v>
      </c>
      <c r="AD2262">
        <v>0</v>
      </c>
      <c r="AE2262">
        <v>0</v>
      </c>
      <c r="AF2262">
        <v>0</v>
      </c>
      <c r="AG2262">
        <v>0</v>
      </c>
      <c r="AH2262">
        <v>0</v>
      </c>
      <c r="AI2262">
        <v>0</v>
      </c>
      <c r="AJ2262">
        <v>0</v>
      </c>
      <c r="AK2262">
        <v>0</v>
      </c>
      <c r="AL2262">
        <v>1</v>
      </c>
      <c r="AM2262">
        <v>0.33333333333333331</v>
      </c>
      <c r="AN2262">
        <v>5.6046251398731117</v>
      </c>
    </row>
    <row r="2263" spans="1:40" x14ac:dyDescent="0.3">
      <c r="A2263" t="s">
        <v>606</v>
      </c>
      <c r="B2263" t="s">
        <v>644</v>
      </c>
      <c r="C2263" t="s">
        <v>10</v>
      </c>
      <c r="D2263" t="s">
        <v>11</v>
      </c>
      <c r="E2263">
        <v>202602</v>
      </c>
      <c r="F2263" t="s">
        <v>119</v>
      </c>
      <c r="G2263">
        <v>0</v>
      </c>
      <c r="H2263">
        <v>0</v>
      </c>
      <c r="I2263">
        <v>0</v>
      </c>
      <c r="J2263">
        <v>1</v>
      </c>
      <c r="K2263">
        <v>0</v>
      </c>
      <c r="L2263">
        <v>0</v>
      </c>
      <c r="M2263">
        <v>0</v>
      </c>
      <c r="N2263">
        <v>0</v>
      </c>
      <c r="O2263">
        <v>0</v>
      </c>
      <c r="P2263">
        <v>0</v>
      </c>
      <c r="Q2263">
        <v>0</v>
      </c>
      <c r="R2263">
        <v>0</v>
      </c>
      <c r="S2263">
        <v>0</v>
      </c>
      <c r="T2263">
        <v>0</v>
      </c>
      <c r="U2263">
        <v>0</v>
      </c>
      <c r="V2263">
        <v>0</v>
      </c>
      <c r="W2263">
        <v>0</v>
      </c>
      <c r="X2263">
        <v>0</v>
      </c>
      <c r="Y2263">
        <v>0</v>
      </c>
      <c r="Z2263">
        <v>0</v>
      </c>
      <c r="AA2263">
        <v>0</v>
      </c>
      <c r="AB2263">
        <v>0</v>
      </c>
      <c r="AC2263">
        <v>0</v>
      </c>
      <c r="AD2263">
        <v>0</v>
      </c>
      <c r="AE2263">
        <v>0</v>
      </c>
      <c r="AF2263">
        <v>0</v>
      </c>
      <c r="AG2263">
        <v>0</v>
      </c>
      <c r="AH2263">
        <v>0</v>
      </c>
      <c r="AI2263">
        <v>0</v>
      </c>
      <c r="AJ2263">
        <v>0</v>
      </c>
      <c r="AK2263">
        <v>0</v>
      </c>
      <c r="AL2263">
        <v>1</v>
      </c>
      <c r="AM2263">
        <v>0</v>
      </c>
      <c r="AN2263">
        <v>1</v>
      </c>
    </row>
    <row r="2264" spans="1:40" x14ac:dyDescent="0.3">
      <c r="A2264" t="s">
        <v>606</v>
      </c>
      <c r="B2264" t="s">
        <v>644</v>
      </c>
      <c r="C2264" t="s">
        <v>10</v>
      </c>
      <c r="D2264" t="s">
        <v>11</v>
      </c>
      <c r="E2264">
        <v>202602</v>
      </c>
      <c r="F2264" t="s">
        <v>122</v>
      </c>
      <c r="G2264">
        <v>0</v>
      </c>
      <c r="H2264">
        <v>0</v>
      </c>
      <c r="I2264">
        <v>1</v>
      </c>
      <c r="J2264">
        <v>0</v>
      </c>
      <c r="K2264">
        <v>0</v>
      </c>
      <c r="L2264">
        <v>0</v>
      </c>
      <c r="M2264">
        <v>0</v>
      </c>
      <c r="N2264">
        <v>0</v>
      </c>
      <c r="O2264">
        <v>0</v>
      </c>
      <c r="P2264">
        <v>0</v>
      </c>
      <c r="Q2264">
        <v>0</v>
      </c>
      <c r="R2264">
        <v>0</v>
      </c>
      <c r="S2264">
        <v>0</v>
      </c>
      <c r="T2264">
        <v>0</v>
      </c>
      <c r="U2264">
        <v>0</v>
      </c>
      <c r="V2264">
        <v>0</v>
      </c>
      <c r="W2264">
        <v>0</v>
      </c>
      <c r="X2264">
        <v>0</v>
      </c>
      <c r="Y2264">
        <v>0</v>
      </c>
      <c r="Z2264">
        <v>0</v>
      </c>
      <c r="AA2264">
        <v>0</v>
      </c>
      <c r="AB2264">
        <v>0</v>
      </c>
      <c r="AC2264">
        <v>0</v>
      </c>
      <c r="AD2264">
        <v>0</v>
      </c>
      <c r="AE2264">
        <v>0</v>
      </c>
      <c r="AF2264">
        <v>0</v>
      </c>
      <c r="AG2264">
        <v>0</v>
      </c>
      <c r="AH2264">
        <v>0</v>
      </c>
      <c r="AI2264">
        <v>0</v>
      </c>
      <c r="AJ2264">
        <v>0</v>
      </c>
      <c r="AK2264">
        <v>0</v>
      </c>
      <c r="AL2264">
        <v>1</v>
      </c>
      <c r="AM2264">
        <v>0</v>
      </c>
      <c r="AN2264">
        <v>1</v>
      </c>
    </row>
    <row r="2265" spans="1:40" x14ac:dyDescent="0.3">
      <c r="A2265" t="s">
        <v>606</v>
      </c>
      <c r="B2265" t="s">
        <v>644</v>
      </c>
      <c r="C2265" t="s">
        <v>10</v>
      </c>
      <c r="D2265" t="s">
        <v>11</v>
      </c>
      <c r="E2265">
        <v>202602</v>
      </c>
      <c r="F2265" t="s">
        <v>127</v>
      </c>
      <c r="G2265">
        <v>0</v>
      </c>
      <c r="H2265">
        <v>0</v>
      </c>
      <c r="I2265">
        <v>0</v>
      </c>
      <c r="J2265">
        <v>0</v>
      </c>
      <c r="K2265">
        <v>0</v>
      </c>
      <c r="L2265">
        <v>1</v>
      </c>
      <c r="M2265">
        <v>0</v>
      </c>
      <c r="N2265">
        <v>0</v>
      </c>
      <c r="O2265">
        <v>0</v>
      </c>
      <c r="P2265">
        <v>0</v>
      </c>
      <c r="Q2265">
        <v>0</v>
      </c>
      <c r="R2265">
        <v>0</v>
      </c>
      <c r="S2265">
        <v>0</v>
      </c>
      <c r="T2265">
        <v>0</v>
      </c>
      <c r="U2265">
        <v>0</v>
      </c>
      <c r="V2265">
        <v>0</v>
      </c>
      <c r="W2265">
        <v>0</v>
      </c>
      <c r="X2265">
        <v>0</v>
      </c>
      <c r="Y2265">
        <v>0</v>
      </c>
      <c r="Z2265">
        <v>0</v>
      </c>
      <c r="AA2265">
        <v>0</v>
      </c>
      <c r="AB2265">
        <v>0</v>
      </c>
      <c r="AC2265">
        <v>0</v>
      </c>
      <c r="AD2265">
        <v>0</v>
      </c>
      <c r="AE2265">
        <v>0</v>
      </c>
      <c r="AF2265">
        <v>0</v>
      </c>
      <c r="AG2265">
        <v>0</v>
      </c>
      <c r="AH2265">
        <v>0</v>
      </c>
      <c r="AI2265">
        <v>0</v>
      </c>
      <c r="AJ2265">
        <v>0</v>
      </c>
      <c r="AK2265">
        <v>0</v>
      </c>
      <c r="AL2265">
        <v>1</v>
      </c>
      <c r="AM2265">
        <v>0</v>
      </c>
      <c r="AN2265">
        <v>1</v>
      </c>
    </row>
    <row r="2266" spans="1:40" x14ac:dyDescent="0.3">
      <c r="A2266" t="s">
        <v>606</v>
      </c>
      <c r="B2266" t="s">
        <v>644</v>
      </c>
      <c r="C2266" t="s">
        <v>10</v>
      </c>
      <c r="D2266" t="s">
        <v>11</v>
      </c>
      <c r="E2266">
        <v>202602</v>
      </c>
      <c r="F2266" t="s">
        <v>630</v>
      </c>
      <c r="G2266">
        <v>0</v>
      </c>
      <c r="H2266">
        <v>0</v>
      </c>
      <c r="I2266">
        <v>1</v>
      </c>
      <c r="J2266">
        <v>0</v>
      </c>
      <c r="K2266">
        <v>0</v>
      </c>
      <c r="L2266">
        <v>0</v>
      </c>
      <c r="M2266">
        <v>0</v>
      </c>
      <c r="N2266">
        <v>0</v>
      </c>
      <c r="O2266">
        <v>0</v>
      </c>
      <c r="P2266">
        <v>0</v>
      </c>
      <c r="Q2266">
        <v>0</v>
      </c>
      <c r="R2266">
        <v>0</v>
      </c>
      <c r="S2266">
        <v>0</v>
      </c>
      <c r="T2266">
        <v>0</v>
      </c>
      <c r="U2266">
        <v>0</v>
      </c>
      <c r="V2266">
        <v>0</v>
      </c>
      <c r="W2266">
        <v>0</v>
      </c>
      <c r="X2266">
        <v>0</v>
      </c>
      <c r="Y2266">
        <v>0</v>
      </c>
      <c r="Z2266">
        <v>0</v>
      </c>
      <c r="AA2266">
        <v>0</v>
      </c>
      <c r="AB2266">
        <v>0</v>
      </c>
      <c r="AC2266">
        <v>0</v>
      </c>
      <c r="AD2266">
        <v>0</v>
      </c>
      <c r="AE2266">
        <v>0</v>
      </c>
      <c r="AF2266">
        <v>0</v>
      </c>
      <c r="AG2266">
        <v>0</v>
      </c>
      <c r="AH2266">
        <v>0</v>
      </c>
      <c r="AI2266">
        <v>0</v>
      </c>
      <c r="AJ2266">
        <v>0</v>
      </c>
      <c r="AK2266">
        <v>0</v>
      </c>
      <c r="AL2266">
        <v>1</v>
      </c>
      <c r="AM2266">
        <v>0</v>
      </c>
      <c r="AN2266">
        <v>1</v>
      </c>
    </row>
    <row r="2267" spans="1:40" x14ac:dyDescent="0.3">
      <c r="A2267" t="s">
        <v>606</v>
      </c>
      <c r="B2267" t="s">
        <v>644</v>
      </c>
      <c r="C2267" t="s">
        <v>10</v>
      </c>
      <c r="D2267" t="s">
        <v>14</v>
      </c>
      <c r="E2267">
        <v>202602</v>
      </c>
      <c r="F2267" t="s">
        <v>110</v>
      </c>
      <c r="G2267">
        <v>0</v>
      </c>
      <c r="H2267">
        <v>0</v>
      </c>
      <c r="I2267">
        <v>1</v>
      </c>
      <c r="J2267">
        <v>0</v>
      </c>
      <c r="K2267">
        <v>0</v>
      </c>
      <c r="L2267">
        <v>0</v>
      </c>
      <c r="M2267">
        <v>0</v>
      </c>
      <c r="N2267">
        <v>0</v>
      </c>
      <c r="O2267">
        <v>0</v>
      </c>
      <c r="P2267">
        <v>0</v>
      </c>
      <c r="Q2267">
        <v>0</v>
      </c>
      <c r="R2267">
        <v>0</v>
      </c>
      <c r="S2267">
        <v>0</v>
      </c>
      <c r="T2267">
        <v>0</v>
      </c>
      <c r="U2267">
        <v>0</v>
      </c>
      <c r="V2267">
        <v>0</v>
      </c>
      <c r="W2267">
        <v>0</v>
      </c>
      <c r="X2267">
        <v>0</v>
      </c>
      <c r="Y2267">
        <v>0</v>
      </c>
      <c r="Z2267">
        <v>0</v>
      </c>
      <c r="AA2267">
        <v>0</v>
      </c>
      <c r="AB2267">
        <v>0</v>
      </c>
      <c r="AC2267">
        <v>0</v>
      </c>
      <c r="AD2267">
        <v>0</v>
      </c>
      <c r="AE2267">
        <v>0</v>
      </c>
      <c r="AF2267">
        <v>0</v>
      </c>
      <c r="AG2267">
        <v>0</v>
      </c>
      <c r="AH2267">
        <v>0</v>
      </c>
      <c r="AI2267">
        <v>0</v>
      </c>
      <c r="AJ2267">
        <v>0</v>
      </c>
      <c r="AK2267">
        <v>0</v>
      </c>
      <c r="AL2267">
        <v>1</v>
      </c>
      <c r="AM2267">
        <v>0</v>
      </c>
      <c r="AN2267">
        <v>1</v>
      </c>
    </row>
    <row r="2268" spans="1:40" x14ac:dyDescent="0.3">
      <c r="A2268" t="s">
        <v>606</v>
      </c>
      <c r="B2268" t="s">
        <v>644</v>
      </c>
      <c r="C2268" t="s">
        <v>10</v>
      </c>
      <c r="D2268" t="s">
        <v>14</v>
      </c>
      <c r="E2268">
        <v>202602</v>
      </c>
      <c r="F2268" t="s">
        <v>61</v>
      </c>
      <c r="G2268">
        <v>0</v>
      </c>
      <c r="H2268">
        <v>0</v>
      </c>
      <c r="I2268">
        <v>0</v>
      </c>
      <c r="J2268">
        <v>0</v>
      </c>
      <c r="K2268">
        <v>0</v>
      </c>
      <c r="L2268">
        <v>0</v>
      </c>
      <c r="M2268">
        <v>0</v>
      </c>
      <c r="N2268">
        <v>0</v>
      </c>
      <c r="O2268">
        <v>1</v>
      </c>
      <c r="P2268">
        <v>0</v>
      </c>
      <c r="Q2268">
        <v>0</v>
      </c>
      <c r="R2268">
        <v>0</v>
      </c>
      <c r="S2268">
        <v>0</v>
      </c>
      <c r="T2268">
        <v>0</v>
      </c>
      <c r="U2268">
        <v>0</v>
      </c>
      <c r="V2268">
        <v>0</v>
      </c>
      <c r="W2268">
        <v>0</v>
      </c>
      <c r="X2268">
        <v>0</v>
      </c>
      <c r="Y2268">
        <v>0</v>
      </c>
      <c r="Z2268">
        <v>0</v>
      </c>
      <c r="AA2268">
        <v>0</v>
      </c>
      <c r="AB2268">
        <v>0</v>
      </c>
      <c r="AC2268">
        <v>0</v>
      </c>
      <c r="AD2268">
        <v>0</v>
      </c>
      <c r="AE2268">
        <v>0</v>
      </c>
      <c r="AF2268">
        <v>0</v>
      </c>
      <c r="AG2268">
        <v>0</v>
      </c>
      <c r="AH2268">
        <v>0</v>
      </c>
      <c r="AI2268">
        <v>0</v>
      </c>
      <c r="AJ2268">
        <v>0</v>
      </c>
      <c r="AK2268">
        <v>0</v>
      </c>
      <c r="AL2268">
        <v>1</v>
      </c>
      <c r="AM2268">
        <v>0.33333333333333331</v>
      </c>
      <c r="AN2268">
        <v>5.0417410714286133</v>
      </c>
    </row>
    <row r="2269" spans="1:40" x14ac:dyDescent="0.3">
      <c r="A2269" t="s">
        <v>606</v>
      </c>
      <c r="B2269" t="s">
        <v>644</v>
      </c>
      <c r="C2269" t="s">
        <v>10</v>
      </c>
      <c r="D2269" t="s">
        <v>14</v>
      </c>
      <c r="E2269">
        <v>202602</v>
      </c>
      <c r="F2269" t="s">
        <v>114</v>
      </c>
      <c r="G2269">
        <v>0</v>
      </c>
      <c r="H2269">
        <v>0</v>
      </c>
      <c r="I2269">
        <v>1</v>
      </c>
      <c r="J2269">
        <v>2</v>
      </c>
      <c r="K2269">
        <v>2</v>
      </c>
      <c r="L2269">
        <v>1</v>
      </c>
      <c r="M2269">
        <v>0</v>
      </c>
      <c r="N2269">
        <v>0</v>
      </c>
      <c r="O2269">
        <v>0</v>
      </c>
      <c r="P2269">
        <v>0</v>
      </c>
      <c r="Q2269">
        <v>1</v>
      </c>
      <c r="R2269">
        <v>0</v>
      </c>
      <c r="S2269">
        <v>0</v>
      </c>
      <c r="T2269">
        <v>0</v>
      </c>
      <c r="U2269">
        <v>0</v>
      </c>
      <c r="V2269">
        <v>0</v>
      </c>
      <c r="W2269">
        <v>0</v>
      </c>
      <c r="X2269">
        <v>0</v>
      </c>
      <c r="Y2269">
        <v>0</v>
      </c>
      <c r="Z2269">
        <v>0</v>
      </c>
      <c r="AA2269">
        <v>0</v>
      </c>
      <c r="AB2269">
        <v>0</v>
      </c>
      <c r="AC2269">
        <v>0</v>
      </c>
      <c r="AD2269">
        <v>0</v>
      </c>
      <c r="AE2269">
        <v>0</v>
      </c>
      <c r="AF2269">
        <v>0</v>
      </c>
      <c r="AG2269">
        <v>0</v>
      </c>
      <c r="AH2269">
        <v>0</v>
      </c>
      <c r="AI2269">
        <v>0</v>
      </c>
      <c r="AJ2269">
        <v>0</v>
      </c>
      <c r="AK2269">
        <v>0</v>
      </c>
      <c r="AL2269">
        <v>7</v>
      </c>
      <c r="AM2269">
        <v>0.33333333333333331</v>
      </c>
      <c r="AN2269">
        <v>11.041741071428614</v>
      </c>
    </row>
    <row r="2270" spans="1:40" x14ac:dyDescent="0.3">
      <c r="A2270" t="s">
        <v>606</v>
      </c>
      <c r="B2270" t="s">
        <v>644</v>
      </c>
      <c r="C2270" t="s">
        <v>10</v>
      </c>
      <c r="D2270" t="s">
        <v>14</v>
      </c>
      <c r="E2270">
        <v>202602</v>
      </c>
      <c r="F2270" t="s">
        <v>115</v>
      </c>
      <c r="G2270">
        <v>0</v>
      </c>
      <c r="H2270">
        <v>0</v>
      </c>
      <c r="I2270">
        <v>0</v>
      </c>
      <c r="J2270">
        <v>0</v>
      </c>
      <c r="K2270">
        <v>1</v>
      </c>
      <c r="L2270">
        <v>0</v>
      </c>
      <c r="M2270">
        <v>0</v>
      </c>
      <c r="N2270">
        <v>0</v>
      </c>
      <c r="O2270">
        <v>0</v>
      </c>
      <c r="P2270">
        <v>0</v>
      </c>
      <c r="Q2270">
        <v>0</v>
      </c>
      <c r="R2270">
        <v>0</v>
      </c>
      <c r="S2270">
        <v>0</v>
      </c>
      <c r="T2270">
        <v>0</v>
      </c>
      <c r="U2270">
        <v>0</v>
      </c>
      <c r="V2270">
        <v>0</v>
      </c>
      <c r="W2270">
        <v>0</v>
      </c>
      <c r="X2270">
        <v>0</v>
      </c>
      <c r="Y2270">
        <v>0</v>
      </c>
      <c r="Z2270">
        <v>0</v>
      </c>
      <c r="AA2270">
        <v>0</v>
      </c>
      <c r="AB2270">
        <v>0</v>
      </c>
      <c r="AC2270">
        <v>0</v>
      </c>
      <c r="AD2270">
        <v>0</v>
      </c>
      <c r="AE2270">
        <v>0</v>
      </c>
      <c r="AF2270">
        <v>0</v>
      </c>
      <c r="AG2270">
        <v>0</v>
      </c>
      <c r="AH2270">
        <v>0</v>
      </c>
      <c r="AI2270">
        <v>0</v>
      </c>
      <c r="AJ2270">
        <v>0</v>
      </c>
      <c r="AK2270">
        <v>0</v>
      </c>
      <c r="AL2270">
        <v>1</v>
      </c>
      <c r="AM2270">
        <v>0</v>
      </c>
      <c r="AN2270">
        <v>1</v>
      </c>
    </row>
    <row r="2271" spans="1:40" x14ac:dyDescent="0.3">
      <c r="A2271" t="s">
        <v>606</v>
      </c>
      <c r="B2271" t="s">
        <v>644</v>
      </c>
      <c r="C2271" t="s">
        <v>10</v>
      </c>
      <c r="D2271" t="s">
        <v>14</v>
      </c>
      <c r="E2271">
        <v>202602</v>
      </c>
      <c r="F2271" t="s">
        <v>629</v>
      </c>
      <c r="G2271">
        <v>0</v>
      </c>
      <c r="H2271">
        <v>1</v>
      </c>
      <c r="I2271">
        <v>0</v>
      </c>
      <c r="J2271">
        <v>0</v>
      </c>
      <c r="K2271">
        <v>0</v>
      </c>
      <c r="L2271">
        <v>0</v>
      </c>
      <c r="M2271">
        <v>0</v>
      </c>
      <c r="N2271">
        <v>0</v>
      </c>
      <c r="O2271">
        <v>0</v>
      </c>
      <c r="P2271">
        <v>0</v>
      </c>
      <c r="Q2271">
        <v>0</v>
      </c>
      <c r="R2271">
        <v>0</v>
      </c>
      <c r="S2271">
        <v>0</v>
      </c>
      <c r="T2271">
        <v>0</v>
      </c>
      <c r="U2271">
        <v>0</v>
      </c>
      <c r="V2271">
        <v>0</v>
      </c>
      <c r="W2271">
        <v>0</v>
      </c>
      <c r="X2271">
        <v>0</v>
      </c>
      <c r="Y2271">
        <v>0</v>
      </c>
      <c r="Z2271">
        <v>0</v>
      </c>
      <c r="AA2271">
        <v>0</v>
      </c>
      <c r="AB2271">
        <v>0</v>
      </c>
      <c r="AC2271">
        <v>0</v>
      </c>
      <c r="AD2271">
        <v>0</v>
      </c>
      <c r="AE2271">
        <v>0</v>
      </c>
      <c r="AF2271">
        <v>0</v>
      </c>
      <c r="AG2271">
        <v>0</v>
      </c>
      <c r="AH2271">
        <v>0</v>
      </c>
      <c r="AI2271">
        <v>0</v>
      </c>
      <c r="AJ2271">
        <v>0</v>
      </c>
      <c r="AK2271">
        <v>0</v>
      </c>
      <c r="AL2271">
        <v>1</v>
      </c>
      <c r="AM2271">
        <v>0</v>
      </c>
      <c r="AN2271">
        <v>1</v>
      </c>
    </row>
    <row r="2272" spans="1:40" x14ac:dyDescent="0.3">
      <c r="A2272" t="s">
        <v>606</v>
      </c>
      <c r="B2272" t="s">
        <v>644</v>
      </c>
      <c r="C2272" t="s">
        <v>10</v>
      </c>
      <c r="D2272" t="s">
        <v>14</v>
      </c>
      <c r="E2272">
        <v>202602</v>
      </c>
      <c r="F2272" t="s">
        <v>116</v>
      </c>
      <c r="G2272">
        <v>0</v>
      </c>
      <c r="H2272">
        <v>0</v>
      </c>
      <c r="I2272">
        <v>1</v>
      </c>
      <c r="J2272">
        <v>0</v>
      </c>
      <c r="K2272">
        <v>0</v>
      </c>
      <c r="L2272">
        <v>0</v>
      </c>
      <c r="M2272">
        <v>1</v>
      </c>
      <c r="N2272">
        <v>0</v>
      </c>
      <c r="O2272">
        <v>0</v>
      </c>
      <c r="P2272">
        <v>1</v>
      </c>
      <c r="Q2272">
        <v>1</v>
      </c>
      <c r="R2272">
        <v>0</v>
      </c>
      <c r="S2272">
        <v>0</v>
      </c>
      <c r="T2272">
        <v>0</v>
      </c>
      <c r="U2272">
        <v>0</v>
      </c>
      <c r="V2272">
        <v>0</v>
      </c>
      <c r="W2272">
        <v>0</v>
      </c>
      <c r="X2272">
        <v>0</v>
      </c>
      <c r="Y2272">
        <v>0</v>
      </c>
      <c r="Z2272">
        <v>0</v>
      </c>
      <c r="AA2272">
        <v>0</v>
      </c>
      <c r="AB2272">
        <v>0</v>
      </c>
      <c r="AC2272">
        <v>0</v>
      </c>
      <c r="AD2272">
        <v>0</v>
      </c>
      <c r="AE2272">
        <v>0</v>
      </c>
      <c r="AF2272">
        <v>0</v>
      </c>
      <c r="AG2272">
        <v>0</v>
      </c>
      <c r="AH2272">
        <v>0</v>
      </c>
      <c r="AI2272">
        <v>0</v>
      </c>
      <c r="AJ2272">
        <v>0</v>
      </c>
      <c r="AK2272">
        <v>0</v>
      </c>
      <c r="AL2272">
        <v>4</v>
      </c>
      <c r="AM2272">
        <v>0.66666666666666663</v>
      </c>
      <c r="AN2272">
        <v>12.083482142857227</v>
      </c>
    </row>
    <row r="2273" spans="1:40" x14ac:dyDescent="0.3">
      <c r="A2273" t="s">
        <v>606</v>
      </c>
      <c r="B2273" t="s">
        <v>644</v>
      </c>
      <c r="C2273" t="s">
        <v>10</v>
      </c>
      <c r="D2273" t="s">
        <v>14</v>
      </c>
      <c r="E2273">
        <v>202602</v>
      </c>
      <c r="F2273" t="s">
        <v>130</v>
      </c>
      <c r="G2273">
        <v>0</v>
      </c>
      <c r="H2273">
        <v>1</v>
      </c>
      <c r="I2273">
        <v>2</v>
      </c>
      <c r="J2273">
        <v>1</v>
      </c>
      <c r="K2273">
        <v>0</v>
      </c>
      <c r="L2273">
        <v>2</v>
      </c>
      <c r="M2273">
        <v>0</v>
      </c>
      <c r="N2273">
        <v>0</v>
      </c>
      <c r="O2273">
        <v>1</v>
      </c>
      <c r="P2273">
        <v>0</v>
      </c>
      <c r="Q2273">
        <v>1</v>
      </c>
      <c r="R2273">
        <v>0</v>
      </c>
      <c r="S2273">
        <v>0</v>
      </c>
      <c r="T2273">
        <v>0</v>
      </c>
      <c r="U2273">
        <v>0</v>
      </c>
      <c r="V2273">
        <v>0</v>
      </c>
      <c r="W2273">
        <v>0</v>
      </c>
      <c r="X2273">
        <v>0</v>
      </c>
      <c r="Y2273">
        <v>0</v>
      </c>
      <c r="Z2273">
        <v>0</v>
      </c>
      <c r="AA2273">
        <v>0</v>
      </c>
      <c r="AB2273">
        <v>0</v>
      </c>
      <c r="AC2273">
        <v>0</v>
      </c>
      <c r="AD2273">
        <v>0</v>
      </c>
      <c r="AE2273">
        <v>0</v>
      </c>
      <c r="AF2273">
        <v>0</v>
      </c>
      <c r="AG2273">
        <v>0</v>
      </c>
      <c r="AH2273">
        <v>0</v>
      </c>
      <c r="AI2273">
        <v>0</v>
      </c>
      <c r="AJ2273">
        <v>0</v>
      </c>
      <c r="AK2273">
        <v>0</v>
      </c>
      <c r="AL2273">
        <v>8</v>
      </c>
      <c r="AM2273">
        <v>0.66666666666666663</v>
      </c>
      <c r="AN2273">
        <v>16.083482142857228</v>
      </c>
    </row>
    <row r="2274" spans="1:40" x14ac:dyDescent="0.3">
      <c r="A2274" t="s">
        <v>606</v>
      </c>
      <c r="B2274" t="s">
        <v>644</v>
      </c>
      <c r="C2274" t="s">
        <v>10</v>
      </c>
      <c r="D2274" t="s">
        <v>14</v>
      </c>
      <c r="E2274">
        <v>202602</v>
      </c>
      <c r="F2274" t="s">
        <v>117</v>
      </c>
      <c r="G2274">
        <v>0</v>
      </c>
      <c r="H2274">
        <v>0</v>
      </c>
      <c r="I2274">
        <v>1</v>
      </c>
      <c r="J2274">
        <v>0</v>
      </c>
      <c r="K2274">
        <v>0</v>
      </c>
      <c r="L2274">
        <v>0</v>
      </c>
      <c r="M2274">
        <v>0</v>
      </c>
      <c r="N2274">
        <v>0</v>
      </c>
      <c r="O2274">
        <v>0</v>
      </c>
      <c r="P2274">
        <v>0</v>
      </c>
      <c r="Q2274">
        <v>0</v>
      </c>
      <c r="R2274">
        <v>0</v>
      </c>
      <c r="S2274">
        <v>0</v>
      </c>
      <c r="T2274">
        <v>0</v>
      </c>
      <c r="U2274">
        <v>0</v>
      </c>
      <c r="V2274">
        <v>0</v>
      </c>
      <c r="W2274">
        <v>0</v>
      </c>
      <c r="X2274">
        <v>0</v>
      </c>
      <c r="Y2274">
        <v>0</v>
      </c>
      <c r="Z2274">
        <v>0</v>
      </c>
      <c r="AA2274">
        <v>0</v>
      </c>
      <c r="AB2274">
        <v>0</v>
      </c>
      <c r="AC2274">
        <v>0</v>
      </c>
      <c r="AD2274">
        <v>0</v>
      </c>
      <c r="AE2274">
        <v>0</v>
      </c>
      <c r="AF2274">
        <v>0</v>
      </c>
      <c r="AG2274">
        <v>0</v>
      </c>
      <c r="AH2274">
        <v>0</v>
      </c>
      <c r="AI2274">
        <v>0</v>
      </c>
      <c r="AJ2274">
        <v>0</v>
      </c>
      <c r="AK2274">
        <v>0</v>
      </c>
      <c r="AL2274">
        <v>1</v>
      </c>
      <c r="AM2274">
        <v>0</v>
      </c>
      <c r="AN2274">
        <v>1</v>
      </c>
    </row>
    <row r="2275" spans="1:40" x14ac:dyDescent="0.3">
      <c r="A2275" t="s">
        <v>606</v>
      </c>
      <c r="B2275" t="s">
        <v>644</v>
      </c>
      <c r="C2275" t="s">
        <v>10</v>
      </c>
      <c r="D2275" t="s">
        <v>14</v>
      </c>
      <c r="E2275">
        <v>202602</v>
      </c>
      <c r="F2275" t="s">
        <v>132</v>
      </c>
      <c r="G2275">
        <v>0</v>
      </c>
      <c r="H2275">
        <v>0</v>
      </c>
      <c r="I2275">
        <v>0</v>
      </c>
      <c r="J2275">
        <v>0</v>
      </c>
      <c r="K2275">
        <v>0</v>
      </c>
      <c r="L2275">
        <v>1</v>
      </c>
      <c r="M2275">
        <v>0</v>
      </c>
      <c r="N2275">
        <v>0</v>
      </c>
      <c r="O2275">
        <v>0</v>
      </c>
      <c r="P2275">
        <v>0</v>
      </c>
      <c r="Q2275">
        <v>0</v>
      </c>
      <c r="R2275">
        <v>0</v>
      </c>
      <c r="S2275">
        <v>0</v>
      </c>
      <c r="T2275">
        <v>0</v>
      </c>
      <c r="U2275">
        <v>0</v>
      </c>
      <c r="V2275">
        <v>0</v>
      </c>
      <c r="W2275">
        <v>0</v>
      </c>
      <c r="X2275">
        <v>0</v>
      </c>
      <c r="Y2275">
        <v>0</v>
      </c>
      <c r="Z2275">
        <v>0</v>
      </c>
      <c r="AA2275">
        <v>0</v>
      </c>
      <c r="AB2275">
        <v>0</v>
      </c>
      <c r="AC2275">
        <v>0</v>
      </c>
      <c r="AD2275">
        <v>0</v>
      </c>
      <c r="AE2275">
        <v>0</v>
      </c>
      <c r="AF2275">
        <v>0</v>
      </c>
      <c r="AG2275">
        <v>0</v>
      </c>
      <c r="AH2275">
        <v>0</v>
      </c>
      <c r="AI2275">
        <v>0</v>
      </c>
      <c r="AJ2275">
        <v>0</v>
      </c>
      <c r="AK2275">
        <v>0</v>
      </c>
      <c r="AL2275">
        <v>1</v>
      </c>
      <c r="AM2275">
        <v>0</v>
      </c>
      <c r="AN2275">
        <v>1</v>
      </c>
    </row>
    <row r="2276" spans="1:40" x14ac:dyDescent="0.3">
      <c r="A2276" t="s">
        <v>606</v>
      </c>
      <c r="B2276" t="s">
        <v>644</v>
      </c>
      <c r="C2276" t="s">
        <v>10</v>
      </c>
      <c r="D2276" t="s">
        <v>14</v>
      </c>
      <c r="E2276">
        <v>202602</v>
      </c>
      <c r="F2276" t="s">
        <v>119</v>
      </c>
      <c r="G2276">
        <v>0</v>
      </c>
      <c r="H2276">
        <v>0</v>
      </c>
      <c r="I2276">
        <v>1</v>
      </c>
      <c r="J2276">
        <v>0</v>
      </c>
      <c r="K2276">
        <v>0</v>
      </c>
      <c r="L2276">
        <v>0</v>
      </c>
      <c r="M2276">
        <v>0</v>
      </c>
      <c r="N2276">
        <v>0</v>
      </c>
      <c r="O2276">
        <v>0</v>
      </c>
      <c r="P2276">
        <v>1</v>
      </c>
      <c r="Q2276">
        <v>2</v>
      </c>
      <c r="R2276">
        <v>0</v>
      </c>
      <c r="S2276">
        <v>0</v>
      </c>
      <c r="T2276">
        <v>0</v>
      </c>
      <c r="U2276">
        <v>0</v>
      </c>
      <c r="V2276">
        <v>0</v>
      </c>
      <c r="W2276">
        <v>0</v>
      </c>
      <c r="X2276">
        <v>0</v>
      </c>
      <c r="Y2276">
        <v>0</v>
      </c>
      <c r="Z2276">
        <v>0</v>
      </c>
      <c r="AA2276">
        <v>0</v>
      </c>
      <c r="AB2276">
        <v>0</v>
      </c>
      <c r="AC2276">
        <v>0</v>
      </c>
      <c r="AD2276">
        <v>0</v>
      </c>
      <c r="AE2276">
        <v>0</v>
      </c>
      <c r="AF2276">
        <v>0</v>
      </c>
      <c r="AG2276">
        <v>0</v>
      </c>
      <c r="AH2276">
        <v>0</v>
      </c>
      <c r="AI2276">
        <v>0</v>
      </c>
      <c r="AJ2276">
        <v>0</v>
      </c>
      <c r="AK2276">
        <v>0</v>
      </c>
      <c r="AL2276">
        <v>4</v>
      </c>
      <c r="AM2276">
        <v>1</v>
      </c>
      <c r="AN2276">
        <v>16.125223214285839</v>
      </c>
    </row>
    <row r="2277" spans="1:40" x14ac:dyDescent="0.3">
      <c r="A2277" t="s">
        <v>606</v>
      </c>
      <c r="B2277" t="s">
        <v>644</v>
      </c>
      <c r="C2277" t="s">
        <v>10</v>
      </c>
      <c r="D2277" t="s">
        <v>14</v>
      </c>
      <c r="E2277">
        <v>202602</v>
      </c>
      <c r="F2277" t="s">
        <v>122</v>
      </c>
      <c r="G2277">
        <v>0</v>
      </c>
      <c r="H2277">
        <v>1</v>
      </c>
      <c r="I2277">
        <v>0</v>
      </c>
      <c r="J2277">
        <v>0</v>
      </c>
      <c r="K2277">
        <v>0</v>
      </c>
      <c r="L2277">
        <v>0</v>
      </c>
      <c r="M2277">
        <v>0</v>
      </c>
      <c r="N2277">
        <v>0</v>
      </c>
      <c r="O2277">
        <v>0</v>
      </c>
      <c r="P2277">
        <v>0</v>
      </c>
      <c r="Q2277">
        <v>0</v>
      </c>
      <c r="R2277">
        <v>0</v>
      </c>
      <c r="S2277">
        <v>0</v>
      </c>
      <c r="T2277">
        <v>0</v>
      </c>
      <c r="U2277">
        <v>0</v>
      </c>
      <c r="V2277">
        <v>0</v>
      </c>
      <c r="W2277">
        <v>0</v>
      </c>
      <c r="X2277">
        <v>0</v>
      </c>
      <c r="Y2277">
        <v>0</v>
      </c>
      <c r="Z2277">
        <v>0</v>
      </c>
      <c r="AA2277">
        <v>0</v>
      </c>
      <c r="AB2277">
        <v>0</v>
      </c>
      <c r="AC2277">
        <v>0</v>
      </c>
      <c r="AD2277">
        <v>0</v>
      </c>
      <c r="AE2277">
        <v>0</v>
      </c>
      <c r="AF2277">
        <v>0</v>
      </c>
      <c r="AG2277">
        <v>0</v>
      </c>
      <c r="AH2277">
        <v>0</v>
      </c>
      <c r="AI2277">
        <v>0</v>
      </c>
      <c r="AJ2277">
        <v>0</v>
      </c>
      <c r="AK2277">
        <v>0</v>
      </c>
      <c r="AL2277">
        <v>1</v>
      </c>
      <c r="AM2277">
        <v>0</v>
      </c>
      <c r="AN2277">
        <v>1</v>
      </c>
    </row>
    <row r="2278" spans="1:40" x14ac:dyDescent="0.3">
      <c r="A2278" t="s">
        <v>606</v>
      </c>
      <c r="B2278" t="s">
        <v>644</v>
      </c>
      <c r="C2278" t="s">
        <v>10</v>
      </c>
      <c r="D2278" t="s">
        <v>14</v>
      </c>
      <c r="E2278">
        <v>202602</v>
      </c>
      <c r="F2278" t="s">
        <v>123</v>
      </c>
      <c r="G2278">
        <v>0</v>
      </c>
      <c r="H2278">
        <v>0</v>
      </c>
      <c r="I2278">
        <v>0</v>
      </c>
      <c r="J2278">
        <v>0</v>
      </c>
      <c r="K2278">
        <v>1</v>
      </c>
      <c r="L2278">
        <v>0</v>
      </c>
      <c r="M2278">
        <v>0</v>
      </c>
      <c r="N2278">
        <v>0</v>
      </c>
      <c r="O2278">
        <v>0</v>
      </c>
      <c r="P2278">
        <v>0</v>
      </c>
      <c r="Q2278">
        <v>0</v>
      </c>
      <c r="R2278">
        <v>0</v>
      </c>
      <c r="S2278">
        <v>0</v>
      </c>
      <c r="T2278">
        <v>0</v>
      </c>
      <c r="U2278">
        <v>0</v>
      </c>
      <c r="V2278">
        <v>0</v>
      </c>
      <c r="W2278">
        <v>0</v>
      </c>
      <c r="X2278">
        <v>0</v>
      </c>
      <c r="Y2278">
        <v>0</v>
      </c>
      <c r="Z2278">
        <v>0</v>
      </c>
      <c r="AA2278">
        <v>0</v>
      </c>
      <c r="AB2278">
        <v>0</v>
      </c>
      <c r="AC2278">
        <v>0</v>
      </c>
      <c r="AD2278">
        <v>0</v>
      </c>
      <c r="AE2278">
        <v>0</v>
      </c>
      <c r="AF2278">
        <v>0</v>
      </c>
      <c r="AG2278">
        <v>0</v>
      </c>
      <c r="AH2278">
        <v>0</v>
      </c>
      <c r="AI2278">
        <v>0</v>
      </c>
      <c r="AJ2278">
        <v>0</v>
      </c>
      <c r="AK2278">
        <v>0</v>
      </c>
      <c r="AL2278">
        <v>1</v>
      </c>
      <c r="AM2278">
        <v>0</v>
      </c>
      <c r="AN2278">
        <v>1</v>
      </c>
    </row>
    <row r="2279" spans="1:40" x14ac:dyDescent="0.3">
      <c r="A2279" t="s">
        <v>606</v>
      </c>
      <c r="B2279" t="s">
        <v>644</v>
      </c>
      <c r="C2279" t="s">
        <v>10</v>
      </c>
      <c r="D2279" t="s">
        <v>14</v>
      </c>
      <c r="E2279">
        <v>202602</v>
      </c>
      <c r="F2279" t="s">
        <v>127</v>
      </c>
      <c r="G2279">
        <v>0</v>
      </c>
      <c r="H2279">
        <v>0</v>
      </c>
      <c r="I2279">
        <v>0</v>
      </c>
      <c r="J2279">
        <v>0</v>
      </c>
      <c r="K2279">
        <v>1</v>
      </c>
      <c r="L2279">
        <v>1</v>
      </c>
      <c r="M2279">
        <v>0</v>
      </c>
      <c r="N2279">
        <v>0</v>
      </c>
      <c r="O2279">
        <v>0</v>
      </c>
      <c r="P2279">
        <v>0</v>
      </c>
      <c r="Q2279">
        <v>0</v>
      </c>
      <c r="R2279">
        <v>0</v>
      </c>
      <c r="S2279">
        <v>0</v>
      </c>
      <c r="T2279">
        <v>0</v>
      </c>
      <c r="U2279">
        <v>0</v>
      </c>
      <c r="V2279">
        <v>0</v>
      </c>
      <c r="W2279">
        <v>0</v>
      </c>
      <c r="X2279">
        <v>0</v>
      </c>
      <c r="Y2279">
        <v>0</v>
      </c>
      <c r="Z2279">
        <v>0</v>
      </c>
      <c r="AA2279">
        <v>0</v>
      </c>
      <c r="AB2279">
        <v>0</v>
      </c>
      <c r="AC2279">
        <v>0</v>
      </c>
      <c r="AD2279">
        <v>0</v>
      </c>
      <c r="AE2279">
        <v>0</v>
      </c>
      <c r="AF2279">
        <v>0</v>
      </c>
      <c r="AG2279">
        <v>0</v>
      </c>
      <c r="AH2279">
        <v>0</v>
      </c>
      <c r="AI2279">
        <v>0</v>
      </c>
      <c r="AJ2279">
        <v>0</v>
      </c>
      <c r="AK2279">
        <v>0</v>
      </c>
      <c r="AL2279">
        <v>2</v>
      </c>
      <c r="AM2279">
        <v>0</v>
      </c>
      <c r="AN2279">
        <v>2</v>
      </c>
    </row>
    <row r="2280" spans="1:40" x14ac:dyDescent="0.3">
      <c r="A2280" t="s">
        <v>606</v>
      </c>
      <c r="B2280" t="s">
        <v>644</v>
      </c>
      <c r="C2280" t="s">
        <v>10</v>
      </c>
      <c r="D2280" t="s">
        <v>14</v>
      </c>
      <c r="E2280">
        <v>202602</v>
      </c>
      <c r="F2280" t="s">
        <v>630</v>
      </c>
      <c r="G2280">
        <v>0</v>
      </c>
      <c r="H2280">
        <v>1</v>
      </c>
      <c r="I2280">
        <v>0</v>
      </c>
      <c r="J2280">
        <v>0</v>
      </c>
      <c r="K2280">
        <v>0</v>
      </c>
      <c r="L2280">
        <v>0</v>
      </c>
      <c r="M2280">
        <v>0</v>
      </c>
      <c r="N2280">
        <v>0</v>
      </c>
      <c r="O2280">
        <v>0</v>
      </c>
      <c r="P2280">
        <v>0</v>
      </c>
      <c r="Q2280">
        <v>0</v>
      </c>
      <c r="R2280">
        <v>0</v>
      </c>
      <c r="S2280">
        <v>0</v>
      </c>
      <c r="T2280">
        <v>0</v>
      </c>
      <c r="U2280">
        <v>0</v>
      </c>
      <c r="V2280">
        <v>0</v>
      </c>
      <c r="W2280">
        <v>0</v>
      </c>
      <c r="X2280">
        <v>0</v>
      </c>
      <c r="Y2280">
        <v>0</v>
      </c>
      <c r="Z2280">
        <v>0</v>
      </c>
      <c r="AA2280">
        <v>0</v>
      </c>
      <c r="AB2280">
        <v>0</v>
      </c>
      <c r="AC2280">
        <v>0</v>
      </c>
      <c r="AD2280">
        <v>0</v>
      </c>
      <c r="AE2280">
        <v>0</v>
      </c>
      <c r="AF2280">
        <v>0</v>
      </c>
      <c r="AG2280">
        <v>0</v>
      </c>
      <c r="AH2280">
        <v>0</v>
      </c>
      <c r="AI2280">
        <v>0</v>
      </c>
      <c r="AJ2280">
        <v>0</v>
      </c>
      <c r="AK2280">
        <v>0</v>
      </c>
      <c r="AL2280">
        <v>1</v>
      </c>
      <c r="AM2280">
        <v>0</v>
      </c>
      <c r="AN2280">
        <v>1</v>
      </c>
    </row>
    <row r="2281" spans="1:40" x14ac:dyDescent="0.3">
      <c r="A2281" t="s">
        <v>606</v>
      </c>
      <c r="B2281" t="s">
        <v>644</v>
      </c>
      <c r="C2281" t="s">
        <v>10</v>
      </c>
      <c r="D2281" t="s">
        <v>14</v>
      </c>
      <c r="E2281">
        <v>202602</v>
      </c>
      <c r="F2281" t="s">
        <v>631</v>
      </c>
      <c r="G2281">
        <v>0</v>
      </c>
      <c r="H2281">
        <v>0</v>
      </c>
      <c r="I2281">
        <v>0</v>
      </c>
      <c r="J2281">
        <v>0</v>
      </c>
      <c r="K2281">
        <v>0</v>
      </c>
      <c r="L2281">
        <v>0</v>
      </c>
      <c r="M2281">
        <v>0</v>
      </c>
      <c r="N2281">
        <v>0</v>
      </c>
      <c r="O2281">
        <v>1</v>
      </c>
      <c r="P2281">
        <v>0</v>
      </c>
      <c r="Q2281">
        <v>0</v>
      </c>
      <c r="R2281">
        <v>0</v>
      </c>
      <c r="S2281">
        <v>0</v>
      </c>
      <c r="T2281">
        <v>0</v>
      </c>
      <c r="U2281">
        <v>0</v>
      </c>
      <c r="V2281">
        <v>0</v>
      </c>
      <c r="W2281">
        <v>0</v>
      </c>
      <c r="X2281">
        <v>0</v>
      </c>
      <c r="Y2281">
        <v>0</v>
      </c>
      <c r="Z2281">
        <v>0</v>
      </c>
      <c r="AA2281">
        <v>0</v>
      </c>
      <c r="AB2281">
        <v>0</v>
      </c>
      <c r="AC2281">
        <v>0</v>
      </c>
      <c r="AD2281">
        <v>0</v>
      </c>
      <c r="AE2281">
        <v>0</v>
      </c>
      <c r="AF2281">
        <v>0</v>
      </c>
      <c r="AG2281">
        <v>0</v>
      </c>
      <c r="AH2281">
        <v>0</v>
      </c>
      <c r="AI2281">
        <v>0</v>
      </c>
      <c r="AJ2281">
        <v>0</v>
      </c>
      <c r="AK2281">
        <v>0</v>
      </c>
      <c r="AL2281">
        <v>1</v>
      </c>
      <c r="AM2281">
        <v>0.33333333333333331</v>
      </c>
      <c r="AN2281">
        <v>5.0417410714286133</v>
      </c>
    </row>
    <row r="2282" spans="1:40" x14ac:dyDescent="0.3">
      <c r="A2282" t="s">
        <v>606</v>
      </c>
      <c r="B2282" t="s">
        <v>136</v>
      </c>
      <c r="C2282" t="s">
        <v>10</v>
      </c>
      <c r="D2282" t="s">
        <v>11</v>
      </c>
      <c r="E2282">
        <v>202602</v>
      </c>
      <c r="F2282" t="s">
        <v>632</v>
      </c>
      <c r="G2282">
        <v>0</v>
      </c>
      <c r="H2282">
        <v>1</v>
      </c>
      <c r="I2282">
        <v>1</v>
      </c>
      <c r="J2282">
        <v>1</v>
      </c>
      <c r="K2282">
        <v>0</v>
      </c>
      <c r="L2282">
        <v>1</v>
      </c>
      <c r="M2282">
        <v>0</v>
      </c>
      <c r="N2282">
        <v>0</v>
      </c>
      <c r="O2282">
        <v>1</v>
      </c>
      <c r="P2282">
        <v>2</v>
      </c>
      <c r="Q2282">
        <v>0</v>
      </c>
      <c r="R2282">
        <v>0</v>
      </c>
      <c r="S2282">
        <v>0</v>
      </c>
      <c r="T2282">
        <v>0</v>
      </c>
      <c r="U2282">
        <v>0</v>
      </c>
      <c r="V2282">
        <v>0</v>
      </c>
      <c r="W2282">
        <v>0</v>
      </c>
      <c r="X2282">
        <v>0</v>
      </c>
      <c r="Y2282">
        <v>0</v>
      </c>
      <c r="Z2282">
        <v>0</v>
      </c>
      <c r="AA2282">
        <v>0</v>
      </c>
      <c r="AB2282">
        <v>0</v>
      </c>
      <c r="AC2282">
        <v>0</v>
      </c>
      <c r="AD2282">
        <v>0</v>
      </c>
      <c r="AE2282">
        <v>0</v>
      </c>
      <c r="AF2282">
        <v>0</v>
      </c>
      <c r="AG2282">
        <v>0</v>
      </c>
      <c r="AH2282">
        <v>0</v>
      </c>
      <c r="AI2282">
        <v>0</v>
      </c>
      <c r="AJ2282">
        <v>0</v>
      </c>
      <c r="AK2282">
        <v>0</v>
      </c>
      <c r="AL2282">
        <v>7</v>
      </c>
      <c r="AM2282">
        <v>1</v>
      </c>
      <c r="AN2282">
        <v>20.813875419619336</v>
      </c>
    </row>
    <row r="2283" spans="1:40" x14ac:dyDescent="0.3">
      <c r="A2283" t="s">
        <v>606</v>
      </c>
      <c r="B2283" t="s">
        <v>136</v>
      </c>
      <c r="C2283" t="s">
        <v>10</v>
      </c>
      <c r="D2283" t="s">
        <v>14</v>
      </c>
      <c r="E2283">
        <v>202602</v>
      </c>
      <c r="F2283" t="s">
        <v>632</v>
      </c>
      <c r="G2283">
        <v>0</v>
      </c>
      <c r="H2283">
        <v>1</v>
      </c>
      <c r="I2283">
        <v>1</v>
      </c>
      <c r="J2283">
        <v>2</v>
      </c>
      <c r="K2283">
        <v>1</v>
      </c>
      <c r="L2283">
        <v>1</v>
      </c>
      <c r="M2283">
        <v>0</v>
      </c>
      <c r="N2283">
        <v>0</v>
      </c>
      <c r="O2283">
        <v>2</v>
      </c>
      <c r="P2283">
        <v>0</v>
      </c>
      <c r="Q2283">
        <v>2</v>
      </c>
      <c r="R2283">
        <v>0</v>
      </c>
      <c r="S2283">
        <v>0</v>
      </c>
      <c r="T2283">
        <v>0</v>
      </c>
      <c r="U2283">
        <v>0</v>
      </c>
      <c r="V2283">
        <v>0</v>
      </c>
      <c r="W2283">
        <v>0</v>
      </c>
      <c r="X2283">
        <v>0</v>
      </c>
      <c r="Y2283">
        <v>0</v>
      </c>
      <c r="Z2283">
        <v>0</v>
      </c>
      <c r="AA2283">
        <v>0</v>
      </c>
      <c r="AB2283">
        <v>0</v>
      </c>
      <c r="AC2283">
        <v>0</v>
      </c>
      <c r="AD2283">
        <v>0</v>
      </c>
      <c r="AE2283">
        <v>0</v>
      </c>
      <c r="AF2283">
        <v>0</v>
      </c>
      <c r="AG2283">
        <v>0</v>
      </c>
      <c r="AH2283">
        <v>0</v>
      </c>
      <c r="AI2283">
        <v>0</v>
      </c>
      <c r="AJ2283">
        <v>0</v>
      </c>
      <c r="AK2283">
        <v>0</v>
      </c>
      <c r="AL2283">
        <v>10</v>
      </c>
      <c r="AM2283">
        <v>1.3333333333333333</v>
      </c>
      <c r="AN2283">
        <v>26.166964285714453</v>
      </c>
    </row>
    <row r="2284" spans="1:40" x14ac:dyDescent="0.3">
      <c r="A2284" t="s">
        <v>606</v>
      </c>
      <c r="B2284" t="s">
        <v>684</v>
      </c>
      <c r="C2284" t="s">
        <v>10</v>
      </c>
      <c r="D2284" t="s">
        <v>11</v>
      </c>
      <c r="E2284">
        <v>202602</v>
      </c>
      <c r="F2284" t="s">
        <v>101</v>
      </c>
      <c r="G2284">
        <v>0</v>
      </c>
      <c r="H2284">
        <v>0</v>
      </c>
      <c r="I2284">
        <v>0</v>
      </c>
      <c r="J2284">
        <v>0</v>
      </c>
      <c r="K2284">
        <v>1</v>
      </c>
      <c r="L2284">
        <v>0</v>
      </c>
      <c r="M2284">
        <v>0</v>
      </c>
      <c r="N2284">
        <v>0</v>
      </c>
      <c r="O2284">
        <v>0</v>
      </c>
      <c r="P2284">
        <v>0</v>
      </c>
      <c r="Q2284">
        <v>0</v>
      </c>
      <c r="R2284">
        <v>0</v>
      </c>
      <c r="S2284">
        <v>0</v>
      </c>
      <c r="T2284">
        <v>0</v>
      </c>
      <c r="U2284">
        <v>0</v>
      </c>
      <c r="V2284">
        <v>0</v>
      </c>
      <c r="W2284">
        <v>0</v>
      </c>
      <c r="X2284">
        <v>0</v>
      </c>
      <c r="Y2284">
        <v>0</v>
      </c>
      <c r="Z2284">
        <v>0</v>
      </c>
      <c r="AA2284">
        <v>0</v>
      </c>
      <c r="AB2284">
        <v>0</v>
      </c>
      <c r="AC2284">
        <v>0</v>
      </c>
      <c r="AD2284">
        <v>0</v>
      </c>
      <c r="AE2284">
        <v>0</v>
      </c>
      <c r="AF2284">
        <v>0</v>
      </c>
      <c r="AG2284">
        <v>0</v>
      </c>
      <c r="AH2284">
        <v>0</v>
      </c>
      <c r="AI2284">
        <v>0</v>
      </c>
      <c r="AJ2284">
        <v>0</v>
      </c>
      <c r="AK2284">
        <v>0</v>
      </c>
      <c r="AL2284">
        <v>1</v>
      </c>
      <c r="AM2284">
        <v>0</v>
      </c>
      <c r="AN2284">
        <v>1</v>
      </c>
    </row>
    <row r="2285" spans="1:40" x14ac:dyDescent="0.3">
      <c r="A2285" t="s">
        <v>606</v>
      </c>
      <c r="B2285" t="s">
        <v>684</v>
      </c>
      <c r="C2285" t="s">
        <v>10</v>
      </c>
      <c r="D2285" t="s">
        <v>14</v>
      </c>
      <c r="E2285">
        <v>202602</v>
      </c>
      <c r="F2285" t="s">
        <v>101</v>
      </c>
      <c r="G2285">
        <v>0</v>
      </c>
      <c r="H2285">
        <v>0</v>
      </c>
      <c r="I2285">
        <v>0</v>
      </c>
      <c r="J2285">
        <v>1</v>
      </c>
      <c r="K2285">
        <v>0</v>
      </c>
      <c r="L2285">
        <v>0</v>
      </c>
      <c r="M2285">
        <v>0</v>
      </c>
      <c r="N2285">
        <v>0</v>
      </c>
      <c r="O2285">
        <v>0</v>
      </c>
      <c r="P2285">
        <v>0</v>
      </c>
      <c r="Q2285">
        <v>0</v>
      </c>
      <c r="R2285">
        <v>0</v>
      </c>
      <c r="S2285">
        <v>0</v>
      </c>
      <c r="T2285">
        <v>0</v>
      </c>
      <c r="U2285">
        <v>0</v>
      </c>
      <c r="V2285">
        <v>0</v>
      </c>
      <c r="W2285">
        <v>0</v>
      </c>
      <c r="X2285">
        <v>0</v>
      </c>
      <c r="Y2285">
        <v>0</v>
      </c>
      <c r="Z2285">
        <v>0</v>
      </c>
      <c r="AA2285">
        <v>0</v>
      </c>
      <c r="AB2285">
        <v>0</v>
      </c>
      <c r="AC2285">
        <v>0</v>
      </c>
      <c r="AD2285">
        <v>0</v>
      </c>
      <c r="AE2285">
        <v>0</v>
      </c>
      <c r="AF2285">
        <v>0</v>
      </c>
      <c r="AG2285">
        <v>0</v>
      </c>
      <c r="AH2285">
        <v>0</v>
      </c>
      <c r="AI2285">
        <v>0</v>
      </c>
      <c r="AJ2285">
        <v>0</v>
      </c>
      <c r="AK2285">
        <v>0</v>
      </c>
      <c r="AL2285">
        <v>1</v>
      </c>
      <c r="AM2285">
        <v>0</v>
      </c>
      <c r="AN2285">
        <v>1</v>
      </c>
    </row>
    <row r="2286" spans="1:40" x14ac:dyDescent="0.3">
      <c r="A2286" t="s">
        <v>606</v>
      </c>
      <c r="B2286" t="s">
        <v>684</v>
      </c>
      <c r="C2286" t="s">
        <v>10</v>
      </c>
      <c r="D2286" t="s">
        <v>14</v>
      </c>
      <c r="E2286">
        <v>202602</v>
      </c>
      <c r="F2286" t="s">
        <v>138</v>
      </c>
      <c r="G2286">
        <v>0</v>
      </c>
      <c r="H2286">
        <v>0</v>
      </c>
      <c r="I2286">
        <v>0</v>
      </c>
      <c r="J2286">
        <v>0</v>
      </c>
      <c r="K2286">
        <v>0</v>
      </c>
      <c r="L2286">
        <v>0</v>
      </c>
      <c r="M2286">
        <v>0</v>
      </c>
      <c r="N2286">
        <v>0</v>
      </c>
      <c r="O2286">
        <v>0</v>
      </c>
      <c r="P2286">
        <v>1</v>
      </c>
      <c r="Q2286">
        <v>0</v>
      </c>
      <c r="R2286">
        <v>0</v>
      </c>
      <c r="S2286">
        <v>0</v>
      </c>
      <c r="T2286">
        <v>0</v>
      </c>
      <c r="U2286">
        <v>0</v>
      </c>
      <c r="V2286">
        <v>0</v>
      </c>
      <c r="W2286">
        <v>0</v>
      </c>
      <c r="X2286">
        <v>0</v>
      </c>
      <c r="Y2286">
        <v>0</v>
      </c>
      <c r="Z2286">
        <v>0</v>
      </c>
      <c r="AA2286">
        <v>0</v>
      </c>
      <c r="AB2286">
        <v>0</v>
      </c>
      <c r="AC2286">
        <v>0</v>
      </c>
      <c r="AD2286">
        <v>0</v>
      </c>
      <c r="AE2286">
        <v>0</v>
      </c>
      <c r="AF2286">
        <v>0</v>
      </c>
      <c r="AG2286">
        <v>0</v>
      </c>
      <c r="AH2286">
        <v>0</v>
      </c>
      <c r="AI2286">
        <v>0</v>
      </c>
      <c r="AJ2286">
        <v>0</v>
      </c>
      <c r="AK2286">
        <v>0</v>
      </c>
      <c r="AL2286">
        <v>1</v>
      </c>
      <c r="AM2286">
        <v>0.33333333333333331</v>
      </c>
      <c r="AN2286">
        <v>5.0417410714286133</v>
      </c>
    </row>
    <row r="2287" spans="1:40" x14ac:dyDescent="0.3">
      <c r="A2287" t="s">
        <v>606</v>
      </c>
      <c r="B2287" t="s">
        <v>139</v>
      </c>
      <c r="C2287" t="s">
        <v>10</v>
      </c>
      <c r="D2287" t="s">
        <v>11</v>
      </c>
      <c r="E2287">
        <v>202602</v>
      </c>
      <c r="F2287" t="s">
        <v>141</v>
      </c>
      <c r="G2287">
        <v>0</v>
      </c>
      <c r="H2287">
        <v>0</v>
      </c>
      <c r="I2287">
        <v>0</v>
      </c>
      <c r="J2287">
        <v>0</v>
      </c>
      <c r="K2287">
        <v>0</v>
      </c>
      <c r="L2287">
        <v>0</v>
      </c>
      <c r="M2287">
        <v>1</v>
      </c>
      <c r="N2287">
        <v>0</v>
      </c>
      <c r="O2287">
        <v>0</v>
      </c>
      <c r="P2287">
        <v>0</v>
      </c>
      <c r="Q2287">
        <v>0</v>
      </c>
      <c r="R2287">
        <v>0</v>
      </c>
      <c r="S2287">
        <v>0</v>
      </c>
      <c r="T2287">
        <v>0</v>
      </c>
      <c r="U2287">
        <v>0</v>
      </c>
      <c r="V2287">
        <v>0</v>
      </c>
      <c r="W2287">
        <v>0</v>
      </c>
      <c r="X2287">
        <v>0</v>
      </c>
      <c r="Y2287">
        <v>0</v>
      </c>
      <c r="Z2287">
        <v>0</v>
      </c>
      <c r="AA2287">
        <v>0</v>
      </c>
      <c r="AB2287">
        <v>0</v>
      </c>
      <c r="AC2287">
        <v>0</v>
      </c>
      <c r="AD2287">
        <v>0</v>
      </c>
      <c r="AE2287">
        <v>0</v>
      </c>
      <c r="AF2287">
        <v>0</v>
      </c>
      <c r="AG2287">
        <v>0</v>
      </c>
      <c r="AH2287">
        <v>0</v>
      </c>
      <c r="AI2287">
        <v>0</v>
      </c>
      <c r="AJ2287">
        <v>0</v>
      </c>
      <c r="AK2287">
        <v>0</v>
      </c>
      <c r="AL2287">
        <v>1</v>
      </c>
      <c r="AM2287">
        <v>0</v>
      </c>
      <c r="AN2287">
        <v>1</v>
      </c>
    </row>
    <row r="2288" spans="1:40" x14ac:dyDescent="0.3">
      <c r="A2288" t="s">
        <v>606</v>
      </c>
      <c r="B2288" t="s">
        <v>139</v>
      </c>
      <c r="C2288" t="s">
        <v>10</v>
      </c>
      <c r="D2288" t="s">
        <v>11</v>
      </c>
      <c r="E2288">
        <v>202602</v>
      </c>
      <c r="F2288" t="s">
        <v>623</v>
      </c>
      <c r="G2288">
        <v>0</v>
      </c>
      <c r="H2288">
        <v>1</v>
      </c>
      <c r="I2288">
        <v>0</v>
      </c>
      <c r="J2288">
        <v>0</v>
      </c>
      <c r="K2288">
        <v>0</v>
      </c>
      <c r="L2288">
        <v>0</v>
      </c>
      <c r="M2288">
        <v>0</v>
      </c>
      <c r="N2288">
        <v>0</v>
      </c>
      <c r="O2288">
        <v>1</v>
      </c>
      <c r="P2288">
        <v>0</v>
      </c>
      <c r="Q2288">
        <v>1</v>
      </c>
      <c r="R2288">
        <v>0</v>
      </c>
      <c r="S2288">
        <v>0</v>
      </c>
      <c r="T2288">
        <v>0</v>
      </c>
      <c r="U2288">
        <v>0</v>
      </c>
      <c r="V2288">
        <v>0</v>
      </c>
      <c r="W2288">
        <v>0</v>
      </c>
      <c r="X2288">
        <v>0</v>
      </c>
      <c r="Y2288">
        <v>0</v>
      </c>
      <c r="Z2288">
        <v>0</v>
      </c>
      <c r="AA2288">
        <v>0</v>
      </c>
      <c r="AB2288">
        <v>0</v>
      </c>
      <c r="AC2288">
        <v>0</v>
      </c>
      <c r="AD2288">
        <v>0</v>
      </c>
      <c r="AE2288">
        <v>0</v>
      </c>
      <c r="AF2288">
        <v>0</v>
      </c>
      <c r="AG2288">
        <v>0</v>
      </c>
      <c r="AH2288">
        <v>0</v>
      </c>
      <c r="AI2288">
        <v>0</v>
      </c>
      <c r="AJ2288">
        <v>0</v>
      </c>
      <c r="AK2288">
        <v>0</v>
      </c>
      <c r="AL2288">
        <v>3</v>
      </c>
      <c r="AM2288">
        <v>0.66666666666666663</v>
      </c>
      <c r="AN2288">
        <v>12.209250279746223</v>
      </c>
    </row>
    <row r="2289" spans="1:40" x14ac:dyDescent="0.3">
      <c r="A2289" t="s">
        <v>606</v>
      </c>
      <c r="B2289" t="s">
        <v>139</v>
      </c>
      <c r="C2289" t="s">
        <v>10</v>
      </c>
      <c r="D2289" t="s">
        <v>11</v>
      </c>
      <c r="E2289">
        <v>202602</v>
      </c>
      <c r="F2289" t="s">
        <v>633</v>
      </c>
      <c r="G2289">
        <v>0</v>
      </c>
      <c r="H2289">
        <v>0</v>
      </c>
      <c r="I2289">
        <v>0</v>
      </c>
      <c r="J2289">
        <v>0</v>
      </c>
      <c r="K2289">
        <v>0</v>
      </c>
      <c r="L2289">
        <v>0</v>
      </c>
      <c r="M2289">
        <v>0</v>
      </c>
      <c r="N2289">
        <v>0</v>
      </c>
      <c r="O2289">
        <v>1</v>
      </c>
      <c r="P2289">
        <v>0</v>
      </c>
      <c r="Q2289">
        <v>0</v>
      </c>
      <c r="R2289">
        <v>0</v>
      </c>
      <c r="S2289">
        <v>0</v>
      </c>
      <c r="T2289">
        <v>0</v>
      </c>
      <c r="U2289">
        <v>0</v>
      </c>
      <c r="V2289">
        <v>0</v>
      </c>
      <c r="W2289">
        <v>0</v>
      </c>
      <c r="X2289">
        <v>0</v>
      </c>
      <c r="Y2289">
        <v>0</v>
      </c>
      <c r="Z2289">
        <v>0</v>
      </c>
      <c r="AA2289">
        <v>0</v>
      </c>
      <c r="AB2289">
        <v>0</v>
      </c>
      <c r="AC2289">
        <v>0</v>
      </c>
      <c r="AD2289">
        <v>0</v>
      </c>
      <c r="AE2289">
        <v>0</v>
      </c>
      <c r="AF2289">
        <v>0</v>
      </c>
      <c r="AG2289">
        <v>0</v>
      </c>
      <c r="AH2289">
        <v>0</v>
      </c>
      <c r="AI2289">
        <v>0</v>
      </c>
      <c r="AJ2289">
        <v>0</v>
      </c>
      <c r="AK2289">
        <v>0</v>
      </c>
      <c r="AL2289">
        <v>1</v>
      </c>
      <c r="AM2289">
        <v>0.33333333333333331</v>
      </c>
      <c r="AN2289">
        <v>5.6046251398731117</v>
      </c>
    </row>
    <row r="2290" spans="1:40" x14ac:dyDescent="0.3">
      <c r="A2290" t="s">
        <v>606</v>
      </c>
      <c r="B2290" t="s">
        <v>139</v>
      </c>
      <c r="C2290" t="s">
        <v>10</v>
      </c>
      <c r="D2290" t="s">
        <v>11</v>
      </c>
      <c r="E2290">
        <v>202602</v>
      </c>
      <c r="F2290" t="s">
        <v>634</v>
      </c>
      <c r="G2290">
        <v>0</v>
      </c>
      <c r="H2290">
        <v>0</v>
      </c>
      <c r="I2290">
        <v>0</v>
      </c>
      <c r="J2290">
        <v>0</v>
      </c>
      <c r="K2290">
        <v>0</v>
      </c>
      <c r="L2290">
        <v>1</v>
      </c>
      <c r="M2290">
        <v>0</v>
      </c>
      <c r="N2290">
        <v>0</v>
      </c>
      <c r="O2290">
        <v>0</v>
      </c>
      <c r="P2290">
        <v>0</v>
      </c>
      <c r="Q2290">
        <v>0</v>
      </c>
      <c r="R2290">
        <v>0</v>
      </c>
      <c r="S2290">
        <v>0</v>
      </c>
      <c r="T2290">
        <v>0</v>
      </c>
      <c r="U2290">
        <v>0</v>
      </c>
      <c r="V2290">
        <v>0</v>
      </c>
      <c r="W2290">
        <v>0</v>
      </c>
      <c r="X2290">
        <v>0</v>
      </c>
      <c r="Y2290">
        <v>0</v>
      </c>
      <c r="Z2290">
        <v>0</v>
      </c>
      <c r="AA2290">
        <v>0</v>
      </c>
      <c r="AB2290">
        <v>0</v>
      </c>
      <c r="AC2290">
        <v>0</v>
      </c>
      <c r="AD2290">
        <v>0</v>
      </c>
      <c r="AE2290">
        <v>0</v>
      </c>
      <c r="AF2290">
        <v>0</v>
      </c>
      <c r="AG2290">
        <v>0</v>
      </c>
      <c r="AH2290">
        <v>0</v>
      </c>
      <c r="AI2290">
        <v>0</v>
      </c>
      <c r="AJ2290">
        <v>0</v>
      </c>
      <c r="AK2290">
        <v>0</v>
      </c>
      <c r="AL2290">
        <v>1</v>
      </c>
      <c r="AM2290">
        <v>0</v>
      </c>
      <c r="AN2290">
        <v>1</v>
      </c>
    </row>
    <row r="2291" spans="1:40" x14ac:dyDescent="0.3">
      <c r="A2291" t="s">
        <v>606</v>
      </c>
      <c r="B2291" t="s">
        <v>139</v>
      </c>
      <c r="C2291" t="s">
        <v>10</v>
      </c>
      <c r="D2291" t="s">
        <v>11</v>
      </c>
      <c r="E2291">
        <v>202602</v>
      </c>
      <c r="F2291" t="s">
        <v>635</v>
      </c>
      <c r="G2291">
        <v>0</v>
      </c>
      <c r="H2291">
        <v>0</v>
      </c>
      <c r="I2291">
        <v>1</v>
      </c>
      <c r="J2291">
        <v>0</v>
      </c>
      <c r="K2291">
        <v>1</v>
      </c>
      <c r="L2291">
        <v>0</v>
      </c>
      <c r="M2291">
        <v>0</v>
      </c>
      <c r="N2291">
        <v>0</v>
      </c>
      <c r="O2291">
        <v>0</v>
      </c>
      <c r="P2291">
        <v>0</v>
      </c>
      <c r="Q2291">
        <v>1</v>
      </c>
      <c r="R2291">
        <v>0</v>
      </c>
      <c r="S2291">
        <v>0</v>
      </c>
      <c r="T2291">
        <v>0</v>
      </c>
      <c r="U2291">
        <v>0</v>
      </c>
      <c r="V2291">
        <v>0</v>
      </c>
      <c r="W2291">
        <v>0</v>
      </c>
      <c r="X2291">
        <v>0</v>
      </c>
      <c r="Y2291">
        <v>0</v>
      </c>
      <c r="Z2291">
        <v>0</v>
      </c>
      <c r="AA2291">
        <v>0</v>
      </c>
      <c r="AB2291">
        <v>0</v>
      </c>
      <c r="AC2291">
        <v>0</v>
      </c>
      <c r="AD2291">
        <v>0</v>
      </c>
      <c r="AE2291">
        <v>0</v>
      </c>
      <c r="AF2291">
        <v>0</v>
      </c>
      <c r="AG2291">
        <v>0</v>
      </c>
      <c r="AH2291">
        <v>0</v>
      </c>
      <c r="AI2291">
        <v>0</v>
      </c>
      <c r="AJ2291">
        <v>0</v>
      </c>
      <c r="AK2291">
        <v>0</v>
      </c>
      <c r="AL2291">
        <v>3</v>
      </c>
      <c r="AM2291">
        <v>0.33333333333333331</v>
      </c>
      <c r="AN2291">
        <v>7.6046251398731117</v>
      </c>
    </row>
    <row r="2292" spans="1:40" x14ac:dyDescent="0.3">
      <c r="A2292" t="s">
        <v>606</v>
      </c>
      <c r="B2292" t="s">
        <v>139</v>
      </c>
      <c r="C2292" t="s">
        <v>10</v>
      </c>
      <c r="D2292" t="s">
        <v>11</v>
      </c>
      <c r="E2292">
        <v>202602</v>
      </c>
      <c r="F2292" t="s">
        <v>636</v>
      </c>
      <c r="G2292">
        <v>0</v>
      </c>
      <c r="H2292">
        <v>0</v>
      </c>
      <c r="I2292">
        <v>0</v>
      </c>
      <c r="J2292">
        <v>1</v>
      </c>
      <c r="K2292">
        <v>0</v>
      </c>
      <c r="L2292">
        <v>0</v>
      </c>
      <c r="M2292">
        <v>0</v>
      </c>
      <c r="N2292">
        <v>0</v>
      </c>
      <c r="O2292">
        <v>0</v>
      </c>
      <c r="P2292">
        <v>0</v>
      </c>
      <c r="Q2292">
        <v>0</v>
      </c>
      <c r="R2292">
        <v>0</v>
      </c>
      <c r="S2292">
        <v>0</v>
      </c>
      <c r="T2292">
        <v>0</v>
      </c>
      <c r="U2292">
        <v>0</v>
      </c>
      <c r="V2292">
        <v>0</v>
      </c>
      <c r="W2292">
        <v>0</v>
      </c>
      <c r="X2292">
        <v>0</v>
      </c>
      <c r="Y2292">
        <v>0</v>
      </c>
      <c r="Z2292">
        <v>0</v>
      </c>
      <c r="AA2292">
        <v>0</v>
      </c>
      <c r="AB2292">
        <v>0</v>
      </c>
      <c r="AC2292">
        <v>0</v>
      </c>
      <c r="AD2292">
        <v>0</v>
      </c>
      <c r="AE2292">
        <v>0</v>
      </c>
      <c r="AF2292">
        <v>0</v>
      </c>
      <c r="AG2292">
        <v>0</v>
      </c>
      <c r="AH2292">
        <v>0</v>
      </c>
      <c r="AI2292">
        <v>0</v>
      </c>
      <c r="AJ2292">
        <v>0</v>
      </c>
      <c r="AK2292">
        <v>0</v>
      </c>
      <c r="AL2292">
        <v>1</v>
      </c>
      <c r="AM2292">
        <v>0</v>
      </c>
      <c r="AN2292">
        <v>1</v>
      </c>
    </row>
    <row r="2293" spans="1:40" x14ac:dyDescent="0.3">
      <c r="A2293" t="s">
        <v>606</v>
      </c>
      <c r="B2293" t="s">
        <v>139</v>
      </c>
      <c r="C2293" t="s">
        <v>10</v>
      </c>
      <c r="D2293" t="s">
        <v>11</v>
      </c>
      <c r="E2293">
        <v>202602</v>
      </c>
      <c r="F2293" t="s">
        <v>637</v>
      </c>
      <c r="G2293">
        <v>0</v>
      </c>
      <c r="H2293">
        <v>0</v>
      </c>
      <c r="I2293">
        <v>0</v>
      </c>
      <c r="J2293">
        <v>1</v>
      </c>
      <c r="K2293">
        <v>1</v>
      </c>
      <c r="L2293">
        <v>1</v>
      </c>
      <c r="M2293">
        <v>2</v>
      </c>
      <c r="N2293">
        <v>0</v>
      </c>
      <c r="O2293">
        <v>0</v>
      </c>
      <c r="P2293">
        <v>0</v>
      </c>
      <c r="Q2293">
        <v>1</v>
      </c>
      <c r="R2293">
        <v>0</v>
      </c>
      <c r="S2293">
        <v>0</v>
      </c>
      <c r="T2293">
        <v>0</v>
      </c>
      <c r="U2293">
        <v>0</v>
      </c>
      <c r="V2293">
        <v>0</v>
      </c>
      <c r="W2293">
        <v>0</v>
      </c>
      <c r="X2293">
        <v>0</v>
      </c>
      <c r="Y2293">
        <v>0</v>
      </c>
      <c r="Z2293">
        <v>0</v>
      </c>
      <c r="AA2293">
        <v>0</v>
      </c>
      <c r="AB2293">
        <v>0</v>
      </c>
      <c r="AC2293">
        <v>0</v>
      </c>
      <c r="AD2293">
        <v>0</v>
      </c>
      <c r="AE2293">
        <v>0</v>
      </c>
      <c r="AF2293">
        <v>0</v>
      </c>
      <c r="AG2293">
        <v>0</v>
      </c>
      <c r="AH2293">
        <v>0</v>
      </c>
      <c r="AI2293">
        <v>0</v>
      </c>
      <c r="AJ2293">
        <v>0</v>
      </c>
      <c r="AK2293">
        <v>0</v>
      </c>
      <c r="AL2293">
        <v>6</v>
      </c>
      <c r="AM2293">
        <v>0.33333333333333331</v>
      </c>
      <c r="AN2293">
        <v>10.604625139873111</v>
      </c>
    </row>
    <row r="2294" spans="1:40" x14ac:dyDescent="0.3">
      <c r="A2294" t="s">
        <v>606</v>
      </c>
      <c r="B2294" t="s">
        <v>139</v>
      </c>
      <c r="C2294" t="s">
        <v>10</v>
      </c>
      <c r="D2294" t="s">
        <v>11</v>
      </c>
      <c r="E2294">
        <v>202602</v>
      </c>
      <c r="F2294" t="s">
        <v>638</v>
      </c>
      <c r="G2294">
        <v>0</v>
      </c>
      <c r="H2294">
        <v>0</v>
      </c>
      <c r="I2294">
        <v>0</v>
      </c>
      <c r="J2294">
        <v>1</v>
      </c>
      <c r="K2294">
        <v>0</v>
      </c>
      <c r="L2294">
        <v>0</v>
      </c>
      <c r="M2294">
        <v>0</v>
      </c>
      <c r="N2294">
        <v>0</v>
      </c>
      <c r="O2294">
        <v>0</v>
      </c>
      <c r="P2294">
        <v>0</v>
      </c>
      <c r="Q2294">
        <v>0</v>
      </c>
      <c r="R2294">
        <v>0</v>
      </c>
      <c r="S2294">
        <v>0</v>
      </c>
      <c r="T2294">
        <v>0</v>
      </c>
      <c r="U2294">
        <v>0</v>
      </c>
      <c r="V2294">
        <v>0</v>
      </c>
      <c r="W2294">
        <v>0</v>
      </c>
      <c r="X2294">
        <v>0</v>
      </c>
      <c r="Y2294">
        <v>0</v>
      </c>
      <c r="Z2294">
        <v>0</v>
      </c>
      <c r="AA2294">
        <v>0</v>
      </c>
      <c r="AB2294">
        <v>0</v>
      </c>
      <c r="AC2294">
        <v>0</v>
      </c>
      <c r="AD2294">
        <v>0</v>
      </c>
      <c r="AE2294">
        <v>0</v>
      </c>
      <c r="AF2294">
        <v>0</v>
      </c>
      <c r="AG2294">
        <v>0</v>
      </c>
      <c r="AH2294">
        <v>0</v>
      </c>
      <c r="AI2294">
        <v>0</v>
      </c>
      <c r="AJ2294">
        <v>0</v>
      </c>
      <c r="AK2294">
        <v>0</v>
      </c>
      <c r="AL2294">
        <v>1</v>
      </c>
      <c r="AM2294">
        <v>0</v>
      </c>
      <c r="AN2294">
        <v>1</v>
      </c>
    </row>
    <row r="2295" spans="1:40" x14ac:dyDescent="0.3">
      <c r="A2295" t="s">
        <v>606</v>
      </c>
      <c r="B2295" t="s">
        <v>139</v>
      </c>
      <c r="C2295" t="s">
        <v>10</v>
      </c>
      <c r="D2295" t="s">
        <v>11</v>
      </c>
      <c r="E2295">
        <v>202602</v>
      </c>
      <c r="F2295" t="s">
        <v>639</v>
      </c>
      <c r="G2295">
        <v>0</v>
      </c>
      <c r="H2295">
        <v>0</v>
      </c>
      <c r="I2295">
        <v>1</v>
      </c>
      <c r="J2295">
        <v>0</v>
      </c>
      <c r="K2295">
        <v>0</v>
      </c>
      <c r="L2295">
        <v>0</v>
      </c>
      <c r="M2295">
        <v>0</v>
      </c>
      <c r="N2295">
        <v>0</v>
      </c>
      <c r="O2295">
        <v>0</v>
      </c>
      <c r="P2295">
        <v>0</v>
      </c>
      <c r="Q2295">
        <v>0</v>
      </c>
      <c r="R2295">
        <v>0</v>
      </c>
      <c r="S2295">
        <v>0</v>
      </c>
      <c r="T2295">
        <v>0</v>
      </c>
      <c r="U2295">
        <v>0</v>
      </c>
      <c r="V2295">
        <v>0</v>
      </c>
      <c r="W2295">
        <v>0</v>
      </c>
      <c r="X2295">
        <v>0</v>
      </c>
      <c r="Y2295">
        <v>0</v>
      </c>
      <c r="Z2295">
        <v>0</v>
      </c>
      <c r="AA2295">
        <v>0</v>
      </c>
      <c r="AB2295">
        <v>0</v>
      </c>
      <c r="AC2295">
        <v>0</v>
      </c>
      <c r="AD2295">
        <v>0</v>
      </c>
      <c r="AE2295">
        <v>0</v>
      </c>
      <c r="AF2295">
        <v>0</v>
      </c>
      <c r="AG2295">
        <v>0</v>
      </c>
      <c r="AH2295">
        <v>0</v>
      </c>
      <c r="AI2295">
        <v>0</v>
      </c>
      <c r="AJ2295">
        <v>0</v>
      </c>
      <c r="AK2295">
        <v>0</v>
      </c>
      <c r="AL2295">
        <v>1</v>
      </c>
      <c r="AM2295">
        <v>0</v>
      </c>
      <c r="AN2295">
        <v>1</v>
      </c>
    </row>
    <row r="2296" spans="1:40" x14ac:dyDescent="0.3">
      <c r="A2296" t="s">
        <v>606</v>
      </c>
      <c r="B2296" t="s">
        <v>139</v>
      </c>
      <c r="C2296" t="s">
        <v>10</v>
      </c>
      <c r="D2296" t="s">
        <v>11</v>
      </c>
      <c r="E2296">
        <v>202602</v>
      </c>
      <c r="F2296" t="s">
        <v>640</v>
      </c>
      <c r="G2296">
        <v>0</v>
      </c>
      <c r="H2296">
        <v>0</v>
      </c>
      <c r="I2296">
        <v>0</v>
      </c>
      <c r="J2296">
        <v>0</v>
      </c>
      <c r="K2296">
        <v>1</v>
      </c>
      <c r="L2296">
        <v>0</v>
      </c>
      <c r="M2296">
        <v>0</v>
      </c>
      <c r="N2296">
        <v>0</v>
      </c>
      <c r="O2296">
        <v>0</v>
      </c>
      <c r="P2296">
        <v>0</v>
      </c>
      <c r="Q2296">
        <v>1</v>
      </c>
      <c r="R2296">
        <v>0</v>
      </c>
      <c r="S2296">
        <v>0</v>
      </c>
      <c r="T2296">
        <v>0</v>
      </c>
      <c r="U2296">
        <v>0</v>
      </c>
      <c r="V2296">
        <v>0</v>
      </c>
      <c r="W2296">
        <v>0</v>
      </c>
      <c r="X2296">
        <v>0</v>
      </c>
      <c r="Y2296">
        <v>0</v>
      </c>
      <c r="Z2296">
        <v>0</v>
      </c>
      <c r="AA2296">
        <v>0</v>
      </c>
      <c r="AB2296">
        <v>0</v>
      </c>
      <c r="AC2296">
        <v>0</v>
      </c>
      <c r="AD2296">
        <v>0</v>
      </c>
      <c r="AE2296">
        <v>0</v>
      </c>
      <c r="AF2296">
        <v>0</v>
      </c>
      <c r="AG2296">
        <v>0</v>
      </c>
      <c r="AH2296">
        <v>0</v>
      </c>
      <c r="AI2296">
        <v>0</v>
      </c>
      <c r="AJ2296">
        <v>0</v>
      </c>
      <c r="AK2296">
        <v>0</v>
      </c>
      <c r="AL2296">
        <v>2</v>
      </c>
      <c r="AM2296">
        <v>0.33333333333333331</v>
      </c>
      <c r="AN2296">
        <v>6.6046251398731117</v>
      </c>
    </row>
    <row r="2297" spans="1:40" x14ac:dyDescent="0.3">
      <c r="A2297" t="s">
        <v>606</v>
      </c>
      <c r="B2297" t="s">
        <v>139</v>
      </c>
      <c r="C2297" t="s">
        <v>10</v>
      </c>
      <c r="D2297" t="s">
        <v>14</v>
      </c>
      <c r="E2297">
        <v>202602</v>
      </c>
      <c r="F2297" t="s">
        <v>141</v>
      </c>
      <c r="G2297">
        <v>0</v>
      </c>
      <c r="H2297">
        <v>0</v>
      </c>
      <c r="I2297">
        <v>0</v>
      </c>
      <c r="J2297">
        <v>1</v>
      </c>
      <c r="K2297">
        <v>0</v>
      </c>
      <c r="L2297">
        <v>0</v>
      </c>
      <c r="M2297">
        <v>0</v>
      </c>
      <c r="N2297">
        <v>0</v>
      </c>
      <c r="O2297">
        <v>0</v>
      </c>
      <c r="P2297">
        <v>0</v>
      </c>
      <c r="Q2297">
        <v>0</v>
      </c>
      <c r="R2297">
        <v>0</v>
      </c>
      <c r="S2297">
        <v>0</v>
      </c>
      <c r="T2297">
        <v>0</v>
      </c>
      <c r="U2297">
        <v>0</v>
      </c>
      <c r="V2297">
        <v>0</v>
      </c>
      <c r="W2297">
        <v>0</v>
      </c>
      <c r="X2297">
        <v>0</v>
      </c>
      <c r="Y2297">
        <v>0</v>
      </c>
      <c r="Z2297">
        <v>0</v>
      </c>
      <c r="AA2297">
        <v>0</v>
      </c>
      <c r="AB2297">
        <v>0</v>
      </c>
      <c r="AC2297">
        <v>0</v>
      </c>
      <c r="AD2297">
        <v>0</v>
      </c>
      <c r="AE2297">
        <v>0</v>
      </c>
      <c r="AF2297">
        <v>0</v>
      </c>
      <c r="AG2297">
        <v>0</v>
      </c>
      <c r="AH2297">
        <v>0</v>
      </c>
      <c r="AI2297">
        <v>0</v>
      </c>
      <c r="AJ2297">
        <v>0</v>
      </c>
      <c r="AK2297">
        <v>0</v>
      </c>
      <c r="AL2297">
        <v>1</v>
      </c>
      <c r="AM2297">
        <v>0</v>
      </c>
      <c r="AN2297">
        <v>1</v>
      </c>
    </row>
    <row r="2298" spans="1:40" x14ac:dyDescent="0.3">
      <c r="A2298" t="s">
        <v>606</v>
      </c>
      <c r="B2298" t="s">
        <v>139</v>
      </c>
      <c r="C2298" t="s">
        <v>10</v>
      </c>
      <c r="D2298" t="s">
        <v>14</v>
      </c>
      <c r="E2298">
        <v>202602</v>
      </c>
      <c r="F2298" t="s">
        <v>623</v>
      </c>
      <c r="G2298">
        <v>0</v>
      </c>
      <c r="H2298">
        <v>0</v>
      </c>
      <c r="I2298">
        <v>0</v>
      </c>
      <c r="J2298">
        <v>0</v>
      </c>
      <c r="K2298">
        <v>0</v>
      </c>
      <c r="L2298">
        <v>0</v>
      </c>
      <c r="M2298">
        <v>1</v>
      </c>
      <c r="N2298">
        <v>0</v>
      </c>
      <c r="O2298">
        <v>1</v>
      </c>
      <c r="P2298">
        <v>0</v>
      </c>
      <c r="Q2298">
        <v>0</v>
      </c>
      <c r="R2298">
        <v>0</v>
      </c>
      <c r="S2298">
        <v>0</v>
      </c>
      <c r="T2298">
        <v>0</v>
      </c>
      <c r="U2298">
        <v>0</v>
      </c>
      <c r="V2298">
        <v>0</v>
      </c>
      <c r="W2298">
        <v>0</v>
      </c>
      <c r="X2298">
        <v>0</v>
      </c>
      <c r="Y2298">
        <v>0</v>
      </c>
      <c r="Z2298">
        <v>0</v>
      </c>
      <c r="AA2298">
        <v>0</v>
      </c>
      <c r="AB2298">
        <v>0</v>
      </c>
      <c r="AC2298">
        <v>0</v>
      </c>
      <c r="AD2298">
        <v>0</v>
      </c>
      <c r="AE2298">
        <v>0</v>
      </c>
      <c r="AF2298">
        <v>0</v>
      </c>
      <c r="AG2298">
        <v>0</v>
      </c>
      <c r="AH2298">
        <v>0</v>
      </c>
      <c r="AI2298">
        <v>0</v>
      </c>
      <c r="AJ2298">
        <v>0</v>
      </c>
      <c r="AK2298">
        <v>0</v>
      </c>
      <c r="AL2298">
        <v>2</v>
      </c>
      <c r="AM2298">
        <v>0.33333333333333331</v>
      </c>
      <c r="AN2298">
        <v>6.0417410714286133</v>
      </c>
    </row>
    <row r="2299" spans="1:40" x14ac:dyDescent="0.3">
      <c r="A2299" t="s">
        <v>606</v>
      </c>
      <c r="B2299" t="s">
        <v>139</v>
      </c>
      <c r="C2299" t="s">
        <v>10</v>
      </c>
      <c r="D2299" t="s">
        <v>14</v>
      </c>
      <c r="E2299">
        <v>202602</v>
      </c>
      <c r="F2299" t="s">
        <v>633</v>
      </c>
      <c r="G2299">
        <v>0</v>
      </c>
      <c r="H2299">
        <v>0</v>
      </c>
      <c r="I2299">
        <v>0</v>
      </c>
      <c r="J2299">
        <v>0</v>
      </c>
      <c r="K2299">
        <v>1</v>
      </c>
      <c r="L2299">
        <v>0</v>
      </c>
      <c r="M2299">
        <v>0</v>
      </c>
      <c r="N2299">
        <v>0</v>
      </c>
      <c r="O2299">
        <v>0</v>
      </c>
      <c r="P2299">
        <v>0</v>
      </c>
      <c r="Q2299">
        <v>0</v>
      </c>
      <c r="R2299">
        <v>0</v>
      </c>
      <c r="S2299">
        <v>0</v>
      </c>
      <c r="T2299">
        <v>0</v>
      </c>
      <c r="U2299">
        <v>0</v>
      </c>
      <c r="V2299">
        <v>0</v>
      </c>
      <c r="W2299">
        <v>0</v>
      </c>
      <c r="X2299">
        <v>0</v>
      </c>
      <c r="Y2299">
        <v>0</v>
      </c>
      <c r="Z2299">
        <v>0</v>
      </c>
      <c r="AA2299">
        <v>0</v>
      </c>
      <c r="AB2299">
        <v>0</v>
      </c>
      <c r="AC2299">
        <v>0</v>
      </c>
      <c r="AD2299">
        <v>0</v>
      </c>
      <c r="AE2299">
        <v>0</v>
      </c>
      <c r="AF2299">
        <v>0</v>
      </c>
      <c r="AG2299">
        <v>0</v>
      </c>
      <c r="AH2299">
        <v>0</v>
      </c>
      <c r="AI2299">
        <v>0</v>
      </c>
      <c r="AJ2299">
        <v>0</v>
      </c>
      <c r="AK2299">
        <v>0</v>
      </c>
      <c r="AL2299">
        <v>1</v>
      </c>
      <c r="AM2299">
        <v>0</v>
      </c>
      <c r="AN2299">
        <v>1</v>
      </c>
    </row>
    <row r="2300" spans="1:40" x14ac:dyDescent="0.3">
      <c r="A2300" t="s">
        <v>606</v>
      </c>
      <c r="B2300" t="s">
        <v>139</v>
      </c>
      <c r="C2300" t="s">
        <v>10</v>
      </c>
      <c r="D2300" t="s">
        <v>14</v>
      </c>
      <c r="E2300">
        <v>202602</v>
      </c>
      <c r="F2300" t="s">
        <v>701</v>
      </c>
      <c r="G2300">
        <v>0</v>
      </c>
      <c r="H2300">
        <v>0</v>
      </c>
      <c r="I2300">
        <v>0</v>
      </c>
      <c r="J2300">
        <v>0</v>
      </c>
      <c r="K2300">
        <v>0</v>
      </c>
      <c r="L2300">
        <v>0</v>
      </c>
      <c r="M2300">
        <v>0</v>
      </c>
      <c r="N2300">
        <v>0</v>
      </c>
      <c r="O2300">
        <v>0</v>
      </c>
      <c r="P2300">
        <v>0</v>
      </c>
      <c r="Q2300">
        <v>1</v>
      </c>
      <c r="R2300">
        <v>0</v>
      </c>
      <c r="S2300">
        <v>0</v>
      </c>
      <c r="T2300">
        <v>0</v>
      </c>
      <c r="U2300">
        <v>0</v>
      </c>
      <c r="V2300">
        <v>0</v>
      </c>
      <c r="W2300">
        <v>0</v>
      </c>
      <c r="X2300">
        <v>0</v>
      </c>
      <c r="Y2300">
        <v>0</v>
      </c>
      <c r="Z2300">
        <v>0</v>
      </c>
      <c r="AA2300">
        <v>0</v>
      </c>
      <c r="AB2300">
        <v>0</v>
      </c>
      <c r="AC2300">
        <v>0</v>
      </c>
      <c r="AD2300">
        <v>0</v>
      </c>
      <c r="AE2300">
        <v>0</v>
      </c>
      <c r="AF2300">
        <v>0</v>
      </c>
      <c r="AG2300">
        <v>0</v>
      </c>
      <c r="AH2300">
        <v>0</v>
      </c>
      <c r="AI2300">
        <v>0</v>
      </c>
      <c r="AJ2300">
        <v>0</v>
      </c>
      <c r="AK2300">
        <v>0</v>
      </c>
      <c r="AL2300">
        <v>1</v>
      </c>
      <c r="AM2300">
        <v>0.33333333333333331</v>
      </c>
      <c r="AN2300">
        <v>5.0417410714286133</v>
      </c>
    </row>
    <row r="2301" spans="1:40" x14ac:dyDescent="0.3">
      <c r="A2301" t="s">
        <v>606</v>
      </c>
      <c r="B2301" t="s">
        <v>139</v>
      </c>
      <c r="C2301" t="s">
        <v>10</v>
      </c>
      <c r="D2301" t="s">
        <v>14</v>
      </c>
      <c r="E2301">
        <v>202602</v>
      </c>
      <c r="F2301" t="s">
        <v>634</v>
      </c>
      <c r="G2301">
        <v>0</v>
      </c>
      <c r="H2301">
        <v>1</v>
      </c>
      <c r="I2301">
        <v>0</v>
      </c>
      <c r="J2301">
        <v>0</v>
      </c>
      <c r="K2301">
        <v>1</v>
      </c>
      <c r="L2301">
        <v>0</v>
      </c>
      <c r="M2301">
        <v>0</v>
      </c>
      <c r="N2301">
        <v>0</v>
      </c>
      <c r="O2301">
        <v>0</v>
      </c>
      <c r="P2301">
        <v>0</v>
      </c>
      <c r="Q2301">
        <v>0</v>
      </c>
      <c r="R2301">
        <v>0</v>
      </c>
      <c r="S2301">
        <v>0</v>
      </c>
      <c r="T2301">
        <v>0</v>
      </c>
      <c r="U2301">
        <v>0</v>
      </c>
      <c r="V2301">
        <v>0</v>
      </c>
      <c r="W2301">
        <v>0</v>
      </c>
      <c r="X2301">
        <v>0</v>
      </c>
      <c r="Y2301">
        <v>0</v>
      </c>
      <c r="Z2301">
        <v>0</v>
      </c>
      <c r="AA2301">
        <v>0</v>
      </c>
      <c r="AB2301">
        <v>0</v>
      </c>
      <c r="AC2301">
        <v>0</v>
      </c>
      <c r="AD2301">
        <v>0</v>
      </c>
      <c r="AE2301">
        <v>0</v>
      </c>
      <c r="AF2301">
        <v>0</v>
      </c>
      <c r="AG2301">
        <v>0</v>
      </c>
      <c r="AH2301">
        <v>0</v>
      </c>
      <c r="AI2301">
        <v>0</v>
      </c>
      <c r="AJ2301">
        <v>0</v>
      </c>
      <c r="AK2301">
        <v>0</v>
      </c>
      <c r="AL2301">
        <v>2</v>
      </c>
      <c r="AM2301">
        <v>0</v>
      </c>
      <c r="AN2301">
        <v>2</v>
      </c>
    </row>
    <row r="2302" spans="1:40" x14ac:dyDescent="0.3">
      <c r="A2302" t="s">
        <v>606</v>
      </c>
      <c r="B2302" t="s">
        <v>139</v>
      </c>
      <c r="C2302" t="s">
        <v>10</v>
      </c>
      <c r="D2302" t="s">
        <v>14</v>
      </c>
      <c r="E2302">
        <v>202602</v>
      </c>
      <c r="F2302" t="s">
        <v>635</v>
      </c>
      <c r="G2302">
        <v>0</v>
      </c>
      <c r="H2302">
        <v>0</v>
      </c>
      <c r="I2302">
        <v>0</v>
      </c>
      <c r="J2302">
        <v>1</v>
      </c>
      <c r="K2302">
        <v>0</v>
      </c>
      <c r="L2302">
        <v>0</v>
      </c>
      <c r="M2302">
        <v>1</v>
      </c>
      <c r="N2302">
        <v>0</v>
      </c>
      <c r="O2302">
        <v>0</v>
      </c>
      <c r="P2302">
        <v>1</v>
      </c>
      <c r="Q2302">
        <v>0</v>
      </c>
      <c r="R2302">
        <v>0</v>
      </c>
      <c r="S2302">
        <v>0</v>
      </c>
      <c r="T2302">
        <v>0</v>
      </c>
      <c r="U2302">
        <v>0</v>
      </c>
      <c r="V2302">
        <v>0</v>
      </c>
      <c r="W2302">
        <v>0</v>
      </c>
      <c r="X2302">
        <v>0</v>
      </c>
      <c r="Y2302">
        <v>0</v>
      </c>
      <c r="Z2302">
        <v>0</v>
      </c>
      <c r="AA2302">
        <v>0</v>
      </c>
      <c r="AB2302">
        <v>0</v>
      </c>
      <c r="AC2302">
        <v>0</v>
      </c>
      <c r="AD2302">
        <v>0</v>
      </c>
      <c r="AE2302">
        <v>0</v>
      </c>
      <c r="AF2302">
        <v>0</v>
      </c>
      <c r="AG2302">
        <v>0</v>
      </c>
      <c r="AH2302">
        <v>0</v>
      </c>
      <c r="AI2302">
        <v>0</v>
      </c>
      <c r="AJ2302">
        <v>0</v>
      </c>
      <c r="AK2302">
        <v>0</v>
      </c>
      <c r="AL2302">
        <v>3</v>
      </c>
      <c r="AM2302">
        <v>0.33333333333333331</v>
      </c>
      <c r="AN2302">
        <v>7.0417410714286133</v>
      </c>
    </row>
    <row r="2303" spans="1:40" x14ac:dyDescent="0.3">
      <c r="A2303" t="s">
        <v>606</v>
      </c>
      <c r="B2303" t="s">
        <v>139</v>
      </c>
      <c r="C2303" t="s">
        <v>10</v>
      </c>
      <c r="D2303" t="s">
        <v>14</v>
      </c>
      <c r="E2303">
        <v>202602</v>
      </c>
      <c r="F2303" t="s">
        <v>636</v>
      </c>
      <c r="G2303">
        <v>0</v>
      </c>
      <c r="H2303">
        <v>0</v>
      </c>
      <c r="I2303">
        <v>0</v>
      </c>
      <c r="J2303">
        <v>0</v>
      </c>
      <c r="K2303">
        <v>1</v>
      </c>
      <c r="L2303">
        <v>0</v>
      </c>
      <c r="M2303">
        <v>0</v>
      </c>
      <c r="N2303">
        <v>0</v>
      </c>
      <c r="O2303">
        <v>0</v>
      </c>
      <c r="P2303">
        <v>0</v>
      </c>
      <c r="Q2303">
        <v>0</v>
      </c>
      <c r="R2303">
        <v>0</v>
      </c>
      <c r="S2303">
        <v>0</v>
      </c>
      <c r="T2303">
        <v>0</v>
      </c>
      <c r="U2303">
        <v>0</v>
      </c>
      <c r="V2303">
        <v>0</v>
      </c>
      <c r="W2303">
        <v>0</v>
      </c>
      <c r="X2303">
        <v>0</v>
      </c>
      <c r="Y2303">
        <v>0</v>
      </c>
      <c r="Z2303">
        <v>0</v>
      </c>
      <c r="AA2303">
        <v>0</v>
      </c>
      <c r="AB2303">
        <v>0</v>
      </c>
      <c r="AC2303">
        <v>0</v>
      </c>
      <c r="AD2303">
        <v>0</v>
      </c>
      <c r="AE2303">
        <v>0</v>
      </c>
      <c r="AF2303">
        <v>0</v>
      </c>
      <c r="AG2303">
        <v>0</v>
      </c>
      <c r="AH2303">
        <v>0</v>
      </c>
      <c r="AI2303">
        <v>0</v>
      </c>
      <c r="AJ2303">
        <v>0</v>
      </c>
      <c r="AK2303">
        <v>0</v>
      </c>
      <c r="AL2303">
        <v>1</v>
      </c>
      <c r="AM2303">
        <v>0</v>
      </c>
      <c r="AN2303">
        <v>1</v>
      </c>
    </row>
    <row r="2304" spans="1:40" x14ac:dyDescent="0.3">
      <c r="A2304" t="s">
        <v>606</v>
      </c>
      <c r="B2304" t="s">
        <v>139</v>
      </c>
      <c r="C2304" t="s">
        <v>10</v>
      </c>
      <c r="D2304" t="s">
        <v>14</v>
      </c>
      <c r="E2304">
        <v>202602</v>
      </c>
      <c r="F2304" t="s">
        <v>637</v>
      </c>
      <c r="G2304">
        <v>0</v>
      </c>
      <c r="H2304">
        <v>0</v>
      </c>
      <c r="I2304">
        <v>2</v>
      </c>
      <c r="J2304">
        <v>0</v>
      </c>
      <c r="K2304">
        <v>2</v>
      </c>
      <c r="L2304">
        <v>1</v>
      </c>
      <c r="M2304">
        <v>0</v>
      </c>
      <c r="N2304">
        <v>0</v>
      </c>
      <c r="O2304">
        <v>2</v>
      </c>
      <c r="P2304">
        <v>2</v>
      </c>
      <c r="Q2304">
        <v>0</v>
      </c>
      <c r="R2304">
        <v>0</v>
      </c>
      <c r="S2304">
        <v>0</v>
      </c>
      <c r="T2304">
        <v>0</v>
      </c>
      <c r="U2304">
        <v>0</v>
      </c>
      <c r="V2304">
        <v>0</v>
      </c>
      <c r="W2304">
        <v>0</v>
      </c>
      <c r="X2304">
        <v>0</v>
      </c>
      <c r="Y2304">
        <v>0</v>
      </c>
      <c r="Z2304">
        <v>0</v>
      </c>
      <c r="AA2304">
        <v>0</v>
      </c>
      <c r="AB2304">
        <v>0</v>
      </c>
      <c r="AC2304">
        <v>0</v>
      </c>
      <c r="AD2304">
        <v>0</v>
      </c>
      <c r="AE2304">
        <v>0</v>
      </c>
      <c r="AF2304">
        <v>0</v>
      </c>
      <c r="AG2304">
        <v>0</v>
      </c>
      <c r="AH2304">
        <v>0</v>
      </c>
      <c r="AI2304">
        <v>0</v>
      </c>
      <c r="AJ2304">
        <v>0</v>
      </c>
      <c r="AK2304">
        <v>0</v>
      </c>
      <c r="AL2304">
        <v>9</v>
      </c>
      <c r="AM2304">
        <v>1.3333333333333333</v>
      </c>
      <c r="AN2304">
        <v>25.166964285714453</v>
      </c>
    </row>
    <row r="2305" spans="1:40" x14ac:dyDescent="0.3">
      <c r="A2305" t="s">
        <v>606</v>
      </c>
      <c r="B2305" t="s">
        <v>139</v>
      </c>
      <c r="C2305" t="s">
        <v>10</v>
      </c>
      <c r="D2305" t="s">
        <v>14</v>
      </c>
      <c r="E2305">
        <v>202602</v>
      </c>
      <c r="F2305" t="s">
        <v>638</v>
      </c>
      <c r="G2305">
        <v>0</v>
      </c>
      <c r="H2305">
        <v>0</v>
      </c>
      <c r="I2305">
        <v>1</v>
      </c>
      <c r="J2305">
        <v>0</v>
      </c>
      <c r="K2305">
        <v>0</v>
      </c>
      <c r="L2305">
        <v>0</v>
      </c>
      <c r="M2305">
        <v>0</v>
      </c>
      <c r="N2305">
        <v>0</v>
      </c>
      <c r="O2305">
        <v>0</v>
      </c>
      <c r="P2305">
        <v>0</v>
      </c>
      <c r="Q2305">
        <v>0</v>
      </c>
      <c r="R2305">
        <v>0</v>
      </c>
      <c r="S2305">
        <v>0</v>
      </c>
      <c r="T2305">
        <v>0</v>
      </c>
      <c r="U2305">
        <v>0</v>
      </c>
      <c r="V2305">
        <v>0</v>
      </c>
      <c r="W2305">
        <v>0</v>
      </c>
      <c r="X2305">
        <v>0</v>
      </c>
      <c r="Y2305">
        <v>0</v>
      </c>
      <c r="Z2305">
        <v>0</v>
      </c>
      <c r="AA2305">
        <v>0</v>
      </c>
      <c r="AB2305">
        <v>0</v>
      </c>
      <c r="AC2305">
        <v>0</v>
      </c>
      <c r="AD2305">
        <v>0</v>
      </c>
      <c r="AE2305">
        <v>0</v>
      </c>
      <c r="AF2305">
        <v>0</v>
      </c>
      <c r="AG2305">
        <v>0</v>
      </c>
      <c r="AH2305">
        <v>0</v>
      </c>
      <c r="AI2305">
        <v>0</v>
      </c>
      <c r="AJ2305">
        <v>0</v>
      </c>
      <c r="AK2305">
        <v>0</v>
      </c>
      <c r="AL2305">
        <v>1</v>
      </c>
      <c r="AM2305">
        <v>0</v>
      </c>
      <c r="AN2305">
        <v>1</v>
      </c>
    </row>
    <row r="2306" spans="1:40" x14ac:dyDescent="0.3">
      <c r="A2306" t="s">
        <v>606</v>
      </c>
      <c r="B2306" t="s">
        <v>139</v>
      </c>
      <c r="C2306" t="s">
        <v>10</v>
      </c>
      <c r="D2306" t="s">
        <v>14</v>
      </c>
      <c r="E2306">
        <v>202602</v>
      </c>
      <c r="F2306" t="s">
        <v>639</v>
      </c>
      <c r="G2306">
        <v>0</v>
      </c>
      <c r="H2306">
        <v>1</v>
      </c>
      <c r="I2306">
        <v>0</v>
      </c>
      <c r="J2306">
        <v>0</v>
      </c>
      <c r="K2306">
        <v>0</v>
      </c>
      <c r="L2306">
        <v>1</v>
      </c>
      <c r="M2306">
        <v>0</v>
      </c>
      <c r="N2306">
        <v>0</v>
      </c>
      <c r="O2306">
        <v>0</v>
      </c>
      <c r="P2306">
        <v>0</v>
      </c>
      <c r="Q2306">
        <v>0</v>
      </c>
      <c r="R2306">
        <v>0</v>
      </c>
      <c r="S2306">
        <v>0</v>
      </c>
      <c r="T2306">
        <v>0</v>
      </c>
      <c r="U2306">
        <v>0</v>
      </c>
      <c r="V2306">
        <v>0</v>
      </c>
      <c r="W2306">
        <v>0</v>
      </c>
      <c r="X2306">
        <v>0</v>
      </c>
      <c r="Y2306">
        <v>0</v>
      </c>
      <c r="Z2306">
        <v>0</v>
      </c>
      <c r="AA2306">
        <v>0</v>
      </c>
      <c r="AB2306">
        <v>0</v>
      </c>
      <c r="AC2306">
        <v>0</v>
      </c>
      <c r="AD2306">
        <v>0</v>
      </c>
      <c r="AE2306">
        <v>0</v>
      </c>
      <c r="AF2306">
        <v>0</v>
      </c>
      <c r="AG2306">
        <v>0</v>
      </c>
      <c r="AH2306">
        <v>0</v>
      </c>
      <c r="AI2306">
        <v>0</v>
      </c>
      <c r="AJ2306">
        <v>0</v>
      </c>
      <c r="AK2306">
        <v>0</v>
      </c>
      <c r="AL2306">
        <v>2</v>
      </c>
      <c r="AM2306">
        <v>0</v>
      </c>
      <c r="AN2306">
        <v>2</v>
      </c>
    </row>
    <row r="2307" spans="1:40" x14ac:dyDescent="0.3">
      <c r="A2307" t="s">
        <v>606</v>
      </c>
      <c r="B2307" t="s">
        <v>139</v>
      </c>
      <c r="C2307" t="s">
        <v>10</v>
      </c>
      <c r="D2307" t="s">
        <v>14</v>
      </c>
      <c r="E2307">
        <v>202602</v>
      </c>
      <c r="F2307" t="s">
        <v>640</v>
      </c>
      <c r="G2307">
        <v>0</v>
      </c>
      <c r="H2307">
        <v>0</v>
      </c>
      <c r="I2307">
        <v>0</v>
      </c>
      <c r="J2307">
        <v>1</v>
      </c>
      <c r="K2307">
        <v>0</v>
      </c>
      <c r="L2307">
        <v>0</v>
      </c>
      <c r="M2307">
        <v>0</v>
      </c>
      <c r="N2307">
        <v>0</v>
      </c>
      <c r="O2307">
        <v>1</v>
      </c>
      <c r="P2307">
        <v>0</v>
      </c>
      <c r="Q2307">
        <v>0</v>
      </c>
      <c r="R2307">
        <v>0</v>
      </c>
      <c r="S2307">
        <v>0</v>
      </c>
      <c r="T2307">
        <v>0</v>
      </c>
      <c r="U2307">
        <v>0</v>
      </c>
      <c r="V2307">
        <v>0</v>
      </c>
      <c r="W2307">
        <v>0</v>
      </c>
      <c r="X2307">
        <v>0</v>
      </c>
      <c r="Y2307">
        <v>0</v>
      </c>
      <c r="Z2307">
        <v>0</v>
      </c>
      <c r="AA2307">
        <v>0</v>
      </c>
      <c r="AB2307">
        <v>0</v>
      </c>
      <c r="AC2307">
        <v>0</v>
      </c>
      <c r="AD2307">
        <v>0</v>
      </c>
      <c r="AE2307">
        <v>0</v>
      </c>
      <c r="AF2307">
        <v>0</v>
      </c>
      <c r="AG2307">
        <v>0</v>
      </c>
      <c r="AH2307">
        <v>0</v>
      </c>
      <c r="AI2307">
        <v>0</v>
      </c>
      <c r="AJ2307">
        <v>0</v>
      </c>
      <c r="AK2307">
        <v>0</v>
      </c>
      <c r="AL2307">
        <v>2</v>
      </c>
      <c r="AM2307">
        <v>0.33333333333333331</v>
      </c>
      <c r="AN2307">
        <v>6.0417410714286133</v>
      </c>
    </row>
    <row r="2308" spans="1:40" x14ac:dyDescent="0.3">
      <c r="A2308" t="s">
        <v>606</v>
      </c>
      <c r="B2308" t="s">
        <v>239</v>
      </c>
      <c r="C2308" t="s">
        <v>10</v>
      </c>
      <c r="D2308" t="s">
        <v>14</v>
      </c>
      <c r="E2308">
        <v>202602</v>
      </c>
      <c r="F2308" t="s">
        <v>204</v>
      </c>
      <c r="G2308">
        <v>0</v>
      </c>
      <c r="H2308">
        <v>0</v>
      </c>
      <c r="I2308">
        <v>0</v>
      </c>
      <c r="J2308">
        <v>0</v>
      </c>
      <c r="K2308">
        <v>0</v>
      </c>
      <c r="L2308">
        <v>0</v>
      </c>
      <c r="M2308">
        <v>0</v>
      </c>
      <c r="N2308">
        <v>0</v>
      </c>
      <c r="O2308">
        <v>1</v>
      </c>
      <c r="P2308">
        <v>3</v>
      </c>
      <c r="Q2308">
        <v>1</v>
      </c>
      <c r="R2308">
        <v>0</v>
      </c>
      <c r="S2308">
        <v>0</v>
      </c>
      <c r="T2308">
        <v>0</v>
      </c>
      <c r="U2308">
        <v>0</v>
      </c>
      <c r="V2308">
        <v>0</v>
      </c>
      <c r="W2308">
        <v>0</v>
      </c>
      <c r="X2308">
        <v>0</v>
      </c>
      <c r="Y2308">
        <v>0</v>
      </c>
      <c r="Z2308">
        <v>0</v>
      </c>
      <c r="AA2308">
        <v>0</v>
      </c>
      <c r="AB2308">
        <v>0</v>
      </c>
      <c r="AC2308">
        <v>0</v>
      </c>
      <c r="AD2308">
        <v>0</v>
      </c>
      <c r="AE2308">
        <v>0</v>
      </c>
      <c r="AF2308">
        <v>0</v>
      </c>
      <c r="AG2308">
        <v>0</v>
      </c>
      <c r="AH2308">
        <v>0</v>
      </c>
      <c r="AI2308">
        <v>0</v>
      </c>
      <c r="AJ2308">
        <v>0</v>
      </c>
      <c r="AK2308">
        <v>0</v>
      </c>
      <c r="AL2308">
        <v>5</v>
      </c>
      <c r="AM2308">
        <v>1.6666666666666667</v>
      </c>
      <c r="AN2308">
        <v>25.208705357143064</v>
      </c>
    </row>
    <row r="2309" spans="1:40" x14ac:dyDescent="0.3">
      <c r="A2309" t="s">
        <v>606</v>
      </c>
      <c r="B2309" t="s">
        <v>164</v>
      </c>
      <c r="C2309" t="s">
        <v>10</v>
      </c>
      <c r="D2309" t="s">
        <v>11</v>
      </c>
      <c r="E2309">
        <v>202602</v>
      </c>
      <c r="F2309" t="s">
        <v>18</v>
      </c>
      <c r="G2309">
        <v>0</v>
      </c>
      <c r="H2309">
        <v>1</v>
      </c>
      <c r="I2309">
        <v>3</v>
      </c>
      <c r="J2309">
        <v>0</v>
      </c>
      <c r="K2309">
        <v>0</v>
      </c>
      <c r="L2309">
        <v>0</v>
      </c>
      <c r="M2309">
        <v>1</v>
      </c>
      <c r="N2309">
        <v>0</v>
      </c>
      <c r="O2309">
        <v>0</v>
      </c>
      <c r="P2309">
        <v>1</v>
      </c>
      <c r="Q2309">
        <v>1</v>
      </c>
      <c r="R2309">
        <v>0</v>
      </c>
      <c r="S2309">
        <v>0</v>
      </c>
      <c r="T2309">
        <v>0</v>
      </c>
      <c r="U2309">
        <v>0</v>
      </c>
      <c r="V2309">
        <v>0</v>
      </c>
      <c r="W2309">
        <v>0</v>
      </c>
      <c r="X2309">
        <v>0</v>
      </c>
      <c r="Y2309">
        <v>0</v>
      </c>
      <c r="Z2309">
        <v>0</v>
      </c>
      <c r="AA2309">
        <v>0</v>
      </c>
      <c r="AB2309">
        <v>0</v>
      </c>
      <c r="AC2309">
        <v>0</v>
      </c>
      <c r="AD2309">
        <v>0</v>
      </c>
      <c r="AE2309">
        <v>0</v>
      </c>
      <c r="AF2309">
        <v>0</v>
      </c>
      <c r="AG2309">
        <v>0</v>
      </c>
      <c r="AH2309">
        <v>0</v>
      </c>
      <c r="AI2309">
        <v>0</v>
      </c>
      <c r="AJ2309">
        <v>0</v>
      </c>
      <c r="AK2309">
        <v>0</v>
      </c>
      <c r="AL2309">
        <v>7</v>
      </c>
      <c r="AM2309">
        <v>0.66666666666666663</v>
      </c>
      <c r="AN2309">
        <v>16.209250279746222</v>
      </c>
    </row>
    <row r="2310" spans="1:40" x14ac:dyDescent="0.3">
      <c r="A2310" t="s">
        <v>606</v>
      </c>
      <c r="B2310" t="s">
        <v>164</v>
      </c>
      <c r="C2310" t="s">
        <v>10</v>
      </c>
      <c r="D2310" t="s">
        <v>11</v>
      </c>
      <c r="E2310">
        <v>202602</v>
      </c>
      <c r="F2310" t="s">
        <v>138</v>
      </c>
      <c r="G2310">
        <v>0</v>
      </c>
      <c r="H2310">
        <v>0</v>
      </c>
      <c r="I2310">
        <v>0</v>
      </c>
      <c r="J2310">
        <v>0</v>
      </c>
      <c r="K2310">
        <v>0</v>
      </c>
      <c r="L2310">
        <v>1</v>
      </c>
      <c r="M2310">
        <v>0</v>
      </c>
      <c r="N2310">
        <v>0</v>
      </c>
      <c r="O2310">
        <v>1</v>
      </c>
      <c r="P2310">
        <v>1</v>
      </c>
      <c r="Q2310">
        <v>0</v>
      </c>
      <c r="R2310">
        <v>0</v>
      </c>
      <c r="S2310">
        <v>0</v>
      </c>
      <c r="T2310">
        <v>0</v>
      </c>
      <c r="U2310">
        <v>0</v>
      </c>
      <c r="V2310">
        <v>0</v>
      </c>
      <c r="W2310">
        <v>0</v>
      </c>
      <c r="X2310">
        <v>0</v>
      </c>
      <c r="Y2310">
        <v>0</v>
      </c>
      <c r="Z2310">
        <v>0</v>
      </c>
      <c r="AA2310">
        <v>0</v>
      </c>
      <c r="AB2310">
        <v>0</v>
      </c>
      <c r="AC2310">
        <v>0</v>
      </c>
      <c r="AD2310">
        <v>0</v>
      </c>
      <c r="AE2310">
        <v>0</v>
      </c>
      <c r="AF2310">
        <v>0</v>
      </c>
      <c r="AG2310">
        <v>0</v>
      </c>
      <c r="AH2310">
        <v>0</v>
      </c>
      <c r="AI2310">
        <v>0</v>
      </c>
      <c r="AJ2310">
        <v>0</v>
      </c>
      <c r="AK2310">
        <v>0</v>
      </c>
      <c r="AL2310">
        <v>3</v>
      </c>
      <c r="AM2310">
        <v>0.66666666666666663</v>
      </c>
      <c r="AN2310">
        <v>12.209250279746223</v>
      </c>
    </row>
    <row r="2311" spans="1:40" x14ac:dyDescent="0.3">
      <c r="A2311" t="s">
        <v>606</v>
      </c>
      <c r="B2311" t="s">
        <v>164</v>
      </c>
      <c r="C2311" t="s">
        <v>10</v>
      </c>
      <c r="D2311" t="s">
        <v>14</v>
      </c>
      <c r="E2311">
        <v>202602</v>
      </c>
      <c r="F2311" t="s">
        <v>18</v>
      </c>
      <c r="G2311">
        <v>1</v>
      </c>
      <c r="H2311">
        <v>1</v>
      </c>
      <c r="I2311">
        <v>0</v>
      </c>
      <c r="J2311">
        <v>0</v>
      </c>
      <c r="K2311">
        <v>0</v>
      </c>
      <c r="L2311">
        <v>1</v>
      </c>
      <c r="M2311">
        <v>0</v>
      </c>
      <c r="N2311">
        <v>0</v>
      </c>
      <c r="O2311">
        <v>1</v>
      </c>
      <c r="P2311">
        <v>3</v>
      </c>
      <c r="Q2311">
        <v>4</v>
      </c>
      <c r="R2311">
        <v>0</v>
      </c>
      <c r="S2311">
        <v>0</v>
      </c>
      <c r="T2311">
        <v>0</v>
      </c>
      <c r="U2311">
        <v>0</v>
      </c>
      <c r="V2311">
        <v>0</v>
      </c>
      <c r="W2311">
        <v>0</v>
      </c>
      <c r="X2311">
        <v>0</v>
      </c>
      <c r="Y2311">
        <v>0</v>
      </c>
      <c r="Z2311">
        <v>0</v>
      </c>
      <c r="AA2311">
        <v>0</v>
      </c>
      <c r="AB2311">
        <v>0</v>
      </c>
      <c r="AC2311">
        <v>0</v>
      </c>
      <c r="AD2311">
        <v>0</v>
      </c>
      <c r="AE2311">
        <v>0</v>
      </c>
      <c r="AF2311">
        <v>0</v>
      </c>
      <c r="AG2311">
        <v>0</v>
      </c>
      <c r="AH2311">
        <v>0</v>
      </c>
      <c r="AI2311">
        <v>0</v>
      </c>
      <c r="AJ2311">
        <v>0</v>
      </c>
      <c r="AK2311">
        <v>0</v>
      </c>
      <c r="AL2311">
        <v>11</v>
      </c>
      <c r="AM2311">
        <v>2.6666666666666665</v>
      </c>
      <c r="AN2311">
        <v>43.333928571428906</v>
      </c>
    </row>
    <row r="2312" spans="1:40" x14ac:dyDescent="0.3">
      <c r="A2312" t="s">
        <v>606</v>
      </c>
      <c r="B2312" t="s">
        <v>164</v>
      </c>
      <c r="C2312" t="s">
        <v>10</v>
      </c>
      <c r="D2312" t="s">
        <v>14</v>
      </c>
      <c r="E2312">
        <v>202602</v>
      </c>
      <c r="F2312" t="s">
        <v>138</v>
      </c>
      <c r="G2312">
        <v>0</v>
      </c>
      <c r="H2312">
        <v>0</v>
      </c>
      <c r="I2312">
        <v>1</v>
      </c>
      <c r="J2312">
        <v>3</v>
      </c>
      <c r="K2312">
        <v>1</v>
      </c>
      <c r="L2312">
        <v>3</v>
      </c>
      <c r="M2312">
        <v>0</v>
      </c>
      <c r="N2312">
        <v>0</v>
      </c>
      <c r="O2312">
        <v>1</v>
      </c>
      <c r="P2312">
        <v>3</v>
      </c>
      <c r="Q2312">
        <v>3</v>
      </c>
      <c r="R2312">
        <v>0</v>
      </c>
      <c r="S2312">
        <v>0</v>
      </c>
      <c r="T2312">
        <v>0</v>
      </c>
      <c r="U2312">
        <v>0</v>
      </c>
      <c r="V2312">
        <v>0</v>
      </c>
      <c r="W2312">
        <v>0</v>
      </c>
      <c r="X2312">
        <v>0</v>
      </c>
      <c r="Y2312">
        <v>0</v>
      </c>
      <c r="Z2312">
        <v>0</v>
      </c>
      <c r="AA2312">
        <v>0</v>
      </c>
      <c r="AB2312">
        <v>0</v>
      </c>
      <c r="AC2312">
        <v>0</v>
      </c>
      <c r="AD2312">
        <v>0</v>
      </c>
      <c r="AE2312">
        <v>0</v>
      </c>
      <c r="AF2312">
        <v>0</v>
      </c>
      <c r="AG2312">
        <v>0</v>
      </c>
      <c r="AH2312">
        <v>0</v>
      </c>
      <c r="AI2312">
        <v>0</v>
      </c>
      <c r="AJ2312">
        <v>0</v>
      </c>
      <c r="AK2312">
        <v>0</v>
      </c>
      <c r="AL2312">
        <v>15</v>
      </c>
      <c r="AM2312">
        <v>2.3333333333333335</v>
      </c>
      <c r="AN2312">
        <v>43.292187500000296</v>
      </c>
    </row>
    <row r="2313" spans="1:40" x14ac:dyDescent="0.3">
      <c r="A2313" t="s">
        <v>606</v>
      </c>
      <c r="B2313" t="s">
        <v>168</v>
      </c>
      <c r="C2313" t="s">
        <v>10</v>
      </c>
      <c r="D2313" t="s">
        <v>11</v>
      </c>
      <c r="E2313">
        <v>202602</v>
      </c>
      <c r="F2313" t="s">
        <v>169</v>
      </c>
      <c r="G2313">
        <v>0</v>
      </c>
      <c r="H2313">
        <v>0</v>
      </c>
      <c r="I2313">
        <v>0</v>
      </c>
      <c r="J2313">
        <v>0</v>
      </c>
      <c r="K2313">
        <v>0</v>
      </c>
      <c r="L2313">
        <v>0</v>
      </c>
      <c r="M2313">
        <v>0</v>
      </c>
      <c r="N2313">
        <v>0</v>
      </c>
      <c r="O2313">
        <v>0</v>
      </c>
      <c r="P2313">
        <v>0</v>
      </c>
      <c r="Q2313">
        <v>1</v>
      </c>
      <c r="R2313">
        <v>0</v>
      </c>
      <c r="S2313">
        <v>0</v>
      </c>
      <c r="T2313">
        <v>0</v>
      </c>
      <c r="U2313">
        <v>0</v>
      </c>
      <c r="V2313">
        <v>0</v>
      </c>
      <c r="W2313">
        <v>0</v>
      </c>
      <c r="X2313">
        <v>0</v>
      </c>
      <c r="Y2313">
        <v>0</v>
      </c>
      <c r="Z2313">
        <v>0</v>
      </c>
      <c r="AA2313">
        <v>0</v>
      </c>
      <c r="AB2313">
        <v>0</v>
      </c>
      <c r="AC2313">
        <v>0</v>
      </c>
      <c r="AD2313">
        <v>0</v>
      </c>
      <c r="AE2313">
        <v>0</v>
      </c>
      <c r="AF2313">
        <v>0</v>
      </c>
      <c r="AG2313">
        <v>0</v>
      </c>
      <c r="AH2313">
        <v>0</v>
      </c>
      <c r="AI2313">
        <v>0</v>
      </c>
      <c r="AJ2313">
        <v>0</v>
      </c>
      <c r="AK2313">
        <v>0</v>
      </c>
      <c r="AL2313">
        <v>1</v>
      </c>
      <c r="AM2313">
        <v>0.33333333333333331</v>
      </c>
      <c r="AN2313">
        <v>5.6046251398731117</v>
      </c>
    </row>
    <row r="2314" spans="1:40" x14ac:dyDescent="0.3">
      <c r="A2314" t="s">
        <v>606</v>
      </c>
      <c r="B2314" t="s">
        <v>168</v>
      </c>
      <c r="C2314" t="s">
        <v>10</v>
      </c>
      <c r="D2314" t="s">
        <v>14</v>
      </c>
      <c r="E2314">
        <v>202602</v>
      </c>
      <c r="F2314" t="s">
        <v>169</v>
      </c>
      <c r="G2314">
        <v>0</v>
      </c>
      <c r="H2314">
        <v>0</v>
      </c>
      <c r="I2314">
        <v>0</v>
      </c>
      <c r="J2314">
        <v>0</v>
      </c>
      <c r="K2314">
        <v>1</v>
      </c>
      <c r="L2314">
        <v>0</v>
      </c>
      <c r="M2314">
        <v>0</v>
      </c>
      <c r="N2314">
        <v>0</v>
      </c>
      <c r="O2314">
        <v>0</v>
      </c>
      <c r="P2314">
        <v>0</v>
      </c>
      <c r="Q2314">
        <v>0</v>
      </c>
      <c r="R2314">
        <v>0</v>
      </c>
      <c r="S2314">
        <v>0</v>
      </c>
      <c r="T2314">
        <v>0</v>
      </c>
      <c r="U2314">
        <v>0</v>
      </c>
      <c r="V2314">
        <v>0</v>
      </c>
      <c r="W2314">
        <v>0</v>
      </c>
      <c r="X2314">
        <v>0</v>
      </c>
      <c r="Y2314">
        <v>0</v>
      </c>
      <c r="Z2314">
        <v>0</v>
      </c>
      <c r="AA2314">
        <v>0</v>
      </c>
      <c r="AB2314">
        <v>0</v>
      </c>
      <c r="AC2314">
        <v>0</v>
      </c>
      <c r="AD2314">
        <v>0</v>
      </c>
      <c r="AE2314">
        <v>0</v>
      </c>
      <c r="AF2314">
        <v>0</v>
      </c>
      <c r="AG2314">
        <v>0</v>
      </c>
      <c r="AH2314">
        <v>0</v>
      </c>
      <c r="AI2314">
        <v>0</v>
      </c>
      <c r="AJ2314">
        <v>0</v>
      </c>
      <c r="AK2314">
        <v>0</v>
      </c>
      <c r="AL2314">
        <v>1</v>
      </c>
      <c r="AM2314">
        <v>0</v>
      </c>
      <c r="AN2314">
        <v>1</v>
      </c>
    </row>
    <row r="2315" spans="1:40" x14ac:dyDescent="0.3">
      <c r="A2315" t="s">
        <v>606</v>
      </c>
      <c r="B2315" t="s">
        <v>170</v>
      </c>
      <c r="C2315" t="s">
        <v>10</v>
      </c>
      <c r="D2315" t="s">
        <v>11</v>
      </c>
      <c r="E2315">
        <v>202602</v>
      </c>
      <c r="F2315" t="s">
        <v>50</v>
      </c>
      <c r="G2315">
        <v>0</v>
      </c>
      <c r="H2315">
        <v>0</v>
      </c>
      <c r="I2315">
        <v>0</v>
      </c>
      <c r="J2315">
        <v>0</v>
      </c>
      <c r="K2315">
        <v>1</v>
      </c>
      <c r="L2315">
        <v>0</v>
      </c>
      <c r="M2315">
        <v>0</v>
      </c>
      <c r="N2315">
        <v>0</v>
      </c>
      <c r="O2315">
        <v>1</v>
      </c>
      <c r="P2315">
        <v>0</v>
      </c>
      <c r="Q2315">
        <v>0</v>
      </c>
      <c r="R2315">
        <v>0</v>
      </c>
      <c r="S2315">
        <v>0</v>
      </c>
      <c r="T2315">
        <v>0</v>
      </c>
      <c r="U2315">
        <v>0</v>
      </c>
      <c r="V2315">
        <v>0</v>
      </c>
      <c r="W2315">
        <v>0</v>
      </c>
      <c r="X2315">
        <v>0</v>
      </c>
      <c r="Y2315">
        <v>0</v>
      </c>
      <c r="Z2315">
        <v>0</v>
      </c>
      <c r="AA2315">
        <v>0</v>
      </c>
      <c r="AB2315">
        <v>0</v>
      </c>
      <c r="AC2315">
        <v>0</v>
      </c>
      <c r="AD2315">
        <v>0</v>
      </c>
      <c r="AE2315">
        <v>0</v>
      </c>
      <c r="AF2315">
        <v>0</v>
      </c>
      <c r="AG2315">
        <v>0</v>
      </c>
      <c r="AH2315">
        <v>0</v>
      </c>
      <c r="AI2315">
        <v>0</v>
      </c>
      <c r="AJ2315">
        <v>0</v>
      </c>
      <c r="AK2315">
        <v>0</v>
      </c>
      <c r="AL2315">
        <v>2</v>
      </c>
      <c r="AM2315">
        <v>0.33333333333333331</v>
      </c>
      <c r="AN2315">
        <v>6.6046251398731117</v>
      </c>
    </row>
    <row r="2316" spans="1:40" x14ac:dyDescent="0.3">
      <c r="A2316" t="s">
        <v>606</v>
      </c>
      <c r="B2316" t="s">
        <v>170</v>
      </c>
      <c r="C2316" t="s">
        <v>10</v>
      </c>
      <c r="D2316" t="s">
        <v>14</v>
      </c>
      <c r="E2316">
        <v>202602</v>
      </c>
      <c r="F2316" t="s">
        <v>50</v>
      </c>
      <c r="G2316">
        <v>0</v>
      </c>
      <c r="H2316">
        <v>0</v>
      </c>
      <c r="I2316">
        <v>0</v>
      </c>
      <c r="J2316">
        <v>1</v>
      </c>
      <c r="K2316">
        <v>0</v>
      </c>
      <c r="L2316">
        <v>1</v>
      </c>
      <c r="M2316">
        <v>0</v>
      </c>
      <c r="N2316">
        <v>0</v>
      </c>
      <c r="O2316">
        <v>0</v>
      </c>
      <c r="P2316">
        <v>0</v>
      </c>
      <c r="Q2316">
        <v>0</v>
      </c>
      <c r="R2316">
        <v>0</v>
      </c>
      <c r="S2316">
        <v>0</v>
      </c>
      <c r="T2316">
        <v>0</v>
      </c>
      <c r="U2316">
        <v>0</v>
      </c>
      <c r="V2316">
        <v>0</v>
      </c>
      <c r="W2316">
        <v>0</v>
      </c>
      <c r="X2316">
        <v>0</v>
      </c>
      <c r="Y2316">
        <v>0</v>
      </c>
      <c r="Z2316">
        <v>0</v>
      </c>
      <c r="AA2316">
        <v>0</v>
      </c>
      <c r="AB2316">
        <v>0</v>
      </c>
      <c r="AC2316">
        <v>0</v>
      </c>
      <c r="AD2316">
        <v>0</v>
      </c>
      <c r="AE2316">
        <v>0</v>
      </c>
      <c r="AF2316">
        <v>0</v>
      </c>
      <c r="AG2316">
        <v>0</v>
      </c>
      <c r="AH2316">
        <v>0</v>
      </c>
      <c r="AI2316">
        <v>0</v>
      </c>
      <c r="AJ2316">
        <v>0</v>
      </c>
      <c r="AK2316">
        <v>0</v>
      </c>
      <c r="AL2316">
        <v>2</v>
      </c>
      <c r="AM2316">
        <v>0</v>
      </c>
      <c r="AN2316">
        <v>2</v>
      </c>
    </row>
    <row r="2317" spans="1:40" x14ac:dyDescent="0.3">
      <c r="A2317" t="s">
        <v>606</v>
      </c>
      <c r="B2317" t="s">
        <v>171</v>
      </c>
      <c r="C2317" t="s">
        <v>10</v>
      </c>
      <c r="D2317" t="s">
        <v>11</v>
      </c>
      <c r="E2317">
        <v>202602</v>
      </c>
      <c r="F2317" t="s">
        <v>172</v>
      </c>
      <c r="G2317">
        <v>0</v>
      </c>
      <c r="H2317">
        <v>0</v>
      </c>
      <c r="I2317">
        <v>3</v>
      </c>
      <c r="J2317">
        <v>0</v>
      </c>
      <c r="K2317">
        <v>2</v>
      </c>
      <c r="L2317">
        <v>0</v>
      </c>
      <c r="M2317">
        <v>1</v>
      </c>
      <c r="N2317">
        <v>0</v>
      </c>
      <c r="O2317">
        <v>0</v>
      </c>
      <c r="P2317">
        <v>0</v>
      </c>
      <c r="Q2317">
        <v>2</v>
      </c>
      <c r="R2317">
        <v>0</v>
      </c>
      <c r="S2317">
        <v>0</v>
      </c>
      <c r="T2317">
        <v>0</v>
      </c>
      <c r="U2317">
        <v>0</v>
      </c>
      <c r="V2317">
        <v>0</v>
      </c>
      <c r="W2317">
        <v>0</v>
      </c>
      <c r="X2317">
        <v>0</v>
      </c>
      <c r="Y2317">
        <v>0</v>
      </c>
      <c r="Z2317">
        <v>0</v>
      </c>
      <c r="AA2317">
        <v>0</v>
      </c>
      <c r="AB2317">
        <v>0</v>
      </c>
      <c r="AC2317">
        <v>0</v>
      </c>
      <c r="AD2317">
        <v>0</v>
      </c>
      <c r="AE2317">
        <v>0</v>
      </c>
      <c r="AF2317">
        <v>0</v>
      </c>
      <c r="AG2317">
        <v>0</v>
      </c>
      <c r="AH2317">
        <v>0</v>
      </c>
      <c r="AI2317">
        <v>0</v>
      </c>
      <c r="AJ2317">
        <v>0</v>
      </c>
      <c r="AK2317">
        <v>0</v>
      </c>
      <c r="AL2317">
        <v>8</v>
      </c>
      <c r="AM2317">
        <v>0.66666666666666663</v>
      </c>
      <c r="AN2317">
        <v>17.209250279746222</v>
      </c>
    </row>
    <row r="2318" spans="1:40" x14ac:dyDescent="0.3">
      <c r="A2318" t="s">
        <v>606</v>
      </c>
      <c r="B2318" t="s">
        <v>171</v>
      </c>
      <c r="C2318" t="s">
        <v>10</v>
      </c>
      <c r="D2318" t="s">
        <v>11</v>
      </c>
      <c r="E2318">
        <v>202602</v>
      </c>
      <c r="F2318" t="s">
        <v>573</v>
      </c>
      <c r="G2318">
        <v>0</v>
      </c>
      <c r="H2318">
        <v>0</v>
      </c>
      <c r="I2318">
        <v>4</v>
      </c>
      <c r="J2318">
        <v>7</v>
      </c>
      <c r="K2318">
        <v>5</v>
      </c>
      <c r="L2318">
        <v>10</v>
      </c>
      <c r="M2318">
        <v>3</v>
      </c>
      <c r="N2318">
        <v>0</v>
      </c>
      <c r="O2318">
        <v>6</v>
      </c>
      <c r="P2318">
        <v>8</v>
      </c>
      <c r="Q2318">
        <v>7</v>
      </c>
      <c r="R2318">
        <v>0</v>
      </c>
      <c r="S2318">
        <v>0</v>
      </c>
      <c r="T2318">
        <v>0</v>
      </c>
      <c r="U2318">
        <v>0</v>
      </c>
      <c r="V2318">
        <v>0</v>
      </c>
      <c r="W2318">
        <v>0</v>
      </c>
      <c r="X2318">
        <v>0</v>
      </c>
      <c r="Y2318">
        <v>0</v>
      </c>
      <c r="Z2318">
        <v>0</v>
      </c>
      <c r="AA2318">
        <v>0</v>
      </c>
      <c r="AB2318">
        <v>0</v>
      </c>
      <c r="AC2318">
        <v>0</v>
      </c>
      <c r="AD2318">
        <v>0</v>
      </c>
      <c r="AE2318">
        <v>0</v>
      </c>
      <c r="AF2318">
        <v>0</v>
      </c>
      <c r="AG2318">
        <v>0</v>
      </c>
      <c r="AH2318">
        <v>0</v>
      </c>
      <c r="AI2318">
        <v>0</v>
      </c>
      <c r="AJ2318">
        <v>0</v>
      </c>
      <c r="AK2318">
        <v>0</v>
      </c>
      <c r="AL2318">
        <v>50</v>
      </c>
      <c r="AM2318">
        <v>7</v>
      </c>
      <c r="AN2318">
        <v>146.69712793733532</v>
      </c>
    </row>
    <row r="2319" spans="1:40" x14ac:dyDescent="0.3">
      <c r="A2319" t="s">
        <v>606</v>
      </c>
      <c r="B2319" t="s">
        <v>171</v>
      </c>
      <c r="C2319" t="s">
        <v>10</v>
      </c>
      <c r="D2319" t="s">
        <v>14</v>
      </c>
      <c r="E2319">
        <v>202602</v>
      </c>
      <c r="F2319" t="s">
        <v>172</v>
      </c>
      <c r="G2319">
        <v>0</v>
      </c>
      <c r="H2319">
        <v>4</v>
      </c>
      <c r="I2319">
        <v>1</v>
      </c>
      <c r="J2319">
        <v>2</v>
      </c>
      <c r="K2319">
        <v>0</v>
      </c>
      <c r="L2319">
        <v>1</v>
      </c>
      <c r="M2319">
        <v>0</v>
      </c>
      <c r="N2319">
        <v>0</v>
      </c>
      <c r="O2319">
        <v>2</v>
      </c>
      <c r="P2319">
        <v>0</v>
      </c>
      <c r="Q2319">
        <v>1</v>
      </c>
      <c r="R2319">
        <v>0</v>
      </c>
      <c r="S2319">
        <v>0</v>
      </c>
      <c r="T2319">
        <v>0</v>
      </c>
      <c r="U2319">
        <v>0</v>
      </c>
      <c r="V2319">
        <v>0</v>
      </c>
      <c r="W2319">
        <v>0</v>
      </c>
      <c r="X2319">
        <v>0</v>
      </c>
      <c r="Y2319">
        <v>0</v>
      </c>
      <c r="Z2319">
        <v>0</v>
      </c>
      <c r="AA2319">
        <v>0</v>
      </c>
      <c r="AB2319">
        <v>0</v>
      </c>
      <c r="AC2319">
        <v>0</v>
      </c>
      <c r="AD2319">
        <v>0</v>
      </c>
      <c r="AE2319">
        <v>0</v>
      </c>
      <c r="AF2319">
        <v>0</v>
      </c>
      <c r="AG2319">
        <v>0</v>
      </c>
      <c r="AH2319">
        <v>0</v>
      </c>
      <c r="AI2319">
        <v>0</v>
      </c>
      <c r="AJ2319">
        <v>0</v>
      </c>
      <c r="AK2319">
        <v>0</v>
      </c>
      <c r="AL2319">
        <v>11</v>
      </c>
      <c r="AM2319">
        <v>1</v>
      </c>
      <c r="AN2319">
        <v>23.125223214285839</v>
      </c>
    </row>
    <row r="2320" spans="1:40" x14ac:dyDescent="0.3">
      <c r="A2320" t="s">
        <v>606</v>
      </c>
      <c r="B2320" t="s">
        <v>171</v>
      </c>
      <c r="C2320" t="s">
        <v>10</v>
      </c>
      <c r="D2320" t="s">
        <v>14</v>
      </c>
      <c r="E2320">
        <v>202602</v>
      </c>
      <c r="F2320" t="s">
        <v>573</v>
      </c>
      <c r="G2320">
        <v>0</v>
      </c>
      <c r="H2320">
        <v>6</v>
      </c>
      <c r="I2320">
        <v>7</v>
      </c>
      <c r="J2320">
        <v>4</v>
      </c>
      <c r="K2320">
        <v>16</v>
      </c>
      <c r="L2320">
        <v>9</v>
      </c>
      <c r="M2320">
        <v>5</v>
      </c>
      <c r="N2320">
        <v>0</v>
      </c>
      <c r="O2320">
        <v>6</v>
      </c>
      <c r="P2320">
        <v>10</v>
      </c>
      <c r="Q2320">
        <v>6</v>
      </c>
      <c r="R2320">
        <v>0</v>
      </c>
      <c r="S2320">
        <v>0</v>
      </c>
      <c r="T2320">
        <v>0</v>
      </c>
      <c r="U2320">
        <v>0</v>
      </c>
      <c r="V2320">
        <v>0</v>
      </c>
      <c r="W2320">
        <v>0</v>
      </c>
      <c r="X2320">
        <v>0</v>
      </c>
      <c r="Y2320">
        <v>0</v>
      </c>
      <c r="Z2320">
        <v>0</v>
      </c>
      <c r="AA2320">
        <v>0</v>
      </c>
      <c r="AB2320">
        <v>0</v>
      </c>
      <c r="AC2320">
        <v>0</v>
      </c>
      <c r="AD2320">
        <v>0</v>
      </c>
      <c r="AE2320">
        <v>0</v>
      </c>
      <c r="AF2320">
        <v>0</v>
      </c>
      <c r="AG2320">
        <v>0</v>
      </c>
      <c r="AH2320">
        <v>0</v>
      </c>
      <c r="AI2320">
        <v>0</v>
      </c>
      <c r="AJ2320">
        <v>0</v>
      </c>
      <c r="AK2320">
        <v>0</v>
      </c>
      <c r="AL2320">
        <v>69</v>
      </c>
      <c r="AM2320">
        <v>7.333333333333333</v>
      </c>
      <c r="AN2320">
        <v>157.91830357142948</v>
      </c>
    </row>
    <row r="2321" spans="1:40" x14ac:dyDescent="0.3">
      <c r="A2321" t="s">
        <v>606</v>
      </c>
      <c r="B2321" t="s">
        <v>171</v>
      </c>
      <c r="C2321" t="s">
        <v>16</v>
      </c>
      <c r="D2321" t="s">
        <v>11</v>
      </c>
      <c r="E2321">
        <v>202602</v>
      </c>
      <c r="F2321" t="s">
        <v>573</v>
      </c>
      <c r="G2321">
        <v>0</v>
      </c>
      <c r="H2321">
        <v>0</v>
      </c>
      <c r="I2321">
        <v>0</v>
      </c>
      <c r="J2321">
        <v>1</v>
      </c>
      <c r="K2321">
        <v>0</v>
      </c>
      <c r="L2321">
        <v>0</v>
      </c>
      <c r="M2321">
        <v>0</v>
      </c>
      <c r="N2321">
        <v>0</v>
      </c>
      <c r="O2321">
        <v>1</v>
      </c>
      <c r="P2321">
        <v>0</v>
      </c>
      <c r="Q2321">
        <v>0</v>
      </c>
      <c r="R2321">
        <v>0</v>
      </c>
      <c r="S2321">
        <v>0</v>
      </c>
      <c r="T2321">
        <v>0</v>
      </c>
      <c r="U2321">
        <v>0</v>
      </c>
      <c r="V2321">
        <v>0</v>
      </c>
      <c r="W2321">
        <v>0</v>
      </c>
      <c r="X2321">
        <v>0</v>
      </c>
      <c r="Y2321">
        <v>0</v>
      </c>
      <c r="Z2321">
        <v>0</v>
      </c>
      <c r="AA2321">
        <v>0</v>
      </c>
      <c r="AB2321">
        <v>0</v>
      </c>
      <c r="AC2321">
        <v>0</v>
      </c>
      <c r="AD2321">
        <v>0</v>
      </c>
      <c r="AE2321">
        <v>0</v>
      </c>
      <c r="AF2321">
        <v>0</v>
      </c>
      <c r="AG2321">
        <v>0</v>
      </c>
      <c r="AH2321">
        <v>0</v>
      </c>
      <c r="AI2321">
        <v>0</v>
      </c>
      <c r="AJ2321">
        <v>0</v>
      </c>
      <c r="AK2321">
        <v>0</v>
      </c>
      <c r="AL2321">
        <v>2</v>
      </c>
      <c r="AM2321">
        <v>0.33333333333333331</v>
      </c>
      <c r="AN2321">
        <v>6.6046251398731117</v>
      </c>
    </row>
    <row r="2322" spans="1:40" x14ac:dyDescent="0.3">
      <c r="A2322" t="s">
        <v>606</v>
      </c>
      <c r="B2322" t="s">
        <v>171</v>
      </c>
      <c r="C2322" t="s">
        <v>16</v>
      </c>
      <c r="D2322" t="s">
        <v>14</v>
      </c>
      <c r="E2322">
        <v>202602</v>
      </c>
      <c r="F2322" t="s">
        <v>573</v>
      </c>
      <c r="G2322">
        <v>0</v>
      </c>
      <c r="H2322">
        <v>0</v>
      </c>
      <c r="I2322">
        <v>1</v>
      </c>
      <c r="J2322">
        <v>0</v>
      </c>
      <c r="K2322">
        <v>0</v>
      </c>
      <c r="L2322">
        <v>1</v>
      </c>
      <c r="M2322">
        <v>0</v>
      </c>
      <c r="N2322">
        <v>0</v>
      </c>
      <c r="O2322">
        <v>0</v>
      </c>
      <c r="P2322">
        <v>0</v>
      </c>
      <c r="Q2322">
        <v>0</v>
      </c>
      <c r="R2322">
        <v>0</v>
      </c>
      <c r="S2322">
        <v>0</v>
      </c>
      <c r="T2322">
        <v>0</v>
      </c>
      <c r="U2322">
        <v>0</v>
      </c>
      <c r="V2322">
        <v>0</v>
      </c>
      <c r="W2322">
        <v>0</v>
      </c>
      <c r="X2322">
        <v>0</v>
      </c>
      <c r="Y2322">
        <v>0</v>
      </c>
      <c r="Z2322">
        <v>0</v>
      </c>
      <c r="AA2322">
        <v>0</v>
      </c>
      <c r="AB2322">
        <v>0</v>
      </c>
      <c r="AC2322">
        <v>0</v>
      </c>
      <c r="AD2322">
        <v>0</v>
      </c>
      <c r="AE2322">
        <v>0</v>
      </c>
      <c r="AF2322">
        <v>0</v>
      </c>
      <c r="AG2322">
        <v>0</v>
      </c>
      <c r="AH2322">
        <v>0</v>
      </c>
      <c r="AI2322">
        <v>0</v>
      </c>
      <c r="AJ2322">
        <v>0</v>
      </c>
      <c r="AK2322">
        <v>0</v>
      </c>
      <c r="AL2322">
        <v>2</v>
      </c>
      <c r="AM2322">
        <v>0</v>
      </c>
      <c r="AN2322">
        <v>2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8A752-29D7-42C6-93A1-DD2AF1E9CA0B}">
  <dimension ref="A1:D1044"/>
  <sheetViews>
    <sheetView workbookViewId="0">
      <selection activeCell="B5" sqref="B5"/>
    </sheetView>
  </sheetViews>
  <sheetFormatPr defaultRowHeight="14.4" x14ac:dyDescent="0.3"/>
  <sheetData>
    <row r="1" spans="1:4" x14ac:dyDescent="0.3">
      <c r="A1" t="s">
        <v>642</v>
      </c>
      <c r="B1" t="s">
        <v>641</v>
      </c>
      <c r="C1" t="s">
        <v>0</v>
      </c>
      <c r="D1" t="s">
        <v>647</v>
      </c>
    </row>
    <row r="2" spans="1:4" x14ac:dyDescent="0.3">
      <c r="A2" t="s">
        <v>648</v>
      </c>
      <c r="B2" t="s">
        <v>59</v>
      </c>
      <c r="C2" t="s">
        <v>517</v>
      </c>
      <c r="D2">
        <v>3660.1060167029295</v>
      </c>
    </row>
    <row r="3" spans="1:4" x14ac:dyDescent="0.3">
      <c r="A3" t="s">
        <v>648</v>
      </c>
      <c r="B3" t="s">
        <v>59</v>
      </c>
      <c r="C3" t="s">
        <v>8</v>
      </c>
      <c r="D3">
        <v>1553.1475870330066</v>
      </c>
    </row>
    <row r="4" spans="1:4" x14ac:dyDescent="0.3">
      <c r="A4" t="s">
        <v>648</v>
      </c>
      <c r="B4" t="s">
        <v>59</v>
      </c>
      <c r="C4" t="s">
        <v>174</v>
      </c>
      <c r="D4">
        <v>1156.2286015081777</v>
      </c>
    </row>
    <row r="5" spans="1:4" x14ac:dyDescent="0.3">
      <c r="A5" t="s">
        <v>648</v>
      </c>
      <c r="B5" t="s">
        <v>59</v>
      </c>
      <c r="C5" t="s">
        <v>243</v>
      </c>
      <c r="D5">
        <v>929.73294043510964</v>
      </c>
    </row>
    <row r="6" spans="1:4" x14ac:dyDescent="0.3">
      <c r="A6" t="s">
        <v>648</v>
      </c>
      <c r="B6" t="s">
        <v>59</v>
      </c>
      <c r="C6" t="s">
        <v>287</v>
      </c>
      <c r="D6">
        <v>2521.2245666637482</v>
      </c>
    </row>
    <row r="7" spans="1:4" x14ac:dyDescent="0.3">
      <c r="A7" t="s">
        <v>648</v>
      </c>
      <c r="B7" t="s">
        <v>59</v>
      </c>
      <c r="C7" t="s">
        <v>340</v>
      </c>
      <c r="D7">
        <v>1795.0347431741145</v>
      </c>
    </row>
    <row r="8" spans="1:4" x14ac:dyDescent="0.3">
      <c r="A8" t="s">
        <v>648</v>
      </c>
      <c r="B8" t="s">
        <v>59</v>
      </c>
      <c r="C8" t="s">
        <v>381</v>
      </c>
      <c r="D8">
        <v>2235.2134232035796</v>
      </c>
    </row>
    <row r="9" spans="1:4" x14ac:dyDescent="0.3">
      <c r="A9" t="s">
        <v>648</v>
      </c>
      <c r="B9" t="s">
        <v>59</v>
      </c>
      <c r="C9" t="s">
        <v>606</v>
      </c>
      <c r="D9">
        <v>359.00275380947761</v>
      </c>
    </row>
    <row r="10" spans="1:4" x14ac:dyDescent="0.3">
      <c r="A10" t="s">
        <v>648</v>
      </c>
      <c r="B10" t="s">
        <v>59</v>
      </c>
      <c r="C10" t="s">
        <v>447</v>
      </c>
      <c r="D10">
        <v>2213.7808444916072</v>
      </c>
    </row>
    <row r="11" spans="1:4" x14ac:dyDescent="0.3">
      <c r="A11" t="s">
        <v>648</v>
      </c>
      <c r="B11" t="s">
        <v>59</v>
      </c>
      <c r="C11" t="s">
        <v>574</v>
      </c>
      <c r="D11">
        <v>765.91392608996318</v>
      </c>
    </row>
    <row r="12" spans="1:4" x14ac:dyDescent="0.3">
      <c r="A12" t="s">
        <v>648</v>
      </c>
      <c r="B12" t="s">
        <v>649</v>
      </c>
      <c r="C12" t="s">
        <v>517</v>
      </c>
      <c r="D12">
        <v>1262.1148948408968</v>
      </c>
    </row>
    <row r="13" spans="1:4" x14ac:dyDescent="0.3">
      <c r="A13" t="s">
        <v>648</v>
      </c>
      <c r="B13" t="s">
        <v>649</v>
      </c>
      <c r="C13" t="s">
        <v>8</v>
      </c>
      <c r="D13">
        <v>620.91812091530846</v>
      </c>
    </row>
    <row r="14" spans="1:4" x14ac:dyDescent="0.3">
      <c r="A14" t="s">
        <v>648</v>
      </c>
      <c r="B14" t="s">
        <v>649</v>
      </c>
      <c r="C14" t="s">
        <v>174</v>
      </c>
      <c r="D14">
        <v>746.42969668023704</v>
      </c>
    </row>
    <row r="15" spans="1:4" x14ac:dyDescent="0.3">
      <c r="A15" t="s">
        <v>648</v>
      </c>
      <c r="B15" t="s">
        <v>649</v>
      </c>
      <c r="C15" t="s">
        <v>243</v>
      </c>
      <c r="D15">
        <v>355.29094748201021</v>
      </c>
    </row>
    <row r="16" spans="1:4" x14ac:dyDescent="0.3">
      <c r="A16" t="s">
        <v>648</v>
      </c>
      <c r="B16" t="s">
        <v>649</v>
      </c>
      <c r="C16" t="s">
        <v>287</v>
      </c>
      <c r="D16">
        <v>260.36719072548868</v>
      </c>
    </row>
    <row r="17" spans="1:4" x14ac:dyDescent="0.3">
      <c r="A17" t="s">
        <v>648</v>
      </c>
      <c r="B17" t="s">
        <v>649</v>
      </c>
      <c r="C17" t="s">
        <v>340</v>
      </c>
      <c r="D17">
        <v>100.25969450463604</v>
      </c>
    </row>
    <row r="18" spans="1:4" x14ac:dyDescent="0.3">
      <c r="A18" t="s">
        <v>648</v>
      </c>
      <c r="B18" t="s">
        <v>649</v>
      </c>
      <c r="C18" t="s">
        <v>381</v>
      </c>
      <c r="D18">
        <v>167.4995676952397</v>
      </c>
    </row>
    <row r="19" spans="1:4" x14ac:dyDescent="0.3">
      <c r="A19" t="s">
        <v>648</v>
      </c>
      <c r="B19" t="s">
        <v>649</v>
      </c>
      <c r="C19" t="s">
        <v>606</v>
      </c>
      <c r="D19">
        <v>182.57161611337284</v>
      </c>
    </row>
    <row r="20" spans="1:4" x14ac:dyDescent="0.3">
      <c r="A20" t="s">
        <v>648</v>
      </c>
      <c r="B20" t="s">
        <v>649</v>
      </c>
      <c r="C20" t="s">
        <v>447</v>
      </c>
      <c r="D20">
        <v>232.62326681112651</v>
      </c>
    </row>
    <row r="21" spans="1:4" x14ac:dyDescent="0.3">
      <c r="A21" t="s">
        <v>648</v>
      </c>
      <c r="B21" t="s">
        <v>649</v>
      </c>
      <c r="C21" t="s">
        <v>574</v>
      </c>
      <c r="D21">
        <v>200.34346278928453</v>
      </c>
    </row>
    <row r="22" spans="1:4" x14ac:dyDescent="0.3">
      <c r="A22" t="s">
        <v>648</v>
      </c>
      <c r="B22" t="s">
        <v>100</v>
      </c>
      <c r="C22" t="s">
        <v>517</v>
      </c>
      <c r="D22">
        <v>127.47727264983988</v>
      </c>
    </row>
    <row r="23" spans="1:4" x14ac:dyDescent="0.3">
      <c r="A23" t="s">
        <v>648</v>
      </c>
      <c r="B23" t="s">
        <v>100</v>
      </c>
      <c r="C23" t="s">
        <v>8</v>
      </c>
      <c r="D23">
        <v>1.703993083123835</v>
      </c>
    </row>
    <row r="24" spans="1:4" x14ac:dyDescent="0.3">
      <c r="A24" t="s">
        <v>648</v>
      </c>
      <c r="B24" t="s">
        <v>100</v>
      </c>
      <c r="C24" t="s">
        <v>174</v>
      </c>
      <c r="D24">
        <v>79.083768284648471</v>
      </c>
    </row>
    <row r="25" spans="1:4" x14ac:dyDescent="0.3">
      <c r="A25" t="s">
        <v>648</v>
      </c>
      <c r="B25" t="s">
        <v>100</v>
      </c>
      <c r="C25" t="s">
        <v>243</v>
      </c>
      <c r="D25">
        <v>90.887732547454945</v>
      </c>
    </row>
    <row r="26" spans="1:4" x14ac:dyDescent="0.3">
      <c r="A26" t="s">
        <v>648</v>
      </c>
      <c r="B26" t="s">
        <v>100</v>
      </c>
      <c r="C26" t="s">
        <v>287</v>
      </c>
      <c r="D26">
        <v>3.6919850134349756</v>
      </c>
    </row>
    <row r="27" spans="1:4" x14ac:dyDescent="0.3">
      <c r="A27" t="s">
        <v>648</v>
      </c>
      <c r="B27" t="s">
        <v>100</v>
      </c>
      <c r="C27" t="s">
        <v>340</v>
      </c>
      <c r="D27" t="s">
        <v>650</v>
      </c>
    </row>
    <row r="28" spans="1:4" x14ac:dyDescent="0.3">
      <c r="A28" t="s">
        <v>648</v>
      </c>
      <c r="B28" t="s">
        <v>100</v>
      </c>
      <c r="C28" t="s">
        <v>381</v>
      </c>
      <c r="D28">
        <v>4.2839988471873056</v>
      </c>
    </row>
    <row r="29" spans="1:4" x14ac:dyDescent="0.3">
      <c r="A29" t="s">
        <v>648</v>
      </c>
      <c r="B29" t="s">
        <v>100</v>
      </c>
      <c r="C29" t="s">
        <v>606</v>
      </c>
      <c r="D29" t="s">
        <v>650</v>
      </c>
    </row>
    <row r="30" spans="1:4" x14ac:dyDescent="0.3">
      <c r="A30" t="s">
        <v>648</v>
      </c>
      <c r="B30" t="s">
        <v>100</v>
      </c>
      <c r="C30" t="s">
        <v>447</v>
      </c>
      <c r="D30">
        <v>51.783854745600536</v>
      </c>
    </row>
    <row r="31" spans="1:4" x14ac:dyDescent="0.3">
      <c r="A31" t="s">
        <v>648</v>
      </c>
      <c r="B31" t="s">
        <v>100</v>
      </c>
      <c r="C31" t="s">
        <v>574</v>
      </c>
      <c r="D31" t="s">
        <v>650</v>
      </c>
    </row>
    <row r="32" spans="1:4" x14ac:dyDescent="0.3">
      <c r="A32" t="s">
        <v>648</v>
      </c>
      <c r="B32" t="s">
        <v>103</v>
      </c>
      <c r="C32" t="s">
        <v>517</v>
      </c>
      <c r="D32">
        <v>5.2580584203534579</v>
      </c>
    </row>
    <row r="33" spans="1:4" x14ac:dyDescent="0.3">
      <c r="A33" t="s">
        <v>648</v>
      </c>
      <c r="B33" t="s">
        <v>103</v>
      </c>
      <c r="C33" t="s">
        <v>8</v>
      </c>
      <c r="D33">
        <v>5.6799769437461167</v>
      </c>
    </row>
    <row r="34" spans="1:4" x14ac:dyDescent="0.3">
      <c r="A34" t="s">
        <v>648</v>
      </c>
      <c r="B34" t="s">
        <v>103</v>
      </c>
      <c r="C34" t="s">
        <v>174</v>
      </c>
      <c r="D34">
        <v>1.703993083123835</v>
      </c>
    </row>
    <row r="35" spans="1:4" x14ac:dyDescent="0.3">
      <c r="A35" t="s">
        <v>648</v>
      </c>
      <c r="B35" t="s">
        <v>103</v>
      </c>
      <c r="C35" t="s">
        <v>243</v>
      </c>
      <c r="D35">
        <v>3.123987319060364</v>
      </c>
    </row>
    <row r="36" spans="1:4" x14ac:dyDescent="0.3">
      <c r="A36" t="s">
        <v>648</v>
      </c>
      <c r="B36" t="s">
        <v>103</v>
      </c>
      <c r="C36" t="s">
        <v>287</v>
      </c>
      <c r="D36">
        <v>1.1359953887492233</v>
      </c>
    </row>
    <row r="37" spans="1:4" x14ac:dyDescent="0.3">
      <c r="A37" t="s">
        <v>648</v>
      </c>
      <c r="B37" t="s">
        <v>103</v>
      </c>
      <c r="C37" t="s">
        <v>340</v>
      </c>
      <c r="D37">
        <v>1.9879919303111411</v>
      </c>
    </row>
    <row r="38" spans="1:4" x14ac:dyDescent="0.3">
      <c r="A38" t="s">
        <v>648</v>
      </c>
      <c r="B38" t="s">
        <v>103</v>
      </c>
      <c r="C38" t="s">
        <v>381</v>
      </c>
      <c r="D38">
        <v>3.40798616624767</v>
      </c>
    </row>
    <row r="39" spans="1:4" x14ac:dyDescent="0.3">
      <c r="A39" t="s">
        <v>648</v>
      </c>
      <c r="B39" t="s">
        <v>103</v>
      </c>
      <c r="C39" t="s">
        <v>606</v>
      </c>
      <c r="D39" t="s">
        <v>650</v>
      </c>
    </row>
    <row r="40" spans="1:4" x14ac:dyDescent="0.3">
      <c r="A40" t="s">
        <v>648</v>
      </c>
      <c r="B40" t="s">
        <v>103</v>
      </c>
      <c r="C40" t="s">
        <v>447</v>
      </c>
      <c r="D40">
        <v>0.28399884718730584</v>
      </c>
    </row>
    <row r="41" spans="1:4" x14ac:dyDescent="0.3">
      <c r="A41" t="s">
        <v>648</v>
      </c>
      <c r="B41" t="s">
        <v>103</v>
      </c>
      <c r="C41" t="s">
        <v>574</v>
      </c>
      <c r="D41">
        <v>1.4199942359365292</v>
      </c>
    </row>
    <row r="42" spans="1:4" x14ac:dyDescent="0.3">
      <c r="A42" t="s">
        <v>648</v>
      </c>
      <c r="B42" t="s">
        <v>168</v>
      </c>
      <c r="C42" t="s">
        <v>517</v>
      </c>
      <c r="D42">
        <v>247.25125894185743</v>
      </c>
    </row>
    <row r="43" spans="1:4" x14ac:dyDescent="0.3">
      <c r="A43" t="s">
        <v>648</v>
      </c>
      <c r="B43" t="s">
        <v>168</v>
      </c>
      <c r="C43" t="s">
        <v>8</v>
      </c>
      <c r="D43">
        <v>0</v>
      </c>
    </row>
    <row r="44" spans="1:4" x14ac:dyDescent="0.3">
      <c r="A44" t="s">
        <v>648</v>
      </c>
      <c r="B44" t="s">
        <v>168</v>
      </c>
      <c r="C44" t="s">
        <v>174</v>
      </c>
      <c r="D44" t="s">
        <v>650</v>
      </c>
    </row>
    <row r="45" spans="1:4" x14ac:dyDescent="0.3">
      <c r="A45" t="s">
        <v>648</v>
      </c>
      <c r="B45" t="s">
        <v>168</v>
      </c>
      <c r="C45" t="s">
        <v>243</v>
      </c>
      <c r="D45" t="s">
        <v>650</v>
      </c>
    </row>
    <row r="46" spans="1:4" x14ac:dyDescent="0.3">
      <c r="A46" t="s">
        <v>648</v>
      </c>
      <c r="B46" t="s">
        <v>168</v>
      </c>
      <c r="C46" t="s">
        <v>287</v>
      </c>
      <c r="D46" t="s">
        <v>650</v>
      </c>
    </row>
    <row r="47" spans="1:4" x14ac:dyDescent="0.3">
      <c r="A47" t="s">
        <v>648</v>
      </c>
      <c r="B47" t="s">
        <v>168</v>
      </c>
      <c r="C47" t="s">
        <v>340</v>
      </c>
      <c r="D47">
        <v>0.28399884718730584</v>
      </c>
    </row>
    <row r="48" spans="1:4" x14ac:dyDescent="0.3">
      <c r="A48" t="s">
        <v>648</v>
      </c>
      <c r="B48" t="s">
        <v>168</v>
      </c>
      <c r="C48" t="s">
        <v>381</v>
      </c>
      <c r="D48" t="s">
        <v>650</v>
      </c>
    </row>
    <row r="49" spans="1:4" x14ac:dyDescent="0.3">
      <c r="A49" t="s">
        <v>648</v>
      </c>
      <c r="B49" t="s">
        <v>168</v>
      </c>
      <c r="C49" t="s">
        <v>606</v>
      </c>
      <c r="D49" t="s">
        <v>650</v>
      </c>
    </row>
    <row r="50" spans="1:4" x14ac:dyDescent="0.3">
      <c r="A50" t="s">
        <v>648</v>
      </c>
      <c r="B50" t="s">
        <v>168</v>
      </c>
      <c r="C50" t="s">
        <v>447</v>
      </c>
      <c r="D50">
        <v>0.56799769437461167</v>
      </c>
    </row>
    <row r="51" spans="1:4" x14ac:dyDescent="0.3">
      <c r="A51" t="s">
        <v>648</v>
      </c>
      <c r="B51" t="s">
        <v>168</v>
      </c>
      <c r="C51" t="s">
        <v>574</v>
      </c>
      <c r="D51" t="s">
        <v>650</v>
      </c>
    </row>
    <row r="52" spans="1:4" x14ac:dyDescent="0.3">
      <c r="A52" t="s">
        <v>648</v>
      </c>
      <c r="B52" t="s">
        <v>651</v>
      </c>
      <c r="C52" t="s">
        <v>517</v>
      </c>
      <c r="D52" t="s">
        <v>650</v>
      </c>
    </row>
    <row r="53" spans="1:4" x14ac:dyDescent="0.3">
      <c r="A53" t="s">
        <v>648</v>
      </c>
      <c r="B53" t="s">
        <v>651</v>
      </c>
      <c r="C53" t="s">
        <v>8</v>
      </c>
      <c r="D53" t="s">
        <v>650</v>
      </c>
    </row>
    <row r="54" spans="1:4" x14ac:dyDescent="0.3">
      <c r="A54" t="s">
        <v>648</v>
      </c>
      <c r="B54" t="s">
        <v>651</v>
      </c>
      <c r="C54" t="s">
        <v>174</v>
      </c>
      <c r="D54" t="s">
        <v>650</v>
      </c>
    </row>
    <row r="55" spans="1:4" x14ac:dyDescent="0.3">
      <c r="A55" t="s">
        <v>648</v>
      </c>
      <c r="B55" t="s">
        <v>651</v>
      </c>
      <c r="C55" t="s">
        <v>243</v>
      </c>
      <c r="D55" t="s">
        <v>650</v>
      </c>
    </row>
    <row r="56" spans="1:4" x14ac:dyDescent="0.3">
      <c r="A56" t="s">
        <v>648</v>
      </c>
      <c r="B56" t="s">
        <v>651</v>
      </c>
      <c r="C56" t="s">
        <v>287</v>
      </c>
      <c r="D56" t="s">
        <v>650</v>
      </c>
    </row>
    <row r="57" spans="1:4" x14ac:dyDescent="0.3">
      <c r="A57" t="s">
        <v>648</v>
      </c>
      <c r="B57" t="s">
        <v>651</v>
      </c>
      <c r="C57" t="s">
        <v>340</v>
      </c>
      <c r="D57" t="s">
        <v>650</v>
      </c>
    </row>
    <row r="58" spans="1:4" x14ac:dyDescent="0.3">
      <c r="A58" t="s">
        <v>648</v>
      </c>
      <c r="B58" t="s">
        <v>651</v>
      </c>
      <c r="C58" t="s">
        <v>381</v>
      </c>
      <c r="D58" t="s">
        <v>650</v>
      </c>
    </row>
    <row r="59" spans="1:4" x14ac:dyDescent="0.3">
      <c r="A59" t="s">
        <v>648</v>
      </c>
      <c r="B59" t="s">
        <v>651</v>
      </c>
      <c r="C59" t="s">
        <v>606</v>
      </c>
      <c r="D59" t="s">
        <v>650</v>
      </c>
    </row>
    <row r="60" spans="1:4" x14ac:dyDescent="0.3">
      <c r="A60" t="s">
        <v>648</v>
      </c>
      <c r="B60" t="s">
        <v>651</v>
      </c>
      <c r="C60" t="s">
        <v>447</v>
      </c>
      <c r="D60" t="s">
        <v>650</v>
      </c>
    </row>
    <row r="61" spans="1:4" x14ac:dyDescent="0.3">
      <c r="A61" t="s">
        <v>648</v>
      </c>
      <c r="B61" t="s">
        <v>651</v>
      </c>
      <c r="C61" t="s">
        <v>574</v>
      </c>
      <c r="D61" t="s">
        <v>650</v>
      </c>
    </row>
    <row r="62" spans="1:4" x14ac:dyDescent="0.3">
      <c r="A62" t="s">
        <v>648</v>
      </c>
      <c r="B62" t="s">
        <v>652</v>
      </c>
      <c r="C62" t="s">
        <v>517</v>
      </c>
      <c r="D62" t="s">
        <v>650</v>
      </c>
    </row>
    <row r="63" spans="1:4" x14ac:dyDescent="0.3">
      <c r="A63" t="s">
        <v>648</v>
      </c>
      <c r="B63" t="s">
        <v>652</v>
      </c>
      <c r="C63" t="s">
        <v>8</v>
      </c>
      <c r="D63" t="s">
        <v>650</v>
      </c>
    </row>
    <row r="64" spans="1:4" x14ac:dyDescent="0.3">
      <c r="A64" t="s">
        <v>648</v>
      </c>
      <c r="B64" t="s">
        <v>652</v>
      </c>
      <c r="C64" t="s">
        <v>174</v>
      </c>
      <c r="D64" t="s">
        <v>650</v>
      </c>
    </row>
    <row r="65" spans="1:4" x14ac:dyDescent="0.3">
      <c r="A65" t="s">
        <v>648</v>
      </c>
      <c r="B65" t="s">
        <v>652</v>
      </c>
      <c r="C65" t="s">
        <v>243</v>
      </c>
      <c r="D65" t="s">
        <v>650</v>
      </c>
    </row>
    <row r="66" spans="1:4" x14ac:dyDescent="0.3">
      <c r="A66" t="s">
        <v>648</v>
      </c>
      <c r="B66" t="s">
        <v>652</v>
      </c>
      <c r="C66" t="s">
        <v>287</v>
      </c>
      <c r="D66" t="s">
        <v>650</v>
      </c>
    </row>
    <row r="67" spans="1:4" x14ac:dyDescent="0.3">
      <c r="A67" t="s">
        <v>648</v>
      </c>
      <c r="B67" t="s">
        <v>652</v>
      </c>
      <c r="C67" t="s">
        <v>340</v>
      </c>
      <c r="D67" t="s">
        <v>650</v>
      </c>
    </row>
    <row r="68" spans="1:4" x14ac:dyDescent="0.3">
      <c r="A68" t="s">
        <v>648</v>
      </c>
      <c r="B68" t="s">
        <v>652</v>
      </c>
      <c r="C68" t="s">
        <v>381</v>
      </c>
      <c r="D68" t="s">
        <v>650</v>
      </c>
    </row>
    <row r="69" spans="1:4" x14ac:dyDescent="0.3">
      <c r="A69" t="s">
        <v>648</v>
      </c>
      <c r="B69" t="s">
        <v>652</v>
      </c>
      <c r="C69" t="s">
        <v>606</v>
      </c>
      <c r="D69" t="s">
        <v>650</v>
      </c>
    </row>
    <row r="70" spans="1:4" x14ac:dyDescent="0.3">
      <c r="A70" t="s">
        <v>648</v>
      </c>
      <c r="B70" t="s">
        <v>652</v>
      </c>
      <c r="C70" t="s">
        <v>447</v>
      </c>
      <c r="D70" t="s">
        <v>650</v>
      </c>
    </row>
    <row r="71" spans="1:4" x14ac:dyDescent="0.3">
      <c r="A71" t="s">
        <v>648</v>
      </c>
      <c r="B71" t="s">
        <v>652</v>
      </c>
      <c r="C71" t="s">
        <v>574</v>
      </c>
      <c r="D71" t="s">
        <v>650</v>
      </c>
    </row>
    <row r="72" spans="1:4" x14ac:dyDescent="0.3">
      <c r="A72" t="s">
        <v>648</v>
      </c>
      <c r="B72" t="s">
        <v>653</v>
      </c>
      <c r="C72" t="s">
        <v>517</v>
      </c>
      <c r="D72" t="s">
        <v>650</v>
      </c>
    </row>
    <row r="73" spans="1:4" x14ac:dyDescent="0.3">
      <c r="A73" t="s">
        <v>648</v>
      </c>
      <c r="B73" t="s">
        <v>653</v>
      </c>
      <c r="C73" t="s">
        <v>8</v>
      </c>
      <c r="D73" t="s">
        <v>650</v>
      </c>
    </row>
    <row r="74" spans="1:4" x14ac:dyDescent="0.3">
      <c r="A74" t="s">
        <v>648</v>
      </c>
      <c r="B74" t="s">
        <v>653</v>
      </c>
      <c r="C74" t="s">
        <v>174</v>
      </c>
      <c r="D74" t="s">
        <v>650</v>
      </c>
    </row>
    <row r="75" spans="1:4" x14ac:dyDescent="0.3">
      <c r="A75" t="s">
        <v>648</v>
      </c>
      <c r="B75" t="s">
        <v>653</v>
      </c>
      <c r="C75" t="s">
        <v>243</v>
      </c>
      <c r="D75" t="s">
        <v>650</v>
      </c>
    </row>
    <row r="76" spans="1:4" x14ac:dyDescent="0.3">
      <c r="A76" t="s">
        <v>648</v>
      </c>
      <c r="B76" t="s">
        <v>653</v>
      </c>
      <c r="C76" t="s">
        <v>287</v>
      </c>
      <c r="D76" t="s">
        <v>650</v>
      </c>
    </row>
    <row r="77" spans="1:4" x14ac:dyDescent="0.3">
      <c r="A77" t="s">
        <v>648</v>
      </c>
      <c r="B77" t="s">
        <v>653</v>
      </c>
      <c r="C77" t="s">
        <v>340</v>
      </c>
      <c r="D77" t="s">
        <v>650</v>
      </c>
    </row>
    <row r="78" spans="1:4" x14ac:dyDescent="0.3">
      <c r="A78" t="s">
        <v>648</v>
      </c>
      <c r="B78" t="s">
        <v>653</v>
      </c>
      <c r="C78" t="s">
        <v>381</v>
      </c>
      <c r="D78" t="s">
        <v>650</v>
      </c>
    </row>
    <row r="79" spans="1:4" x14ac:dyDescent="0.3">
      <c r="A79" t="s">
        <v>648</v>
      </c>
      <c r="B79" t="s">
        <v>653</v>
      </c>
      <c r="C79" t="s">
        <v>606</v>
      </c>
      <c r="D79" t="s">
        <v>650</v>
      </c>
    </row>
    <row r="80" spans="1:4" x14ac:dyDescent="0.3">
      <c r="A80" t="s">
        <v>648</v>
      </c>
      <c r="B80" t="s">
        <v>653</v>
      </c>
      <c r="C80" t="s">
        <v>447</v>
      </c>
      <c r="D80" t="s">
        <v>650</v>
      </c>
    </row>
    <row r="81" spans="1:4" x14ac:dyDescent="0.3">
      <c r="A81" t="s">
        <v>648</v>
      </c>
      <c r="B81" t="s">
        <v>653</v>
      </c>
      <c r="C81" t="s">
        <v>574</v>
      </c>
      <c r="D81" t="s">
        <v>650</v>
      </c>
    </row>
    <row r="82" spans="1:4" x14ac:dyDescent="0.3">
      <c r="A82" t="s">
        <v>648</v>
      </c>
      <c r="B82" t="s">
        <v>644</v>
      </c>
      <c r="C82" t="s">
        <v>517</v>
      </c>
      <c r="D82">
        <v>151.48375717993122</v>
      </c>
    </row>
    <row r="83" spans="1:4" x14ac:dyDescent="0.3">
      <c r="A83" t="s">
        <v>648</v>
      </c>
      <c r="B83" t="s">
        <v>644</v>
      </c>
      <c r="C83" t="s">
        <v>8</v>
      </c>
      <c r="D83">
        <v>62.067853592787841</v>
      </c>
    </row>
    <row r="84" spans="1:4" x14ac:dyDescent="0.3">
      <c r="A84" t="s">
        <v>648</v>
      </c>
      <c r="B84" t="s">
        <v>644</v>
      </c>
      <c r="C84" t="s">
        <v>174</v>
      </c>
      <c r="D84">
        <v>68.711806327467372</v>
      </c>
    </row>
    <row r="85" spans="1:4" x14ac:dyDescent="0.3">
      <c r="A85" t="s">
        <v>648</v>
      </c>
      <c r="B85" t="s">
        <v>644</v>
      </c>
      <c r="C85" t="s">
        <v>243</v>
      </c>
      <c r="D85">
        <v>30.719907774984467</v>
      </c>
    </row>
    <row r="86" spans="1:4" x14ac:dyDescent="0.3">
      <c r="A86" t="s">
        <v>648</v>
      </c>
      <c r="B86" t="s">
        <v>644</v>
      </c>
      <c r="C86" t="s">
        <v>287</v>
      </c>
      <c r="D86">
        <v>71.871817855594315</v>
      </c>
    </row>
    <row r="87" spans="1:4" x14ac:dyDescent="0.3">
      <c r="A87" t="s">
        <v>648</v>
      </c>
      <c r="B87" t="s">
        <v>644</v>
      </c>
      <c r="C87" t="s">
        <v>340</v>
      </c>
      <c r="D87">
        <v>38.879919303111407</v>
      </c>
    </row>
    <row r="88" spans="1:4" x14ac:dyDescent="0.3">
      <c r="A88" t="s">
        <v>648</v>
      </c>
      <c r="B88" t="s">
        <v>644</v>
      </c>
      <c r="C88" t="s">
        <v>381</v>
      </c>
      <c r="D88">
        <v>62.647859356851313</v>
      </c>
    </row>
    <row r="89" spans="1:4" x14ac:dyDescent="0.3">
      <c r="A89" t="s">
        <v>648</v>
      </c>
      <c r="B89" t="s">
        <v>644</v>
      </c>
      <c r="C89" t="s">
        <v>606</v>
      </c>
      <c r="D89">
        <v>23.223958498743009</v>
      </c>
    </row>
    <row r="90" spans="1:4" x14ac:dyDescent="0.3">
      <c r="A90" t="s">
        <v>648</v>
      </c>
      <c r="B90" t="s">
        <v>644</v>
      </c>
      <c r="C90" t="s">
        <v>447</v>
      </c>
      <c r="D90">
        <v>30.335937748114517</v>
      </c>
    </row>
    <row r="91" spans="1:4" x14ac:dyDescent="0.3">
      <c r="A91" t="s">
        <v>648</v>
      </c>
      <c r="B91" t="s">
        <v>644</v>
      </c>
      <c r="C91" t="s">
        <v>574</v>
      </c>
      <c r="D91">
        <v>19.495949276241454</v>
      </c>
    </row>
    <row r="92" spans="1:4" x14ac:dyDescent="0.3">
      <c r="A92" t="s">
        <v>648</v>
      </c>
      <c r="B92" t="s">
        <v>644</v>
      </c>
      <c r="C92" t="s">
        <v>517</v>
      </c>
      <c r="D92" t="s">
        <v>650</v>
      </c>
    </row>
    <row r="93" spans="1:4" x14ac:dyDescent="0.3">
      <c r="A93" t="s">
        <v>648</v>
      </c>
      <c r="B93" t="s">
        <v>644</v>
      </c>
      <c r="C93" t="s">
        <v>8</v>
      </c>
      <c r="D93">
        <v>1</v>
      </c>
    </row>
    <row r="94" spans="1:4" x14ac:dyDescent="0.3">
      <c r="A94" t="s">
        <v>648</v>
      </c>
      <c r="B94" t="s">
        <v>644</v>
      </c>
      <c r="C94" t="s">
        <v>174</v>
      </c>
      <c r="D94" t="s">
        <v>650</v>
      </c>
    </row>
    <row r="95" spans="1:4" x14ac:dyDescent="0.3">
      <c r="A95" t="s">
        <v>648</v>
      </c>
      <c r="B95" t="s">
        <v>644</v>
      </c>
      <c r="C95" t="s">
        <v>243</v>
      </c>
      <c r="D95">
        <v>1</v>
      </c>
    </row>
    <row r="96" spans="1:4" x14ac:dyDescent="0.3">
      <c r="A96" t="s">
        <v>648</v>
      </c>
      <c r="B96" t="s">
        <v>644</v>
      </c>
      <c r="C96" t="s">
        <v>287</v>
      </c>
      <c r="D96" t="s">
        <v>650</v>
      </c>
    </row>
    <row r="97" spans="1:4" x14ac:dyDescent="0.3">
      <c r="A97" t="s">
        <v>648</v>
      </c>
      <c r="B97" t="s">
        <v>644</v>
      </c>
      <c r="C97" t="s">
        <v>340</v>
      </c>
      <c r="D97" t="s">
        <v>650</v>
      </c>
    </row>
    <row r="98" spans="1:4" x14ac:dyDescent="0.3">
      <c r="A98" t="s">
        <v>648</v>
      </c>
      <c r="B98" t="s">
        <v>644</v>
      </c>
      <c r="C98" t="s">
        <v>381</v>
      </c>
      <c r="D98">
        <v>2</v>
      </c>
    </row>
    <row r="99" spans="1:4" x14ac:dyDescent="0.3">
      <c r="A99" t="s">
        <v>648</v>
      </c>
      <c r="B99" t="s">
        <v>644</v>
      </c>
      <c r="C99" t="s">
        <v>606</v>
      </c>
      <c r="D99" t="s">
        <v>650</v>
      </c>
    </row>
    <row r="100" spans="1:4" x14ac:dyDescent="0.3">
      <c r="A100" t="s">
        <v>648</v>
      </c>
      <c r="B100" t="s">
        <v>644</v>
      </c>
      <c r="C100" t="s">
        <v>447</v>
      </c>
      <c r="D100" t="s">
        <v>650</v>
      </c>
    </row>
    <row r="101" spans="1:4" x14ac:dyDescent="0.3">
      <c r="A101" t="s">
        <v>648</v>
      </c>
      <c r="B101" t="s">
        <v>644</v>
      </c>
      <c r="C101" t="s">
        <v>574</v>
      </c>
      <c r="D101" t="s">
        <v>650</v>
      </c>
    </row>
    <row r="102" spans="1:4" x14ac:dyDescent="0.3">
      <c r="A102" t="s">
        <v>648</v>
      </c>
      <c r="B102" t="s">
        <v>54</v>
      </c>
      <c r="C102" t="s">
        <v>517</v>
      </c>
      <c r="D102">
        <v>372.32869536486771</v>
      </c>
    </row>
    <row r="103" spans="1:4" x14ac:dyDescent="0.3">
      <c r="A103" t="s">
        <v>648</v>
      </c>
      <c r="B103" t="s">
        <v>54</v>
      </c>
      <c r="C103" t="s">
        <v>8</v>
      </c>
      <c r="D103">
        <v>155.33564954494096</v>
      </c>
    </row>
    <row r="104" spans="1:4" x14ac:dyDescent="0.3">
      <c r="A104" t="s">
        <v>648</v>
      </c>
      <c r="B104" t="s">
        <v>54</v>
      </c>
      <c r="C104" t="s">
        <v>174</v>
      </c>
      <c r="D104">
        <v>136.75564378087751</v>
      </c>
    </row>
    <row r="105" spans="1:4" x14ac:dyDescent="0.3">
      <c r="A105" t="s">
        <v>648</v>
      </c>
      <c r="B105" t="s">
        <v>54</v>
      </c>
      <c r="C105" t="s">
        <v>243</v>
      </c>
      <c r="D105">
        <v>70.155816702781635</v>
      </c>
    </row>
    <row r="106" spans="1:4" x14ac:dyDescent="0.3">
      <c r="A106" t="s">
        <v>648</v>
      </c>
      <c r="B106" t="s">
        <v>54</v>
      </c>
      <c r="C106" t="s">
        <v>287</v>
      </c>
      <c r="D106">
        <v>106.18373946433111</v>
      </c>
    </row>
    <row r="107" spans="1:4" x14ac:dyDescent="0.3">
      <c r="A107" t="s">
        <v>648</v>
      </c>
      <c r="B107" t="s">
        <v>54</v>
      </c>
      <c r="C107" t="s">
        <v>340</v>
      </c>
      <c r="D107">
        <v>57.659867426540174</v>
      </c>
    </row>
    <row r="108" spans="1:4" x14ac:dyDescent="0.3">
      <c r="A108" t="s">
        <v>648</v>
      </c>
      <c r="B108" t="s">
        <v>54</v>
      </c>
      <c r="C108" t="s">
        <v>381</v>
      </c>
      <c r="D108">
        <v>123.69169681026143</v>
      </c>
    </row>
    <row r="109" spans="1:4" x14ac:dyDescent="0.3">
      <c r="A109" t="s">
        <v>648</v>
      </c>
      <c r="B109" t="s">
        <v>54</v>
      </c>
      <c r="C109" t="s">
        <v>606</v>
      </c>
      <c r="D109">
        <v>31.02792276154949</v>
      </c>
    </row>
    <row r="110" spans="1:4" x14ac:dyDescent="0.3">
      <c r="A110" t="s">
        <v>648</v>
      </c>
      <c r="B110" t="s">
        <v>54</v>
      </c>
      <c r="C110" t="s">
        <v>447</v>
      </c>
      <c r="D110">
        <v>54.931858204038619</v>
      </c>
    </row>
    <row r="111" spans="1:4" x14ac:dyDescent="0.3">
      <c r="A111" t="s">
        <v>648</v>
      </c>
      <c r="B111" t="s">
        <v>54</v>
      </c>
      <c r="C111" t="s">
        <v>574</v>
      </c>
      <c r="D111">
        <v>33.695891635606749</v>
      </c>
    </row>
    <row r="112" spans="1:4" x14ac:dyDescent="0.3">
      <c r="A112" t="s">
        <v>648</v>
      </c>
      <c r="B112" t="s">
        <v>170</v>
      </c>
      <c r="C112" t="s">
        <v>517</v>
      </c>
      <c r="D112">
        <v>37</v>
      </c>
    </row>
    <row r="113" spans="1:4" x14ac:dyDescent="0.3">
      <c r="A113" t="s">
        <v>648</v>
      </c>
      <c r="B113" t="s">
        <v>170</v>
      </c>
      <c r="C113" t="s">
        <v>8</v>
      </c>
      <c r="D113">
        <v>16</v>
      </c>
    </row>
    <row r="114" spans="1:4" x14ac:dyDescent="0.3">
      <c r="A114" t="s">
        <v>648</v>
      </c>
      <c r="B114" t="s">
        <v>170</v>
      </c>
      <c r="C114" t="s">
        <v>174</v>
      </c>
      <c r="D114">
        <v>30</v>
      </c>
    </row>
    <row r="115" spans="1:4" x14ac:dyDescent="0.3">
      <c r="A115" t="s">
        <v>648</v>
      </c>
      <c r="B115" t="s">
        <v>170</v>
      </c>
      <c r="C115" t="s">
        <v>243</v>
      </c>
      <c r="D115">
        <v>5</v>
      </c>
    </row>
    <row r="116" spans="1:4" x14ac:dyDescent="0.3">
      <c r="A116" t="s">
        <v>648</v>
      </c>
      <c r="B116" t="s">
        <v>170</v>
      </c>
      <c r="C116" t="s">
        <v>287</v>
      </c>
      <c r="D116">
        <v>9</v>
      </c>
    </row>
    <row r="117" spans="1:4" x14ac:dyDescent="0.3">
      <c r="A117" t="s">
        <v>648</v>
      </c>
      <c r="B117" t="s">
        <v>170</v>
      </c>
      <c r="C117" t="s">
        <v>340</v>
      </c>
      <c r="D117">
        <v>4</v>
      </c>
    </row>
    <row r="118" spans="1:4" x14ac:dyDescent="0.3">
      <c r="A118" t="s">
        <v>648</v>
      </c>
      <c r="B118" t="s">
        <v>170</v>
      </c>
      <c r="C118" t="s">
        <v>381</v>
      </c>
      <c r="D118">
        <v>6</v>
      </c>
    </row>
    <row r="119" spans="1:4" x14ac:dyDescent="0.3">
      <c r="A119" t="s">
        <v>648</v>
      </c>
      <c r="B119" t="s">
        <v>170</v>
      </c>
      <c r="C119" t="s">
        <v>606</v>
      </c>
      <c r="D119">
        <v>4</v>
      </c>
    </row>
    <row r="120" spans="1:4" x14ac:dyDescent="0.3">
      <c r="A120" t="s">
        <v>648</v>
      </c>
      <c r="B120" t="s">
        <v>170</v>
      </c>
      <c r="C120" t="s">
        <v>447</v>
      </c>
      <c r="D120">
        <v>17</v>
      </c>
    </row>
    <row r="121" spans="1:4" x14ac:dyDescent="0.3">
      <c r="A121" t="s">
        <v>648</v>
      </c>
      <c r="B121" t="s">
        <v>170</v>
      </c>
      <c r="C121" t="s">
        <v>574</v>
      </c>
      <c r="D121">
        <v>12</v>
      </c>
    </row>
    <row r="122" spans="1:4" x14ac:dyDescent="0.3">
      <c r="A122" t="s">
        <v>648</v>
      </c>
      <c r="B122" t="s">
        <v>164</v>
      </c>
      <c r="C122" t="s">
        <v>517</v>
      </c>
      <c r="D122">
        <v>822.82504366689602</v>
      </c>
    </row>
    <row r="123" spans="1:4" x14ac:dyDescent="0.3">
      <c r="A123" t="s">
        <v>648</v>
      </c>
      <c r="B123" t="s">
        <v>164</v>
      </c>
      <c r="C123" t="s">
        <v>8</v>
      </c>
      <c r="D123">
        <v>346.47106852734311</v>
      </c>
    </row>
    <row r="124" spans="1:4" x14ac:dyDescent="0.3">
      <c r="A124" t="s">
        <v>648</v>
      </c>
      <c r="B124" t="s">
        <v>164</v>
      </c>
      <c r="C124" t="s">
        <v>174</v>
      </c>
      <c r="D124">
        <v>419.78689675825166</v>
      </c>
    </row>
    <row r="125" spans="1:4" x14ac:dyDescent="0.3">
      <c r="A125" t="s">
        <v>648</v>
      </c>
      <c r="B125" t="s">
        <v>164</v>
      </c>
      <c r="C125" t="s">
        <v>243</v>
      </c>
      <c r="D125">
        <v>212.95139131489748</v>
      </c>
    </row>
    <row r="126" spans="1:4" x14ac:dyDescent="0.3">
      <c r="A126" t="s">
        <v>648</v>
      </c>
      <c r="B126" t="s">
        <v>164</v>
      </c>
      <c r="C126" t="s">
        <v>287</v>
      </c>
      <c r="D126">
        <v>285.26331292363426</v>
      </c>
    </row>
    <row r="127" spans="1:4" x14ac:dyDescent="0.3">
      <c r="A127" t="s">
        <v>648</v>
      </c>
      <c r="B127" t="s">
        <v>164</v>
      </c>
      <c r="C127" t="s">
        <v>340</v>
      </c>
      <c r="D127">
        <v>154.06756538961429</v>
      </c>
    </row>
    <row r="128" spans="1:4" x14ac:dyDescent="0.3">
      <c r="A128" t="s">
        <v>648</v>
      </c>
      <c r="B128" t="s">
        <v>164</v>
      </c>
      <c r="C128" t="s">
        <v>381</v>
      </c>
      <c r="D128">
        <v>344.98712732079059</v>
      </c>
    </row>
    <row r="129" spans="1:4" x14ac:dyDescent="0.3">
      <c r="A129" t="s">
        <v>648</v>
      </c>
      <c r="B129" t="s">
        <v>164</v>
      </c>
      <c r="C129" t="s">
        <v>606</v>
      </c>
      <c r="D129">
        <v>106.40769796307413</v>
      </c>
    </row>
    <row r="130" spans="1:4" x14ac:dyDescent="0.3">
      <c r="A130" t="s">
        <v>648</v>
      </c>
      <c r="B130" t="s">
        <v>164</v>
      </c>
      <c r="C130" t="s">
        <v>447</v>
      </c>
      <c r="D130">
        <v>245.89135096645316</v>
      </c>
    </row>
    <row r="131" spans="1:4" x14ac:dyDescent="0.3">
      <c r="A131" t="s">
        <v>648</v>
      </c>
      <c r="B131" t="s">
        <v>164</v>
      </c>
      <c r="C131" t="s">
        <v>574</v>
      </c>
      <c r="D131">
        <v>100.0477440755819</v>
      </c>
    </row>
    <row r="132" spans="1:4" x14ac:dyDescent="0.3">
      <c r="A132" t="s">
        <v>648</v>
      </c>
      <c r="B132" t="s">
        <v>645</v>
      </c>
      <c r="C132" t="s">
        <v>517</v>
      </c>
      <c r="D132">
        <v>729.71543655215282</v>
      </c>
    </row>
    <row r="133" spans="1:4" x14ac:dyDescent="0.3">
      <c r="A133" t="s">
        <v>648</v>
      </c>
      <c r="B133" t="s">
        <v>645</v>
      </c>
      <c r="C133" t="s">
        <v>8</v>
      </c>
      <c r="D133">
        <v>235.86314000173016</v>
      </c>
    </row>
    <row r="134" spans="1:4" x14ac:dyDescent="0.3">
      <c r="A134" t="s">
        <v>648</v>
      </c>
      <c r="B134" t="s">
        <v>645</v>
      </c>
      <c r="C134" t="s">
        <v>174</v>
      </c>
      <c r="D134">
        <v>272.35908927797163</v>
      </c>
    </row>
    <row r="135" spans="1:4" x14ac:dyDescent="0.3">
      <c r="A135" t="s">
        <v>648</v>
      </c>
      <c r="B135" t="s">
        <v>645</v>
      </c>
      <c r="C135" t="s">
        <v>243</v>
      </c>
      <c r="D135">
        <v>135.41551120741769</v>
      </c>
    </row>
    <row r="136" spans="1:4" x14ac:dyDescent="0.3">
      <c r="A136" t="s">
        <v>648</v>
      </c>
      <c r="B136" t="s">
        <v>645</v>
      </c>
      <c r="C136" t="s">
        <v>287</v>
      </c>
      <c r="D136">
        <v>109.28371064401377</v>
      </c>
    </row>
    <row r="137" spans="1:4" x14ac:dyDescent="0.3">
      <c r="A137" t="s">
        <v>648</v>
      </c>
      <c r="B137" t="s">
        <v>645</v>
      </c>
      <c r="C137" t="s">
        <v>340</v>
      </c>
      <c r="D137">
        <v>44.759838606222814</v>
      </c>
    </row>
    <row r="138" spans="1:4" x14ac:dyDescent="0.3">
      <c r="A138" t="s">
        <v>648</v>
      </c>
      <c r="B138" t="s">
        <v>645</v>
      </c>
      <c r="C138" t="s">
        <v>381</v>
      </c>
      <c r="D138">
        <v>166.76345702522104</v>
      </c>
    </row>
    <row r="139" spans="1:4" x14ac:dyDescent="0.3">
      <c r="A139" t="s">
        <v>648</v>
      </c>
      <c r="B139" t="s">
        <v>645</v>
      </c>
      <c r="C139" t="s">
        <v>606</v>
      </c>
      <c r="D139">
        <v>101.94777289589925</v>
      </c>
    </row>
    <row r="140" spans="1:4" x14ac:dyDescent="0.3">
      <c r="A140" t="s">
        <v>648</v>
      </c>
      <c r="B140" t="s">
        <v>645</v>
      </c>
      <c r="C140" t="s">
        <v>447</v>
      </c>
      <c r="D140">
        <v>128.18764608650289</v>
      </c>
    </row>
    <row r="141" spans="1:4" x14ac:dyDescent="0.3">
      <c r="A141" t="s">
        <v>648</v>
      </c>
      <c r="B141" t="s">
        <v>645</v>
      </c>
      <c r="C141" t="s">
        <v>574</v>
      </c>
      <c r="D141">
        <v>61.795862815289389</v>
      </c>
    </row>
    <row r="142" spans="1:4" x14ac:dyDescent="0.3">
      <c r="A142" t="s">
        <v>648</v>
      </c>
      <c r="B142" t="s">
        <v>644</v>
      </c>
      <c r="C142" t="s">
        <v>517</v>
      </c>
      <c r="D142" t="s">
        <v>650</v>
      </c>
    </row>
    <row r="143" spans="1:4" x14ac:dyDescent="0.3">
      <c r="A143" t="s">
        <v>648</v>
      </c>
      <c r="B143" t="s">
        <v>644</v>
      </c>
      <c r="C143" t="s">
        <v>8</v>
      </c>
      <c r="D143" t="s">
        <v>650</v>
      </c>
    </row>
    <row r="144" spans="1:4" x14ac:dyDescent="0.3">
      <c r="A144" t="s">
        <v>648</v>
      </c>
      <c r="B144" t="s">
        <v>644</v>
      </c>
      <c r="C144" t="s">
        <v>174</v>
      </c>
      <c r="D144" t="s">
        <v>650</v>
      </c>
    </row>
    <row r="145" spans="1:4" x14ac:dyDescent="0.3">
      <c r="A145" t="s">
        <v>648</v>
      </c>
      <c r="B145" t="s">
        <v>644</v>
      </c>
      <c r="C145" t="s">
        <v>243</v>
      </c>
      <c r="D145" t="s">
        <v>650</v>
      </c>
    </row>
    <row r="146" spans="1:4" x14ac:dyDescent="0.3">
      <c r="A146" t="s">
        <v>648</v>
      </c>
      <c r="B146" t="s">
        <v>644</v>
      </c>
      <c r="C146" t="s">
        <v>287</v>
      </c>
      <c r="D146" t="s">
        <v>650</v>
      </c>
    </row>
    <row r="147" spans="1:4" x14ac:dyDescent="0.3">
      <c r="A147" t="s">
        <v>648</v>
      </c>
      <c r="B147" t="s">
        <v>644</v>
      </c>
      <c r="C147" t="s">
        <v>340</v>
      </c>
      <c r="D147" t="s">
        <v>650</v>
      </c>
    </row>
    <row r="148" spans="1:4" x14ac:dyDescent="0.3">
      <c r="A148" t="s">
        <v>648</v>
      </c>
      <c r="B148" t="s">
        <v>644</v>
      </c>
      <c r="C148" t="s">
        <v>381</v>
      </c>
      <c r="D148" t="s">
        <v>650</v>
      </c>
    </row>
    <row r="149" spans="1:4" x14ac:dyDescent="0.3">
      <c r="A149" t="s">
        <v>648</v>
      </c>
      <c r="B149" t="s">
        <v>644</v>
      </c>
      <c r="C149" t="s">
        <v>606</v>
      </c>
      <c r="D149" t="s">
        <v>650</v>
      </c>
    </row>
    <row r="150" spans="1:4" x14ac:dyDescent="0.3">
      <c r="A150" t="s">
        <v>648</v>
      </c>
      <c r="B150" t="s">
        <v>644</v>
      </c>
      <c r="C150" t="s">
        <v>447</v>
      </c>
      <c r="D150" t="s">
        <v>650</v>
      </c>
    </row>
    <row r="151" spans="1:4" x14ac:dyDescent="0.3">
      <c r="A151" t="s">
        <v>648</v>
      </c>
      <c r="B151" t="s">
        <v>644</v>
      </c>
      <c r="C151" t="s">
        <v>574</v>
      </c>
      <c r="D151" t="s">
        <v>650</v>
      </c>
    </row>
    <row r="152" spans="1:4" x14ac:dyDescent="0.3">
      <c r="A152" t="s">
        <v>648</v>
      </c>
      <c r="B152" t="s">
        <v>239</v>
      </c>
      <c r="C152" t="s">
        <v>517</v>
      </c>
      <c r="D152">
        <v>113</v>
      </c>
    </row>
    <row r="153" spans="1:4" x14ac:dyDescent="0.3">
      <c r="A153" t="s">
        <v>648</v>
      </c>
      <c r="B153" t="s">
        <v>239</v>
      </c>
      <c r="C153" t="s">
        <v>8</v>
      </c>
      <c r="D153">
        <v>33</v>
      </c>
    </row>
    <row r="154" spans="1:4" x14ac:dyDescent="0.3">
      <c r="A154" t="s">
        <v>648</v>
      </c>
      <c r="B154" t="s">
        <v>239</v>
      </c>
      <c r="C154" t="s">
        <v>174</v>
      </c>
      <c r="D154">
        <v>23.166666666666668</v>
      </c>
    </row>
    <row r="155" spans="1:4" x14ac:dyDescent="0.3">
      <c r="A155" t="s">
        <v>648</v>
      </c>
      <c r="B155" t="s">
        <v>239</v>
      </c>
      <c r="C155" t="s">
        <v>243</v>
      </c>
      <c r="D155">
        <v>9.1666666666666661</v>
      </c>
    </row>
    <row r="156" spans="1:4" x14ac:dyDescent="0.3">
      <c r="A156" t="s">
        <v>648</v>
      </c>
      <c r="B156" t="s">
        <v>239</v>
      </c>
      <c r="C156" t="s">
        <v>287</v>
      </c>
      <c r="D156">
        <v>31.166666666666668</v>
      </c>
    </row>
    <row r="157" spans="1:4" x14ac:dyDescent="0.3">
      <c r="A157" t="s">
        <v>648</v>
      </c>
      <c r="B157" t="s">
        <v>239</v>
      </c>
      <c r="C157" t="s">
        <v>340</v>
      </c>
      <c r="D157">
        <v>30.5</v>
      </c>
    </row>
    <row r="158" spans="1:4" x14ac:dyDescent="0.3">
      <c r="A158" t="s">
        <v>648</v>
      </c>
      <c r="B158" t="s">
        <v>239</v>
      </c>
      <c r="C158" t="s">
        <v>381</v>
      </c>
      <c r="D158">
        <v>73</v>
      </c>
    </row>
    <row r="159" spans="1:4" x14ac:dyDescent="0.3">
      <c r="A159" t="s">
        <v>648</v>
      </c>
      <c r="B159" t="s">
        <v>239</v>
      </c>
      <c r="C159" t="s">
        <v>606</v>
      </c>
      <c r="D159">
        <v>12</v>
      </c>
    </row>
    <row r="160" spans="1:4" x14ac:dyDescent="0.3">
      <c r="A160" t="s">
        <v>648</v>
      </c>
      <c r="B160" t="s">
        <v>239</v>
      </c>
      <c r="C160" t="s">
        <v>447</v>
      </c>
      <c r="D160">
        <v>31</v>
      </c>
    </row>
    <row r="161" spans="1:4" x14ac:dyDescent="0.3">
      <c r="A161" t="s">
        <v>648</v>
      </c>
      <c r="B161" t="s">
        <v>239</v>
      </c>
      <c r="C161" t="s">
        <v>574</v>
      </c>
      <c r="D161">
        <v>43</v>
      </c>
    </row>
    <row r="162" spans="1:4" x14ac:dyDescent="0.3">
      <c r="A162" t="s">
        <v>648</v>
      </c>
      <c r="B162" t="s">
        <v>654</v>
      </c>
      <c r="C162" t="s">
        <v>517</v>
      </c>
      <c r="D162">
        <v>108.16666666666667</v>
      </c>
    </row>
    <row r="163" spans="1:4" x14ac:dyDescent="0.3">
      <c r="A163" t="s">
        <v>648</v>
      </c>
      <c r="B163" t="s">
        <v>654</v>
      </c>
      <c r="C163" t="s">
        <v>8</v>
      </c>
      <c r="D163">
        <v>1.8333333333333333</v>
      </c>
    </row>
    <row r="164" spans="1:4" x14ac:dyDescent="0.3">
      <c r="A164" t="s">
        <v>648</v>
      </c>
      <c r="B164" t="s">
        <v>654</v>
      </c>
      <c r="C164" t="s">
        <v>174</v>
      </c>
      <c r="D164">
        <v>8.1666666666666679</v>
      </c>
    </row>
    <row r="165" spans="1:4" x14ac:dyDescent="0.3">
      <c r="A165" t="s">
        <v>648</v>
      </c>
      <c r="B165" t="s">
        <v>654</v>
      </c>
      <c r="C165" t="s">
        <v>243</v>
      </c>
      <c r="D165">
        <v>1.5</v>
      </c>
    </row>
    <row r="166" spans="1:4" x14ac:dyDescent="0.3">
      <c r="A166" t="s">
        <v>648</v>
      </c>
      <c r="B166" t="s">
        <v>654</v>
      </c>
      <c r="C166" t="s">
        <v>287</v>
      </c>
      <c r="D166">
        <v>1.3333333333333333</v>
      </c>
    </row>
    <row r="167" spans="1:4" x14ac:dyDescent="0.3">
      <c r="A167" t="s">
        <v>648</v>
      </c>
      <c r="B167" t="s">
        <v>654</v>
      </c>
      <c r="C167" t="s">
        <v>340</v>
      </c>
      <c r="D167">
        <v>0.83333333333333337</v>
      </c>
    </row>
    <row r="168" spans="1:4" x14ac:dyDescent="0.3">
      <c r="A168" t="s">
        <v>648</v>
      </c>
      <c r="B168" t="s">
        <v>654</v>
      </c>
      <c r="C168" t="s">
        <v>381</v>
      </c>
      <c r="D168">
        <v>9.1666666666666661</v>
      </c>
    </row>
    <row r="169" spans="1:4" x14ac:dyDescent="0.3">
      <c r="A169" t="s">
        <v>648</v>
      </c>
      <c r="B169" t="s">
        <v>654</v>
      </c>
      <c r="C169" t="s">
        <v>606</v>
      </c>
      <c r="D169">
        <v>0</v>
      </c>
    </row>
    <row r="170" spans="1:4" x14ac:dyDescent="0.3">
      <c r="A170" t="s">
        <v>648</v>
      </c>
      <c r="B170" t="s">
        <v>654</v>
      </c>
      <c r="C170" t="s">
        <v>447</v>
      </c>
      <c r="D170">
        <v>0.66666666666666663</v>
      </c>
    </row>
    <row r="171" spans="1:4" x14ac:dyDescent="0.3">
      <c r="A171" t="s">
        <v>648</v>
      </c>
      <c r="B171" t="s">
        <v>654</v>
      </c>
      <c r="C171" t="s">
        <v>574</v>
      </c>
      <c r="D171">
        <v>30.166666666666668</v>
      </c>
    </row>
    <row r="172" spans="1:4" x14ac:dyDescent="0.3">
      <c r="A172" t="s">
        <v>648</v>
      </c>
      <c r="B172" t="s">
        <v>655</v>
      </c>
      <c r="C172" t="s">
        <v>517</v>
      </c>
      <c r="D172" t="s">
        <v>650</v>
      </c>
    </row>
    <row r="173" spans="1:4" x14ac:dyDescent="0.3">
      <c r="A173" t="s">
        <v>648</v>
      </c>
      <c r="B173" t="s">
        <v>655</v>
      </c>
      <c r="C173" t="s">
        <v>8</v>
      </c>
      <c r="D173" t="s">
        <v>650</v>
      </c>
    </row>
    <row r="174" spans="1:4" x14ac:dyDescent="0.3">
      <c r="A174" t="s">
        <v>648</v>
      </c>
      <c r="B174" t="s">
        <v>655</v>
      </c>
      <c r="C174" t="s">
        <v>174</v>
      </c>
      <c r="D174" t="s">
        <v>650</v>
      </c>
    </row>
    <row r="175" spans="1:4" x14ac:dyDescent="0.3">
      <c r="A175" t="s">
        <v>648</v>
      </c>
      <c r="B175" t="s">
        <v>655</v>
      </c>
      <c r="C175" t="s">
        <v>243</v>
      </c>
      <c r="D175" t="s">
        <v>650</v>
      </c>
    </row>
    <row r="176" spans="1:4" x14ac:dyDescent="0.3">
      <c r="A176" t="s">
        <v>648</v>
      </c>
      <c r="B176" t="s">
        <v>655</v>
      </c>
      <c r="C176" t="s">
        <v>287</v>
      </c>
      <c r="D176" t="s">
        <v>650</v>
      </c>
    </row>
    <row r="177" spans="1:4" x14ac:dyDescent="0.3">
      <c r="A177" t="s">
        <v>648</v>
      </c>
      <c r="B177" t="s">
        <v>655</v>
      </c>
      <c r="C177" t="s">
        <v>340</v>
      </c>
      <c r="D177" t="s">
        <v>650</v>
      </c>
    </row>
    <row r="178" spans="1:4" x14ac:dyDescent="0.3">
      <c r="A178" t="s">
        <v>648</v>
      </c>
      <c r="B178" t="s">
        <v>655</v>
      </c>
      <c r="C178" t="s">
        <v>381</v>
      </c>
      <c r="D178" t="s">
        <v>650</v>
      </c>
    </row>
    <row r="179" spans="1:4" x14ac:dyDescent="0.3">
      <c r="A179" t="s">
        <v>648</v>
      </c>
      <c r="B179" t="s">
        <v>655</v>
      </c>
      <c r="C179" t="s">
        <v>606</v>
      </c>
      <c r="D179" t="s">
        <v>650</v>
      </c>
    </row>
    <row r="180" spans="1:4" x14ac:dyDescent="0.3">
      <c r="A180" t="s">
        <v>648</v>
      </c>
      <c r="B180" t="s">
        <v>655</v>
      </c>
      <c r="C180" t="s">
        <v>447</v>
      </c>
      <c r="D180" t="s">
        <v>650</v>
      </c>
    </row>
    <row r="181" spans="1:4" x14ac:dyDescent="0.3">
      <c r="A181" t="s">
        <v>648</v>
      </c>
      <c r="B181" t="s">
        <v>655</v>
      </c>
      <c r="C181" t="s">
        <v>574</v>
      </c>
      <c r="D181" t="s">
        <v>650</v>
      </c>
    </row>
    <row r="182" spans="1:4" x14ac:dyDescent="0.3">
      <c r="A182" t="s">
        <v>648</v>
      </c>
      <c r="B182" t="s">
        <v>656</v>
      </c>
      <c r="C182" t="s">
        <v>517</v>
      </c>
      <c r="D182">
        <v>1.2838705613568973</v>
      </c>
    </row>
    <row r="183" spans="1:4" x14ac:dyDescent="0.3">
      <c r="A183" t="s">
        <v>648</v>
      </c>
      <c r="B183" t="s">
        <v>656</v>
      </c>
      <c r="C183" t="s">
        <v>8</v>
      </c>
      <c r="D183" t="s">
        <v>650</v>
      </c>
    </row>
    <row r="184" spans="1:4" x14ac:dyDescent="0.3">
      <c r="A184" t="s">
        <v>648</v>
      </c>
      <c r="B184" t="s">
        <v>656</v>
      </c>
      <c r="C184" t="s">
        <v>174</v>
      </c>
      <c r="D184">
        <v>0.56799769437461167</v>
      </c>
    </row>
    <row r="185" spans="1:4" x14ac:dyDescent="0.3">
      <c r="A185" t="s">
        <v>648</v>
      </c>
      <c r="B185" t="s">
        <v>656</v>
      </c>
      <c r="C185" t="s">
        <v>243</v>
      </c>
      <c r="D185">
        <v>0.28399884718730584</v>
      </c>
    </row>
    <row r="186" spans="1:4" x14ac:dyDescent="0.3">
      <c r="A186" t="s">
        <v>648</v>
      </c>
      <c r="B186" t="s">
        <v>656</v>
      </c>
      <c r="C186" t="s">
        <v>287</v>
      </c>
      <c r="D186">
        <v>5.8399884718730579</v>
      </c>
    </row>
    <row r="187" spans="1:4" x14ac:dyDescent="0.3">
      <c r="A187" t="s">
        <v>648</v>
      </c>
      <c r="B187" t="s">
        <v>656</v>
      </c>
      <c r="C187" t="s">
        <v>340</v>
      </c>
      <c r="D187" t="s">
        <v>650</v>
      </c>
    </row>
    <row r="188" spans="1:4" x14ac:dyDescent="0.3">
      <c r="A188" t="s">
        <v>648</v>
      </c>
      <c r="B188" t="s">
        <v>656</v>
      </c>
      <c r="C188" t="s">
        <v>381</v>
      </c>
      <c r="D188">
        <v>0.85199654156191751</v>
      </c>
    </row>
    <row r="189" spans="1:4" x14ac:dyDescent="0.3">
      <c r="A189" t="s">
        <v>648</v>
      </c>
      <c r="B189" t="s">
        <v>656</v>
      </c>
      <c r="C189" t="s">
        <v>606</v>
      </c>
      <c r="D189" t="s">
        <v>650</v>
      </c>
    </row>
    <row r="190" spans="1:4" x14ac:dyDescent="0.3">
      <c r="A190" t="s">
        <v>648</v>
      </c>
      <c r="B190" t="s">
        <v>656</v>
      </c>
      <c r="C190" t="s">
        <v>447</v>
      </c>
      <c r="D190" t="s">
        <v>650</v>
      </c>
    </row>
    <row r="191" spans="1:4" x14ac:dyDescent="0.3">
      <c r="A191" t="s">
        <v>648</v>
      </c>
      <c r="B191" t="s">
        <v>656</v>
      </c>
      <c r="C191" t="s">
        <v>574</v>
      </c>
      <c r="D191" t="s">
        <v>650</v>
      </c>
    </row>
    <row r="192" spans="1:4" x14ac:dyDescent="0.3">
      <c r="A192" t="s">
        <v>648</v>
      </c>
      <c r="B192" t="s">
        <v>17</v>
      </c>
      <c r="C192" t="s">
        <v>517</v>
      </c>
      <c r="D192">
        <v>73.187043537753539</v>
      </c>
    </row>
    <row r="193" spans="1:4" x14ac:dyDescent="0.3">
      <c r="A193" t="s">
        <v>648</v>
      </c>
      <c r="B193" t="s">
        <v>17</v>
      </c>
      <c r="C193" t="s">
        <v>8</v>
      </c>
      <c r="D193">
        <v>35.779948123428767</v>
      </c>
    </row>
    <row r="194" spans="1:4" x14ac:dyDescent="0.3">
      <c r="A194" t="s">
        <v>648</v>
      </c>
      <c r="B194" t="s">
        <v>17</v>
      </c>
      <c r="C194" t="s">
        <v>174</v>
      </c>
      <c r="D194">
        <v>74.95587434341634</v>
      </c>
    </row>
    <row r="195" spans="1:4" x14ac:dyDescent="0.3">
      <c r="A195" t="s">
        <v>648</v>
      </c>
      <c r="B195" t="s">
        <v>17</v>
      </c>
      <c r="C195" t="s">
        <v>243</v>
      </c>
      <c r="D195">
        <v>26.099971179682647</v>
      </c>
    </row>
    <row r="196" spans="1:4" x14ac:dyDescent="0.3">
      <c r="A196" t="s">
        <v>648</v>
      </c>
      <c r="B196" t="s">
        <v>17</v>
      </c>
      <c r="C196" t="s">
        <v>287</v>
      </c>
      <c r="D196">
        <v>27.755931984051045</v>
      </c>
    </row>
    <row r="197" spans="1:4" x14ac:dyDescent="0.3">
      <c r="A197" t="s">
        <v>648</v>
      </c>
      <c r="B197" t="s">
        <v>17</v>
      </c>
      <c r="C197" t="s">
        <v>340</v>
      </c>
      <c r="D197">
        <v>6.1119792493715046</v>
      </c>
    </row>
    <row r="198" spans="1:4" x14ac:dyDescent="0.3">
      <c r="A198" t="s">
        <v>648</v>
      </c>
      <c r="B198" t="s">
        <v>17</v>
      </c>
      <c r="C198" t="s">
        <v>381</v>
      </c>
      <c r="D198">
        <v>42.251881260292507</v>
      </c>
    </row>
    <row r="199" spans="1:4" x14ac:dyDescent="0.3">
      <c r="A199" t="s">
        <v>648</v>
      </c>
      <c r="B199" t="s">
        <v>17</v>
      </c>
      <c r="C199" t="s">
        <v>606</v>
      </c>
      <c r="D199">
        <v>16.347945817803375</v>
      </c>
    </row>
    <row r="200" spans="1:4" x14ac:dyDescent="0.3">
      <c r="A200" t="s">
        <v>648</v>
      </c>
      <c r="B200" t="s">
        <v>17</v>
      </c>
      <c r="C200" t="s">
        <v>447</v>
      </c>
      <c r="D200">
        <v>39.891927372800268</v>
      </c>
    </row>
    <row r="201" spans="1:4" x14ac:dyDescent="0.3">
      <c r="A201" t="s">
        <v>648</v>
      </c>
      <c r="B201" t="s">
        <v>17</v>
      </c>
      <c r="C201" t="s">
        <v>574</v>
      </c>
      <c r="D201">
        <v>8.3839700268699513</v>
      </c>
    </row>
    <row r="202" spans="1:4" x14ac:dyDescent="0.3">
      <c r="A202" t="s">
        <v>648</v>
      </c>
      <c r="B202" t="s">
        <v>657</v>
      </c>
      <c r="C202" t="s">
        <v>517</v>
      </c>
      <c r="D202">
        <v>0</v>
      </c>
    </row>
    <row r="203" spans="1:4" x14ac:dyDescent="0.3">
      <c r="A203" t="s">
        <v>648</v>
      </c>
      <c r="B203" t="s">
        <v>657</v>
      </c>
      <c r="C203" t="s">
        <v>8</v>
      </c>
      <c r="D203">
        <v>3535.7835539094294</v>
      </c>
    </row>
    <row r="204" spans="1:4" x14ac:dyDescent="0.3">
      <c r="A204" t="s">
        <v>648</v>
      </c>
      <c r="B204" t="s">
        <v>657</v>
      </c>
      <c r="C204" t="s">
        <v>174</v>
      </c>
      <c r="D204">
        <v>1465.1676965502127</v>
      </c>
    </row>
    <row r="205" spans="1:4" x14ac:dyDescent="0.3">
      <c r="A205" t="s">
        <v>648</v>
      </c>
      <c r="B205" t="s">
        <v>657</v>
      </c>
      <c r="C205" t="s">
        <v>243</v>
      </c>
      <c r="D205">
        <v>1120.5327098725709</v>
      </c>
    </row>
    <row r="206" spans="1:4" x14ac:dyDescent="0.3">
      <c r="A206" t="s">
        <v>648</v>
      </c>
      <c r="B206" t="s">
        <v>657</v>
      </c>
      <c r="C206" t="s">
        <v>287</v>
      </c>
      <c r="D206">
        <v>893.10099577011897</v>
      </c>
    </row>
    <row r="207" spans="1:4" x14ac:dyDescent="0.3">
      <c r="A207" t="s">
        <v>648</v>
      </c>
      <c r="B207" t="s">
        <v>657</v>
      </c>
      <c r="C207" t="s">
        <v>340</v>
      </c>
      <c r="D207">
        <v>2436.6607637947191</v>
      </c>
    </row>
    <row r="208" spans="1:4" x14ac:dyDescent="0.3">
      <c r="A208" t="s">
        <v>648</v>
      </c>
      <c r="B208" t="s">
        <v>657</v>
      </c>
      <c r="C208" t="s">
        <v>381</v>
      </c>
      <c r="D208">
        <v>1769.7348296350665</v>
      </c>
    </row>
    <row r="209" spans="1:4" x14ac:dyDescent="0.3">
      <c r="A209" t="s">
        <v>648</v>
      </c>
      <c r="B209" t="s">
        <v>657</v>
      </c>
      <c r="C209" t="s">
        <v>606</v>
      </c>
      <c r="D209">
        <v>2161.9336191817374</v>
      </c>
    </row>
    <row r="210" spans="1:4" x14ac:dyDescent="0.3">
      <c r="A210" t="s">
        <v>648</v>
      </c>
      <c r="B210" t="s">
        <v>657</v>
      </c>
      <c r="C210" t="s">
        <v>447</v>
      </c>
      <c r="D210">
        <v>352.4707803241696</v>
      </c>
    </row>
    <row r="211" spans="1:4" x14ac:dyDescent="0.3">
      <c r="A211" t="s">
        <v>648</v>
      </c>
      <c r="B211" t="s">
        <v>657</v>
      </c>
      <c r="C211" t="s">
        <v>574</v>
      </c>
      <c r="D211">
        <v>2128.6169263413085</v>
      </c>
    </row>
    <row r="212" spans="1:4" x14ac:dyDescent="0.3">
      <c r="A212" t="s">
        <v>648</v>
      </c>
      <c r="B212" t="s">
        <v>173</v>
      </c>
      <c r="C212" t="s">
        <v>517</v>
      </c>
      <c r="D212">
        <v>739.77402407904219</v>
      </c>
    </row>
    <row r="213" spans="1:4" x14ac:dyDescent="0.3">
      <c r="A213" t="s">
        <v>648</v>
      </c>
      <c r="B213" t="s">
        <v>173</v>
      </c>
      <c r="C213" t="s">
        <v>8</v>
      </c>
      <c r="D213">
        <v>1231.4891078957658</v>
      </c>
    </row>
    <row r="214" spans="1:4" x14ac:dyDescent="0.3">
      <c r="A214" t="s">
        <v>648</v>
      </c>
      <c r="B214" t="s">
        <v>173</v>
      </c>
      <c r="C214" t="s">
        <v>174</v>
      </c>
      <c r="D214">
        <v>558.75420276500972</v>
      </c>
    </row>
    <row r="215" spans="1:4" x14ac:dyDescent="0.3">
      <c r="A215" t="s">
        <v>648</v>
      </c>
      <c r="B215" t="s">
        <v>173</v>
      </c>
      <c r="C215" t="s">
        <v>243</v>
      </c>
      <c r="D215">
        <v>730.63774048711946</v>
      </c>
    </row>
    <row r="216" spans="1:4" x14ac:dyDescent="0.3">
      <c r="A216" t="s">
        <v>648</v>
      </c>
      <c r="B216" t="s">
        <v>173</v>
      </c>
      <c r="C216" t="s">
        <v>287</v>
      </c>
      <c r="D216">
        <v>349.17896823263868</v>
      </c>
    </row>
    <row r="217" spans="1:4" x14ac:dyDescent="0.3">
      <c r="A217" t="s">
        <v>648</v>
      </c>
      <c r="B217" t="s">
        <v>173</v>
      </c>
      <c r="C217" t="s">
        <v>340</v>
      </c>
      <c r="D217">
        <v>257.24320340642834</v>
      </c>
    </row>
    <row r="218" spans="1:4" x14ac:dyDescent="0.3">
      <c r="A218" t="s">
        <v>648</v>
      </c>
      <c r="B218" t="s">
        <v>173</v>
      </c>
      <c r="C218" t="s">
        <v>381</v>
      </c>
      <c r="D218">
        <v>97.419706032762988</v>
      </c>
    </row>
    <row r="219" spans="1:4" x14ac:dyDescent="0.3">
      <c r="A219" t="s">
        <v>648</v>
      </c>
      <c r="B219" t="s">
        <v>173</v>
      </c>
      <c r="C219" t="s">
        <v>606</v>
      </c>
      <c r="D219">
        <v>161.52358383461743</v>
      </c>
    </row>
    <row r="220" spans="1:4" x14ac:dyDescent="0.3">
      <c r="A220" t="s">
        <v>648</v>
      </c>
      <c r="B220" t="s">
        <v>173</v>
      </c>
      <c r="C220" t="s">
        <v>447</v>
      </c>
      <c r="D220">
        <v>176.73162764149978</v>
      </c>
    </row>
    <row r="221" spans="1:4" x14ac:dyDescent="0.3">
      <c r="A221" t="s">
        <v>648</v>
      </c>
      <c r="B221" t="s">
        <v>173</v>
      </c>
      <c r="C221" t="s">
        <v>574</v>
      </c>
      <c r="D221">
        <v>229.91927372800268</v>
      </c>
    </row>
    <row r="222" spans="1:4" x14ac:dyDescent="0.3">
      <c r="A222" t="s">
        <v>648</v>
      </c>
      <c r="B222" t="s">
        <v>139</v>
      </c>
      <c r="C222" t="s">
        <v>517</v>
      </c>
      <c r="D222">
        <v>147.32364147525212</v>
      </c>
    </row>
    <row r="223" spans="1:4" x14ac:dyDescent="0.3">
      <c r="A223" t="s">
        <v>648</v>
      </c>
      <c r="B223" t="s">
        <v>139</v>
      </c>
      <c r="C223" t="s">
        <v>8</v>
      </c>
      <c r="D223" t="s">
        <v>650</v>
      </c>
    </row>
    <row r="224" spans="1:4" x14ac:dyDescent="0.3">
      <c r="A224" t="s">
        <v>648</v>
      </c>
      <c r="B224" t="s">
        <v>139</v>
      </c>
      <c r="C224" t="s">
        <v>174</v>
      </c>
      <c r="D224" t="s">
        <v>650</v>
      </c>
    </row>
    <row r="225" spans="1:4" x14ac:dyDescent="0.3">
      <c r="A225" t="s">
        <v>648</v>
      </c>
      <c r="B225" t="s">
        <v>139</v>
      </c>
      <c r="C225" t="s">
        <v>243</v>
      </c>
      <c r="D225" t="s">
        <v>650</v>
      </c>
    </row>
    <row r="226" spans="1:4" x14ac:dyDescent="0.3">
      <c r="A226" t="s">
        <v>648</v>
      </c>
      <c r="B226" t="s">
        <v>139</v>
      </c>
      <c r="C226" t="s">
        <v>287</v>
      </c>
      <c r="D226" t="s">
        <v>650</v>
      </c>
    </row>
    <row r="227" spans="1:4" x14ac:dyDescent="0.3">
      <c r="A227" t="s">
        <v>648</v>
      </c>
      <c r="B227" t="s">
        <v>139</v>
      </c>
      <c r="C227" t="s">
        <v>340</v>
      </c>
      <c r="D227" t="s">
        <v>650</v>
      </c>
    </row>
    <row r="228" spans="1:4" x14ac:dyDescent="0.3">
      <c r="A228" t="s">
        <v>648</v>
      </c>
      <c r="B228" t="s">
        <v>139</v>
      </c>
      <c r="C228" t="s">
        <v>381</v>
      </c>
      <c r="D228" t="s">
        <v>650</v>
      </c>
    </row>
    <row r="229" spans="1:4" x14ac:dyDescent="0.3">
      <c r="A229" t="s">
        <v>648</v>
      </c>
      <c r="B229" t="s">
        <v>139</v>
      </c>
      <c r="C229" t="s">
        <v>606</v>
      </c>
      <c r="D229" t="s">
        <v>650</v>
      </c>
    </row>
    <row r="230" spans="1:4" x14ac:dyDescent="0.3">
      <c r="A230" t="s">
        <v>648</v>
      </c>
      <c r="B230" t="s">
        <v>139</v>
      </c>
      <c r="C230" t="s">
        <v>447</v>
      </c>
      <c r="D230" t="s">
        <v>650</v>
      </c>
    </row>
    <row r="231" spans="1:4" x14ac:dyDescent="0.3">
      <c r="A231" t="s">
        <v>648</v>
      </c>
      <c r="B231" t="s">
        <v>139</v>
      </c>
      <c r="C231" t="s">
        <v>574</v>
      </c>
      <c r="D231" t="s">
        <v>650</v>
      </c>
    </row>
    <row r="232" spans="1:4" x14ac:dyDescent="0.3">
      <c r="A232" t="s">
        <v>648</v>
      </c>
      <c r="B232" t="s">
        <v>81</v>
      </c>
      <c r="C232" t="s">
        <v>517</v>
      </c>
      <c r="D232" t="s">
        <v>650</v>
      </c>
    </row>
    <row r="233" spans="1:4" x14ac:dyDescent="0.3">
      <c r="A233" t="s">
        <v>648</v>
      </c>
      <c r="B233" t="s">
        <v>81</v>
      </c>
      <c r="C233" t="s">
        <v>8</v>
      </c>
      <c r="D233" t="s">
        <v>650</v>
      </c>
    </row>
    <row r="234" spans="1:4" x14ac:dyDescent="0.3">
      <c r="A234" t="s">
        <v>648</v>
      </c>
      <c r="B234" t="s">
        <v>81</v>
      </c>
      <c r="C234" t="s">
        <v>174</v>
      </c>
      <c r="D234" t="s">
        <v>650</v>
      </c>
    </row>
    <row r="235" spans="1:4" x14ac:dyDescent="0.3">
      <c r="A235" t="s">
        <v>648</v>
      </c>
      <c r="B235" t="s">
        <v>81</v>
      </c>
      <c r="C235" t="s">
        <v>243</v>
      </c>
      <c r="D235" t="s">
        <v>650</v>
      </c>
    </row>
    <row r="236" spans="1:4" x14ac:dyDescent="0.3">
      <c r="A236" t="s">
        <v>648</v>
      </c>
      <c r="B236" t="s">
        <v>81</v>
      </c>
      <c r="C236" t="s">
        <v>287</v>
      </c>
      <c r="D236" t="s">
        <v>650</v>
      </c>
    </row>
    <row r="237" spans="1:4" x14ac:dyDescent="0.3">
      <c r="A237" t="s">
        <v>648</v>
      </c>
      <c r="B237" t="s">
        <v>81</v>
      </c>
      <c r="C237" t="s">
        <v>340</v>
      </c>
      <c r="D237" t="s">
        <v>650</v>
      </c>
    </row>
    <row r="238" spans="1:4" x14ac:dyDescent="0.3">
      <c r="A238" t="s">
        <v>648</v>
      </c>
      <c r="B238" t="s">
        <v>81</v>
      </c>
      <c r="C238" t="s">
        <v>381</v>
      </c>
      <c r="D238" t="s">
        <v>650</v>
      </c>
    </row>
    <row r="239" spans="1:4" x14ac:dyDescent="0.3">
      <c r="A239" t="s">
        <v>648</v>
      </c>
      <c r="B239" t="s">
        <v>81</v>
      </c>
      <c r="C239" t="s">
        <v>606</v>
      </c>
      <c r="D239" t="s">
        <v>650</v>
      </c>
    </row>
    <row r="240" spans="1:4" x14ac:dyDescent="0.3">
      <c r="A240" t="s">
        <v>648</v>
      </c>
      <c r="B240" t="s">
        <v>81</v>
      </c>
      <c r="C240" t="s">
        <v>447</v>
      </c>
      <c r="D240" t="s">
        <v>650</v>
      </c>
    </row>
    <row r="241" spans="1:4" x14ac:dyDescent="0.3">
      <c r="A241" t="s">
        <v>648</v>
      </c>
      <c r="B241" t="s">
        <v>81</v>
      </c>
      <c r="C241" t="s">
        <v>574</v>
      </c>
      <c r="D241" t="s">
        <v>650</v>
      </c>
    </row>
    <row r="242" spans="1:4" x14ac:dyDescent="0.3">
      <c r="A242" t="s">
        <v>648</v>
      </c>
      <c r="B242" t="s">
        <v>9</v>
      </c>
      <c r="C242" t="s">
        <v>517</v>
      </c>
      <c r="D242" t="s">
        <v>650</v>
      </c>
    </row>
    <row r="243" spans="1:4" x14ac:dyDescent="0.3">
      <c r="A243" t="s">
        <v>648</v>
      </c>
      <c r="B243" t="s">
        <v>9</v>
      </c>
      <c r="C243" t="s">
        <v>8</v>
      </c>
      <c r="D243" t="s">
        <v>650</v>
      </c>
    </row>
    <row r="244" spans="1:4" x14ac:dyDescent="0.3">
      <c r="A244" t="s">
        <v>648</v>
      </c>
      <c r="B244" t="s">
        <v>9</v>
      </c>
      <c r="C244" t="s">
        <v>174</v>
      </c>
      <c r="D244" t="s">
        <v>650</v>
      </c>
    </row>
    <row r="245" spans="1:4" x14ac:dyDescent="0.3">
      <c r="A245" t="s">
        <v>648</v>
      </c>
      <c r="B245" t="s">
        <v>9</v>
      </c>
      <c r="C245" t="s">
        <v>243</v>
      </c>
      <c r="D245" t="s">
        <v>650</v>
      </c>
    </row>
    <row r="246" spans="1:4" x14ac:dyDescent="0.3">
      <c r="A246" t="s">
        <v>648</v>
      </c>
      <c r="B246" t="s">
        <v>9</v>
      </c>
      <c r="C246" t="s">
        <v>287</v>
      </c>
      <c r="D246" t="s">
        <v>650</v>
      </c>
    </row>
    <row r="247" spans="1:4" x14ac:dyDescent="0.3">
      <c r="A247" t="s">
        <v>648</v>
      </c>
      <c r="B247" t="s">
        <v>9</v>
      </c>
      <c r="C247" t="s">
        <v>340</v>
      </c>
      <c r="D247" t="s">
        <v>650</v>
      </c>
    </row>
    <row r="248" spans="1:4" x14ac:dyDescent="0.3">
      <c r="A248" t="s">
        <v>648</v>
      </c>
      <c r="B248" t="s">
        <v>9</v>
      </c>
      <c r="C248" t="s">
        <v>381</v>
      </c>
      <c r="D248" t="s">
        <v>650</v>
      </c>
    </row>
    <row r="249" spans="1:4" x14ac:dyDescent="0.3">
      <c r="A249" t="s">
        <v>648</v>
      </c>
      <c r="B249" t="s">
        <v>9</v>
      </c>
      <c r="C249" t="s">
        <v>606</v>
      </c>
      <c r="D249" t="s">
        <v>650</v>
      </c>
    </row>
    <row r="250" spans="1:4" x14ac:dyDescent="0.3">
      <c r="A250" t="s">
        <v>648</v>
      </c>
      <c r="B250" t="s">
        <v>9</v>
      </c>
      <c r="C250" t="s">
        <v>447</v>
      </c>
      <c r="D250" t="s">
        <v>650</v>
      </c>
    </row>
    <row r="251" spans="1:4" x14ac:dyDescent="0.3">
      <c r="A251" t="s">
        <v>648</v>
      </c>
      <c r="B251" t="s">
        <v>9</v>
      </c>
      <c r="C251" t="s">
        <v>574</v>
      </c>
      <c r="D251" t="s">
        <v>650</v>
      </c>
    </row>
    <row r="252" spans="1:4" x14ac:dyDescent="0.3">
      <c r="A252" t="s">
        <v>648</v>
      </c>
      <c r="B252" t="s">
        <v>658</v>
      </c>
      <c r="C252" t="s">
        <v>517</v>
      </c>
      <c r="D252">
        <v>0</v>
      </c>
    </row>
    <row r="253" spans="1:4" x14ac:dyDescent="0.3">
      <c r="A253" t="s">
        <v>648</v>
      </c>
      <c r="B253" t="s">
        <v>658</v>
      </c>
      <c r="C253" t="s">
        <v>8</v>
      </c>
      <c r="D253">
        <v>0</v>
      </c>
    </row>
    <row r="254" spans="1:4" x14ac:dyDescent="0.3">
      <c r="A254" t="s">
        <v>648</v>
      </c>
      <c r="B254" t="s">
        <v>658</v>
      </c>
      <c r="C254" t="s">
        <v>174</v>
      </c>
      <c r="D254">
        <v>0</v>
      </c>
    </row>
    <row r="255" spans="1:4" x14ac:dyDescent="0.3">
      <c r="A255" t="s">
        <v>648</v>
      </c>
      <c r="B255" t="s">
        <v>658</v>
      </c>
      <c r="C255" t="s">
        <v>243</v>
      </c>
      <c r="D255">
        <v>0</v>
      </c>
    </row>
    <row r="256" spans="1:4" x14ac:dyDescent="0.3">
      <c r="A256" t="s">
        <v>648</v>
      </c>
      <c r="B256" t="s">
        <v>658</v>
      </c>
      <c r="C256" t="s">
        <v>287</v>
      </c>
      <c r="D256">
        <v>0</v>
      </c>
    </row>
    <row r="257" spans="1:4" x14ac:dyDescent="0.3">
      <c r="A257" t="s">
        <v>648</v>
      </c>
      <c r="B257" t="s">
        <v>658</v>
      </c>
      <c r="C257" t="s">
        <v>340</v>
      </c>
      <c r="D257">
        <v>0</v>
      </c>
    </row>
    <row r="258" spans="1:4" x14ac:dyDescent="0.3">
      <c r="A258" t="s">
        <v>648</v>
      </c>
      <c r="B258" t="s">
        <v>658</v>
      </c>
      <c r="C258" t="s">
        <v>381</v>
      </c>
      <c r="D258">
        <v>0</v>
      </c>
    </row>
    <row r="259" spans="1:4" x14ac:dyDescent="0.3">
      <c r="A259" t="s">
        <v>648</v>
      </c>
      <c r="B259" t="s">
        <v>658</v>
      </c>
      <c r="C259" t="s">
        <v>606</v>
      </c>
      <c r="D259">
        <v>0</v>
      </c>
    </row>
    <row r="260" spans="1:4" x14ac:dyDescent="0.3">
      <c r="A260" t="s">
        <v>648</v>
      </c>
      <c r="B260" t="s">
        <v>658</v>
      </c>
      <c r="C260" t="s">
        <v>447</v>
      </c>
      <c r="D260">
        <v>0</v>
      </c>
    </row>
    <row r="261" spans="1:4" x14ac:dyDescent="0.3">
      <c r="A261" t="s">
        <v>648</v>
      </c>
      <c r="B261" t="s">
        <v>658</v>
      </c>
      <c r="C261" t="s">
        <v>574</v>
      </c>
      <c r="D261">
        <v>0</v>
      </c>
    </row>
    <row r="263" spans="1:4" x14ac:dyDescent="0.3">
      <c r="A263" t="s">
        <v>659</v>
      </c>
      <c r="B263" t="s">
        <v>59</v>
      </c>
      <c r="C263" t="s">
        <v>517</v>
      </c>
      <c r="D263">
        <v>124.32246279350019</v>
      </c>
    </row>
    <row r="264" spans="1:4" x14ac:dyDescent="0.3">
      <c r="A264" t="s">
        <v>659</v>
      </c>
      <c r="B264" t="s">
        <v>59</v>
      </c>
      <c r="C264" t="s">
        <v>8</v>
      </c>
      <c r="D264">
        <v>87.979890482794048</v>
      </c>
    </row>
    <row r="265" spans="1:4" x14ac:dyDescent="0.3">
      <c r="A265" t="s">
        <v>659</v>
      </c>
      <c r="B265" t="s">
        <v>59</v>
      </c>
      <c r="C265" t="s">
        <v>174</v>
      </c>
      <c r="D265">
        <v>35.695891635606749</v>
      </c>
    </row>
    <row r="266" spans="1:4" x14ac:dyDescent="0.3">
      <c r="A266" t="s">
        <v>659</v>
      </c>
      <c r="B266" t="s">
        <v>59</v>
      </c>
      <c r="C266" t="s">
        <v>243</v>
      </c>
      <c r="D266">
        <v>36.631944664990684</v>
      </c>
    </row>
    <row r="267" spans="1:4" x14ac:dyDescent="0.3">
      <c r="A267" t="s">
        <v>659</v>
      </c>
      <c r="B267" t="s">
        <v>59</v>
      </c>
      <c r="C267" t="s">
        <v>287</v>
      </c>
      <c r="D267">
        <v>84.563802869029303</v>
      </c>
    </row>
    <row r="268" spans="1:4" x14ac:dyDescent="0.3">
      <c r="A268" t="s">
        <v>659</v>
      </c>
      <c r="B268" t="s">
        <v>59</v>
      </c>
      <c r="C268" t="s">
        <v>340</v>
      </c>
      <c r="D268">
        <v>25.299913539047939</v>
      </c>
    </row>
    <row r="269" spans="1:4" x14ac:dyDescent="0.3">
      <c r="A269" t="s">
        <v>659</v>
      </c>
      <c r="B269" t="s">
        <v>59</v>
      </c>
      <c r="C269" t="s">
        <v>381</v>
      </c>
      <c r="D269">
        <v>73.279804021841983</v>
      </c>
    </row>
    <row r="270" spans="1:4" x14ac:dyDescent="0.3">
      <c r="A270" t="s">
        <v>659</v>
      </c>
      <c r="B270" t="s">
        <v>59</v>
      </c>
      <c r="C270" t="s">
        <v>606</v>
      </c>
      <c r="D270">
        <v>6.5319734853080345</v>
      </c>
    </row>
    <row r="271" spans="1:4" x14ac:dyDescent="0.3">
      <c r="A271" t="s">
        <v>659</v>
      </c>
      <c r="B271" t="s">
        <v>59</v>
      </c>
      <c r="C271" t="s">
        <v>447</v>
      </c>
      <c r="D271">
        <v>85.163918150298713</v>
      </c>
    </row>
    <row r="272" spans="1:4" x14ac:dyDescent="0.3">
      <c r="A272" t="s">
        <v>659</v>
      </c>
      <c r="B272" t="s">
        <v>59</v>
      </c>
      <c r="C272" t="s">
        <v>574</v>
      </c>
      <c r="D272">
        <v>26.139902010920995</v>
      </c>
    </row>
    <row r="273" spans="1:4" x14ac:dyDescent="0.3">
      <c r="A273" t="s">
        <v>659</v>
      </c>
      <c r="B273" t="s">
        <v>649</v>
      </c>
      <c r="C273" t="s">
        <v>517</v>
      </c>
      <c r="D273">
        <v>30.625786945131065</v>
      </c>
    </row>
    <row r="274" spans="1:4" x14ac:dyDescent="0.3">
      <c r="A274" t="s">
        <v>659</v>
      </c>
      <c r="B274" t="s">
        <v>649</v>
      </c>
      <c r="C274" t="s">
        <v>8</v>
      </c>
      <c r="D274">
        <v>62.163918150298713</v>
      </c>
    </row>
    <row r="275" spans="1:4" x14ac:dyDescent="0.3">
      <c r="A275" t="s">
        <v>659</v>
      </c>
      <c r="B275" t="s">
        <v>649</v>
      </c>
      <c r="C275" t="s">
        <v>174</v>
      </c>
      <c r="D275">
        <v>15.79195619311762</v>
      </c>
    </row>
    <row r="276" spans="1:4" x14ac:dyDescent="0.3">
      <c r="A276" t="s">
        <v>659</v>
      </c>
      <c r="B276" t="s">
        <v>649</v>
      </c>
      <c r="C276" t="s">
        <v>243</v>
      </c>
      <c r="D276">
        <v>6.1119792493715046</v>
      </c>
    </row>
    <row r="277" spans="1:4" x14ac:dyDescent="0.3">
      <c r="A277" t="s">
        <v>659</v>
      </c>
      <c r="B277" t="s">
        <v>649</v>
      </c>
      <c r="C277" t="s">
        <v>287</v>
      </c>
      <c r="D277">
        <v>3.123987319060364</v>
      </c>
    </row>
    <row r="278" spans="1:4" x14ac:dyDescent="0.3">
      <c r="A278" t="s">
        <v>659</v>
      </c>
      <c r="B278" t="s">
        <v>649</v>
      </c>
      <c r="C278" t="s">
        <v>340</v>
      </c>
      <c r="D278">
        <v>2.8399884718730584</v>
      </c>
    </row>
    <row r="279" spans="1:4" x14ac:dyDescent="0.3">
      <c r="A279" t="s">
        <v>659</v>
      </c>
      <c r="B279" t="s">
        <v>649</v>
      </c>
      <c r="C279" t="s">
        <v>381</v>
      </c>
      <c r="D279">
        <v>5.9759838606222822</v>
      </c>
    </row>
    <row r="280" spans="1:4" x14ac:dyDescent="0.3">
      <c r="A280" t="s">
        <v>659</v>
      </c>
      <c r="B280" t="s">
        <v>649</v>
      </c>
      <c r="C280" t="s">
        <v>606</v>
      </c>
      <c r="D280">
        <v>5.8399884718730579</v>
      </c>
    </row>
    <row r="281" spans="1:4" x14ac:dyDescent="0.3">
      <c r="A281" t="s">
        <v>659</v>
      </c>
      <c r="B281" t="s">
        <v>649</v>
      </c>
      <c r="C281" t="s">
        <v>447</v>
      </c>
      <c r="D281">
        <v>2.703993083123835</v>
      </c>
    </row>
    <row r="282" spans="1:4" x14ac:dyDescent="0.3">
      <c r="A282" t="s">
        <v>659</v>
      </c>
      <c r="B282" t="s">
        <v>649</v>
      </c>
      <c r="C282" t="s">
        <v>574</v>
      </c>
      <c r="D282">
        <v>53.019821314032406</v>
      </c>
    </row>
    <row r="283" spans="1:4" x14ac:dyDescent="0.3">
      <c r="A283" t="s">
        <v>659</v>
      </c>
      <c r="B283" t="s">
        <v>100</v>
      </c>
      <c r="C283" t="s">
        <v>517</v>
      </c>
      <c r="D283">
        <v>3.2709644908551772</v>
      </c>
    </row>
    <row r="284" spans="1:4" x14ac:dyDescent="0.3">
      <c r="A284" t="s">
        <v>659</v>
      </c>
      <c r="B284" t="s">
        <v>100</v>
      </c>
      <c r="C284" t="s">
        <v>8</v>
      </c>
      <c r="D284">
        <v>0</v>
      </c>
    </row>
    <row r="285" spans="1:4" x14ac:dyDescent="0.3">
      <c r="A285" t="s">
        <v>659</v>
      </c>
      <c r="B285" t="s">
        <v>100</v>
      </c>
      <c r="C285" t="s">
        <v>174</v>
      </c>
      <c r="D285">
        <v>5.9759838606222822</v>
      </c>
    </row>
    <row r="286" spans="1:4" x14ac:dyDescent="0.3">
      <c r="A286" t="s">
        <v>659</v>
      </c>
      <c r="B286" t="s">
        <v>100</v>
      </c>
      <c r="C286" t="s">
        <v>243</v>
      </c>
      <c r="D286">
        <v>3.6919850134349756</v>
      </c>
    </row>
    <row r="287" spans="1:4" x14ac:dyDescent="0.3">
      <c r="A287" t="s">
        <v>659</v>
      </c>
      <c r="B287" t="s">
        <v>100</v>
      </c>
      <c r="C287" t="s">
        <v>287</v>
      </c>
      <c r="D287">
        <v>0</v>
      </c>
    </row>
    <row r="288" spans="1:4" x14ac:dyDescent="0.3">
      <c r="A288" t="s">
        <v>659</v>
      </c>
      <c r="B288" t="s">
        <v>100</v>
      </c>
      <c r="C288" t="s">
        <v>340</v>
      </c>
      <c r="D288">
        <v>0</v>
      </c>
    </row>
    <row r="289" spans="1:4" x14ac:dyDescent="0.3">
      <c r="A289" t="s">
        <v>659</v>
      </c>
      <c r="B289" t="s">
        <v>100</v>
      </c>
      <c r="C289" t="s">
        <v>381</v>
      </c>
      <c r="D289">
        <v>0</v>
      </c>
    </row>
    <row r="290" spans="1:4" x14ac:dyDescent="0.3">
      <c r="A290" t="s">
        <v>659</v>
      </c>
      <c r="B290" t="s">
        <v>100</v>
      </c>
      <c r="C290" t="s">
        <v>606</v>
      </c>
      <c r="D290">
        <v>0</v>
      </c>
    </row>
    <row r="291" spans="1:4" x14ac:dyDescent="0.3">
      <c r="A291" t="s">
        <v>659</v>
      </c>
      <c r="B291" t="s">
        <v>100</v>
      </c>
      <c r="C291" t="s">
        <v>447</v>
      </c>
      <c r="D291">
        <v>4.5439815549968934</v>
      </c>
    </row>
    <row r="292" spans="1:4" x14ac:dyDescent="0.3">
      <c r="A292" t="s">
        <v>659</v>
      </c>
      <c r="B292" t="s">
        <v>100</v>
      </c>
      <c r="C292" t="s">
        <v>574</v>
      </c>
      <c r="D292">
        <v>0</v>
      </c>
    </row>
    <row r="293" spans="1:4" x14ac:dyDescent="0.3">
      <c r="A293" t="s">
        <v>659</v>
      </c>
      <c r="B293" t="s">
        <v>103</v>
      </c>
      <c r="C293" t="s">
        <v>517</v>
      </c>
      <c r="D293">
        <v>0.56774112271379429</v>
      </c>
    </row>
    <row r="294" spans="1:4" x14ac:dyDescent="0.3">
      <c r="A294" t="s">
        <v>659</v>
      </c>
      <c r="B294" t="s">
        <v>103</v>
      </c>
      <c r="C294" t="s">
        <v>8</v>
      </c>
      <c r="D294">
        <v>0</v>
      </c>
    </row>
    <row r="295" spans="1:4" x14ac:dyDescent="0.3">
      <c r="A295" t="s">
        <v>659</v>
      </c>
      <c r="B295" t="s">
        <v>103</v>
      </c>
      <c r="C295" t="s">
        <v>174</v>
      </c>
      <c r="D295">
        <v>0</v>
      </c>
    </row>
    <row r="296" spans="1:4" x14ac:dyDescent="0.3">
      <c r="A296" t="s">
        <v>659</v>
      </c>
      <c r="B296" t="s">
        <v>103</v>
      </c>
      <c r="C296" t="s">
        <v>243</v>
      </c>
      <c r="D296">
        <v>0</v>
      </c>
    </row>
    <row r="297" spans="1:4" x14ac:dyDescent="0.3">
      <c r="A297" t="s">
        <v>659</v>
      </c>
      <c r="B297" t="s">
        <v>103</v>
      </c>
      <c r="C297" t="s">
        <v>287</v>
      </c>
      <c r="D297">
        <v>0</v>
      </c>
    </row>
    <row r="298" spans="1:4" x14ac:dyDescent="0.3">
      <c r="A298" t="s">
        <v>659</v>
      </c>
      <c r="B298" t="s">
        <v>103</v>
      </c>
      <c r="C298" t="s">
        <v>340</v>
      </c>
      <c r="D298">
        <v>0</v>
      </c>
    </row>
    <row r="299" spans="1:4" x14ac:dyDescent="0.3">
      <c r="A299" t="s">
        <v>659</v>
      </c>
      <c r="B299" t="s">
        <v>103</v>
      </c>
      <c r="C299" t="s">
        <v>381</v>
      </c>
      <c r="D299">
        <v>0.85199654156191751</v>
      </c>
    </row>
    <row r="300" spans="1:4" x14ac:dyDescent="0.3">
      <c r="A300" t="s">
        <v>659</v>
      </c>
      <c r="B300" t="s">
        <v>103</v>
      </c>
      <c r="C300" t="s">
        <v>606</v>
      </c>
      <c r="D300">
        <v>0.56799769437461167</v>
      </c>
    </row>
    <row r="301" spans="1:4" x14ac:dyDescent="0.3">
      <c r="A301" t="s">
        <v>659</v>
      </c>
      <c r="B301" t="s">
        <v>103</v>
      </c>
      <c r="C301" t="s">
        <v>447</v>
      </c>
      <c r="D301">
        <v>0</v>
      </c>
    </row>
    <row r="302" spans="1:4" x14ac:dyDescent="0.3">
      <c r="A302" t="s">
        <v>659</v>
      </c>
      <c r="B302" t="s">
        <v>103</v>
      </c>
      <c r="C302" t="s">
        <v>574</v>
      </c>
      <c r="D302">
        <v>0</v>
      </c>
    </row>
    <row r="303" spans="1:4" x14ac:dyDescent="0.3">
      <c r="A303" t="s">
        <v>659</v>
      </c>
      <c r="B303" t="s">
        <v>168</v>
      </c>
      <c r="C303" t="s">
        <v>517</v>
      </c>
      <c r="D303">
        <v>0.28387056135689714</v>
      </c>
    </row>
    <row r="304" spans="1:4" x14ac:dyDescent="0.3">
      <c r="A304" t="s">
        <v>659</v>
      </c>
      <c r="B304" t="s">
        <v>168</v>
      </c>
      <c r="C304" t="s">
        <v>8</v>
      </c>
      <c r="D304">
        <v>0.56799769437461167</v>
      </c>
    </row>
    <row r="305" spans="1:4" x14ac:dyDescent="0.3">
      <c r="A305" t="s">
        <v>659</v>
      </c>
      <c r="B305" t="s">
        <v>168</v>
      </c>
      <c r="C305" t="s">
        <v>174</v>
      </c>
      <c r="D305">
        <v>0</v>
      </c>
    </row>
    <row r="306" spans="1:4" x14ac:dyDescent="0.3">
      <c r="A306" t="s">
        <v>659</v>
      </c>
      <c r="B306" t="s">
        <v>168</v>
      </c>
      <c r="C306" t="s">
        <v>243</v>
      </c>
      <c r="D306">
        <v>0</v>
      </c>
    </row>
    <row r="307" spans="1:4" x14ac:dyDescent="0.3">
      <c r="A307" t="s">
        <v>659</v>
      </c>
      <c r="B307" t="s">
        <v>168</v>
      </c>
      <c r="C307" t="s">
        <v>287</v>
      </c>
      <c r="D307">
        <v>0</v>
      </c>
    </row>
    <row r="308" spans="1:4" x14ac:dyDescent="0.3">
      <c r="A308" t="s">
        <v>659</v>
      </c>
      <c r="B308" t="s">
        <v>168</v>
      </c>
      <c r="C308" t="s">
        <v>340</v>
      </c>
      <c r="D308">
        <v>0</v>
      </c>
    </row>
    <row r="309" spans="1:4" x14ac:dyDescent="0.3">
      <c r="A309" t="s">
        <v>659</v>
      </c>
      <c r="B309" t="s">
        <v>168</v>
      </c>
      <c r="C309" t="s">
        <v>381</v>
      </c>
      <c r="D309">
        <v>0</v>
      </c>
    </row>
    <row r="310" spans="1:4" x14ac:dyDescent="0.3">
      <c r="A310" t="s">
        <v>659</v>
      </c>
      <c r="B310" t="s">
        <v>168</v>
      </c>
      <c r="C310" t="s">
        <v>606</v>
      </c>
      <c r="D310">
        <v>0</v>
      </c>
    </row>
    <row r="311" spans="1:4" x14ac:dyDescent="0.3">
      <c r="A311" t="s">
        <v>659</v>
      </c>
      <c r="B311" t="s">
        <v>168</v>
      </c>
      <c r="C311" t="s">
        <v>447</v>
      </c>
      <c r="D311">
        <v>0</v>
      </c>
    </row>
    <row r="312" spans="1:4" x14ac:dyDescent="0.3">
      <c r="A312" t="s">
        <v>659</v>
      </c>
      <c r="B312" t="s">
        <v>168</v>
      </c>
      <c r="C312" t="s">
        <v>574</v>
      </c>
      <c r="D312">
        <v>0</v>
      </c>
    </row>
    <row r="313" spans="1:4" x14ac:dyDescent="0.3">
      <c r="A313" t="s">
        <v>659</v>
      </c>
      <c r="B313" t="s">
        <v>651</v>
      </c>
      <c r="C313" t="s">
        <v>517</v>
      </c>
      <c r="D313">
        <v>0</v>
      </c>
    </row>
    <row r="314" spans="1:4" x14ac:dyDescent="0.3">
      <c r="A314" t="s">
        <v>659</v>
      </c>
      <c r="B314" t="s">
        <v>651</v>
      </c>
      <c r="C314" t="s">
        <v>8</v>
      </c>
      <c r="D314">
        <v>0</v>
      </c>
    </row>
    <row r="315" spans="1:4" x14ac:dyDescent="0.3">
      <c r="A315" t="s">
        <v>659</v>
      </c>
      <c r="B315" t="s">
        <v>651</v>
      </c>
      <c r="C315" t="s">
        <v>174</v>
      </c>
      <c r="D315">
        <v>0</v>
      </c>
    </row>
    <row r="316" spans="1:4" x14ac:dyDescent="0.3">
      <c r="A316" t="s">
        <v>659</v>
      </c>
      <c r="B316" t="s">
        <v>651</v>
      </c>
      <c r="C316" t="s">
        <v>243</v>
      </c>
      <c r="D316">
        <v>0</v>
      </c>
    </row>
    <row r="317" spans="1:4" x14ac:dyDescent="0.3">
      <c r="A317" t="s">
        <v>659</v>
      </c>
      <c r="B317" t="s">
        <v>651</v>
      </c>
      <c r="C317" t="s">
        <v>287</v>
      </c>
      <c r="D317">
        <v>0</v>
      </c>
    </row>
    <row r="318" spans="1:4" x14ac:dyDescent="0.3">
      <c r="A318" t="s">
        <v>659</v>
      </c>
      <c r="B318" t="s">
        <v>651</v>
      </c>
      <c r="C318" t="s">
        <v>340</v>
      </c>
      <c r="D318">
        <v>0</v>
      </c>
    </row>
    <row r="319" spans="1:4" x14ac:dyDescent="0.3">
      <c r="A319" t="s">
        <v>659</v>
      </c>
      <c r="B319" t="s">
        <v>651</v>
      </c>
      <c r="C319" t="s">
        <v>381</v>
      </c>
      <c r="D319">
        <v>0</v>
      </c>
    </row>
    <row r="320" spans="1:4" x14ac:dyDescent="0.3">
      <c r="A320" t="s">
        <v>659</v>
      </c>
      <c r="B320" t="s">
        <v>651</v>
      </c>
      <c r="C320" t="s">
        <v>606</v>
      </c>
      <c r="D320">
        <v>0</v>
      </c>
    </row>
    <row r="321" spans="1:4" x14ac:dyDescent="0.3">
      <c r="A321" t="s">
        <v>659</v>
      </c>
      <c r="B321" t="s">
        <v>651</v>
      </c>
      <c r="C321" t="s">
        <v>447</v>
      </c>
      <c r="D321">
        <v>0</v>
      </c>
    </row>
    <row r="322" spans="1:4" x14ac:dyDescent="0.3">
      <c r="A322" t="s">
        <v>659</v>
      </c>
      <c r="B322" t="s">
        <v>651</v>
      </c>
      <c r="C322" t="s">
        <v>574</v>
      </c>
      <c r="D322">
        <v>0</v>
      </c>
    </row>
    <row r="323" spans="1:4" x14ac:dyDescent="0.3">
      <c r="A323" t="s">
        <v>659</v>
      </c>
      <c r="B323" t="s">
        <v>652</v>
      </c>
      <c r="C323" t="s">
        <v>517</v>
      </c>
      <c r="D323">
        <v>0</v>
      </c>
    </row>
    <row r="324" spans="1:4" x14ac:dyDescent="0.3">
      <c r="A324" t="s">
        <v>659</v>
      </c>
      <c r="B324" t="s">
        <v>652</v>
      </c>
      <c r="C324" t="s">
        <v>8</v>
      </c>
      <c r="D324">
        <v>0</v>
      </c>
    </row>
    <row r="325" spans="1:4" x14ac:dyDescent="0.3">
      <c r="A325" t="s">
        <v>659</v>
      </c>
      <c r="B325" t="s">
        <v>652</v>
      </c>
      <c r="C325" t="s">
        <v>174</v>
      </c>
      <c r="D325">
        <v>0</v>
      </c>
    </row>
    <row r="326" spans="1:4" x14ac:dyDescent="0.3">
      <c r="A326" t="s">
        <v>659</v>
      </c>
      <c r="B326" t="s">
        <v>652</v>
      </c>
      <c r="C326" t="s">
        <v>243</v>
      </c>
      <c r="D326">
        <v>0</v>
      </c>
    </row>
    <row r="327" spans="1:4" x14ac:dyDescent="0.3">
      <c r="A327" t="s">
        <v>659</v>
      </c>
      <c r="B327" t="s">
        <v>652</v>
      </c>
      <c r="C327" t="s">
        <v>287</v>
      </c>
      <c r="D327">
        <v>0</v>
      </c>
    </row>
    <row r="328" spans="1:4" x14ac:dyDescent="0.3">
      <c r="A328" t="s">
        <v>659</v>
      </c>
      <c r="B328" t="s">
        <v>652</v>
      </c>
      <c r="C328" t="s">
        <v>340</v>
      </c>
      <c r="D328">
        <v>0</v>
      </c>
    </row>
    <row r="329" spans="1:4" x14ac:dyDescent="0.3">
      <c r="A329" t="s">
        <v>659</v>
      </c>
      <c r="B329" t="s">
        <v>652</v>
      </c>
      <c r="C329" t="s">
        <v>381</v>
      </c>
      <c r="D329">
        <v>0</v>
      </c>
    </row>
    <row r="330" spans="1:4" x14ac:dyDescent="0.3">
      <c r="A330" t="s">
        <v>659</v>
      </c>
      <c r="B330" t="s">
        <v>652</v>
      </c>
      <c r="C330" t="s">
        <v>606</v>
      </c>
      <c r="D330">
        <v>0</v>
      </c>
    </row>
    <row r="331" spans="1:4" x14ac:dyDescent="0.3">
      <c r="A331" t="s">
        <v>659</v>
      </c>
      <c r="B331" t="s">
        <v>652</v>
      </c>
      <c r="C331" t="s">
        <v>447</v>
      </c>
      <c r="D331">
        <v>0</v>
      </c>
    </row>
    <row r="332" spans="1:4" x14ac:dyDescent="0.3">
      <c r="A332" t="s">
        <v>659</v>
      </c>
      <c r="B332" t="s">
        <v>652</v>
      </c>
      <c r="C332" t="s">
        <v>574</v>
      </c>
      <c r="D332">
        <v>0</v>
      </c>
    </row>
    <row r="333" spans="1:4" x14ac:dyDescent="0.3">
      <c r="A333" t="s">
        <v>659</v>
      </c>
      <c r="B333" t="s">
        <v>653</v>
      </c>
      <c r="C333" t="s">
        <v>517</v>
      </c>
      <c r="D333">
        <v>0</v>
      </c>
    </row>
    <row r="334" spans="1:4" x14ac:dyDescent="0.3">
      <c r="A334" t="s">
        <v>659</v>
      </c>
      <c r="B334" t="s">
        <v>653</v>
      </c>
      <c r="C334" t="s">
        <v>8</v>
      </c>
      <c r="D334">
        <v>0</v>
      </c>
    </row>
    <row r="335" spans="1:4" x14ac:dyDescent="0.3">
      <c r="A335" t="s">
        <v>659</v>
      </c>
      <c r="B335" t="s">
        <v>653</v>
      </c>
      <c r="C335" t="s">
        <v>174</v>
      </c>
      <c r="D335">
        <v>0</v>
      </c>
    </row>
    <row r="336" spans="1:4" x14ac:dyDescent="0.3">
      <c r="A336" t="s">
        <v>659</v>
      </c>
      <c r="B336" t="s">
        <v>653</v>
      </c>
      <c r="C336" t="s">
        <v>243</v>
      </c>
      <c r="D336">
        <v>0</v>
      </c>
    </row>
    <row r="337" spans="1:4" x14ac:dyDescent="0.3">
      <c r="A337" t="s">
        <v>659</v>
      </c>
      <c r="B337" t="s">
        <v>653</v>
      </c>
      <c r="C337" t="s">
        <v>287</v>
      </c>
      <c r="D337">
        <v>0</v>
      </c>
    </row>
    <row r="338" spans="1:4" x14ac:dyDescent="0.3">
      <c r="A338" t="s">
        <v>659</v>
      </c>
      <c r="B338" t="s">
        <v>653</v>
      </c>
      <c r="C338" t="s">
        <v>340</v>
      </c>
      <c r="D338">
        <v>0</v>
      </c>
    </row>
    <row r="339" spans="1:4" x14ac:dyDescent="0.3">
      <c r="A339" t="s">
        <v>659</v>
      </c>
      <c r="B339" t="s">
        <v>653</v>
      </c>
      <c r="C339" t="s">
        <v>381</v>
      </c>
      <c r="D339">
        <v>0</v>
      </c>
    </row>
    <row r="340" spans="1:4" x14ac:dyDescent="0.3">
      <c r="A340" t="s">
        <v>659</v>
      </c>
      <c r="B340" t="s">
        <v>653</v>
      </c>
      <c r="C340" t="s">
        <v>606</v>
      </c>
      <c r="D340">
        <v>0</v>
      </c>
    </row>
    <row r="341" spans="1:4" x14ac:dyDescent="0.3">
      <c r="A341" t="s">
        <v>659</v>
      </c>
      <c r="B341" t="s">
        <v>653</v>
      </c>
      <c r="C341" t="s">
        <v>447</v>
      </c>
      <c r="D341">
        <v>0</v>
      </c>
    </row>
    <row r="342" spans="1:4" x14ac:dyDescent="0.3">
      <c r="A342" t="s">
        <v>659</v>
      </c>
      <c r="B342" t="s">
        <v>653</v>
      </c>
      <c r="C342" t="s">
        <v>574</v>
      </c>
      <c r="D342">
        <v>0</v>
      </c>
    </row>
    <row r="343" spans="1:4" x14ac:dyDescent="0.3">
      <c r="A343" t="s">
        <v>659</v>
      </c>
      <c r="B343" t="s">
        <v>644</v>
      </c>
      <c r="C343" t="s">
        <v>517</v>
      </c>
      <c r="D343">
        <v>11.245152349851738</v>
      </c>
    </row>
    <row r="344" spans="1:4" x14ac:dyDescent="0.3">
      <c r="A344" t="s">
        <v>659</v>
      </c>
      <c r="B344" t="s">
        <v>644</v>
      </c>
      <c r="C344" t="s">
        <v>8</v>
      </c>
      <c r="D344">
        <v>1.4199942359365292</v>
      </c>
    </row>
    <row r="345" spans="1:4" x14ac:dyDescent="0.3">
      <c r="A345" t="s">
        <v>659</v>
      </c>
      <c r="B345" t="s">
        <v>644</v>
      </c>
      <c r="C345" t="s">
        <v>174</v>
      </c>
      <c r="D345">
        <v>7.1119792493715046</v>
      </c>
    </row>
    <row r="346" spans="1:4" x14ac:dyDescent="0.3">
      <c r="A346" t="s">
        <v>659</v>
      </c>
      <c r="B346" t="s">
        <v>644</v>
      </c>
      <c r="C346" t="s">
        <v>243</v>
      </c>
      <c r="D346">
        <v>1.703993083123835</v>
      </c>
    </row>
    <row r="347" spans="1:4" x14ac:dyDescent="0.3">
      <c r="A347" t="s">
        <v>659</v>
      </c>
      <c r="B347" t="s">
        <v>644</v>
      </c>
      <c r="C347" t="s">
        <v>287</v>
      </c>
      <c r="D347">
        <v>5.5559896246857523</v>
      </c>
    </row>
    <row r="348" spans="1:4" x14ac:dyDescent="0.3">
      <c r="A348" t="s">
        <v>659</v>
      </c>
      <c r="B348" t="s">
        <v>644</v>
      </c>
      <c r="C348" t="s">
        <v>340</v>
      </c>
      <c r="D348">
        <v>2.703993083123835</v>
      </c>
    </row>
    <row r="349" spans="1:4" x14ac:dyDescent="0.3">
      <c r="A349" t="s">
        <v>659</v>
      </c>
      <c r="B349" t="s">
        <v>644</v>
      </c>
      <c r="C349" t="s">
        <v>381</v>
      </c>
      <c r="D349">
        <v>10.975983860622282</v>
      </c>
    </row>
    <row r="350" spans="1:4" x14ac:dyDescent="0.3">
      <c r="A350" t="s">
        <v>659</v>
      </c>
      <c r="B350" t="s">
        <v>644</v>
      </c>
      <c r="C350" t="s">
        <v>606</v>
      </c>
      <c r="D350">
        <v>0.28399884718730584</v>
      </c>
    </row>
    <row r="351" spans="1:4" x14ac:dyDescent="0.3">
      <c r="A351" t="s">
        <v>659</v>
      </c>
      <c r="B351" t="s">
        <v>644</v>
      </c>
      <c r="C351" t="s">
        <v>447</v>
      </c>
      <c r="D351">
        <v>0.85199654156191751</v>
      </c>
    </row>
    <row r="352" spans="1:4" x14ac:dyDescent="0.3">
      <c r="A352" t="s">
        <v>659</v>
      </c>
      <c r="B352" t="s">
        <v>644</v>
      </c>
      <c r="C352" t="s">
        <v>574</v>
      </c>
      <c r="D352">
        <v>1.1359953887492233</v>
      </c>
    </row>
    <row r="353" spans="1:4" x14ac:dyDescent="0.3">
      <c r="A353" t="s">
        <v>659</v>
      </c>
      <c r="B353" t="s">
        <v>644</v>
      </c>
      <c r="C353" t="s">
        <v>517</v>
      </c>
      <c r="D353">
        <v>0</v>
      </c>
    </row>
    <row r="354" spans="1:4" x14ac:dyDescent="0.3">
      <c r="A354" t="s">
        <v>659</v>
      </c>
      <c r="B354" t="s">
        <v>644</v>
      </c>
      <c r="C354" t="s">
        <v>8</v>
      </c>
      <c r="D354">
        <v>0</v>
      </c>
    </row>
    <row r="355" spans="1:4" x14ac:dyDescent="0.3">
      <c r="A355" t="s">
        <v>659</v>
      </c>
      <c r="B355" t="s">
        <v>644</v>
      </c>
      <c r="C355" t="s">
        <v>174</v>
      </c>
      <c r="D355">
        <v>0</v>
      </c>
    </row>
    <row r="356" spans="1:4" x14ac:dyDescent="0.3">
      <c r="A356" t="s">
        <v>659</v>
      </c>
      <c r="B356" t="s">
        <v>644</v>
      </c>
      <c r="C356" t="s">
        <v>243</v>
      </c>
      <c r="D356">
        <v>0</v>
      </c>
    </row>
    <row r="357" spans="1:4" x14ac:dyDescent="0.3">
      <c r="A357" t="s">
        <v>659</v>
      </c>
      <c r="B357" t="s">
        <v>644</v>
      </c>
      <c r="C357" t="s">
        <v>287</v>
      </c>
      <c r="D357">
        <v>0</v>
      </c>
    </row>
    <row r="358" spans="1:4" x14ac:dyDescent="0.3">
      <c r="A358" t="s">
        <v>659</v>
      </c>
      <c r="B358" t="s">
        <v>644</v>
      </c>
      <c r="C358" t="s">
        <v>340</v>
      </c>
      <c r="D358">
        <v>0</v>
      </c>
    </row>
    <row r="359" spans="1:4" x14ac:dyDescent="0.3">
      <c r="A359" t="s">
        <v>659</v>
      </c>
      <c r="B359" t="s">
        <v>644</v>
      </c>
      <c r="C359" t="s">
        <v>381</v>
      </c>
      <c r="D359">
        <v>0</v>
      </c>
    </row>
    <row r="360" spans="1:4" x14ac:dyDescent="0.3">
      <c r="A360" t="s">
        <v>659</v>
      </c>
      <c r="B360" t="s">
        <v>644</v>
      </c>
      <c r="C360" t="s">
        <v>606</v>
      </c>
      <c r="D360">
        <v>0</v>
      </c>
    </row>
    <row r="361" spans="1:4" x14ac:dyDescent="0.3">
      <c r="A361" t="s">
        <v>659</v>
      </c>
      <c r="B361" t="s">
        <v>644</v>
      </c>
      <c r="C361" t="s">
        <v>447</v>
      </c>
      <c r="D361">
        <v>0</v>
      </c>
    </row>
    <row r="362" spans="1:4" x14ac:dyDescent="0.3">
      <c r="A362" t="s">
        <v>659</v>
      </c>
      <c r="B362" t="s">
        <v>644</v>
      </c>
      <c r="C362" t="s">
        <v>574</v>
      </c>
      <c r="D362">
        <v>0</v>
      </c>
    </row>
    <row r="363" spans="1:4" x14ac:dyDescent="0.3">
      <c r="A363" t="s">
        <v>659</v>
      </c>
      <c r="B363" t="s">
        <v>54</v>
      </c>
      <c r="C363" t="s">
        <v>517</v>
      </c>
      <c r="D363">
        <v>33.167715926841417</v>
      </c>
    </row>
    <row r="364" spans="1:4" x14ac:dyDescent="0.3">
      <c r="A364" t="s">
        <v>659</v>
      </c>
      <c r="B364" t="s">
        <v>54</v>
      </c>
      <c r="C364" t="s">
        <v>8</v>
      </c>
      <c r="D364">
        <v>8.6919850134349765</v>
      </c>
    </row>
    <row r="365" spans="1:4" x14ac:dyDescent="0.3">
      <c r="A365" t="s">
        <v>659</v>
      </c>
      <c r="B365" t="s">
        <v>54</v>
      </c>
      <c r="C365" t="s">
        <v>174</v>
      </c>
      <c r="D365">
        <v>8.827980402184199</v>
      </c>
    </row>
    <row r="366" spans="1:4" x14ac:dyDescent="0.3">
      <c r="A366" t="s">
        <v>659</v>
      </c>
      <c r="B366" t="s">
        <v>54</v>
      </c>
      <c r="C366" t="s">
        <v>243</v>
      </c>
      <c r="D366">
        <v>5.6919850134349756</v>
      </c>
    </row>
    <row r="367" spans="1:4" x14ac:dyDescent="0.3">
      <c r="A367" t="s">
        <v>659</v>
      </c>
      <c r="B367" t="s">
        <v>54</v>
      </c>
      <c r="C367" t="s">
        <v>287</v>
      </c>
      <c r="D367">
        <v>5.40798616624767</v>
      </c>
    </row>
    <row r="368" spans="1:4" x14ac:dyDescent="0.3">
      <c r="A368" t="s">
        <v>659</v>
      </c>
      <c r="B368" t="s">
        <v>54</v>
      </c>
      <c r="C368" t="s">
        <v>340</v>
      </c>
      <c r="D368">
        <v>5.2599827078095878</v>
      </c>
    </row>
    <row r="369" spans="1:4" x14ac:dyDescent="0.3">
      <c r="A369" t="s">
        <v>659</v>
      </c>
      <c r="B369" t="s">
        <v>54</v>
      </c>
      <c r="C369" t="s">
        <v>381</v>
      </c>
      <c r="D369">
        <v>10.111979249371505</v>
      </c>
    </row>
    <row r="370" spans="1:4" x14ac:dyDescent="0.3">
      <c r="A370" t="s">
        <v>659</v>
      </c>
      <c r="B370" t="s">
        <v>54</v>
      </c>
      <c r="C370" t="s">
        <v>606</v>
      </c>
      <c r="D370">
        <v>1.2839988471873058</v>
      </c>
    </row>
    <row r="371" spans="1:4" x14ac:dyDescent="0.3">
      <c r="A371" t="s">
        <v>659</v>
      </c>
      <c r="B371" t="s">
        <v>54</v>
      </c>
      <c r="C371" t="s">
        <v>447</v>
      </c>
      <c r="D371">
        <v>2.703993083123835</v>
      </c>
    </row>
    <row r="372" spans="1:4" x14ac:dyDescent="0.3">
      <c r="A372" t="s">
        <v>659</v>
      </c>
      <c r="B372" t="s">
        <v>54</v>
      </c>
      <c r="C372" t="s">
        <v>574</v>
      </c>
      <c r="D372">
        <v>4.2599827078095878</v>
      </c>
    </row>
    <row r="373" spans="1:4" x14ac:dyDescent="0.3">
      <c r="A373" t="s">
        <v>659</v>
      </c>
      <c r="B373" t="s">
        <v>170</v>
      </c>
      <c r="C373" t="s">
        <v>517</v>
      </c>
      <c r="D373">
        <v>8</v>
      </c>
    </row>
    <row r="374" spans="1:4" x14ac:dyDescent="0.3">
      <c r="A374" t="s">
        <v>659</v>
      </c>
      <c r="B374" t="s">
        <v>170</v>
      </c>
      <c r="C374" t="s">
        <v>8</v>
      </c>
      <c r="D374">
        <v>0</v>
      </c>
    </row>
    <row r="375" spans="1:4" x14ac:dyDescent="0.3">
      <c r="A375" t="s">
        <v>659</v>
      </c>
      <c r="B375" t="s">
        <v>170</v>
      </c>
      <c r="C375" t="s">
        <v>174</v>
      </c>
      <c r="D375">
        <v>2</v>
      </c>
    </row>
    <row r="376" spans="1:4" x14ac:dyDescent="0.3">
      <c r="A376" t="s">
        <v>659</v>
      </c>
      <c r="B376" t="s">
        <v>170</v>
      </c>
      <c r="C376" t="s">
        <v>243</v>
      </c>
      <c r="D376">
        <v>1</v>
      </c>
    </row>
    <row r="377" spans="1:4" x14ac:dyDescent="0.3">
      <c r="A377" t="s">
        <v>659</v>
      </c>
      <c r="B377" t="s">
        <v>170</v>
      </c>
      <c r="C377" t="s">
        <v>287</v>
      </c>
      <c r="D377">
        <v>1</v>
      </c>
    </row>
    <row r="378" spans="1:4" x14ac:dyDescent="0.3">
      <c r="A378" t="s">
        <v>659</v>
      </c>
      <c r="B378" t="s">
        <v>170</v>
      </c>
      <c r="C378" t="s">
        <v>340</v>
      </c>
      <c r="D378">
        <v>0</v>
      </c>
    </row>
    <row r="379" spans="1:4" x14ac:dyDescent="0.3">
      <c r="A379" t="s">
        <v>659</v>
      </c>
      <c r="B379" t="s">
        <v>170</v>
      </c>
      <c r="C379" t="s">
        <v>381</v>
      </c>
      <c r="D379">
        <v>3</v>
      </c>
    </row>
    <row r="380" spans="1:4" x14ac:dyDescent="0.3">
      <c r="A380" t="s">
        <v>659</v>
      </c>
      <c r="B380" t="s">
        <v>170</v>
      </c>
      <c r="C380" t="s">
        <v>606</v>
      </c>
      <c r="D380">
        <v>0</v>
      </c>
    </row>
    <row r="381" spans="1:4" x14ac:dyDescent="0.3">
      <c r="A381" t="s">
        <v>659</v>
      </c>
      <c r="B381" t="s">
        <v>170</v>
      </c>
      <c r="C381" t="s">
        <v>447</v>
      </c>
      <c r="D381">
        <v>1</v>
      </c>
    </row>
    <row r="382" spans="1:4" x14ac:dyDescent="0.3">
      <c r="A382" t="s">
        <v>659</v>
      </c>
      <c r="B382" t="s">
        <v>170</v>
      </c>
      <c r="C382" t="s">
        <v>574</v>
      </c>
      <c r="D382">
        <v>0</v>
      </c>
    </row>
    <row r="383" spans="1:4" x14ac:dyDescent="0.3">
      <c r="A383" t="s">
        <v>659</v>
      </c>
      <c r="B383" t="s">
        <v>164</v>
      </c>
      <c r="C383" t="s">
        <v>517</v>
      </c>
      <c r="D383">
        <v>87.025749151322501</v>
      </c>
    </row>
    <row r="384" spans="1:4" x14ac:dyDescent="0.3">
      <c r="A384" t="s">
        <v>659</v>
      </c>
      <c r="B384" t="s">
        <v>164</v>
      </c>
      <c r="C384" t="s">
        <v>8</v>
      </c>
      <c r="D384">
        <v>24.879919303111407</v>
      </c>
    </row>
    <row r="385" spans="1:4" x14ac:dyDescent="0.3">
      <c r="A385" t="s">
        <v>659</v>
      </c>
      <c r="B385" t="s">
        <v>164</v>
      </c>
      <c r="C385" t="s">
        <v>174</v>
      </c>
      <c r="D385">
        <v>56.49985589841323</v>
      </c>
    </row>
    <row r="386" spans="1:4" x14ac:dyDescent="0.3">
      <c r="A386" t="s">
        <v>659</v>
      </c>
      <c r="B386" t="s">
        <v>164</v>
      </c>
      <c r="C386" t="s">
        <v>243</v>
      </c>
      <c r="D386">
        <v>21.79195619311762</v>
      </c>
    </row>
    <row r="387" spans="1:4" x14ac:dyDescent="0.3">
      <c r="A387" t="s">
        <v>659</v>
      </c>
      <c r="B387" t="s">
        <v>164</v>
      </c>
      <c r="C387" t="s">
        <v>287</v>
      </c>
      <c r="D387">
        <v>38.867911233422547</v>
      </c>
    </row>
    <row r="388" spans="1:4" x14ac:dyDescent="0.3">
      <c r="A388" t="s">
        <v>659</v>
      </c>
      <c r="B388" t="s">
        <v>164</v>
      </c>
      <c r="C388" t="s">
        <v>340</v>
      </c>
      <c r="D388">
        <v>22.755931984051045</v>
      </c>
    </row>
    <row r="389" spans="1:4" x14ac:dyDescent="0.3">
      <c r="A389" t="s">
        <v>659</v>
      </c>
      <c r="B389" t="s">
        <v>164</v>
      </c>
      <c r="C389" t="s">
        <v>381</v>
      </c>
      <c r="D389">
        <v>55.215857051225925</v>
      </c>
    </row>
    <row r="390" spans="1:4" x14ac:dyDescent="0.3">
      <c r="A390" t="s">
        <v>659</v>
      </c>
      <c r="B390" t="s">
        <v>164</v>
      </c>
      <c r="C390" t="s">
        <v>606</v>
      </c>
      <c r="D390">
        <v>11.827980402184199</v>
      </c>
    </row>
    <row r="391" spans="1:4" x14ac:dyDescent="0.3">
      <c r="A391" t="s">
        <v>659</v>
      </c>
      <c r="B391" t="s">
        <v>164</v>
      </c>
      <c r="C391" t="s">
        <v>447</v>
      </c>
      <c r="D391">
        <v>22.039930831238351</v>
      </c>
    </row>
    <row r="392" spans="1:4" x14ac:dyDescent="0.3">
      <c r="A392" t="s">
        <v>659</v>
      </c>
      <c r="B392" t="s">
        <v>164</v>
      </c>
      <c r="C392" t="s">
        <v>574</v>
      </c>
      <c r="D392">
        <v>10.247974638120727</v>
      </c>
    </row>
    <row r="393" spans="1:4" x14ac:dyDescent="0.3">
      <c r="A393" t="s">
        <v>659</v>
      </c>
      <c r="B393" t="s">
        <v>645</v>
      </c>
      <c r="C393" t="s">
        <v>517</v>
      </c>
      <c r="D393">
        <v>15.664505156636224</v>
      </c>
    </row>
    <row r="394" spans="1:4" x14ac:dyDescent="0.3">
      <c r="A394" t="s">
        <v>659</v>
      </c>
      <c r="B394" t="s">
        <v>645</v>
      </c>
      <c r="C394" t="s">
        <v>8</v>
      </c>
      <c r="D394">
        <v>4.1239873190603635</v>
      </c>
    </row>
    <row r="395" spans="1:4" x14ac:dyDescent="0.3">
      <c r="A395" t="s">
        <v>659</v>
      </c>
      <c r="B395" t="s">
        <v>645</v>
      </c>
      <c r="C395" t="s">
        <v>174</v>
      </c>
      <c r="D395">
        <v>1.9879919303111411</v>
      </c>
    </row>
    <row r="396" spans="1:4" x14ac:dyDescent="0.3">
      <c r="A396" t="s">
        <v>659</v>
      </c>
      <c r="B396" t="s">
        <v>645</v>
      </c>
      <c r="C396" t="s">
        <v>243</v>
      </c>
      <c r="D396">
        <v>3.6919850134349756</v>
      </c>
    </row>
    <row r="397" spans="1:4" x14ac:dyDescent="0.3">
      <c r="A397" t="s">
        <v>659</v>
      </c>
      <c r="B397" t="s">
        <v>645</v>
      </c>
      <c r="C397" t="s">
        <v>287</v>
      </c>
      <c r="D397">
        <v>1</v>
      </c>
    </row>
    <row r="398" spans="1:4" x14ac:dyDescent="0.3">
      <c r="A398" t="s">
        <v>659</v>
      </c>
      <c r="B398" t="s">
        <v>645</v>
      </c>
      <c r="C398" t="s">
        <v>340</v>
      </c>
      <c r="D398">
        <v>15.283998847187306</v>
      </c>
    </row>
    <row r="399" spans="1:4" x14ac:dyDescent="0.3">
      <c r="A399" t="s">
        <v>659</v>
      </c>
      <c r="B399" t="s">
        <v>645</v>
      </c>
      <c r="C399" t="s">
        <v>381</v>
      </c>
      <c r="D399">
        <v>7.8279804021841999</v>
      </c>
    </row>
    <row r="400" spans="1:4" x14ac:dyDescent="0.3">
      <c r="A400" t="s">
        <v>659</v>
      </c>
      <c r="B400" t="s">
        <v>645</v>
      </c>
      <c r="C400" t="s">
        <v>606</v>
      </c>
      <c r="D400">
        <v>0.85199654156191751</v>
      </c>
    </row>
    <row r="401" spans="1:4" x14ac:dyDescent="0.3">
      <c r="A401" t="s">
        <v>659</v>
      </c>
      <c r="B401" t="s">
        <v>645</v>
      </c>
      <c r="C401" t="s">
        <v>447</v>
      </c>
      <c r="D401">
        <v>3.6919850134349756</v>
      </c>
    </row>
    <row r="402" spans="1:4" x14ac:dyDescent="0.3">
      <c r="A402" t="s">
        <v>659</v>
      </c>
      <c r="B402" t="s">
        <v>645</v>
      </c>
      <c r="C402" t="s">
        <v>574</v>
      </c>
      <c r="D402">
        <v>15.567997694374611</v>
      </c>
    </row>
    <row r="403" spans="1:4" x14ac:dyDescent="0.3">
      <c r="A403" t="s">
        <v>659</v>
      </c>
      <c r="B403" t="s">
        <v>644</v>
      </c>
      <c r="C403" t="s">
        <v>517</v>
      </c>
      <c r="D403">
        <v>0</v>
      </c>
    </row>
    <row r="404" spans="1:4" x14ac:dyDescent="0.3">
      <c r="A404" t="s">
        <v>659</v>
      </c>
      <c r="B404" t="s">
        <v>644</v>
      </c>
      <c r="C404" t="s">
        <v>8</v>
      </c>
      <c r="D404">
        <v>0</v>
      </c>
    </row>
    <row r="405" spans="1:4" x14ac:dyDescent="0.3">
      <c r="A405" t="s">
        <v>659</v>
      </c>
      <c r="B405" t="s">
        <v>644</v>
      </c>
      <c r="C405" t="s">
        <v>174</v>
      </c>
      <c r="D405">
        <v>0</v>
      </c>
    </row>
    <row r="406" spans="1:4" x14ac:dyDescent="0.3">
      <c r="A406" t="s">
        <v>659</v>
      </c>
      <c r="B406" t="s">
        <v>644</v>
      </c>
      <c r="C406" t="s">
        <v>243</v>
      </c>
      <c r="D406">
        <v>0</v>
      </c>
    </row>
    <row r="407" spans="1:4" x14ac:dyDescent="0.3">
      <c r="A407" t="s">
        <v>659</v>
      </c>
      <c r="B407" t="s">
        <v>644</v>
      </c>
      <c r="C407" t="s">
        <v>287</v>
      </c>
      <c r="D407">
        <v>0</v>
      </c>
    </row>
    <row r="408" spans="1:4" x14ac:dyDescent="0.3">
      <c r="A408" t="s">
        <v>659</v>
      </c>
      <c r="B408" t="s">
        <v>644</v>
      </c>
      <c r="C408" t="s">
        <v>340</v>
      </c>
      <c r="D408">
        <v>0</v>
      </c>
    </row>
    <row r="409" spans="1:4" x14ac:dyDescent="0.3">
      <c r="A409" t="s">
        <v>659</v>
      </c>
      <c r="B409" t="s">
        <v>644</v>
      </c>
      <c r="C409" t="s">
        <v>381</v>
      </c>
      <c r="D409">
        <v>0</v>
      </c>
    </row>
    <row r="410" spans="1:4" x14ac:dyDescent="0.3">
      <c r="A410" t="s">
        <v>659</v>
      </c>
      <c r="B410" t="s">
        <v>644</v>
      </c>
      <c r="C410" t="s">
        <v>606</v>
      </c>
      <c r="D410">
        <v>0</v>
      </c>
    </row>
    <row r="411" spans="1:4" x14ac:dyDescent="0.3">
      <c r="A411" t="s">
        <v>659</v>
      </c>
      <c r="B411" t="s">
        <v>644</v>
      </c>
      <c r="C411" t="s">
        <v>447</v>
      </c>
      <c r="D411">
        <v>0</v>
      </c>
    </row>
    <row r="412" spans="1:4" x14ac:dyDescent="0.3">
      <c r="A412" t="s">
        <v>659</v>
      </c>
      <c r="B412" t="s">
        <v>644</v>
      </c>
      <c r="C412" t="s">
        <v>574</v>
      </c>
      <c r="D412">
        <v>0</v>
      </c>
    </row>
    <row r="413" spans="1:4" x14ac:dyDescent="0.3">
      <c r="A413" t="s">
        <v>659</v>
      </c>
      <c r="B413" t="s">
        <v>239</v>
      </c>
      <c r="C413" t="s">
        <v>517</v>
      </c>
      <c r="D413">
        <v>2</v>
      </c>
    </row>
    <row r="414" spans="1:4" x14ac:dyDescent="0.3">
      <c r="A414" t="s">
        <v>659</v>
      </c>
      <c r="B414" t="s">
        <v>239</v>
      </c>
      <c r="C414" t="s">
        <v>8</v>
      </c>
      <c r="D414">
        <v>1</v>
      </c>
    </row>
    <row r="415" spans="1:4" x14ac:dyDescent="0.3">
      <c r="A415" t="s">
        <v>659</v>
      </c>
      <c r="B415" t="s">
        <v>239</v>
      </c>
      <c r="C415" t="s">
        <v>174</v>
      </c>
      <c r="D415">
        <v>0.16666666666666666</v>
      </c>
    </row>
    <row r="416" spans="1:4" x14ac:dyDescent="0.3">
      <c r="A416" t="s">
        <v>659</v>
      </c>
      <c r="B416" t="s">
        <v>239</v>
      </c>
      <c r="C416" t="s">
        <v>243</v>
      </c>
      <c r="D416">
        <v>2.1666666666666665</v>
      </c>
    </row>
    <row r="417" spans="1:4" x14ac:dyDescent="0.3">
      <c r="A417" t="s">
        <v>659</v>
      </c>
      <c r="B417" t="s">
        <v>239</v>
      </c>
      <c r="C417" t="s">
        <v>287</v>
      </c>
      <c r="D417">
        <v>2.1666666666666665</v>
      </c>
    </row>
    <row r="418" spans="1:4" x14ac:dyDescent="0.3">
      <c r="A418" t="s">
        <v>659</v>
      </c>
      <c r="B418" t="s">
        <v>239</v>
      </c>
      <c r="C418" t="s">
        <v>340</v>
      </c>
      <c r="D418">
        <v>0.5</v>
      </c>
    </row>
    <row r="419" spans="1:4" x14ac:dyDescent="0.3">
      <c r="A419" t="s">
        <v>659</v>
      </c>
      <c r="B419" t="s">
        <v>239</v>
      </c>
      <c r="C419" t="s">
        <v>381</v>
      </c>
      <c r="D419">
        <v>24</v>
      </c>
    </row>
    <row r="420" spans="1:4" x14ac:dyDescent="0.3">
      <c r="A420" t="s">
        <v>659</v>
      </c>
      <c r="B420" t="s">
        <v>239</v>
      </c>
      <c r="C420" t="s">
        <v>606</v>
      </c>
      <c r="D420">
        <v>0</v>
      </c>
    </row>
    <row r="421" spans="1:4" x14ac:dyDescent="0.3">
      <c r="A421" t="s">
        <v>659</v>
      </c>
      <c r="B421" t="s">
        <v>239</v>
      </c>
      <c r="C421" t="s">
        <v>447</v>
      </c>
      <c r="D421">
        <v>1</v>
      </c>
    </row>
    <row r="422" spans="1:4" x14ac:dyDescent="0.3">
      <c r="A422" t="s">
        <v>659</v>
      </c>
      <c r="B422" t="s">
        <v>239</v>
      </c>
      <c r="C422" t="s">
        <v>574</v>
      </c>
      <c r="D422">
        <v>0</v>
      </c>
    </row>
    <row r="423" spans="1:4" x14ac:dyDescent="0.3">
      <c r="A423" t="s">
        <v>659</v>
      </c>
      <c r="B423" t="s">
        <v>654</v>
      </c>
      <c r="C423" t="s">
        <v>517</v>
      </c>
      <c r="D423">
        <v>108.16666666666667</v>
      </c>
    </row>
    <row r="424" spans="1:4" x14ac:dyDescent="0.3">
      <c r="A424" t="s">
        <v>659</v>
      </c>
      <c r="B424" t="s">
        <v>654</v>
      </c>
      <c r="C424" t="s">
        <v>8</v>
      </c>
      <c r="D424">
        <v>1.8333333333333333</v>
      </c>
    </row>
    <row r="425" spans="1:4" x14ac:dyDescent="0.3">
      <c r="A425" t="s">
        <v>659</v>
      </c>
      <c r="B425" t="s">
        <v>654</v>
      </c>
      <c r="C425" t="s">
        <v>174</v>
      </c>
      <c r="D425">
        <v>8.1666666666666679</v>
      </c>
    </row>
    <row r="426" spans="1:4" x14ac:dyDescent="0.3">
      <c r="A426" t="s">
        <v>659</v>
      </c>
      <c r="B426" t="s">
        <v>654</v>
      </c>
      <c r="C426" t="s">
        <v>243</v>
      </c>
      <c r="D426">
        <v>1.5</v>
      </c>
    </row>
    <row r="427" spans="1:4" x14ac:dyDescent="0.3">
      <c r="A427" t="s">
        <v>659</v>
      </c>
      <c r="B427" t="s">
        <v>654</v>
      </c>
      <c r="C427" t="s">
        <v>287</v>
      </c>
      <c r="D427">
        <v>1.3333333333333333</v>
      </c>
    </row>
    <row r="428" spans="1:4" x14ac:dyDescent="0.3">
      <c r="A428" t="s">
        <v>659</v>
      </c>
      <c r="B428" t="s">
        <v>654</v>
      </c>
      <c r="C428" t="s">
        <v>340</v>
      </c>
      <c r="D428">
        <v>0.83333333333333337</v>
      </c>
    </row>
    <row r="429" spans="1:4" x14ac:dyDescent="0.3">
      <c r="A429" t="s">
        <v>659</v>
      </c>
      <c r="B429" t="s">
        <v>654</v>
      </c>
      <c r="C429" t="s">
        <v>381</v>
      </c>
      <c r="D429">
        <v>9.1666666666666661</v>
      </c>
    </row>
    <row r="430" spans="1:4" x14ac:dyDescent="0.3">
      <c r="A430" t="s">
        <v>659</v>
      </c>
      <c r="B430" t="s">
        <v>654</v>
      </c>
      <c r="C430" t="s">
        <v>606</v>
      </c>
      <c r="D430">
        <v>0</v>
      </c>
    </row>
    <row r="431" spans="1:4" x14ac:dyDescent="0.3">
      <c r="A431" t="s">
        <v>659</v>
      </c>
      <c r="B431" t="s">
        <v>654</v>
      </c>
      <c r="C431" t="s">
        <v>447</v>
      </c>
      <c r="D431">
        <v>0.66666666666666663</v>
      </c>
    </row>
    <row r="432" spans="1:4" x14ac:dyDescent="0.3">
      <c r="A432" t="s">
        <v>659</v>
      </c>
      <c r="B432" t="s">
        <v>654</v>
      </c>
      <c r="C432" t="s">
        <v>574</v>
      </c>
      <c r="D432">
        <v>30.166666666666668</v>
      </c>
    </row>
    <row r="433" spans="1:4" x14ac:dyDescent="0.3">
      <c r="A433" t="s">
        <v>659</v>
      </c>
      <c r="B433" t="s">
        <v>655</v>
      </c>
      <c r="C433" t="s">
        <v>517</v>
      </c>
      <c r="D433">
        <v>0</v>
      </c>
    </row>
    <row r="434" spans="1:4" x14ac:dyDescent="0.3">
      <c r="A434" t="s">
        <v>659</v>
      </c>
      <c r="B434" t="s">
        <v>655</v>
      </c>
      <c r="C434" t="s">
        <v>8</v>
      </c>
      <c r="D434">
        <v>0</v>
      </c>
    </row>
    <row r="435" spans="1:4" x14ac:dyDescent="0.3">
      <c r="A435" t="s">
        <v>659</v>
      </c>
      <c r="B435" t="s">
        <v>655</v>
      </c>
      <c r="C435" t="s">
        <v>174</v>
      </c>
      <c r="D435">
        <v>0</v>
      </c>
    </row>
    <row r="436" spans="1:4" x14ac:dyDescent="0.3">
      <c r="A436" t="s">
        <v>659</v>
      </c>
      <c r="B436" t="s">
        <v>655</v>
      </c>
      <c r="C436" t="s">
        <v>243</v>
      </c>
      <c r="D436">
        <v>0</v>
      </c>
    </row>
    <row r="437" spans="1:4" x14ac:dyDescent="0.3">
      <c r="A437" t="s">
        <v>659</v>
      </c>
      <c r="B437" t="s">
        <v>655</v>
      </c>
      <c r="C437" t="s">
        <v>287</v>
      </c>
      <c r="D437">
        <v>0</v>
      </c>
    </row>
    <row r="438" spans="1:4" x14ac:dyDescent="0.3">
      <c r="A438" t="s">
        <v>659</v>
      </c>
      <c r="B438" t="s">
        <v>655</v>
      </c>
      <c r="C438" t="s">
        <v>340</v>
      </c>
      <c r="D438">
        <v>0</v>
      </c>
    </row>
    <row r="439" spans="1:4" x14ac:dyDescent="0.3">
      <c r="A439" t="s">
        <v>659</v>
      </c>
      <c r="B439" t="s">
        <v>655</v>
      </c>
      <c r="C439" t="s">
        <v>381</v>
      </c>
      <c r="D439">
        <v>0</v>
      </c>
    </row>
    <row r="440" spans="1:4" x14ac:dyDescent="0.3">
      <c r="A440" t="s">
        <v>659</v>
      </c>
      <c r="B440" t="s">
        <v>655</v>
      </c>
      <c r="C440" t="s">
        <v>606</v>
      </c>
      <c r="D440">
        <v>0</v>
      </c>
    </row>
    <row r="441" spans="1:4" x14ac:dyDescent="0.3">
      <c r="A441" t="s">
        <v>659</v>
      </c>
      <c r="B441" t="s">
        <v>655</v>
      </c>
      <c r="C441" t="s">
        <v>447</v>
      </c>
      <c r="D441">
        <v>0</v>
      </c>
    </row>
    <row r="442" spans="1:4" x14ac:dyDescent="0.3">
      <c r="A442" t="s">
        <v>659</v>
      </c>
      <c r="B442" t="s">
        <v>655</v>
      </c>
      <c r="C442" t="s">
        <v>574</v>
      </c>
      <c r="D442">
        <v>0</v>
      </c>
    </row>
    <row r="443" spans="1:4" x14ac:dyDescent="0.3">
      <c r="A443" t="s">
        <v>659</v>
      </c>
      <c r="B443" t="s">
        <v>656</v>
      </c>
      <c r="C443" t="s">
        <v>517</v>
      </c>
      <c r="D443">
        <v>1</v>
      </c>
    </row>
    <row r="444" spans="1:4" x14ac:dyDescent="0.3">
      <c r="A444" t="s">
        <v>659</v>
      </c>
      <c r="B444" t="s">
        <v>656</v>
      </c>
      <c r="C444" t="s">
        <v>8</v>
      </c>
      <c r="D444">
        <v>0</v>
      </c>
    </row>
    <row r="445" spans="1:4" x14ac:dyDescent="0.3">
      <c r="A445" t="s">
        <v>659</v>
      </c>
      <c r="B445" t="s">
        <v>656</v>
      </c>
      <c r="C445" t="s">
        <v>174</v>
      </c>
      <c r="D445">
        <v>0</v>
      </c>
    </row>
    <row r="446" spans="1:4" x14ac:dyDescent="0.3">
      <c r="A446" t="s">
        <v>659</v>
      </c>
      <c r="B446" t="s">
        <v>656</v>
      </c>
      <c r="C446" t="s">
        <v>243</v>
      </c>
      <c r="D446">
        <v>0</v>
      </c>
    </row>
    <row r="447" spans="1:4" x14ac:dyDescent="0.3">
      <c r="A447" t="s">
        <v>659</v>
      </c>
      <c r="B447" t="s">
        <v>656</v>
      </c>
      <c r="C447" t="s">
        <v>287</v>
      </c>
      <c r="D447">
        <v>0</v>
      </c>
    </row>
    <row r="448" spans="1:4" x14ac:dyDescent="0.3">
      <c r="A448" t="s">
        <v>659</v>
      </c>
      <c r="B448" t="s">
        <v>656</v>
      </c>
      <c r="C448" t="s">
        <v>340</v>
      </c>
      <c r="D448">
        <v>0</v>
      </c>
    </row>
    <row r="449" spans="1:4" x14ac:dyDescent="0.3">
      <c r="A449" t="s">
        <v>659</v>
      </c>
      <c r="B449" t="s">
        <v>656</v>
      </c>
      <c r="C449" t="s">
        <v>381</v>
      </c>
      <c r="D449">
        <v>0</v>
      </c>
    </row>
    <row r="450" spans="1:4" x14ac:dyDescent="0.3">
      <c r="A450" t="s">
        <v>659</v>
      </c>
      <c r="B450" t="s">
        <v>656</v>
      </c>
      <c r="C450" t="s">
        <v>606</v>
      </c>
      <c r="D450">
        <v>0</v>
      </c>
    </row>
    <row r="451" spans="1:4" x14ac:dyDescent="0.3">
      <c r="A451" t="s">
        <v>659</v>
      </c>
      <c r="B451" t="s">
        <v>656</v>
      </c>
      <c r="C451" t="s">
        <v>447</v>
      </c>
      <c r="D451">
        <v>0</v>
      </c>
    </row>
    <row r="452" spans="1:4" x14ac:dyDescent="0.3">
      <c r="A452" t="s">
        <v>659</v>
      </c>
      <c r="B452" t="s">
        <v>656</v>
      </c>
      <c r="C452" t="s">
        <v>574</v>
      </c>
      <c r="D452">
        <v>0</v>
      </c>
    </row>
    <row r="453" spans="1:4" x14ac:dyDescent="0.3">
      <c r="A453" t="s">
        <v>659</v>
      </c>
      <c r="B453" t="s">
        <v>17</v>
      </c>
      <c r="C453" t="s">
        <v>517</v>
      </c>
      <c r="D453">
        <v>0.16666666666666666</v>
      </c>
    </row>
    <row r="454" spans="1:4" x14ac:dyDescent="0.3">
      <c r="A454" t="s">
        <v>659</v>
      </c>
      <c r="B454" t="s">
        <v>17</v>
      </c>
      <c r="C454" t="s">
        <v>8</v>
      </c>
      <c r="D454">
        <v>0.16666666666666666</v>
      </c>
    </row>
    <row r="455" spans="1:4" x14ac:dyDescent="0.3">
      <c r="A455" t="s">
        <v>659</v>
      </c>
      <c r="B455" t="s">
        <v>17</v>
      </c>
      <c r="C455" t="s">
        <v>174</v>
      </c>
      <c r="D455">
        <v>1</v>
      </c>
    </row>
    <row r="456" spans="1:4" x14ac:dyDescent="0.3">
      <c r="A456" t="s">
        <v>659</v>
      </c>
      <c r="B456" t="s">
        <v>17</v>
      </c>
      <c r="C456" t="s">
        <v>243</v>
      </c>
      <c r="D456">
        <v>0</v>
      </c>
    </row>
    <row r="457" spans="1:4" x14ac:dyDescent="0.3">
      <c r="A457" t="s">
        <v>659</v>
      </c>
      <c r="B457" t="s">
        <v>17</v>
      </c>
      <c r="C457" t="s">
        <v>287</v>
      </c>
      <c r="D457">
        <v>0.83333333333333337</v>
      </c>
    </row>
    <row r="458" spans="1:4" x14ac:dyDescent="0.3">
      <c r="A458" t="s">
        <v>659</v>
      </c>
      <c r="B458" t="s">
        <v>17</v>
      </c>
      <c r="C458" t="s">
        <v>340</v>
      </c>
      <c r="D458">
        <v>0</v>
      </c>
    </row>
    <row r="459" spans="1:4" x14ac:dyDescent="0.3">
      <c r="A459" t="s">
        <v>659</v>
      </c>
      <c r="B459" t="s">
        <v>17</v>
      </c>
      <c r="C459" t="s">
        <v>381</v>
      </c>
      <c r="D459">
        <v>0.5</v>
      </c>
    </row>
    <row r="460" spans="1:4" x14ac:dyDescent="0.3">
      <c r="A460" t="s">
        <v>659</v>
      </c>
      <c r="B460" t="s">
        <v>17</v>
      </c>
      <c r="C460" t="s">
        <v>606</v>
      </c>
      <c r="D460">
        <v>0.16666666666666666</v>
      </c>
    </row>
    <row r="461" spans="1:4" x14ac:dyDescent="0.3">
      <c r="A461" t="s">
        <v>659</v>
      </c>
      <c r="B461" t="s">
        <v>17</v>
      </c>
      <c r="C461" t="s">
        <v>447</v>
      </c>
      <c r="D461">
        <v>0.16666666666666666</v>
      </c>
    </row>
    <row r="462" spans="1:4" x14ac:dyDescent="0.3">
      <c r="A462" t="s">
        <v>659</v>
      </c>
      <c r="B462" t="s">
        <v>17</v>
      </c>
      <c r="C462" t="s">
        <v>574</v>
      </c>
      <c r="D462">
        <v>0</v>
      </c>
    </row>
    <row r="463" spans="1:4" x14ac:dyDescent="0.3">
      <c r="A463" t="s">
        <v>659</v>
      </c>
      <c r="B463" t="s">
        <v>657</v>
      </c>
      <c r="C463" t="s">
        <v>517</v>
      </c>
      <c r="D463">
        <v>0</v>
      </c>
    </row>
    <row r="464" spans="1:4" x14ac:dyDescent="0.3">
      <c r="A464" t="s">
        <v>659</v>
      </c>
      <c r="B464" t="s">
        <v>657</v>
      </c>
      <c r="C464" t="s">
        <v>8</v>
      </c>
      <c r="D464">
        <v>3535.7835539094294</v>
      </c>
    </row>
    <row r="465" spans="1:4" x14ac:dyDescent="0.3">
      <c r="A465" t="s">
        <v>659</v>
      </c>
      <c r="B465" t="s">
        <v>657</v>
      </c>
      <c r="C465" t="s">
        <v>174</v>
      </c>
      <c r="D465">
        <v>1465.1676965502127</v>
      </c>
    </row>
    <row r="466" spans="1:4" x14ac:dyDescent="0.3">
      <c r="A466" t="s">
        <v>659</v>
      </c>
      <c r="B466" t="s">
        <v>657</v>
      </c>
      <c r="C466" t="s">
        <v>243</v>
      </c>
      <c r="D466">
        <v>1120.5327098725709</v>
      </c>
    </row>
    <row r="467" spans="1:4" x14ac:dyDescent="0.3">
      <c r="A467" t="s">
        <v>659</v>
      </c>
      <c r="B467" t="s">
        <v>657</v>
      </c>
      <c r="C467" t="s">
        <v>287</v>
      </c>
      <c r="D467">
        <v>893.10099577011897</v>
      </c>
    </row>
    <row r="468" spans="1:4" x14ac:dyDescent="0.3">
      <c r="A468" t="s">
        <v>659</v>
      </c>
      <c r="B468" t="s">
        <v>657</v>
      </c>
      <c r="C468" t="s">
        <v>340</v>
      </c>
      <c r="D468">
        <v>2436.6607637947191</v>
      </c>
    </row>
    <row r="469" spans="1:4" x14ac:dyDescent="0.3">
      <c r="A469" t="s">
        <v>659</v>
      </c>
      <c r="B469" t="s">
        <v>657</v>
      </c>
      <c r="C469" t="s">
        <v>381</v>
      </c>
      <c r="D469">
        <v>1769.7348296350665</v>
      </c>
    </row>
    <row r="470" spans="1:4" x14ac:dyDescent="0.3">
      <c r="A470" t="s">
        <v>659</v>
      </c>
      <c r="B470" t="s">
        <v>657</v>
      </c>
      <c r="C470" t="s">
        <v>606</v>
      </c>
      <c r="D470">
        <v>2161.9336191817374</v>
      </c>
    </row>
    <row r="471" spans="1:4" x14ac:dyDescent="0.3">
      <c r="A471" t="s">
        <v>659</v>
      </c>
      <c r="B471" t="s">
        <v>657</v>
      </c>
      <c r="C471" t="s">
        <v>447</v>
      </c>
      <c r="D471">
        <v>352.4707803241696</v>
      </c>
    </row>
    <row r="472" spans="1:4" x14ac:dyDescent="0.3">
      <c r="A472" t="s">
        <v>659</v>
      </c>
      <c r="B472" t="s">
        <v>657</v>
      </c>
      <c r="C472" t="s">
        <v>574</v>
      </c>
      <c r="D472">
        <v>2128.6169263413085</v>
      </c>
    </row>
    <row r="473" spans="1:4" x14ac:dyDescent="0.3">
      <c r="A473" t="s">
        <v>659</v>
      </c>
      <c r="B473" t="s">
        <v>173</v>
      </c>
      <c r="C473" t="s">
        <v>517</v>
      </c>
      <c r="D473">
        <v>739.77402407904219</v>
      </c>
    </row>
    <row r="474" spans="1:4" x14ac:dyDescent="0.3">
      <c r="A474" t="s">
        <v>659</v>
      </c>
      <c r="B474" t="s">
        <v>173</v>
      </c>
      <c r="C474" t="s">
        <v>8</v>
      </c>
      <c r="D474">
        <v>1231.4891078957658</v>
      </c>
    </row>
    <row r="475" spans="1:4" x14ac:dyDescent="0.3">
      <c r="A475" t="s">
        <v>659</v>
      </c>
      <c r="B475" t="s">
        <v>173</v>
      </c>
      <c r="C475" t="s">
        <v>174</v>
      </c>
      <c r="D475">
        <v>558.75420276500972</v>
      </c>
    </row>
    <row r="476" spans="1:4" x14ac:dyDescent="0.3">
      <c r="A476" t="s">
        <v>659</v>
      </c>
      <c r="B476" t="s">
        <v>173</v>
      </c>
      <c r="C476" t="s">
        <v>243</v>
      </c>
      <c r="D476">
        <v>730.63774048711946</v>
      </c>
    </row>
    <row r="477" spans="1:4" x14ac:dyDescent="0.3">
      <c r="A477" t="s">
        <v>659</v>
      </c>
      <c r="B477" t="s">
        <v>173</v>
      </c>
      <c r="C477" t="s">
        <v>287</v>
      </c>
      <c r="D477">
        <v>349.17896823263868</v>
      </c>
    </row>
    <row r="478" spans="1:4" x14ac:dyDescent="0.3">
      <c r="A478" t="s">
        <v>659</v>
      </c>
      <c r="B478" t="s">
        <v>173</v>
      </c>
      <c r="C478" t="s">
        <v>340</v>
      </c>
      <c r="D478">
        <v>257.24320340642834</v>
      </c>
    </row>
    <row r="479" spans="1:4" x14ac:dyDescent="0.3">
      <c r="A479" t="s">
        <v>659</v>
      </c>
      <c r="B479" t="s">
        <v>173</v>
      </c>
      <c r="C479" t="s">
        <v>381</v>
      </c>
      <c r="D479">
        <v>97.419706032762988</v>
      </c>
    </row>
    <row r="480" spans="1:4" x14ac:dyDescent="0.3">
      <c r="A480" t="s">
        <v>659</v>
      </c>
      <c r="B480" t="s">
        <v>173</v>
      </c>
      <c r="C480" t="s">
        <v>606</v>
      </c>
      <c r="D480">
        <v>161.52358383461743</v>
      </c>
    </row>
    <row r="481" spans="1:4" x14ac:dyDescent="0.3">
      <c r="A481" t="s">
        <v>659</v>
      </c>
      <c r="B481" t="s">
        <v>173</v>
      </c>
      <c r="C481" t="s">
        <v>447</v>
      </c>
      <c r="D481">
        <v>176.73162764149978</v>
      </c>
    </row>
    <row r="482" spans="1:4" x14ac:dyDescent="0.3">
      <c r="A482" t="s">
        <v>659</v>
      </c>
      <c r="B482" t="s">
        <v>173</v>
      </c>
      <c r="C482" t="s">
        <v>574</v>
      </c>
      <c r="D482">
        <v>229.91927372800268</v>
      </c>
    </row>
    <row r="483" spans="1:4" x14ac:dyDescent="0.3">
      <c r="A483" t="s">
        <v>659</v>
      </c>
      <c r="B483" t="s">
        <v>139</v>
      </c>
      <c r="C483" t="s">
        <v>517</v>
      </c>
      <c r="D483">
        <v>147.32364147525212</v>
      </c>
    </row>
    <row r="484" spans="1:4" x14ac:dyDescent="0.3">
      <c r="A484" t="s">
        <v>659</v>
      </c>
      <c r="B484" t="s">
        <v>139</v>
      </c>
      <c r="C484" t="s">
        <v>8</v>
      </c>
      <c r="D484">
        <v>124.2063081589847</v>
      </c>
    </row>
    <row r="485" spans="1:4" x14ac:dyDescent="0.3">
      <c r="A485" t="s">
        <v>659</v>
      </c>
      <c r="B485" t="s">
        <v>139</v>
      </c>
      <c r="C485" t="s">
        <v>174</v>
      </c>
      <c r="D485">
        <v>1.703993083123835</v>
      </c>
    </row>
    <row r="486" spans="1:4" x14ac:dyDescent="0.3">
      <c r="A486" t="s">
        <v>659</v>
      </c>
      <c r="B486" t="s">
        <v>139</v>
      </c>
      <c r="C486" t="s">
        <v>243</v>
      </c>
      <c r="D486">
        <v>73.107784424026192</v>
      </c>
    </row>
    <row r="487" spans="1:4" x14ac:dyDescent="0.3">
      <c r="A487" t="s">
        <v>659</v>
      </c>
      <c r="B487" t="s">
        <v>139</v>
      </c>
      <c r="C487" t="s">
        <v>287</v>
      </c>
      <c r="D487">
        <v>87.195747534019972</v>
      </c>
    </row>
    <row r="488" spans="1:4" x14ac:dyDescent="0.3">
      <c r="A488" t="s">
        <v>659</v>
      </c>
      <c r="B488" t="s">
        <v>139</v>
      </c>
      <c r="C488" t="s">
        <v>340</v>
      </c>
      <c r="D488">
        <v>3.6919850134349756</v>
      </c>
    </row>
    <row r="489" spans="1:4" x14ac:dyDescent="0.3">
      <c r="A489" t="s">
        <v>659</v>
      </c>
      <c r="B489" t="s">
        <v>139</v>
      </c>
      <c r="C489" t="s">
        <v>381</v>
      </c>
      <c r="D489" t="s">
        <v>650</v>
      </c>
    </row>
    <row r="490" spans="1:4" x14ac:dyDescent="0.3">
      <c r="A490" t="s">
        <v>659</v>
      </c>
      <c r="B490" t="s">
        <v>139</v>
      </c>
      <c r="C490" t="s">
        <v>606</v>
      </c>
      <c r="D490">
        <v>4.2839988471873056</v>
      </c>
    </row>
    <row r="491" spans="1:4" x14ac:dyDescent="0.3">
      <c r="A491" t="s">
        <v>659</v>
      </c>
      <c r="B491" t="s">
        <v>139</v>
      </c>
      <c r="C491" t="s">
        <v>447</v>
      </c>
      <c r="D491" t="s">
        <v>650</v>
      </c>
    </row>
    <row r="492" spans="1:4" x14ac:dyDescent="0.3">
      <c r="A492" t="s">
        <v>659</v>
      </c>
      <c r="B492" t="s">
        <v>139</v>
      </c>
      <c r="C492" t="s">
        <v>574</v>
      </c>
      <c r="D492">
        <v>47.239873190603646</v>
      </c>
    </row>
    <row r="493" spans="1:4" x14ac:dyDescent="0.3">
      <c r="A493" t="s">
        <v>659</v>
      </c>
      <c r="B493" t="s">
        <v>81</v>
      </c>
      <c r="C493" t="s">
        <v>517</v>
      </c>
      <c r="D493" t="s">
        <v>650</v>
      </c>
    </row>
    <row r="494" spans="1:4" x14ac:dyDescent="0.3">
      <c r="A494" t="s">
        <v>659</v>
      </c>
      <c r="B494" t="s">
        <v>81</v>
      </c>
      <c r="C494" t="s">
        <v>8</v>
      </c>
      <c r="D494">
        <v>4.6903172976396634</v>
      </c>
    </row>
    <row r="495" spans="1:4" x14ac:dyDescent="0.3">
      <c r="A495" t="s">
        <v>659</v>
      </c>
      <c r="B495" t="s">
        <v>81</v>
      </c>
      <c r="C495" t="s">
        <v>174</v>
      </c>
      <c r="D495">
        <v>5.6799769437461167</v>
      </c>
    </row>
    <row r="496" spans="1:4" x14ac:dyDescent="0.3">
      <c r="A496" t="s">
        <v>659</v>
      </c>
      <c r="B496" t="s">
        <v>81</v>
      </c>
      <c r="C496" t="s">
        <v>243</v>
      </c>
      <c r="D496">
        <v>1.703993083123835</v>
      </c>
    </row>
    <row r="497" spans="1:4" x14ac:dyDescent="0.3">
      <c r="A497" t="s">
        <v>659</v>
      </c>
      <c r="B497" t="s">
        <v>81</v>
      </c>
      <c r="C497" t="s">
        <v>287</v>
      </c>
      <c r="D497">
        <v>3.123987319060364</v>
      </c>
    </row>
    <row r="498" spans="1:4" x14ac:dyDescent="0.3">
      <c r="A498" t="s">
        <v>659</v>
      </c>
      <c r="B498" t="s">
        <v>81</v>
      </c>
      <c r="C498" t="s">
        <v>340</v>
      </c>
      <c r="D498">
        <v>1.1359953887492233</v>
      </c>
    </row>
    <row r="499" spans="1:4" x14ac:dyDescent="0.3">
      <c r="A499" t="s">
        <v>659</v>
      </c>
      <c r="B499" t="s">
        <v>81</v>
      </c>
      <c r="C499" t="s">
        <v>381</v>
      </c>
      <c r="D499">
        <v>1.9879919303111411</v>
      </c>
    </row>
    <row r="500" spans="1:4" x14ac:dyDescent="0.3">
      <c r="A500" t="s">
        <v>659</v>
      </c>
      <c r="B500" t="s">
        <v>81</v>
      </c>
      <c r="C500" t="s">
        <v>606</v>
      </c>
      <c r="D500">
        <v>2.5559896246857523</v>
      </c>
    </row>
    <row r="501" spans="1:4" x14ac:dyDescent="0.3">
      <c r="A501" t="s">
        <v>659</v>
      </c>
      <c r="B501" t="s">
        <v>81</v>
      </c>
      <c r="C501" t="s">
        <v>447</v>
      </c>
      <c r="D501" t="s">
        <v>650</v>
      </c>
    </row>
    <row r="502" spans="1:4" x14ac:dyDescent="0.3">
      <c r="A502" t="s">
        <v>659</v>
      </c>
      <c r="B502" t="s">
        <v>81</v>
      </c>
      <c r="C502" t="s">
        <v>574</v>
      </c>
      <c r="D502">
        <v>0.28399884718730584</v>
      </c>
    </row>
    <row r="503" spans="1:4" x14ac:dyDescent="0.3">
      <c r="A503" t="s">
        <v>659</v>
      </c>
      <c r="B503" t="s">
        <v>9</v>
      </c>
      <c r="C503" t="s">
        <v>517</v>
      </c>
      <c r="D503">
        <v>1.4199942359365292</v>
      </c>
    </row>
    <row r="504" spans="1:4" x14ac:dyDescent="0.3">
      <c r="A504" t="s">
        <v>659</v>
      </c>
      <c r="B504" t="s">
        <v>9</v>
      </c>
      <c r="C504" t="s">
        <v>8</v>
      </c>
      <c r="D504">
        <v>246.96738838050052</v>
      </c>
    </row>
    <row r="505" spans="1:4" x14ac:dyDescent="0.3">
      <c r="A505" t="s">
        <v>659</v>
      </c>
      <c r="B505" t="s">
        <v>9</v>
      </c>
      <c r="C505" t="s">
        <v>174</v>
      </c>
      <c r="D505">
        <v>-0.56799769437461167</v>
      </c>
    </row>
    <row r="506" spans="1:4" x14ac:dyDescent="0.3">
      <c r="A506" t="s">
        <v>659</v>
      </c>
      <c r="B506" t="s">
        <v>9</v>
      </c>
      <c r="C506" t="s">
        <v>243</v>
      </c>
      <c r="D506" t="s">
        <v>650</v>
      </c>
    </row>
    <row r="507" spans="1:4" x14ac:dyDescent="0.3">
      <c r="A507" t="s">
        <v>659</v>
      </c>
      <c r="B507" t="s">
        <v>9</v>
      </c>
      <c r="C507" t="s">
        <v>287</v>
      </c>
      <c r="D507" t="s">
        <v>650</v>
      </c>
    </row>
    <row r="508" spans="1:4" x14ac:dyDescent="0.3">
      <c r="A508" t="s">
        <v>659</v>
      </c>
      <c r="B508" t="s">
        <v>9</v>
      </c>
      <c r="C508" t="s">
        <v>340</v>
      </c>
      <c r="D508" t="s">
        <v>650</v>
      </c>
    </row>
    <row r="509" spans="1:4" x14ac:dyDescent="0.3">
      <c r="A509" t="s">
        <v>659</v>
      </c>
      <c r="B509" t="s">
        <v>9</v>
      </c>
      <c r="C509" t="s">
        <v>381</v>
      </c>
      <c r="D509">
        <v>0.28399884718730584</v>
      </c>
    </row>
    <row r="510" spans="1:4" x14ac:dyDescent="0.3">
      <c r="A510" t="s">
        <v>659</v>
      </c>
      <c r="B510" t="s">
        <v>9</v>
      </c>
      <c r="C510" t="s">
        <v>606</v>
      </c>
      <c r="D510" t="s">
        <v>650</v>
      </c>
    </row>
    <row r="511" spans="1:4" x14ac:dyDescent="0.3">
      <c r="A511" t="s">
        <v>659</v>
      </c>
      <c r="B511" t="s">
        <v>9</v>
      </c>
      <c r="C511" t="s">
        <v>447</v>
      </c>
      <c r="D511" t="s">
        <v>650</v>
      </c>
    </row>
    <row r="512" spans="1:4" x14ac:dyDescent="0.3">
      <c r="A512" t="s">
        <v>659</v>
      </c>
      <c r="B512" t="s">
        <v>9</v>
      </c>
      <c r="C512" t="s">
        <v>574</v>
      </c>
      <c r="D512">
        <v>0.56799769437461167</v>
      </c>
    </row>
    <row r="513" spans="1:4" x14ac:dyDescent="0.3">
      <c r="A513" t="s">
        <v>659</v>
      </c>
      <c r="B513" t="s">
        <v>658</v>
      </c>
      <c r="C513" t="s">
        <v>517</v>
      </c>
      <c r="D513" t="s">
        <v>650</v>
      </c>
    </row>
    <row r="514" spans="1:4" x14ac:dyDescent="0.3">
      <c r="A514" t="s">
        <v>659</v>
      </c>
      <c r="B514" t="s">
        <v>658</v>
      </c>
      <c r="C514" t="s">
        <v>8</v>
      </c>
      <c r="D514" t="s">
        <v>650</v>
      </c>
    </row>
    <row r="515" spans="1:4" x14ac:dyDescent="0.3">
      <c r="A515" t="s">
        <v>659</v>
      </c>
      <c r="B515" t="s">
        <v>658</v>
      </c>
      <c r="C515" t="s">
        <v>174</v>
      </c>
      <c r="D515" t="s">
        <v>650</v>
      </c>
    </row>
    <row r="516" spans="1:4" x14ac:dyDescent="0.3">
      <c r="A516" t="s">
        <v>659</v>
      </c>
      <c r="B516" t="s">
        <v>658</v>
      </c>
      <c r="C516" t="s">
        <v>243</v>
      </c>
      <c r="D516" t="s">
        <v>650</v>
      </c>
    </row>
    <row r="517" spans="1:4" x14ac:dyDescent="0.3">
      <c r="A517" t="s">
        <v>659</v>
      </c>
      <c r="B517" t="s">
        <v>658</v>
      </c>
      <c r="C517" t="s">
        <v>287</v>
      </c>
      <c r="D517" t="s">
        <v>650</v>
      </c>
    </row>
    <row r="518" spans="1:4" x14ac:dyDescent="0.3">
      <c r="A518" t="s">
        <v>659</v>
      </c>
      <c r="B518" t="s">
        <v>658</v>
      </c>
      <c r="C518" t="s">
        <v>340</v>
      </c>
      <c r="D518" t="s">
        <v>650</v>
      </c>
    </row>
    <row r="519" spans="1:4" x14ac:dyDescent="0.3">
      <c r="A519" t="s">
        <v>659</v>
      </c>
      <c r="B519" t="s">
        <v>658</v>
      </c>
      <c r="C519" t="s">
        <v>381</v>
      </c>
      <c r="D519" t="s">
        <v>650</v>
      </c>
    </row>
    <row r="520" spans="1:4" x14ac:dyDescent="0.3">
      <c r="A520" t="s">
        <v>659</v>
      </c>
      <c r="B520" t="s">
        <v>658</v>
      </c>
      <c r="C520" t="s">
        <v>606</v>
      </c>
      <c r="D520" t="s">
        <v>650</v>
      </c>
    </row>
    <row r="521" spans="1:4" x14ac:dyDescent="0.3">
      <c r="A521" t="s">
        <v>659</v>
      </c>
      <c r="B521" t="s">
        <v>658</v>
      </c>
      <c r="C521" t="s">
        <v>447</v>
      </c>
      <c r="D521" t="s">
        <v>650</v>
      </c>
    </row>
    <row r="522" spans="1:4" x14ac:dyDescent="0.3">
      <c r="A522" t="s">
        <v>659</v>
      </c>
      <c r="B522" t="s">
        <v>658</v>
      </c>
      <c r="C522" t="s">
        <v>574</v>
      </c>
      <c r="D522" t="s">
        <v>650</v>
      </c>
    </row>
    <row r="523" spans="1:4" x14ac:dyDescent="0.3">
      <c r="B523" t="s">
        <v>660</v>
      </c>
      <c r="C523" t="s">
        <v>660</v>
      </c>
    </row>
    <row r="524" spans="1:4" x14ac:dyDescent="0.3">
      <c r="A524" t="s">
        <v>661</v>
      </c>
      <c r="B524" t="s">
        <v>59</v>
      </c>
      <c r="C524" t="s">
        <v>517</v>
      </c>
      <c r="D524">
        <v>3535.7835539094294</v>
      </c>
    </row>
    <row r="525" spans="1:4" x14ac:dyDescent="0.3">
      <c r="A525" t="s">
        <v>661</v>
      </c>
      <c r="B525" t="s">
        <v>59</v>
      </c>
      <c r="C525" t="s">
        <v>8</v>
      </c>
      <c r="D525">
        <v>1465.1676965502127</v>
      </c>
    </row>
    <row r="526" spans="1:4" x14ac:dyDescent="0.3">
      <c r="A526" t="s">
        <v>661</v>
      </c>
      <c r="B526" t="s">
        <v>59</v>
      </c>
      <c r="C526" t="s">
        <v>174</v>
      </c>
      <c r="D526">
        <v>1120.5327098725709</v>
      </c>
    </row>
    <row r="527" spans="1:4" x14ac:dyDescent="0.3">
      <c r="A527" t="s">
        <v>661</v>
      </c>
      <c r="B527" t="s">
        <v>59</v>
      </c>
      <c r="C527" t="s">
        <v>243</v>
      </c>
      <c r="D527">
        <v>893.10099577011897</v>
      </c>
    </row>
    <row r="528" spans="1:4" x14ac:dyDescent="0.3">
      <c r="A528" t="s">
        <v>661</v>
      </c>
      <c r="B528" t="s">
        <v>59</v>
      </c>
      <c r="C528" t="s">
        <v>287</v>
      </c>
      <c r="D528">
        <v>2436.6607637947191</v>
      </c>
    </row>
    <row r="529" spans="1:4" x14ac:dyDescent="0.3">
      <c r="A529" t="s">
        <v>661</v>
      </c>
      <c r="B529" t="s">
        <v>59</v>
      </c>
      <c r="C529" t="s">
        <v>340</v>
      </c>
      <c r="D529">
        <v>1769.7348296350665</v>
      </c>
    </row>
    <row r="530" spans="1:4" x14ac:dyDescent="0.3">
      <c r="A530" t="s">
        <v>661</v>
      </c>
      <c r="B530" t="s">
        <v>59</v>
      </c>
      <c r="C530" t="s">
        <v>381</v>
      </c>
      <c r="D530">
        <v>2161.9336191817374</v>
      </c>
    </row>
    <row r="531" spans="1:4" x14ac:dyDescent="0.3">
      <c r="A531" t="s">
        <v>661</v>
      </c>
      <c r="B531" t="s">
        <v>59</v>
      </c>
      <c r="C531" t="s">
        <v>606</v>
      </c>
      <c r="D531">
        <v>352.4707803241696</v>
      </c>
    </row>
    <row r="532" spans="1:4" x14ac:dyDescent="0.3">
      <c r="A532" t="s">
        <v>661</v>
      </c>
      <c r="B532" t="s">
        <v>59</v>
      </c>
      <c r="C532" t="s">
        <v>447</v>
      </c>
      <c r="D532">
        <v>2128.6169263413085</v>
      </c>
    </row>
    <row r="533" spans="1:4" x14ac:dyDescent="0.3">
      <c r="A533" t="s">
        <v>661</v>
      </c>
      <c r="B533" t="s">
        <v>59</v>
      </c>
      <c r="C533" t="s">
        <v>574</v>
      </c>
      <c r="D533">
        <v>739.77402407904219</v>
      </c>
    </row>
    <row r="534" spans="1:4" x14ac:dyDescent="0.3">
      <c r="A534" t="s">
        <v>661</v>
      </c>
      <c r="B534" t="s">
        <v>649</v>
      </c>
      <c r="C534" t="s">
        <v>517</v>
      </c>
      <c r="D534">
        <v>1231.4891078957658</v>
      </c>
    </row>
    <row r="535" spans="1:4" x14ac:dyDescent="0.3">
      <c r="A535" t="s">
        <v>661</v>
      </c>
      <c r="B535" t="s">
        <v>649</v>
      </c>
      <c r="C535" t="s">
        <v>8</v>
      </c>
      <c r="D535">
        <v>558.75420276500972</v>
      </c>
    </row>
    <row r="536" spans="1:4" x14ac:dyDescent="0.3">
      <c r="A536" t="s">
        <v>661</v>
      </c>
      <c r="B536" t="s">
        <v>649</v>
      </c>
      <c r="C536" t="s">
        <v>174</v>
      </c>
      <c r="D536">
        <v>730.63774048711946</v>
      </c>
    </row>
    <row r="537" spans="1:4" x14ac:dyDescent="0.3">
      <c r="A537" t="s">
        <v>661</v>
      </c>
      <c r="B537" t="s">
        <v>649</v>
      </c>
      <c r="C537" t="s">
        <v>243</v>
      </c>
      <c r="D537">
        <v>349.17896823263868</v>
      </c>
    </row>
    <row r="538" spans="1:4" x14ac:dyDescent="0.3">
      <c r="A538" t="s">
        <v>661</v>
      </c>
      <c r="B538" t="s">
        <v>649</v>
      </c>
      <c r="C538" t="s">
        <v>287</v>
      </c>
      <c r="D538">
        <v>257.24320340642834</v>
      </c>
    </row>
    <row r="539" spans="1:4" x14ac:dyDescent="0.3">
      <c r="A539" t="s">
        <v>661</v>
      </c>
      <c r="B539" t="s">
        <v>649</v>
      </c>
      <c r="C539" t="s">
        <v>340</v>
      </c>
      <c r="D539">
        <v>97.419706032762988</v>
      </c>
    </row>
    <row r="540" spans="1:4" x14ac:dyDescent="0.3">
      <c r="A540" t="s">
        <v>661</v>
      </c>
      <c r="B540" t="s">
        <v>649</v>
      </c>
      <c r="C540" t="s">
        <v>381</v>
      </c>
      <c r="D540">
        <v>161.52358383461743</v>
      </c>
    </row>
    <row r="541" spans="1:4" x14ac:dyDescent="0.3">
      <c r="A541" t="s">
        <v>661</v>
      </c>
      <c r="B541" t="s">
        <v>649</v>
      </c>
      <c r="C541" t="s">
        <v>606</v>
      </c>
      <c r="D541">
        <v>176.73162764149978</v>
      </c>
    </row>
    <row r="542" spans="1:4" x14ac:dyDescent="0.3">
      <c r="A542" t="s">
        <v>661</v>
      </c>
      <c r="B542" t="s">
        <v>649</v>
      </c>
      <c r="C542" t="s">
        <v>447</v>
      </c>
      <c r="D542">
        <v>229.91927372800268</v>
      </c>
    </row>
    <row r="543" spans="1:4" x14ac:dyDescent="0.3">
      <c r="A543" t="s">
        <v>661</v>
      </c>
      <c r="B543" t="s">
        <v>649</v>
      </c>
      <c r="C543" t="s">
        <v>574</v>
      </c>
      <c r="D543">
        <v>147.32364147525212</v>
      </c>
    </row>
    <row r="544" spans="1:4" x14ac:dyDescent="0.3">
      <c r="A544" t="s">
        <v>661</v>
      </c>
      <c r="B544" t="s">
        <v>100</v>
      </c>
      <c r="C544" t="s">
        <v>517</v>
      </c>
      <c r="D544">
        <v>124.2063081589847</v>
      </c>
    </row>
    <row r="545" spans="1:4" x14ac:dyDescent="0.3">
      <c r="A545" t="s">
        <v>661</v>
      </c>
      <c r="B545" t="s">
        <v>100</v>
      </c>
      <c r="C545" t="s">
        <v>8</v>
      </c>
      <c r="D545">
        <v>1.703993083123835</v>
      </c>
    </row>
    <row r="546" spans="1:4" x14ac:dyDescent="0.3">
      <c r="A546" t="s">
        <v>661</v>
      </c>
      <c r="B546" t="s">
        <v>100</v>
      </c>
      <c r="C546" t="s">
        <v>174</v>
      </c>
      <c r="D546">
        <v>73.107784424026192</v>
      </c>
    </row>
    <row r="547" spans="1:4" x14ac:dyDescent="0.3">
      <c r="A547" t="s">
        <v>661</v>
      </c>
      <c r="B547" t="s">
        <v>100</v>
      </c>
      <c r="C547" t="s">
        <v>243</v>
      </c>
      <c r="D547">
        <v>87.195747534019972</v>
      </c>
    </row>
    <row r="548" spans="1:4" x14ac:dyDescent="0.3">
      <c r="A548" t="s">
        <v>661</v>
      </c>
      <c r="B548" t="s">
        <v>100</v>
      </c>
      <c r="C548" t="s">
        <v>287</v>
      </c>
      <c r="D548">
        <v>3.6919850134349756</v>
      </c>
    </row>
    <row r="549" spans="1:4" x14ac:dyDescent="0.3">
      <c r="A549" t="s">
        <v>661</v>
      </c>
      <c r="B549" t="s">
        <v>100</v>
      </c>
      <c r="C549" t="s">
        <v>340</v>
      </c>
      <c r="D549">
        <v>0</v>
      </c>
    </row>
    <row r="550" spans="1:4" x14ac:dyDescent="0.3">
      <c r="A550" t="s">
        <v>661</v>
      </c>
      <c r="B550" t="s">
        <v>100</v>
      </c>
      <c r="C550" t="s">
        <v>381</v>
      </c>
      <c r="D550">
        <v>4.2839988471873056</v>
      </c>
    </row>
    <row r="551" spans="1:4" x14ac:dyDescent="0.3">
      <c r="A551" t="s">
        <v>661</v>
      </c>
      <c r="B551" t="s">
        <v>100</v>
      </c>
      <c r="C551" t="s">
        <v>606</v>
      </c>
      <c r="D551">
        <v>0</v>
      </c>
    </row>
    <row r="552" spans="1:4" x14ac:dyDescent="0.3">
      <c r="A552" t="s">
        <v>661</v>
      </c>
      <c r="B552" t="s">
        <v>100</v>
      </c>
      <c r="C552" t="s">
        <v>447</v>
      </c>
      <c r="D552">
        <v>47.239873190603646</v>
      </c>
    </row>
    <row r="553" spans="1:4" x14ac:dyDescent="0.3">
      <c r="A553" t="s">
        <v>661</v>
      </c>
      <c r="B553" t="s">
        <v>100</v>
      </c>
      <c r="C553" t="s">
        <v>574</v>
      </c>
      <c r="D553">
        <v>0</v>
      </c>
    </row>
    <row r="554" spans="1:4" x14ac:dyDescent="0.3">
      <c r="A554" t="s">
        <v>661</v>
      </c>
      <c r="B554" t="s">
        <v>103</v>
      </c>
      <c r="C554" t="s">
        <v>517</v>
      </c>
      <c r="D554">
        <v>4.6903172976396634</v>
      </c>
    </row>
    <row r="555" spans="1:4" x14ac:dyDescent="0.3">
      <c r="A555" t="s">
        <v>661</v>
      </c>
      <c r="B555" t="s">
        <v>103</v>
      </c>
      <c r="C555" t="s">
        <v>8</v>
      </c>
      <c r="D555">
        <v>5.6799769437461167</v>
      </c>
    </row>
    <row r="556" spans="1:4" x14ac:dyDescent="0.3">
      <c r="A556" t="s">
        <v>661</v>
      </c>
      <c r="B556" t="s">
        <v>103</v>
      </c>
      <c r="C556" t="s">
        <v>174</v>
      </c>
      <c r="D556">
        <v>1.703993083123835</v>
      </c>
    </row>
    <row r="557" spans="1:4" x14ac:dyDescent="0.3">
      <c r="A557" t="s">
        <v>661</v>
      </c>
      <c r="B557" t="s">
        <v>103</v>
      </c>
      <c r="C557" t="s">
        <v>243</v>
      </c>
      <c r="D557">
        <v>3.123987319060364</v>
      </c>
    </row>
    <row r="558" spans="1:4" x14ac:dyDescent="0.3">
      <c r="A558" t="s">
        <v>661</v>
      </c>
      <c r="B558" t="s">
        <v>103</v>
      </c>
      <c r="C558" t="s">
        <v>287</v>
      </c>
      <c r="D558">
        <v>1.1359953887492233</v>
      </c>
    </row>
    <row r="559" spans="1:4" x14ac:dyDescent="0.3">
      <c r="A559" t="s">
        <v>661</v>
      </c>
      <c r="B559" t="s">
        <v>103</v>
      </c>
      <c r="C559" t="s">
        <v>340</v>
      </c>
      <c r="D559">
        <v>1.9879919303111411</v>
      </c>
    </row>
    <row r="560" spans="1:4" x14ac:dyDescent="0.3">
      <c r="A560" t="s">
        <v>661</v>
      </c>
      <c r="B560" t="s">
        <v>103</v>
      </c>
      <c r="C560" t="s">
        <v>381</v>
      </c>
      <c r="D560">
        <v>2.5559896246857523</v>
      </c>
    </row>
    <row r="561" spans="1:4" x14ac:dyDescent="0.3">
      <c r="A561" t="s">
        <v>661</v>
      </c>
      <c r="B561" t="s">
        <v>103</v>
      </c>
      <c r="C561" t="s">
        <v>606</v>
      </c>
      <c r="D561">
        <v>0</v>
      </c>
    </row>
    <row r="562" spans="1:4" x14ac:dyDescent="0.3">
      <c r="A562" t="s">
        <v>661</v>
      </c>
      <c r="B562" t="s">
        <v>103</v>
      </c>
      <c r="C562" t="s">
        <v>447</v>
      </c>
      <c r="D562">
        <v>0.28399884718730584</v>
      </c>
    </row>
    <row r="563" spans="1:4" x14ac:dyDescent="0.3">
      <c r="A563" t="s">
        <v>661</v>
      </c>
      <c r="B563" t="s">
        <v>103</v>
      </c>
      <c r="C563" t="s">
        <v>574</v>
      </c>
      <c r="D563">
        <v>1.4199942359365292</v>
      </c>
    </row>
    <row r="564" spans="1:4" x14ac:dyDescent="0.3">
      <c r="A564" t="s">
        <v>661</v>
      </c>
      <c r="B564" t="s">
        <v>168</v>
      </c>
      <c r="C564" t="s">
        <v>517</v>
      </c>
      <c r="D564">
        <v>246.96738838050052</v>
      </c>
    </row>
    <row r="565" spans="1:4" x14ac:dyDescent="0.3">
      <c r="A565" t="s">
        <v>661</v>
      </c>
      <c r="B565" t="s">
        <v>168</v>
      </c>
      <c r="C565" t="s">
        <v>8</v>
      </c>
      <c r="D565">
        <v>-0.56799769437461167</v>
      </c>
    </row>
    <row r="566" spans="1:4" x14ac:dyDescent="0.3">
      <c r="A566" t="s">
        <v>661</v>
      </c>
      <c r="B566" t="s">
        <v>168</v>
      </c>
      <c r="C566" t="s">
        <v>174</v>
      </c>
      <c r="D566">
        <v>0</v>
      </c>
    </row>
    <row r="567" spans="1:4" x14ac:dyDescent="0.3">
      <c r="A567" t="s">
        <v>661</v>
      </c>
      <c r="B567" t="s">
        <v>168</v>
      </c>
      <c r="C567" t="s">
        <v>243</v>
      </c>
      <c r="D567">
        <v>0</v>
      </c>
    </row>
    <row r="568" spans="1:4" x14ac:dyDescent="0.3">
      <c r="A568" t="s">
        <v>661</v>
      </c>
      <c r="B568" t="s">
        <v>168</v>
      </c>
      <c r="C568" t="s">
        <v>287</v>
      </c>
      <c r="D568">
        <v>0</v>
      </c>
    </row>
    <row r="569" spans="1:4" x14ac:dyDescent="0.3">
      <c r="A569" t="s">
        <v>661</v>
      </c>
      <c r="B569" t="s">
        <v>168</v>
      </c>
      <c r="C569" t="s">
        <v>340</v>
      </c>
      <c r="D569">
        <v>0.28399884718730584</v>
      </c>
    </row>
    <row r="570" spans="1:4" x14ac:dyDescent="0.3">
      <c r="A570" t="s">
        <v>661</v>
      </c>
      <c r="B570" t="s">
        <v>168</v>
      </c>
      <c r="C570" t="s">
        <v>381</v>
      </c>
      <c r="D570">
        <v>0</v>
      </c>
    </row>
    <row r="571" spans="1:4" x14ac:dyDescent="0.3">
      <c r="A571" t="s">
        <v>661</v>
      </c>
      <c r="B571" t="s">
        <v>168</v>
      </c>
      <c r="C571" t="s">
        <v>606</v>
      </c>
      <c r="D571">
        <v>0</v>
      </c>
    </row>
    <row r="572" spans="1:4" x14ac:dyDescent="0.3">
      <c r="A572" t="s">
        <v>661</v>
      </c>
      <c r="B572" t="s">
        <v>168</v>
      </c>
      <c r="C572" t="s">
        <v>447</v>
      </c>
      <c r="D572">
        <v>0.56799769437461167</v>
      </c>
    </row>
    <row r="573" spans="1:4" x14ac:dyDescent="0.3">
      <c r="A573" t="s">
        <v>661</v>
      </c>
      <c r="B573" t="s">
        <v>168</v>
      </c>
      <c r="C573" t="s">
        <v>574</v>
      </c>
      <c r="D573">
        <v>0</v>
      </c>
    </row>
    <row r="574" spans="1:4" x14ac:dyDescent="0.3">
      <c r="A574" t="s">
        <v>661</v>
      </c>
      <c r="B574" t="s">
        <v>651</v>
      </c>
      <c r="C574" t="s">
        <v>517</v>
      </c>
      <c r="D574">
        <v>0</v>
      </c>
    </row>
    <row r="575" spans="1:4" x14ac:dyDescent="0.3">
      <c r="A575" t="s">
        <v>661</v>
      </c>
      <c r="B575" t="s">
        <v>651</v>
      </c>
      <c r="C575" t="s">
        <v>8</v>
      </c>
      <c r="D575">
        <v>0</v>
      </c>
    </row>
    <row r="576" spans="1:4" x14ac:dyDescent="0.3">
      <c r="A576" t="s">
        <v>661</v>
      </c>
      <c r="B576" t="s">
        <v>651</v>
      </c>
      <c r="C576" t="s">
        <v>174</v>
      </c>
      <c r="D576">
        <v>0</v>
      </c>
    </row>
    <row r="577" spans="1:4" x14ac:dyDescent="0.3">
      <c r="A577" t="s">
        <v>661</v>
      </c>
      <c r="B577" t="s">
        <v>651</v>
      </c>
      <c r="C577" t="s">
        <v>243</v>
      </c>
      <c r="D577">
        <v>0</v>
      </c>
    </row>
    <row r="578" spans="1:4" x14ac:dyDescent="0.3">
      <c r="A578" t="s">
        <v>661</v>
      </c>
      <c r="B578" t="s">
        <v>651</v>
      </c>
      <c r="C578" t="s">
        <v>287</v>
      </c>
      <c r="D578">
        <v>0</v>
      </c>
    </row>
    <row r="579" spans="1:4" x14ac:dyDescent="0.3">
      <c r="A579" t="s">
        <v>661</v>
      </c>
      <c r="B579" t="s">
        <v>651</v>
      </c>
      <c r="C579" t="s">
        <v>340</v>
      </c>
      <c r="D579">
        <v>0</v>
      </c>
    </row>
    <row r="580" spans="1:4" x14ac:dyDescent="0.3">
      <c r="A580" t="s">
        <v>661</v>
      </c>
      <c r="B580" t="s">
        <v>651</v>
      </c>
      <c r="C580" t="s">
        <v>381</v>
      </c>
      <c r="D580">
        <v>0</v>
      </c>
    </row>
    <row r="581" spans="1:4" x14ac:dyDescent="0.3">
      <c r="A581" t="s">
        <v>661</v>
      </c>
      <c r="B581" t="s">
        <v>651</v>
      </c>
      <c r="C581" t="s">
        <v>606</v>
      </c>
      <c r="D581">
        <v>0</v>
      </c>
    </row>
    <row r="582" spans="1:4" x14ac:dyDescent="0.3">
      <c r="A582" t="s">
        <v>661</v>
      </c>
      <c r="B582" t="s">
        <v>651</v>
      </c>
      <c r="C582" t="s">
        <v>447</v>
      </c>
      <c r="D582">
        <v>0</v>
      </c>
    </row>
    <row r="583" spans="1:4" x14ac:dyDescent="0.3">
      <c r="A583" t="s">
        <v>661</v>
      </c>
      <c r="B583" t="s">
        <v>651</v>
      </c>
      <c r="C583" t="s">
        <v>574</v>
      </c>
      <c r="D583">
        <v>0</v>
      </c>
    </row>
    <row r="584" spans="1:4" x14ac:dyDescent="0.3">
      <c r="A584" t="s">
        <v>661</v>
      </c>
      <c r="B584" t="s">
        <v>652</v>
      </c>
      <c r="C584" t="s">
        <v>517</v>
      </c>
      <c r="D584">
        <v>0</v>
      </c>
    </row>
    <row r="585" spans="1:4" x14ac:dyDescent="0.3">
      <c r="A585" t="s">
        <v>661</v>
      </c>
      <c r="B585" t="s">
        <v>652</v>
      </c>
      <c r="C585" t="s">
        <v>8</v>
      </c>
      <c r="D585">
        <v>0</v>
      </c>
    </row>
    <row r="586" spans="1:4" x14ac:dyDescent="0.3">
      <c r="A586" t="s">
        <v>661</v>
      </c>
      <c r="B586" t="s">
        <v>652</v>
      </c>
      <c r="C586" t="s">
        <v>174</v>
      </c>
      <c r="D586">
        <v>0</v>
      </c>
    </row>
    <row r="587" spans="1:4" x14ac:dyDescent="0.3">
      <c r="A587" t="s">
        <v>661</v>
      </c>
      <c r="B587" t="s">
        <v>652</v>
      </c>
      <c r="C587" t="s">
        <v>243</v>
      </c>
      <c r="D587">
        <v>0</v>
      </c>
    </row>
    <row r="588" spans="1:4" x14ac:dyDescent="0.3">
      <c r="A588" t="s">
        <v>661</v>
      </c>
      <c r="B588" t="s">
        <v>652</v>
      </c>
      <c r="C588" t="s">
        <v>287</v>
      </c>
      <c r="D588">
        <v>0</v>
      </c>
    </row>
    <row r="589" spans="1:4" x14ac:dyDescent="0.3">
      <c r="A589" t="s">
        <v>661</v>
      </c>
      <c r="B589" t="s">
        <v>652</v>
      </c>
      <c r="C589" t="s">
        <v>340</v>
      </c>
      <c r="D589">
        <v>0</v>
      </c>
    </row>
    <row r="590" spans="1:4" x14ac:dyDescent="0.3">
      <c r="A590" t="s">
        <v>661</v>
      </c>
      <c r="B590" t="s">
        <v>652</v>
      </c>
      <c r="C590" t="s">
        <v>381</v>
      </c>
      <c r="D590">
        <v>0</v>
      </c>
    </row>
    <row r="591" spans="1:4" x14ac:dyDescent="0.3">
      <c r="A591" t="s">
        <v>661</v>
      </c>
      <c r="B591" t="s">
        <v>652</v>
      </c>
      <c r="C591" t="s">
        <v>606</v>
      </c>
      <c r="D591">
        <v>0</v>
      </c>
    </row>
    <row r="592" spans="1:4" x14ac:dyDescent="0.3">
      <c r="A592" t="s">
        <v>661</v>
      </c>
      <c r="B592" t="s">
        <v>652</v>
      </c>
      <c r="C592" t="s">
        <v>447</v>
      </c>
      <c r="D592">
        <v>0</v>
      </c>
    </row>
    <row r="593" spans="1:4" x14ac:dyDescent="0.3">
      <c r="A593" t="s">
        <v>661</v>
      </c>
      <c r="B593" t="s">
        <v>652</v>
      </c>
      <c r="C593" t="s">
        <v>574</v>
      </c>
      <c r="D593">
        <v>0</v>
      </c>
    </row>
    <row r="594" spans="1:4" x14ac:dyDescent="0.3">
      <c r="A594" t="s">
        <v>661</v>
      </c>
      <c r="B594" t="s">
        <v>653</v>
      </c>
      <c r="C594" t="s">
        <v>517</v>
      </c>
      <c r="D594">
        <v>0</v>
      </c>
    </row>
    <row r="595" spans="1:4" x14ac:dyDescent="0.3">
      <c r="A595" t="s">
        <v>661</v>
      </c>
      <c r="B595" t="s">
        <v>653</v>
      </c>
      <c r="C595" t="s">
        <v>8</v>
      </c>
      <c r="D595">
        <v>0</v>
      </c>
    </row>
    <row r="596" spans="1:4" x14ac:dyDescent="0.3">
      <c r="A596" t="s">
        <v>661</v>
      </c>
      <c r="B596" t="s">
        <v>653</v>
      </c>
      <c r="C596" t="s">
        <v>174</v>
      </c>
      <c r="D596">
        <v>0</v>
      </c>
    </row>
    <row r="597" spans="1:4" x14ac:dyDescent="0.3">
      <c r="A597" t="s">
        <v>661</v>
      </c>
      <c r="B597" t="s">
        <v>653</v>
      </c>
      <c r="C597" t="s">
        <v>243</v>
      </c>
      <c r="D597">
        <v>0</v>
      </c>
    </row>
    <row r="598" spans="1:4" x14ac:dyDescent="0.3">
      <c r="A598" t="s">
        <v>661</v>
      </c>
      <c r="B598" t="s">
        <v>653</v>
      </c>
      <c r="C598" t="s">
        <v>287</v>
      </c>
      <c r="D598">
        <v>0</v>
      </c>
    </row>
    <row r="599" spans="1:4" x14ac:dyDescent="0.3">
      <c r="A599" t="s">
        <v>661</v>
      </c>
      <c r="B599" t="s">
        <v>653</v>
      </c>
      <c r="C599" t="s">
        <v>340</v>
      </c>
      <c r="D599">
        <v>0</v>
      </c>
    </row>
    <row r="600" spans="1:4" x14ac:dyDescent="0.3">
      <c r="A600" t="s">
        <v>661</v>
      </c>
      <c r="B600" t="s">
        <v>653</v>
      </c>
      <c r="C600" t="s">
        <v>381</v>
      </c>
      <c r="D600">
        <v>0</v>
      </c>
    </row>
    <row r="601" spans="1:4" x14ac:dyDescent="0.3">
      <c r="A601" t="s">
        <v>661</v>
      </c>
      <c r="B601" t="s">
        <v>653</v>
      </c>
      <c r="C601" t="s">
        <v>606</v>
      </c>
      <c r="D601">
        <v>0</v>
      </c>
    </row>
    <row r="602" spans="1:4" x14ac:dyDescent="0.3">
      <c r="A602" t="s">
        <v>661</v>
      </c>
      <c r="B602" t="s">
        <v>653</v>
      </c>
      <c r="C602" t="s">
        <v>447</v>
      </c>
      <c r="D602">
        <v>0</v>
      </c>
    </row>
    <row r="603" spans="1:4" x14ac:dyDescent="0.3">
      <c r="A603" t="s">
        <v>661</v>
      </c>
      <c r="B603" t="s">
        <v>653</v>
      </c>
      <c r="C603" t="s">
        <v>574</v>
      </c>
      <c r="D603">
        <v>0</v>
      </c>
    </row>
    <row r="604" spans="1:4" x14ac:dyDescent="0.3">
      <c r="A604" t="s">
        <v>661</v>
      </c>
      <c r="B604" t="s">
        <v>644</v>
      </c>
      <c r="C604" t="s">
        <v>517</v>
      </c>
      <c r="D604">
        <v>140.23860483007948</v>
      </c>
    </row>
    <row r="605" spans="1:4" x14ac:dyDescent="0.3">
      <c r="A605" t="s">
        <v>661</v>
      </c>
      <c r="B605" t="s">
        <v>644</v>
      </c>
      <c r="C605" t="s">
        <v>8</v>
      </c>
      <c r="D605">
        <v>60.647859356851313</v>
      </c>
    </row>
    <row r="606" spans="1:4" x14ac:dyDescent="0.3">
      <c r="A606" t="s">
        <v>661</v>
      </c>
      <c r="B606" t="s">
        <v>644</v>
      </c>
      <c r="C606" t="s">
        <v>174</v>
      </c>
      <c r="D606">
        <v>61.599827078095871</v>
      </c>
    </row>
    <row r="607" spans="1:4" x14ac:dyDescent="0.3">
      <c r="A607" t="s">
        <v>661</v>
      </c>
      <c r="B607" t="s">
        <v>644</v>
      </c>
      <c r="C607" t="s">
        <v>243</v>
      </c>
      <c r="D607">
        <v>29.015914691860633</v>
      </c>
    </row>
    <row r="608" spans="1:4" x14ac:dyDescent="0.3">
      <c r="A608" t="s">
        <v>661</v>
      </c>
      <c r="B608" t="s">
        <v>644</v>
      </c>
      <c r="C608" t="s">
        <v>287</v>
      </c>
      <c r="D608">
        <v>66.315828230908565</v>
      </c>
    </row>
    <row r="609" spans="1:4" x14ac:dyDescent="0.3">
      <c r="A609" t="s">
        <v>661</v>
      </c>
      <c r="B609" t="s">
        <v>644</v>
      </c>
      <c r="C609" t="s">
        <v>340</v>
      </c>
      <c r="D609">
        <v>36.175926219987574</v>
      </c>
    </row>
    <row r="610" spans="1:4" x14ac:dyDescent="0.3">
      <c r="A610" t="s">
        <v>661</v>
      </c>
      <c r="B610" t="s">
        <v>644</v>
      </c>
      <c r="C610" t="s">
        <v>381</v>
      </c>
      <c r="D610">
        <v>51.671875496229035</v>
      </c>
    </row>
    <row r="611" spans="1:4" x14ac:dyDescent="0.3">
      <c r="A611" t="s">
        <v>661</v>
      </c>
      <c r="B611" t="s">
        <v>644</v>
      </c>
      <c r="C611" t="s">
        <v>606</v>
      </c>
      <c r="D611">
        <v>22.939959651555704</v>
      </c>
    </row>
    <row r="612" spans="1:4" x14ac:dyDescent="0.3">
      <c r="A612" t="s">
        <v>661</v>
      </c>
      <c r="B612" t="s">
        <v>644</v>
      </c>
      <c r="C612" t="s">
        <v>447</v>
      </c>
      <c r="D612">
        <v>29.483941206552601</v>
      </c>
    </row>
    <row r="613" spans="1:4" x14ac:dyDescent="0.3">
      <c r="A613" t="s">
        <v>661</v>
      </c>
      <c r="B613" t="s">
        <v>644</v>
      </c>
      <c r="C613" t="s">
        <v>574</v>
      </c>
      <c r="D613">
        <v>18.359953887492232</v>
      </c>
    </row>
    <row r="614" spans="1:4" x14ac:dyDescent="0.3">
      <c r="A614" t="s">
        <v>661</v>
      </c>
      <c r="B614" t="s">
        <v>644</v>
      </c>
      <c r="C614" t="s">
        <v>517</v>
      </c>
      <c r="D614">
        <v>0</v>
      </c>
    </row>
    <row r="615" spans="1:4" x14ac:dyDescent="0.3">
      <c r="A615" t="s">
        <v>661</v>
      </c>
      <c r="B615" t="s">
        <v>644</v>
      </c>
      <c r="C615" t="s">
        <v>8</v>
      </c>
      <c r="D615">
        <v>1</v>
      </c>
    </row>
    <row r="616" spans="1:4" x14ac:dyDescent="0.3">
      <c r="A616" t="s">
        <v>661</v>
      </c>
      <c r="B616" t="s">
        <v>644</v>
      </c>
      <c r="C616" t="s">
        <v>174</v>
      </c>
      <c r="D616">
        <v>0</v>
      </c>
    </row>
    <row r="617" spans="1:4" x14ac:dyDescent="0.3">
      <c r="A617" t="s">
        <v>661</v>
      </c>
      <c r="B617" t="s">
        <v>644</v>
      </c>
      <c r="C617" t="s">
        <v>243</v>
      </c>
      <c r="D617">
        <v>1</v>
      </c>
    </row>
    <row r="618" spans="1:4" x14ac:dyDescent="0.3">
      <c r="A618" t="s">
        <v>661</v>
      </c>
      <c r="B618" t="s">
        <v>644</v>
      </c>
      <c r="C618" t="s">
        <v>287</v>
      </c>
      <c r="D618">
        <v>0</v>
      </c>
    </row>
    <row r="619" spans="1:4" x14ac:dyDescent="0.3">
      <c r="A619" t="s">
        <v>661</v>
      </c>
      <c r="B619" t="s">
        <v>644</v>
      </c>
      <c r="C619" t="s">
        <v>340</v>
      </c>
      <c r="D619">
        <v>0</v>
      </c>
    </row>
    <row r="620" spans="1:4" x14ac:dyDescent="0.3">
      <c r="A620" t="s">
        <v>661</v>
      </c>
      <c r="B620" t="s">
        <v>644</v>
      </c>
      <c r="C620" t="s">
        <v>381</v>
      </c>
      <c r="D620">
        <v>2</v>
      </c>
    </row>
    <row r="621" spans="1:4" x14ac:dyDescent="0.3">
      <c r="A621" t="s">
        <v>661</v>
      </c>
      <c r="B621" t="s">
        <v>644</v>
      </c>
      <c r="C621" t="s">
        <v>606</v>
      </c>
      <c r="D621">
        <v>0</v>
      </c>
    </row>
    <row r="622" spans="1:4" x14ac:dyDescent="0.3">
      <c r="A622" t="s">
        <v>661</v>
      </c>
      <c r="B622" t="s">
        <v>644</v>
      </c>
      <c r="C622" t="s">
        <v>447</v>
      </c>
      <c r="D622">
        <v>0</v>
      </c>
    </row>
    <row r="623" spans="1:4" x14ac:dyDescent="0.3">
      <c r="A623" t="s">
        <v>661</v>
      </c>
      <c r="B623" t="s">
        <v>644</v>
      </c>
      <c r="C623" t="s">
        <v>574</v>
      </c>
      <c r="D623">
        <v>0</v>
      </c>
    </row>
    <row r="624" spans="1:4" x14ac:dyDescent="0.3">
      <c r="A624" t="s">
        <v>661</v>
      </c>
      <c r="B624" t="s">
        <v>54</v>
      </c>
      <c r="C624" t="s">
        <v>517</v>
      </c>
      <c r="D624">
        <v>339.16097943802629</v>
      </c>
    </row>
    <row r="625" spans="1:4" x14ac:dyDescent="0.3">
      <c r="A625" t="s">
        <v>661</v>
      </c>
      <c r="B625" t="s">
        <v>54</v>
      </c>
      <c r="C625" t="s">
        <v>8</v>
      </c>
      <c r="D625">
        <v>146.64366453150598</v>
      </c>
    </row>
    <row r="626" spans="1:4" x14ac:dyDescent="0.3">
      <c r="A626" t="s">
        <v>661</v>
      </c>
      <c r="B626" t="s">
        <v>54</v>
      </c>
      <c r="C626" t="s">
        <v>174</v>
      </c>
      <c r="D626">
        <v>127.92766337869331</v>
      </c>
    </row>
    <row r="627" spans="1:4" x14ac:dyDescent="0.3">
      <c r="A627" t="s">
        <v>661</v>
      </c>
      <c r="B627" t="s">
        <v>54</v>
      </c>
      <c r="C627" t="s">
        <v>243</v>
      </c>
      <c r="D627">
        <v>64.463831689346662</v>
      </c>
    </row>
    <row r="628" spans="1:4" x14ac:dyDescent="0.3">
      <c r="A628" t="s">
        <v>661</v>
      </c>
      <c r="B628" t="s">
        <v>54</v>
      </c>
      <c r="C628" t="s">
        <v>287</v>
      </c>
      <c r="D628">
        <v>100.77575329808344</v>
      </c>
    </row>
    <row r="629" spans="1:4" x14ac:dyDescent="0.3">
      <c r="A629" t="s">
        <v>661</v>
      </c>
      <c r="B629" t="s">
        <v>54</v>
      </c>
      <c r="C629" t="s">
        <v>340</v>
      </c>
      <c r="D629">
        <v>52.39988471873059</v>
      </c>
    </row>
    <row r="630" spans="1:4" x14ac:dyDescent="0.3">
      <c r="A630" t="s">
        <v>661</v>
      </c>
      <c r="B630" t="s">
        <v>54</v>
      </c>
      <c r="C630" t="s">
        <v>381</v>
      </c>
      <c r="D630">
        <v>113.57971756088993</v>
      </c>
    </row>
    <row r="631" spans="1:4" x14ac:dyDescent="0.3">
      <c r="A631" t="s">
        <v>661</v>
      </c>
      <c r="B631" t="s">
        <v>54</v>
      </c>
      <c r="C631" t="s">
        <v>606</v>
      </c>
      <c r="D631">
        <v>29.743923914362185</v>
      </c>
    </row>
    <row r="632" spans="1:4" x14ac:dyDescent="0.3">
      <c r="A632" t="s">
        <v>661</v>
      </c>
      <c r="B632" t="s">
        <v>54</v>
      </c>
      <c r="C632" t="s">
        <v>447</v>
      </c>
      <c r="D632">
        <v>52.227865120914785</v>
      </c>
    </row>
    <row r="633" spans="1:4" x14ac:dyDescent="0.3">
      <c r="A633" t="s">
        <v>661</v>
      </c>
      <c r="B633" t="s">
        <v>54</v>
      </c>
      <c r="C633" t="s">
        <v>574</v>
      </c>
      <c r="D633">
        <v>29.435908927797161</v>
      </c>
    </row>
    <row r="634" spans="1:4" x14ac:dyDescent="0.3">
      <c r="A634" t="s">
        <v>661</v>
      </c>
      <c r="B634" t="s">
        <v>170</v>
      </c>
      <c r="C634" t="s">
        <v>517</v>
      </c>
      <c r="D634">
        <v>29</v>
      </c>
    </row>
    <row r="635" spans="1:4" x14ac:dyDescent="0.3">
      <c r="A635" t="s">
        <v>661</v>
      </c>
      <c r="B635" t="s">
        <v>170</v>
      </c>
      <c r="C635" t="s">
        <v>8</v>
      </c>
      <c r="D635">
        <v>16</v>
      </c>
    </row>
    <row r="636" spans="1:4" x14ac:dyDescent="0.3">
      <c r="A636" t="s">
        <v>661</v>
      </c>
      <c r="B636" t="s">
        <v>170</v>
      </c>
      <c r="C636" t="s">
        <v>174</v>
      </c>
      <c r="D636">
        <v>28</v>
      </c>
    </row>
    <row r="637" spans="1:4" x14ac:dyDescent="0.3">
      <c r="A637" t="s">
        <v>661</v>
      </c>
      <c r="B637" t="s">
        <v>170</v>
      </c>
      <c r="C637" t="s">
        <v>243</v>
      </c>
      <c r="D637">
        <v>4</v>
      </c>
    </row>
    <row r="638" spans="1:4" x14ac:dyDescent="0.3">
      <c r="A638" t="s">
        <v>661</v>
      </c>
      <c r="B638" t="s">
        <v>170</v>
      </c>
      <c r="C638" t="s">
        <v>287</v>
      </c>
      <c r="D638">
        <v>8</v>
      </c>
    </row>
    <row r="639" spans="1:4" x14ac:dyDescent="0.3">
      <c r="A639" t="s">
        <v>661</v>
      </c>
      <c r="B639" t="s">
        <v>170</v>
      </c>
      <c r="C639" t="s">
        <v>340</v>
      </c>
      <c r="D639">
        <v>4</v>
      </c>
    </row>
    <row r="640" spans="1:4" x14ac:dyDescent="0.3">
      <c r="A640" t="s">
        <v>661</v>
      </c>
      <c r="B640" t="s">
        <v>170</v>
      </c>
      <c r="C640" t="s">
        <v>381</v>
      </c>
      <c r="D640">
        <v>3</v>
      </c>
    </row>
    <row r="641" spans="1:4" x14ac:dyDescent="0.3">
      <c r="A641" t="s">
        <v>661</v>
      </c>
      <c r="B641" t="s">
        <v>170</v>
      </c>
      <c r="C641" t="s">
        <v>606</v>
      </c>
      <c r="D641">
        <v>4</v>
      </c>
    </row>
    <row r="642" spans="1:4" x14ac:dyDescent="0.3">
      <c r="A642" t="s">
        <v>661</v>
      </c>
      <c r="B642" t="s">
        <v>170</v>
      </c>
      <c r="C642" t="s">
        <v>447</v>
      </c>
      <c r="D642">
        <v>16</v>
      </c>
    </row>
    <row r="643" spans="1:4" x14ac:dyDescent="0.3">
      <c r="A643" t="s">
        <v>661</v>
      </c>
      <c r="B643" t="s">
        <v>170</v>
      </c>
      <c r="C643" t="s">
        <v>574</v>
      </c>
      <c r="D643">
        <v>12</v>
      </c>
    </row>
    <row r="644" spans="1:4" x14ac:dyDescent="0.3">
      <c r="A644" t="s">
        <v>661</v>
      </c>
      <c r="B644" t="s">
        <v>164</v>
      </c>
      <c r="C644" t="s">
        <v>517</v>
      </c>
      <c r="D644">
        <v>735.79929451557348</v>
      </c>
    </row>
    <row r="645" spans="1:4" x14ac:dyDescent="0.3">
      <c r="A645" t="s">
        <v>661</v>
      </c>
      <c r="B645" t="s">
        <v>164</v>
      </c>
      <c r="C645" t="s">
        <v>8</v>
      </c>
      <c r="D645">
        <v>321.59114922423169</v>
      </c>
    </row>
    <row r="646" spans="1:4" x14ac:dyDescent="0.3">
      <c r="A646" t="s">
        <v>661</v>
      </c>
      <c r="B646" t="s">
        <v>164</v>
      </c>
      <c r="C646" t="s">
        <v>174</v>
      </c>
      <c r="D646">
        <v>363.28704085983844</v>
      </c>
    </row>
    <row r="647" spans="1:4" x14ac:dyDescent="0.3">
      <c r="A647" t="s">
        <v>661</v>
      </c>
      <c r="B647" t="s">
        <v>164</v>
      </c>
      <c r="C647" t="s">
        <v>243</v>
      </c>
      <c r="D647">
        <v>191.15943512177986</v>
      </c>
    </row>
    <row r="648" spans="1:4" x14ac:dyDescent="0.3">
      <c r="A648" t="s">
        <v>661</v>
      </c>
      <c r="B648" t="s">
        <v>164</v>
      </c>
      <c r="C648" t="s">
        <v>287</v>
      </c>
      <c r="D648">
        <v>246.39540169021171</v>
      </c>
    </row>
    <row r="649" spans="1:4" x14ac:dyDescent="0.3">
      <c r="A649" t="s">
        <v>661</v>
      </c>
      <c r="B649" t="s">
        <v>164</v>
      </c>
      <c r="C649" t="s">
        <v>340</v>
      </c>
      <c r="D649">
        <v>131.31163340556324</v>
      </c>
    </row>
    <row r="650" spans="1:4" x14ac:dyDescent="0.3">
      <c r="A650" t="s">
        <v>661</v>
      </c>
      <c r="B650" t="s">
        <v>164</v>
      </c>
      <c r="C650" t="s">
        <v>381</v>
      </c>
      <c r="D650">
        <v>289.77127026956464</v>
      </c>
    </row>
    <row r="651" spans="1:4" x14ac:dyDescent="0.3">
      <c r="A651" t="s">
        <v>661</v>
      </c>
      <c r="B651" t="s">
        <v>164</v>
      </c>
      <c r="C651" t="s">
        <v>606</v>
      </c>
      <c r="D651">
        <v>94.579717560889932</v>
      </c>
    </row>
    <row r="652" spans="1:4" x14ac:dyDescent="0.3">
      <c r="A652" t="s">
        <v>661</v>
      </c>
      <c r="B652" t="s">
        <v>164</v>
      </c>
      <c r="C652" t="s">
        <v>447</v>
      </c>
      <c r="D652">
        <v>223.85142013521482</v>
      </c>
    </row>
    <row r="653" spans="1:4" x14ac:dyDescent="0.3">
      <c r="A653" t="s">
        <v>661</v>
      </c>
      <c r="B653" t="s">
        <v>164</v>
      </c>
      <c r="C653" t="s">
        <v>574</v>
      </c>
      <c r="D653">
        <v>89.79976943746118</v>
      </c>
    </row>
    <row r="654" spans="1:4" x14ac:dyDescent="0.3">
      <c r="A654" t="s">
        <v>661</v>
      </c>
      <c r="B654" t="s">
        <v>645</v>
      </c>
      <c r="C654" t="s">
        <v>517</v>
      </c>
      <c r="D654">
        <v>714.05093139551661</v>
      </c>
    </row>
    <row r="655" spans="1:4" x14ac:dyDescent="0.3">
      <c r="A655" t="s">
        <v>661</v>
      </c>
      <c r="B655" t="s">
        <v>645</v>
      </c>
      <c r="C655" t="s">
        <v>8</v>
      </c>
      <c r="D655">
        <v>231.73915268266978</v>
      </c>
    </row>
    <row r="656" spans="1:4" x14ac:dyDescent="0.3">
      <c r="A656" t="s">
        <v>661</v>
      </c>
      <c r="B656" t="s">
        <v>645</v>
      </c>
      <c r="C656" t="s">
        <v>174</v>
      </c>
      <c r="D656">
        <v>270.37109734766051</v>
      </c>
    </row>
    <row r="657" spans="1:4" x14ac:dyDescent="0.3">
      <c r="A657" t="s">
        <v>661</v>
      </c>
      <c r="B657" t="s">
        <v>645</v>
      </c>
      <c r="C657" t="s">
        <v>243</v>
      </c>
      <c r="D657">
        <v>131.72352619398271</v>
      </c>
    </row>
    <row r="658" spans="1:4" x14ac:dyDescent="0.3">
      <c r="A658" t="s">
        <v>661</v>
      </c>
      <c r="B658" t="s">
        <v>645</v>
      </c>
      <c r="C658" t="s">
        <v>287</v>
      </c>
      <c r="D658">
        <v>108.28371064401377</v>
      </c>
    </row>
    <row r="659" spans="1:4" x14ac:dyDescent="0.3">
      <c r="A659" t="s">
        <v>661</v>
      </c>
      <c r="B659" t="s">
        <v>645</v>
      </c>
      <c r="C659" t="s">
        <v>340</v>
      </c>
      <c r="D659">
        <v>29.475839759035509</v>
      </c>
    </row>
    <row r="660" spans="1:4" x14ac:dyDescent="0.3">
      <c r="A660" t="s">
        <v>661</v>
      </c>
      <c r="B660" t="s">
        <v>645</v>
      </c>
      <c r="C660" t="s">
        <v>381</v>
      </c>
      <c r="D660">
        <v>158.93547662303683</v>
      </c>
    </row>
    <row r="661" spans="1:4" x14ac:dyDescent="0.3">
      <c r="A661" t="s">
        <v>661</v>
      </c>
      <c r="B661" t="s">
        <v>645</v>
      </c>
      <c r="C661" t="s">
        <v>606</v>
      </c>
      <c r="D661">
        <v>101.09577635433733</v>
      </c>
    </row>
    <row r="662" spans="1:4" x14ac:dyDescent="0.3">
      <c r="A662" t="s">
        <v>661</v>
      </c>
      <c r="B662" t="s">
        <v>645</v>
      </c>
      <c r="C662" t="s">
        <v>447</v>
      </c>
      <c r="D662">
        <v>124.49566107306792</v>
      </c>
    </row>
    <row r="663" spans="1:4" x14ac:dyDescent="0.3">
      <c r="A663" t="s">
        <v>661</v>
      </c>
      <c r="B663" t="s">
        <v>645</v>
      </c>
      <c r="C663" t="s">
        <v>574</v>
      </c>
      <c r="D663">
        <v>46.227865120914778</v>
      </c>
    </row>
    <row r="664" spans="1:4" x14ac:dyDescent="0.3">
      <c r="A664" t="s">
        <v>661</v>
      </c>
      <c r="B664" t="s">
        <v>644</v>
      </c>
      <c r="C664" t="s">
        <v>517</v>
      </c>
      <c r="D664">
        <v>0</v>
      </c>
    </row>
    <row r="665" spans="1:4" x14ac:dyDescent="0.3">
      <c r="A665" t="s">
        <v>661</v>
      </c>
      <c r="B665" t="s">
        <v>644</v>
      </c>
      <c r="C665" t="s">
        <v>8</v>
      </c>
      <c r="D665">
        <v>0</v>
      </c>
    </row>
    <row r="666" spans="1:4" x14ac:dyDescent="0.3">
      <c r="A666" t="s">
        <v>661</v>
      </c>
      <c r="B666" t="s">
        <v>644</v>
      </c>
      <c r="C666" t="s">
        <v>174</v>
      </c>
      <c r="D666">
        <v>0</v>
      </c>
    </row>
    <row r="667" spans="1:4" x14ac:dyDescent="0.3">
      <c r="A667" t="s">
        <v>661</v>
      </c>
      <c r="B667" t="s">
        <v>644</v>
      </c>
      <c r="C667" t="s">
        <v>243</v>
      </c>
      <c r="D667">
        <v>0</v>
      </c>
    </row>
    <row r="668" spans="1:4" x14ac:dyDescent="0.3">
      <c r="A668" t="s">
        <v>661</v>
      </c>
      <c r="B668" t="s">
        <v>644</v>
      </c>
      <c r="C668" t="s">
        <v>287</v>
      </c>
      <c r="D668">
        <v>0</v>
      </c>
    </row>
    <row r="669" spans="1:4" x14ac:dyDescent="0.3">
      <c r="A669" t="s">
        <v>661</v>
      </c>
      <c r="B669" t="s">
        <v>644</v>
      </c>
      <c r="C669" t="s">
        <v>340</v>
      </c>
      <c r="D669">
        <v>0</v>
      </c>
    </row>
    <row r="670" spans="1:4" x14ac:dyDescent="0.3">
      <c r="A670" t="s">
        <v>661</v>
      </c>
      <c r="B670" t="s">
        <v>644</v>
      </c>
      <c r="C670" t="s">
        <v>381</v>
      </c>
      <c r="D670">
        <v>0</v>
      </c>
    </row>
    <row r="671" spans="1:4" x14ac:dyDescent="0.3">
      <c r="A671" t="s">
        <v>661</v>
      </c>
      <c r="B671" t="s">
        <v>644</v>
      </c>
      <c r="C671" t="s">
        <v>606</v>
      </c>
      <c r="D671">
        <v>0</v>
      </c>
    </row>
    <row r="672" spans="1:4" x14ac:dyDescent="0.3">
      <c r="A672" t="s">
        <v>661</v>
      </c>
      <c r="B672" t="s">
        <v>644</v>
      </c>
      <c r="C672" t="s">
        <v>447</v>
      </c>
      <c r="D672">
        <v>0</v>
      </c>
    </row>
    <row r="673" spans="1:4" x14ac:dyDescent="0.3">
      <c r="A673" t="s">
        <v>661</v>
      </c>
      <c r="B673" t="s">
        <v>644</v>
      </c>
      <c r="C673" t="s">
        <v>574</v>
      </c>
      <c r="D673">
        <v>0</v>
      </c>
    </row>
    <row r="674" spans="1:4" x14ac:dyDescent="0.3">
      <c r="A674" t="s">
        <v>661</v>
      </c>
      <c r="B674" t="s">
        <v>239</v>
      </c>
      <c r="C674" t="s">
        <v>517</v>
      </c>
      <c r="D674">
        <v>110.96115580913296</v>
      </c>
    </row>
    <row r="675" spans="1:4" x14ac:dyDescent="0.3">
      <c r="A675" t="s">
        <v>661</v>
      </c>
      <c r="B675" t="s">
        <v>239</v>
      </c>
      <c r="C675" t="s">
        <v>8</v>
      </c>
      <c r="D675">
        <v>31.683883565917888</v>
      </c>
    </row>
    <row r="676" spans="1:4" x14ac:dyDescent="0.3">
      <c r="A676" t="s">
        <v>661</v>
      </c>
      <c r="B676" t="s">
        <v>239</v>
      </c>
      <c r="C676" t="s">
        <v>174</v>
      </c>
      <c r="D676">
        <v>23.16927108144785</v>
      </c>
    </row>
    <row r="677" spans="1:4" x14ac:dyDescent="0.3">
      <c r="A677" t="s">
        <v>661</v>
      </c>
      <c r="B677" t="s">
        <v>239</v>
      </c>
      <c r="C677" t="s">
        <v>243</v>
      </c>
      <c r="D677">
        <v>6.5013022073905926</v>
      </c>
    </row>
    <row r="678" spans="1:4" x14ac:dyDescent="0.3">
      <c r="A678" t="s">
        <v>661</v>
      </c>
      <c r="B678" t="s">
        <v>239</v>
      </c>
      <c r="C678" t="s">
        <v>287</v>
      </c>
      <c r="D678">
        <v>28.921296443327119</v>
      </c>
    </row>
    <row r="679" spans="1:4" x14ac:dyDescent="0.3">
      <c r="A679" t="s">
        <v>661</v>
      </c>
      <c r="B679" t="s">
        <v>239</v>
      </c>
      <c r="C679" t="s">
        <v>340</v>
      </c>
      <c r="D679">
        <v>29.575955040304926</v>
      </c>
    </row>
    <row r="680" spans="1:4" x14ac:dyDescent="0.3">
      <c r="A680" t="s">
        <v>661</v>
      </c>
      <c r="B680" t="s">
        <v>239</v>
      </c>
      <c r="C680" t="s">
        <v>381</v>
      </c>
      <c r="D680">
        <v>48.819878954667118</v>
      </c>
    </row>
    <row r="681" spans="1:4" x14ac:dyDescent="0.3">
      <c r="A681" t="s">
        <v>661</v>
      </c>
      <c r="B681" t="s">
        <v>239</v>
      </c>
      <c r="C681" t="s">
        <v>606</v>
      </c>
      <c r="D681">
        <v>12.371961957181092</v>
      </c>
    </row>
    <row r="682" spans="1:4" x14ac:dyDescent="0.3">
      <c r="A682" t="s">
        <v>661</v>
      </c>
      <c r="B682" t="s">
        <v>239</v>
      </c>
      <c r="C682" t="s">
        <v>447</v>
      </c>
      <c r="D682">
        <v>30.447916997486018</v>
      </c>
    </row>
    <row r="683" spans="1:4" x14ac:dyDescent="0.3">
      <c r="A683" t="s">
        <v>661</v>
      </c>
      <c r="B683" t="s">
        <v>239</v>
      </c>
      <c r="C683" t="s">
        <v>574</v>
      </c>
      <c r="D683">
        <v>43.459925067174879</v>
      </c>
    </row>
    <row r="684" spans="1:4" x14ac:dyDescent="0.3">
      <c r="A684" t="s">
        <v>661</v>
      </c>
      <c r="B684" t="s">
        <v>662</v>
      </c>
      <c r="C684" t="s">
        <v>517</v>
      </c>
      <c r="D684">
        <v>2221.3984288894476</v>
      </c>
    </row>
    <row r="685" spans="1:4" x14ac:dyDescent="0.3">
      <c r="A685" t="s">
        <v>661</v>
      </c>
      <c r="B685" t="s">
        <v>662</v>
      </c>
      <c r="C685" t="s">
        <v>8</v>
      </c>
      <c r="D685">
        <v>625.16493744762545</v>
      </c>
    </row>
    <row r="686" spans="1:4" x14ac:dyDescent="0.3">
      <c r="A686" t="s">
        <v>661</v>
      </c>
      <c r="B686" t="s">
        <v>662</v>
      </c>
      <c r="C686" t="s">
        <v>174</v>
      </c>
      <c r="D686">
        <v>821.27113146108752</v>
      </c>
    </row>
    <row r="687" spans="1:4" x14ac:dyDescent="0.3">
      <c r="A687" t="s">
        <v>661</v>
      </c>
      <c r="B687" t="s">
        <v>662</v>
      </c>
      <c r="C687" t="s">
        <v>243</v>
      </c>
      <c r="D687">
        <v>490.35475035103951</v>
      </c>
    </row>
    <row r="688" spans="1:4" x14ac:dyDescent="0.3">
      <c r="A688" t="s">
        <v>661</v>
      </c>
      <c r="B688" t="s">
        <v>662</v>
      </c>
      <c r="C688" t="s">
        <v>287</v>
      </c>
      <c r="D688">
        <v>381.02937436363652</v>
      </c>
    </row>
    <row r="689" spans="1:4" x14ac:dyDescent="0.3">
      <c r="A689" t="s">
        <v>661</v>
      </c>
      <c r="B689" t="s">
        <v>662</v>
      </c>
      <c r="C689" t="s">
        <v>340</v>
      </c>
      <c r="D689">
        <v>301.62601532749449</v>
      </c>
    </row>
    <row r="690" spans="1:4" x14ac:dyDescent="0.3">
      <c r="A690" t="s">
        <v>661</v>
      </c>
      <c r="B690" t="s">
        <v>662</v>
      </c>
      <c r="C690" t="s">
        <v>381</v>
      </c>
      <c r="D690">
        <v>222.82465547946919</v>
      </c>
    </row>
    <row r="691" spans="1:4" x14ac:dyDescent="0.3">
      <c r="A691" t="s">
        <v>661</v>
      </c>
      <c r="B691" t="s">
        <v>662</v>
      </c>
      <c r="C691" t="s">
        <v>606</v>
      </c>
      <c r="D691">
        <v>363.15914691860633</v>
      </c>
    </row>
    <row r="692" spans="1:4" x14ac:dyDescent="0.3">
      <c r="A692" t="s">
        <v>661</v>
      </c>
      <c r="B692" t="s">
        <v>662</v>
      </c>
      <c r="C692" t="s">
        <v>447</v>
      </c>
      <c r="D692">
        <v>300.92028773221972</v>
      </c>
    </row>
    <row r="693" spans="1:4" x14ac:dyDescent="0.3">
      <c r="A693" t="s">
        <v>661</v>
      </c>
      <c r="B693" t="s">
        <v>662</v>
      </c>
      <c r="C693" t="s">
        <v>574</v>
      </c>
      <c r="D693">
        <v>152.26895405795696</v>
      </c>
    </row>
    <row r="694" spans="1:4" x14ac:dyDescent="0.3">
      <c r="A694" t="s">
        <v>661</v>
      </c>
      <c r="B694" t="s">
        <v>655</v>
      </c>
      <c r="C694" t="s">
        <v>517</v>
      </c>
      <c r="D694">
        <v>0</v>
      </c>
    </row>
    <row r="695" spans="1:4" x14ac:dyDescent="0.3">
      <c r="A695" t="s">
        <v>661</v>
      </c>
      <c r="B695" t="s">
        <v>655</v>
      </c>
      <c r="C695" t="s">
        <v>8</v>
      </c>
      <c r="D695">
        <v>0</v>
      </c>
    </row>
    <row r="696" spans="1:4" x14ac:dyDescent="0.3">
      <c r="A696" t="s">
        <v>661</v>
      </c>
      <c r="B696" t="s">
        <v>655</v>
      </c>
      <c r="C696" t="s">
        <v>174</v>
      </c>
      <c r="D696">
        <v>0</v>
      </c>
    </row>
    <row r="697" spans="1:4" x14ac:dyDescent="0.3">
      <c r="A697" t="s">
        <v>661</v>
      </c>
      <c r="B697" t="s">
        <v>655</v>
      </c>
      <c r="C697" t="s">
        <v>243</v>
      </c>
      <c r="D697">
        <v>0</v>
      </c>
    </row>
    <row r="698" spans="1:4" x14ac:dyDescent="0.3">
      <c r="A698" t="s">
        <v>661</v>
      </c>
      <c r="B698" t="s">
        <v>655</v>
      </c>
      <c r="C698" t="s">
        <v>287</v>
      </c>
      <c r="D698">
        <v>0</v>
      </c>
    </row>
    <row r="699" spans="1:4" x14ac:dyDescent="0.3">
      <c r="A699" t="s">
        <v>661</v>
      </c>
      <c r="B699" t="s">
        <v>655</v>
      </c>
      <c r="C699" t="s">
        <v>340</v>
      </c>
      <c r="D699">
        <v>0</v>
      </c>
    </row>
    <row r="700" spans="1:4" x14ac:dyDescent="0.3">
      <c r="A700" t="s">
        <v>661</v>
      </c>
      <c r="B700" t="s">
        <v>655</v>
      </c>
      <c r="C700" t="s">
        <v>381</v>
      </c>
      <c r="D700">
        <v>0</v>
      </c>
    </row>
    <row r="701" spans="1:4" x14ac:dyDescent="0.3">
      <c r="A701" t="s">
        <v>661</v>
      </c>
      <c r="B701" t="s">
        <v>655</v>
      </c>
      <c r="C701" t="s">
        <v>606</v>
      </c>
      <c r="D701">
        <v>0</v>
      </c>
    </row>
    <row r="702" spans="1:4" x14ac:dyDescent="0.3">
      <c r="A702" t="s">
        <v>661</v>
      </c>
      <c r="B702" t="s">
        <v>655</v>
      </c>
      <c r="C702" t="s">
        <v>447</v>
      </c>
      <c r="D702">
        <v>0</v>
      </c>
    </row>
    <row r="703" spans="1:4" x14ac:dyDescent="0.3">
      <c r="A703" t="s">
        <v>661</v>
      </c>
      <c r="B703" t="s">
        <v>655</v>
      </c>
      <c r="C703" t="s">
        <v>574</v>
      </c>
      <c r="D703">
        <v>0</v>
      </c>
    </row>
    <row r="704" spans="1:4" x14ac:dyDescent="0.3">
      <c r="A704" t="s">
        <v>661</v>
      </c>
      <c r="B704" t="s">
        <v>656</v>
      </c>
      <c r="C704" t="s">
        <v>517</v>
      </c>
      <c r="D704">
        <v>0.28387056135689726</v>
      </c>
    </row>
    <row r="705" spans="1:4" x14ac:dyDescent="0.3">
      <c r="A705" t="s">
        <v>661</v>
      </c>
      <c r="B705" t="s">
        <v>656</v>
      </c>
      <c r="C705" t="s">
        <v>8</v>
      </c>
      <c r="D705">
        <v>0</v>
      </c>
    </row>
    <row r="706" spans="1:4" x14ac:dyDescent="0.3">
      <c r="A706" t="s">
        <v>661</v>
      </c>
      <c r="B706" t="s">
        <v>656</v>
      </c>
      <c r="C706" t="s">
        <v>174</v>
      </c>
      <c r="D706">
        <v>0.56799769437461167</v>
      </c>
    </row>
    <row r="707" spans="1:4" x14ac:dyDescent="0.3">
      <c r="A707" t="s">
        <v>661</v>
      </c>
      <c r="B707" t="s">
        <v>656</v>
      </c>
      <c r="C707" t="s">
        <v>243</v>
      </c>
      <c r="D707">
        <v>0.28399884718730584</v>
      </c>
    </row>
    <row r="708" spans="1:4" x14ac:dyDescent="0.3">
      <c r="A708" t="s">
        <v>661</v>
      </c>
      <c r="B708" t="s">
        <v>656</v>
      </c>
      <c r="C708" t="s">
        <v>287</v>
      </c>
      <c r="D708">
        <v>5.8399884718730579</v>
      </c>
    </row>
    <row r="709" spans="1:4" x14ac:dyDescent="0.3">
      <c r="A709" t="s">
        <v>661</v>
      </c>
      <c r="B709" t="s">
        <v>656</v>
      </c>
      <c r="C709" t="s">
        <v>340</v>
      </c>
      <c r="D709">
        <v>0</v>
      </c>
    </row>
    <row r="710" spans="1:4" x14ac:dyDescent="0.3">
      <c r="A710" t="s">
        <v>661</v>
      </c>
      <c r="B710" t="s">
        <v>656</v>
      </c>
      <c r="C710" t="s">
        <v>381</v>
      </c>
      <c r="D710">
        <v>0.85199654156191751</v>
      </c>
    </row>
    <row r="711" spans="1:4" x14ac:dyDescent="0.3">
      <c r="A711" t="s">
        <v>661</v>
      </c>
      <c r="B711" t="s">
        <v>656</v>
      </c>
      <c r="C711" t="s">
        <v>606</v>
      </c>
      <c r="D711">
        <v>0</v>
      </c>
    </row>
    <row r="712" spans="1:4" x14ac:dyDescent="0.3">
      <c r="A712" t="s">
        <v>661</v>
      </c>
      <c r="B712" t="s">
        <v>656</v>
      </c>
      <c r="C712" t="s">
        <v>447</v>
      </c>
      <c r="D712">
        <v>0</v>
      </c>
    </row>
    <row r="713" spans="1:4" x14ac:dyDescent="0.3">
      <c r="A713" t="s">
        <v>661</v>
      </c>
      <c r="B713" t="s">
        <v>656</v>
      </c>
      <c r="C713" t="s">
        <v>574</v>
      </c>
      <c r="D713">
        <v>0</v>
      </c>
    </row>
    <row r="714" spans="1:4" x14ac:dyDescent="0.3">
      <c r="A714" t="s">
        <v>661</v>
      </c>
      <c r="B714" t="s">
        <v>17</v>
      </c>
      <c r="C714" t="s">
        <v>517</v>
      </c>
      <c r="D714">
        <v>73.020376871086867</v>
      </c>
    </row>
    <row r="715" spans="1:4" x14ac:dyDescent="0.3">
      <c r="A715" t="s">
        <v>661</v>
      </c>
      <c r="B715" t="s">
        <v>17</v>
      </c>
      <c r="C715" t="s">
        <v>8</v>
      </c>
      <c r="D715">
        <v>35.613281456762103</v>
      </c>
    </row>
    <row r="716" spans="1:4" x14ac:dyDescent="0.3">
      <c r="A716" t="s">
        <v>661</v>
      </c>
      <c r="B716" t="s">
        <v>17</v>
      </c>
      <c r="C716" t="s">
        <v>174</v>
      </c>
      <c r="D716">
        <v>73.95587434341634</v>
      </c>
    </row>
    <row r="717" spans="1:4" x14ac:dyDescent="0.3">
      <c r="A717" t="s">
        <v>661</v>
      </c>
      <c r="B717" t="s">
        <v>17</v>
      </c>
      <c r="C717" t="s">
        <v>243</v>
      </c>
      <c r="D717">
        <v>26.099971179682647</v>
      </c>
    </row>
    <row r="718" spans="1:4" x14ac:dyDescent="0.3">
      <c r="A718" t="s">
        <v>661</v>
      </c>
      <c r="B718" t="s">
        <v>17</v>
      </c>
      <c r="C718" t="s">
        <v>287</v>
      </c>
      <c r="D718">
        <v>26.922598650717713</v>
      </c>
    </row>
    <row r="719" spans="1:4" x14ac:dyDescent="0.3">
      <c r="A719" t="s">
        <v>661</v>
      </c>
      <c r="B719" t="s">
        <v>17</v>
      </c>
      <c r="C719" t="s">
        <v>340</v>
      </c>
      <c r="D719">
        <v>6.1119792493715046</v>
      </c>
    </row>
    <row r="720" spans="1:4" x14ac:dyDescent="0.3">
      <c r="A720" t="s">
        <v>661</v>
      </c>
      <c r="B720" t="s">
        <v>17</v>
      </c>
      <c r="C720" t="s">
        <v>381</v>
      </c>
      <c r="D720">
        <v>41.751881260292507</v>
      </c>
    </row>
    <row r="721" spans="1:4" x14ac:dyDescent="0.3">
      <c r="A721" t="s">
        <v>661</v>
      </c>
      <c r="B721" t="s">
        <v>17</v>
      </c>
      <c r="C721" t="s">
        <v>606</v>
      </c>
      <c r="D721">
        <v>16.181279151136707</v>
      </c>
    </row>
    <row r="722" spans="1:4" x14ac:dyDescent="0.3">
      <c r="A722" t="s">
        <v>661</v>
      </c>
      <c r="B722" t="s">
        <v>17</v>
      </c>
      <c r="C722" t="s">
        <v>447</v>
      </c>
      <c r="D722">
        <v>39.725260706133604</v>
      </c>
    </row>
    <row r="723" spans="1:4" x14ac:dyDescent="0.3">
      <c r="A723" t="s">
        <v>661</v>
      </c>
      <c r="B723" t="s">
        <v>17</v>
      </c>
      <c r="C723" t="s">
        <v>574</v>
      </c>
      <c r="D723">
        <v>8.3839700268699513</v>
      </c>
    </row>
    <row r="724" spans="1:4" x14ac:dyDescent="0.3">
      <c r="A724" t="s">
        <v>661</v>
      </c>
      <c r="B724" t="s">
        <v>663</v>
      </c>
      <c r="C724" t="s">
        <v>517</v>
      </c>
      <c r="D724">
        <v>0</v>
      </c>
    </row>
    <row r="725" spans="1:4" x14ac:dyDescent="0.3">
      <c r="A725" t="s">
        <v>661</v>
      </c>
      <c r="B725" t="s">
        <v>663</v>
      </c>
      <c r="C725" t="s">
        <v>8</v>
      </c>
      <c r="D725">
        <v>-3535.7835539094294</v>
      </c>
    </row>
    <row r="726" spans="1:4" x14ac:dyDescent="0.3">
      <c r="A726" t="s">
        <v>661</v>
      </c>
      <c r="B726" t="s">
        <v>663</v>
      </c>
      <c r="C726" t="s">
        <v>174</v>
      </c>
      <c r="D726">
        <v>-1465.1676965502127</v>
      </c>
    </row>
    <row r="727" spans="1:4" x14ac:dyDescent="0.3">
      <c r="A727" t="s">
        <v>661</v>
      </c>
      <c r="B727" t="s">
        <v>663</v>
      </c>
      <c r="C727" t="s">
        <v>243</v>
      </c>
      <c r="D727">
        <v>-1120.5327098725709</v>
      </c>
    </row>
    <row r="728" spans="1:4" x14ac:dyDescent="0.3">
      <c r="A728" t="s">
        <v>661</v>
      </c>
      <c r="B728" t="s">
        <v>663</v>
      </c>
      <c r="C728" t="s">
        <v>287</v>
      </c>
      <c r="D728">
        <v>-893.10099577011897</v>
      </c>
    </row>
    <row r="729" spans="1:4" x14ac:dyDescent="0.3">
      <c r="A729" t="s">
        <v>661</v>
      </c>
      <c r="B729" t="s">
        <v>663</v>
      </c>
      <c r="C729" t="s">
        <v>340</v>
      </c>
      <c r="D729">
        <v>-2436.6607637947191</v>
      </c>
    </row>
    <row r="730" spans="1:4" x14ac:dyDescent="0.3">
      <c r="A730" t="s">
        <v>661</v>
      </c>
      <c r="B730" t="s">
        <v>663</v>
      </c>
      <c r="C730" t="s">
        <v>381</v>
      </c>
      <c r="D730">
        <v>-1769.7348296350665</v>
      </c>
    </row>
    <row r="731" spans="1:4" x14ac:dyDescent="0.3">
      <c r="A731" t="s">
        <v>661</v>
      </c>
      <c r="B731" t="s">
        <v>663</v>
      </c>
      <c r="C731" t="s">
        <v>606</v>
      </c>
      <c r="D731">
        <v>-2161.9336191817374</v>
      </c>
    </row>
    <row r="732" spans="1:4" x14ac:dyDescent="0.3">
      <c r="A732" t="s">
        <v>661</v>
      </c>
      <c r="B732" t="s">
        <v>663</v>
      </c>
      <c r="C732" t="s">
        <v>447</v>
      </c>
      <c r="D732">
        <v>-352.4707803241696</v>
      </c>
    </row>
    <row r="733" spans="1:4" x14ac:dyDescent="0.3">
      <c r="A733" t="s">
        <v>661</v>
      </c>
      <c r="B733" t="s">
        <v>663</v>
      </c>
      <c r="C733" t="s">
        <v>574</v>
      </c>
      <c r="D733">
        <v>-2128.6169263413085</v>
      </c>
    </row>
    <row r="734" spans="1:4" x14ac:dyDescent="0.3">
      <c r="A734" t="s">
        <v>661</v>
      </c>
      <c r="B734" t="s">
        <v>664</v>
      </c>
      <c r="C734" t="s">
        <v>517</v>
      </c>
      <c r="D734">
        <v>-737.77402407904219</v>
      </c>
    </row>
    <row r="735" spans="1:4" x14ac:dyDescent="0.3">
      <c r="A735" t="s">
        <v>661</v>
      </c>
      <c r="B735" t="s">
        <v>664</v>
      </c>
      <c r="C735" t="s">
        <v>8</v>
      </c>
      <c r="D735">
        <v>-1228.2051090485784</v>
      </c>
    </row>
    <row r="736" spans="1:4" x14ac:dyDescent="0.3">
      <c r="A736" t="s">
        <v>661</v>
      </c>
      <c r="B736" t="s">
        <v>664</v>
      </c>
      <c r="C736" t="s">
        <v>174</v>
      </c>
      <c r="D736">
        <v>-558.75420276500972</v>
      </c>
    </row>
    <row r="737" spans="1:4" x14ac:dyDescent="0.3">
      <c r="A737" t="s">
        <v>661</v>
      </c>
      <c r="B737" t="s">
        <v>664</v>
      </c>
      <c r="C737" t="s">
        <v>243</v>
      </c>
      <c r="D737">
        <v>-730.63774048711946</v>
      </c>
    </row>
    <row r="738" spans="1:4" x14ac:dyDescent="0.3">
      <c r="A738" t="s">
        <v>661</v>
      </c>
      <c r="B738" t="s">
        <v>664</v>
      </c>
      <c r="C738" t="s">
        <v>287</v>
      </c>
      <c r="D738">
        <v>-347.17896823263868</v>
      </c>
    </row>
    <row r="739" spans="1:4" x14ac:dyDescent="0.3">
      <c r="A739" t="s">
        <v>661</v>
      </c>
      <c r="B739" t="s">
        <v>664</v>
      </c>
      <c r="C739" t="s">
        <v>340</v>
      </c>
      <c r="D739">
        <v>-253.67520571205372</v>
      </c>
    </row>
    <row r="740" spans="1:4" x14ac:dyDescent="0.3">
      <c r="A740" t="s">
        <v>661</v>
      </c>
      <c r="B740" t="s">
        <v>664</v>
      </c>
      <c r="C740" t="s">
        <v>381</v>
      </c>
      <c r="D740">
        <v>-97.419706032762988</v>
      </c>
    </row>
    <row r="741" spans="1:4" x14ac:dyDescent="0.3">
      <c r="A741" t="s">
        <v>661</v>
      </c>
      <c r="B741" t="s">
        <v>664</v>
      </c>
      <c r="C741" t="s">
        <v>606</v>
      </c>
      <c r="D741">
        <v>-161.52358383461743</v>
      </c>
    </row>
    <row r="742" spans="1:4" x14ac:dyDescent="0.3">
      <c r="A742" t="s">
        <v>661</v>
      </c>
      <c r="B742" t="s">
        <v>664</v>
      </c>
      <c r="C742" t="s">
        <v>447</v>
      </c>
      <c r="D742">
        <v>-176.73162764149978</v>
      </c>
    </row>
    <row r="743" spans="1:4" x14ac:dyDescent="0.3">
      <c r="A743" t="s">
        <v>661</v>
      </c>
      <c r="B743" t="s">
        <v>664</v>
      </c>
      <c r="C743" t="s">
        <v>574</v>
      </c>
      <c r="D743">
        <v>-229.91927372800268</v>
      </c>
    </row>
    <row r="744" spans="1:4" x14ac:dyDescent="0.3">
      <c r="A744" t="s">
        <v>661</v>
      </c>
      <c r="B744" t="s">
        <v>139</v>
      </c>
      <c r="C744" t="s">
        <v>517</v>
      </c>
      <c r="D744">
        <v>-147.32364147525212</v>
      </c>
    </row>
    <row r="745" spans="1:4" x14ac:dyDescent="0.3">
      <c r="A745" t="s">
        <v>661</v>
      </c>
      <c r="B745" t="s">
        <v>139</v>
      </c>
      <c r="C745" t="s">
        <v>8</v>
      </c>
      <c r="D745">
        <v>-124.2063081589847</v>
      </c>
    </row>
    <row r="746" spans="1:4" x14ac:dyDescent="0.3">
      <c r="A746" t="s">
        <v>661</v>
      </c>
      <c r="B746" t="s">
        <v>139</v>
      </c>
      <c r="C746" t="s">
        <v>174</v>
      </c>
      <c r="D746">
        <v>-1.703993083123835</v>
      </c>
    </row>
    <row r="747" spans="1:4" x14ac:dyDescent="0.3">
      <c r="A747" t="s">
        <v>661</v>
      </c>
      <c r="B747" t="s">
        <v>139</v>
      </c>
      <c r="C747" t="s">
        <v>243</v>
      </c>
      <c r="D747">
        <v>-73.107784424026192</v>
      </c>
    </row>
    <row r="748" spans="1:4" x14ac:dyDescent="0.3">
      <c r="A748" t="s">
        <v>661</v>
      </c>
      <c r="B748" t="s">
        <v>139</v>
      </c>
      <c r="C748" t="s">
        <v>287</v>
      </c>
      <c r="D748">
        <v>-87.195747534019972</v>
      </c>
    </row>
    <row r="749" spans="1:4" x14ac:dyDescent="0.3">
      <c r="A749" t="s">
        <v>661</v>
      </c>
      <c r="B749" t="s">
        <v>139</v>
      </c>
      <c r="C749" t="s">
        <v>340</v>
      </c>
      <c r="D749">
        <v>-3.6919850134349756</v>
      </c>
    </row>
    <row r="750" spans="1:4" x14ac:dyDescent="0.3">
      <c r="A750" t="s">
        <v>661</v>
      </c>
      <c r="B750" t="s">
        <v>139</v>
      </c>
      <c r="C750" t="s">
        <v>381</v>
      </c>
      <c r="D750">
        <v>0</v>
      </c>
    </row>
    <row r="751" spans="1:4" x14ac:dyDescent="0.3">
      <c r="A751" t="s">
        <v>661</v>
      </c>
      <c r="B751" t="s">
        <v>139</v>
      </c>
      <c r="C751" t="s">
        <v>606</v>
      </c>
      <c r="D751">
        <v>-4.2839988471873056</v>
      </c>
    </row>
    <row r="752" spans="1:4" x14ac:dyDescent="0.3">
      <c r="A752" t="s">
        <v>661</v>
      </c>
      <c r="B752" t="s">
        <v>139</v>
      </c>
      <c r="C752" t="s">
        <v>447</v>
      </c>
      <c r="D752">
        <v>0</v>
      </c>
    </row>
    <row r="753" spans="1:4" x14ac:dyDescent="0.3">
      <c r="A753" t="s">
        <v>661</v>
      </c>
      <c r="B753" t="s">
        <v>139</v>
      </c>
      <c r="C753" t="s">
        <v>574</v>
      </c>
      <c r="D753">
        <v>-47.239873190603646</v>
      </c>
    </row>
    <row r="754" spans="1:4" x14ac:dyDescent="0.3">
      <c r="A754" t="s">
        <v>661</v>
      </c>
      <c r="B754" t="s">
        <v>81</v>
      </c>
      <c r="C754" t="s">
        <v>517</v>
      </c>
      <c r="D754">
        <v>0</v>
      </c>
    </row>
    <row r="755" spans="1:4" x14ac:dyDescent="0.3">
      <c r="A755" t="s">
        <v>661</v>
      </c>
      <c r="B755" t="s">
        <v>81</v>
      </c>
      <c r="C755" t="s">
        <v>8</v>
      </c>
      <c r="D755">
        <v>-4.6903172976396634</v>
      </c>
    </row>
    <row r="756" spans="1:4" x14ac:dyDescent="0.3">
      <c r="A756" t="s">
        <v>661</v>
      </c>
      <c r="B756" t="s">
        <v>81</v>
      </c>
      <c r="C756" t="s">
        <v>174</v>
      </c>
      <c r="D756">
        <v>-5.6799769437461167</v>
      </c>
    </row>
    <row r="757" spans="1:4" x14ac:dyDescent="0.3">
      <c r="A757" t="s">
        <v>661</v>
      </c>
      <c r="B757" t="s">
        <v>81</v>
      </c>
      <c r="C757" t="s">
        <v>243</v>
      </c>
      <c r="D757">
        <v>-1.703993083123835</v>
      </c>
    </row>
    <row r="758" spans="1:4" x14ac:dyDescent="0.3">
      <c r="A758" t="s">
        <v>661</v>
      </c>
      <c r="B758" t="s">
        <v>81</v>
      </c>
      <c r="C758" t="s">
        <v>287</v>
      </c>
      <c r="D758">
        <v>-3.123987319060364</v>
      </c>
    </row>
    <row r="759" spans="1:4" x14ac:dyDescent="0.3">
      <c r="A759" t="s">
        <v>661</v>
      </c>
      <c r="B759" t="s">
        <v>81</v>
      </c>
      <c r="C759" t="s">
        <v>340</v>
      </c>
      <c r="D759">
        <v>-1.1359953887492233</v>
      </c>
    </row>
    <row r="760" spans="1:4" x14ac:dyDescent="0.3">
      <c r="A760" t="s">
        <v>661</v>
      </c>
      <c r="B760" t="s">
        <v>81</v>
      </c>
      <c r="C760" t="s">
        <v>381</v>
      </c>
      <c r="D760">
        <v>-1.9879919303111411</v>
      </c>
    </row>
    <row r="761" spans="1:4" x14ac:dyDescent="0.3">
      <c r="A761" t="s">
        <v>661</v>
      </c>
      <c r="B761" t="s">
        <v>81</v>
      </c>
      <c r="C761" t="s">
        <v>606</v>
      </c>
      <c r="D761">
        <v>-2.5559896246857523</v>
      </c>
    </row>
    <row r="762" spans="1:4" x14ac:dyDescent="0.3">
      <c r="A762" t="s">
        <v>661</v>
      </c>
      <c r="B762" t="s">
        <v>81</v>
      </c>
      <c r="C762" t="s">
        <v>447</v>
      </c>
      <c r="D762">
        <v>0</v>
      </c>
    </row>
    <row r="763" spans="1:4" x14ac:dyDescent="0.3">
      <c r="A763" t="s">
        <v>661</v>
      </c>
      <c r="B763" t="s">
        <v>81</v>
      </c>
      <c r="C763" t="s">
        <v>574</v>
      </c>
      <c r="D763">
        <v>-0.28399884718730584</v>
      </c>
    </row>
    <row r="764" spans="1:4" x14ac:dyDescent="0.3">
      <c r="A764" t="s">
        <v>661</v>
      </c>
      <c r="B764" t="s">
        <v>9</v>
      </c>
      <c r="C764" t="s">
        <v>517</v>
      </c>
      <c r="D764">
        <v>-1.4199942359365292</v>
      </c>
    </row>
    <row r="765" spans="1:4" x14ac:dyDescent="0.3">
      <c r="A765" t="s">
        <v>661</v>
      </c>
      <c r="B765" t="s">
        <v>9</v>
      </c>
      <c r="C765" t="s">
        <v>8</v>
      </c>
      <c r="D765">
        <v>-246.96738838050052</v>
      </c>
    </row>
    <row r="766" spans="1:4" x14ac:dyDescent="0.3">
      <c r="A766" t="s">
        <v>661</v>
      </c>
      <c r="B766" t="s">
        <v>9</v>
      </c>
      <c r="C766" t="s">
        <v>174</v>
      </c>
      <c r="D766">
        <v>0.56799769437461167</v>
      </c>
    </row>
    <row r="767" spans="1:4" x14ac:dyDescent="0.3">
      <c r="A767" t="s">
        <v>661</v>
      </c>
      <c r="B767" t="s">
        <v>9</v>
      </c>
      <c r="C767" t="s">
        <v>243</v>
      </c>
      <c r="D767">
        <v>0</v>
      </c>
    </row>
    <row r="768" spans="1:4" x14ac:dyDescent="0.3">
      <c r="A768" t="s">
        <v>661</v>
      </c>
      <c r="B768" t="s">
        <v>9</v>
      </c>
      <c r="C768" t="s">
        <v>287</v>
      </c>
      <c r="D768">
        <v>0</v>
      </c>
    </row>
    <row r="769" spans="1:4" x14ac:dyDescent="0.3">
      <c r="A769" t="s">
        <v>661</v>
      </c>
      <c r="B769" t="s">
        <v>9</v>
      </c>
      <c r="C769" t="s">
        <v>340</v>
      </c>
      <c r="D769">
        <v>0</v>
      </c>
    </row>
    <row r="770" spans="1:4" x14ac:dyDescent="0.3">
      <c r="A770" t="s">
        <v>661</v>
      </c>
      <c r="B770" t="s">
        <v>9</v>
      </c>
      <c r="C770" t="s">
        <v>381</v>
      </c>
      <c r="D770">
        <v>-0.28399884718730584</v>
      </c>
    </row>
    <row r="771" spans="1:4" x14ac:dyDescent="0.3">
      <c r="A771" t="s">
        <v>661</v>
      </c>
      <c r="B771" t="s">
        <v>9</v>
      </c>
      <c r="C771" t="s">
        <v>606</v>
      </c>
      <c r="D771">
        <v>0</v>
      </c>
    </row>
    <row r="772" spans="1:4" x14ac:dyDescent="0.3">
      <c r="A772" t="s">
        <v>661</v>
      </c>
      <c r="B772" t="s">
        <v>9</v>
      </c>
      <c r="C772" t="s">
        <v>447</v>
      </c>
      <c r="D772">
        <v>0</v>
      </c>
    </row>
    <row r="773" spans="1:4" x14ac:dyDescent="0.3">
      <c r="A773" t="s">
        <v>661</v>
      </c>
      <c r="B773" t="s">
        <v>9</v>
      </c>
      <c r="C773" t="s">
        <v>574</v>
      </c>
      <c r="D773">
        <v>-0.56799769437461167</v>
      </c>
    </row>
    <row r="774" spans="1:4" x14ac:dyDescent="0.3">
      <c r="A774" t="s">
        <v>661</v>
      </c>
      <c r="B774" t="s">
        <v>658</v>
      </c>
      <c r="C774" t="s">
        <v>517</v>
      </c>
      <c r="D774">
        <v>0</v>
      </c>
    </row>
    <row r="775" spans="1:4" x14ac:dyDescent="0.3">
      <c r="A775" t="s">
        <v>661</v>
      </c>
      <c r="B775" t="s">
        <v>658</v>
      </c>
      <c r="C775" t="s">
        <v>8</v>
      </c>
      <c r="D775">
        <v>0</v>
      </c>
    </row>
    <row r="776" spans="1:4" x14ac:dyDescent="0.3">
      <c r="A776" t="s">
        <v>661</v>
      </c>
      <c r="B776" t="s">
        <v>658</v>
      </c>
      <c r="C776" t="s">
        <v>174</v>
      </c>
      <c r="D776">
        <v>0</v>
      </c>
    </row>
    <row r="777" spans="1:4" x14ac:dyDescent="0.3">
      <c r="A777" t="s">
        <v>661</v>
      </c>
      <c r="B777" t="s">
        <v>658</v>
      </c>
      <c r="C777" t="s">
        <v>243</v>
      </c>
      <c r="D777">
        <v>0</v>
      </c>
    </row>
    <row r="778" spans="1:4" x14ac:dyDescent="0.3">
      <c r="A778" t="s">
        <v>661</v>
      </c>
      <c r="B778" t="s">
        <v>658</v>
      </c>
      <c r="C778" t="s">
        <v>287</v>
      </c>
      <c r="D778">
        <v>0</v>
      </c>
    </row>
    <row r="779" spans="1:4" x14ac:dyDescent="0.3">
      <c r="A779" t="s">
        <v>661</v>
      </c>
      <c r="B779" t="s">
        <v>658</v>
      </c>
      <c r="C779" t="s">
        <v>340</v>
      </c>
      <c r="D779">
        <v>0</v>
      </c>
    </row>
    <row r="780" spans="1:4" x14ac:dyDescent="0.3">
      <c r="A780" t="s">
        <v>661</v>
      </c>
      <c r="B780" t="s">
        <v>658</v>
      </c>
      <c r="C780" t="s">
        <v>381</v>
      </c>
      <c r="D780">
        <v>0</v>
      </c>
    </row>
    <row r="781" spans="1:4" x14ac:dyDescent="0.3">
      <c r="A781" t="s">
        <v>661</v>
      </c>
      <c r="B781" t="s">
        <v>658</v>
      </c>
      <c r="C781" t="s">
        <v>606</v>
      </c>
      <c r="D781">
        <v>0</v>
      </c>
    </row>
    <row r="782" spans="1:4" x14ac:dyDescent="0.3">
      <c r="A782" t="s">
        <v>661</v>
      </c>
      <c r="B782" t="s">
        <v>658</v>
      </c>
      <c r="C782" t="s">
        <v>447</v>
      </c>
      <c r="D782">
        <v>0</v>
      </c>
    </row>
    <row r="783" spans="1:4" x14ac:dyDescent="0.3">
      <c r="A783" t="s">
        <v>661</v>
      </c>
      <c r="B783" t="s">
        <v>658</v>
      </c>
      <c r="C783" t="s">
        <v>574</v>
      </c>
      <c r="D783">
        <v>0</v>
      </c>
    </row>
    <row r="784" spans="1:4" x14ac:dyDescent="0.3">
      <c r="B784" t="s">
        <v>660</v>
      </c>
      <c r="C784" t="s">
        <v>660</v>
      </c>
    </row>
    <row r="785" spans="1:4" x14ac:dyDescent="0.3">
      <c r="A785" t="s">
        <v>665</v>
      </c>
      <c r="B785" t="s">
        <v>59</v>
      </c>
      <c r="C785" t="s">
        <v>517</v>
      </c>
      <c r="D785">
        <v>3535.7835539094294</v>
      </c>
    </row>
    <row r="786" spans="1:4" x14ac:dyDescent="0.3">
      <c r="A786" t="s">
        <v>665</v>
      </c>
      <c r="B786" t="s">
        <v>59</v>
      </c>
      <c r="C786" t="s">
        <v>8</v>
      </c>
      <c r="D786">
        <v>1465.1676965502127</v>
      </c>
    </row>
    <row r="787" spans="1:4" x14ac:dyDescent="0.3">
      <c r="A787" t="s">
        <v>665</v>
      </c>
      <c r="B787" t="s">
        <v>59</v>
      </c>
      <c r="C787" t="s">
        <v>174</v>
      </c>
      <c r="D787">
        <v>1120.5327098725709</v>
      </c>
    </row>
    <row r="788" spans="1:4" x14ac:dyDescent="0.3">
      <c r="A788" t="s">
        <v>665</v>
      </c>
      <c r="B788" t="s">
        <v>59</v>
      </c>
      <c r="C788" t="s">
        <v>243</v>
      </c>
      <c r="D788">
        <v>893.10099577011897</v>
      </c>
    </row>
    <row r="789" spans="1:4" x14ac:dyDescent="0.3">
      <c r="A789" t="s">
        <v>665</v>
      </c>
      <c r="B789" t="s">
        <v>59</v>
      </c>
      <c r="C789" t="s">
        <v>287</v>
      </c>
      <c r="D789">
        <v>2436.6607637947191</v>
      </c>
    </row>
    <row r="790" spans="1:4" x14ac:dyDescent="0.3">
      <c r="A790" t="s">
        <v>665</v>
      </c>
      <c r="B790" t="s">
        <v>59</v>
      </c>
      <c r="C790" t="s">
        <v>340</v>
      </c>
      <c r="D790">
        <v>1769.7348296350665</v>
      </c>
    </row>
    <row r="791" spans="1:4" x14ac:dyDescent="0.3">
      <c r="A791" t="s">
        <v>665</v>
      </c>
      <c r="B791" t="s">
        <v>59</v>
      </c>
      <c r="C791" t="s">
        <v>381</v>
      </c>
      <c r="D791">
        <v>2161.9336191817374</v>
      </c>
    </row>
    <row r="792" spans="1:4" x14ac:dyDescent="0.3">
      <c r="A792" t="s">
        <v>665</v>
      </c>
      <c r="B792" t="s">
        <v>59</v>
      </c>
      <c r="C792" t="s">
        <v>606</v>
      </c>
      <c r="D792">
        <v>352.4707803241696</v>
      </c>
    </row>
    <row r="793" spans="1:4" x14ac:dyDescent="0.3">
      <c r="A793" t="s">
        <v>665</v>
      </c>
      <c r="B793" t="s">
        <v>59</v>
      </c>
      <c r="C793" t="s">
        <v>447</v>
      </c>
      <c r="D793">
        <v>2128.6169263413085</v>
      </c>
    </row>
    <row r="794" spans="1:4" x14ac:dyDescent="0.3">
      <c r="A794" t="s">
        <v>665</v>
      </c>
      <c r="B794" t="s">
        <v>59</v>
      </c>
      <c r="C794" t="s">
        <v>574</v>
      </c>
      <c r="D794">
        <v>739.77402407904219</v>
      </c>
    </row>
    <row r="795" spans="1:4" x14ac:dyDescent="0.3">
      <c r="A795" t="s">
        <v>665</v>
      </c>
      <c r="B795" t="s">
        <v>649</v>
      </c>
      <c r="C795" t="s">
        <v>517</v>
      </c>
      <c r="D795">
        <v>1231.4891078957658</v>
      </c>
    </row>
    <row r="796" spans="1:4" x14ac:dyDescent="0.3">
      <c r="A796" t="s">
        <v>665</v>
      </c>
      <c r="B796" t="s">
        <v>649</v>
      </c>
      <c r="C796" t="s">
        <v>8</v>
      </c>
      <c r="D796">
        <v>558.75420276500972</v>
      </c>
    </row>
    <row r="797" spans="1:4" x14ac:dyDescent="0.3">
      <c r="A797" t="s">
        <v>665</v>
      </c>
      <c r="B797" t="s">
        <v>649</v>
      </c>
      <c r="C797" t="s">
        <v>174</v>
      </c>
      <c r="D797">
        <v>730.63774048711946</v>
      </c>
    </row>
    <row r="798" spans="1:4" x14ac:dyDescent="0.3">
      <c r="A798" t="s">
        <v>665</v>
      </c>
      <c r="B798" t="s">
        <v>649</v>
      </c>
      <c r="C798" t="s">
        <v>243</v>
      </c>
      <c r="D798">
        <v>349.17896823263868</v>
      </c>
    </row>
    <row r="799" spans="1:4" x14ac:dyDescent="0.3">
      <c r="A799" t="s">
        <v>665</v>
      </c>
      <c r="B799" t="s">
        <v>649</v>
      </c>
      <c r="C799" t="s">
        <v>287</v>
      </c>
      <c r="D799">
        <v>257.24320340642834</v>
      </c>
    </row>
    <row r="800" spans="1:4" x14ac:dyDescent="0.3">
      <c r="A800" t="s">
        <v>665</v>
      </c>
      <c r="B800" t="s">
        <v>649</v>
      </c>
      <c r="C800" t="s">
        <v>340</v>
      </c>
      <c r="D800">
        <v>97.419706032762988</v>
      </c>
    </row>
    <row r="801" spans="1:4" x14ac:dyDescent="0.3">
      <c r="A801" t="s">
        <v>665</v>
      </c>
      <c r="B801" t="s">
        <v>649</v>
      </c>
      <c r="C801" t="s">
        <v>381</v>
      </c>
      <c r="D801">
        <v>161.52358383461743</v>
      </c>
    </row>
    <row r="802" spans="1:4" x14ac:dyDescent="0.3">
      <c r="A802" t="s">
        <v>665</v>
      </c>
      <c r="B802" t="s">
        <v>649</v>
      </c>
      <c r="C802" t="s">
        <v>606</v>
      </c>
      <c r="D802">
        <v>176.73162764149978</v>
      </c>
    </row>
    <row r="803" spans="1:4" x14ac:dyDescent="0.3">
      <c r="A803" t="s">
        <v>665</v>
      </c>
      <c r="B803" t="s">
        <v>649</v>
      </c>
      <c r="C803" t="s">
        <v>447</v>
      </c>
      <c r="D803">
        <v>229.91927372800268</v>
      </c>
    </row>
    <row r="804" spans="1:4" x14ac:dyDescent="0.3">
      <c r="A804" t="s">
        <v>665</v>
      </c>
      <c r="B804" t="s">
        <v>649</v>
      </c>
      <c r="C804" t="s">
        <v>574</v>
      </c>
      <c r="D804">
        <v>147.32364147525212</v>
      </c>
    </row>
    <row r="805" spans="1:4" x14ac:dyDescent="0.3">
      <c r="A805" t="s">
        <v>665</v>
      </c>
      <c r="B805" t="s">
        <v>100</v>
      </c>
      <c r="C805" t="s">
        <v>517</v>
      </c>
      <c r="D805">
        <v>124.2063081589847</v>
      </c>
    </row>
    <row r="806" spans="1:4" x14ac:dyDescent="0.3">
      <c r="A806" t="s">
        <v>665</v>
      </c>
      <c r="B806" t="s">
        <v>100</v>
      </c>
      <c r="C806" t="s">
        <v>8</v>
      </c>
      <c r="D806">
        <v>1.703993083123835</v>
      </c>
    </row>
    <row r="807" spans="1:4" x14ac:dyDescent="0.3">
      <c r="A807" t="s">
        <v>665</v>
      </c>
      <c r="B807" t="s">
        <v>100</v>
      </c>
      <c r="C807" t="s">
        <v>174</v>
      </c>
      <c r="D807">
        <v>73.107784424026192</v>
      </c>
    </row>
    <row r="808" spans="1:4" x14ac:dyDescent="0.3">
      <c r="A808" t="s">
        <v>665</v>
      </c>
      <c r="B808" t="s">
        <v>100</v>
      </c>
      <c r="C808" t="s">
        <v>243</v>
      </c>
      <c r="D808">
        <v>87.195747534019972</v>
      </c>
    </row>
    <row r="809" spans="1:4" x14ac:dyDescent="0.3">
      <c r="A809" t="s">
        <v>665</v>
      </c>
      <c r="B809" t="s">
        <v>100</v>
      </c>
      <c r="C809" t="s">
        <v>287</v>
      </c>
      <c r="D809">
        <v>3.6919850134349756</v>
      </c>
    </row>
    <row r="810" spans="1:4" x14ac:dyDescent="0.3">
      <c r="A810" t="s">
        <v>665</v>
      </c>
      <c r="B810" t="s">
        <v>100</v>
      </c>
      <c r="C810" t="s">
        <v>340</v>
      </c>
      <c r="D810" t="s">
        <v>650</v>
      </c>
    </row>
    <row r="811" spans="1:4" x14ac:dyDescent="0.3">
      <c r="A811" t="s">
        <v>665</v>
      </c>
      <c r="B811" t="s">
        <v>100</v>
      </c>
      <c r="C811" t="s">
        <v>381</v>
      </c>
      <c r="D811">
        <v>4.2839988471873056</v>
      </c>
    </row>
    <row r="812" spans="1:4" x14ac:dyDescent="0.3">
      <c r="A812" t="s">
        <v>665</v>
      </c>
      <c r="B812" t="s">
        <v>100</v>
      </c>
      <c r="C812" t="s">
        <v>606</v>
      </c>
      <c r="D812" t="s">
        <v>650</v>
      </c>
    </row>
    <row r="813" spans="1:4" x14ac:dyDescent="0.3">
      <c r="A813" t="s">
        <v>665</v>
      </c>
      <c r="B813" t="s">
        <v>100</v>
      </c>
      <c r="C813" t="s">
        <v>447</v>
      </c>
      <c r="D813">
        <v>47.239873190603646</v>
      </c>
    </row>
    <row r="814" spans="1:4" x14ac:dyDescent="0.3">
      <c r="A814" t="s">
        <v>665</v>
      </c>
      <c r="B814" t="s">
        <v>100</v>
      </c>
      <c r="C814" t="s">
        <v>574</v>
      </c>
      <c r="D814" t="s">
        <v>650</v>
      </c>
    </row>
    <row r="815" spans="1:4" x14ac:dyDescent="0.3">
      <c r="A815" t="s">
        <v>665</v>
      </c>
      <c r="B815" t="s">
        <v>103</v>
      </c>
      <c r="C815" t="s">
        <v>517</v>
      </c>
      <c r="D815">
        <v>4.6903172976396634</v>
      </c>
    </row>
    <row r="816" spans="1:4" x14ac:dyDescent="0.3">
      <c r="A816" t="s">
        <v>665</v>
      </c>
      <c r="B816" t="s">
        <v>103</v>
      </c>
      <c r="C816" t="s">
        <v>8</v>
      </c>
      <c r="D816">
        <v>5.6799769437461167</v>
      </c>
    </row>
    <row r="817" spans="1:4" x14ac:dyDescent="0.3">
      <c r="A817" t="s">
        <v>665</v>
      </c>
      <c r="B817" t="s">
        <v>103</v>
      </c>
      <c r="C817" t="s">
        <v>174</v>
      </c>
      <c r="D817">
        <v>1.703993083123835</v>
      </c>
    </row>
    <row r="818" spans="1:4" x14ac:dyDescent="0.3">
      <c r="A818" t="s">
        <v>665</v>
      </c>
      <c r="B818" t="s">
        <v>103</v>
      </c>
      <c r="C818" t="s">
        <v>243</v>
      </c>
      <c r="D818">
        <v>3.123987319060364</v>
      </c>
    </row>
    <row r="819" spans="1:4" x14ac:dyDescent="0.3">
      <c r="A819" t="s">
        <v>665</v>
      </c>
      <c r="B819" t="s">
        <v>103</v>
      </c>
      <c r="C819" t="s">
        <v>287</v>
      </c>
      <c r="D819">
        <v>1.1359953887492233</v>
      </c>
    </row>
    <row r="820" spans="1:4" x14ac:dyDescent="0.3">
      <c r="A820" t="s">
        <v>665</v>
      </c>
      <c r="B820" t="s">
        <v>103</v>
      </c>
      <c r="C820" t="s">
        <v>340</v>
      </c>
      <c r="D820">
        <v>1.9879919303111411</v>
      </c>
    </row>
    <row r="821" spans="1:4" x14ac:dyDescent="0.3">
      <c r="A821" t="s">
        <v>665</v>
      </c>
      <c r="B821" t="s">
        <v>103</v>
      </c>
      <c r="C821" t="s">
        <v>381</v>
      </c>
      <c r="D821">
        <v>2.5559896246857523</v>
      </c>
    </row>
    <row r="822" spans="1:4" x14ac:dyDescent="0.3">
      <c r="A822" t="s">
        <v>665</v>
      </c>
      <c r="B822" t="s">
        <v>103</v>
      </c>
      <c r="C822" t="s">
        <v>606</v>
      </c>
      <c r="D822" t="s">
        <v>650</v>
      </c>
    </row>
    <row r="823" spans="1:4" x14ac:dyDescent="0.3">
      <c r="A823" t="s">
        <v>665</v>
      </c>
      <c r="B823" t="s">
        <v>103</v>
      </c>
      <c r="C823" t="s">
        <v>447</v>
      </c>
      <c r="D823">
        <v>0.28399884718730584</v>
      </c>
    </row>
    <row r="824" spans="1:4" x14ac:dyDescent="0.3">
      <c r="A824" t="s">
        <v>665</v>
      </c>
      <c r="B824" t="s">
        <v>103</v>
      </c>
      <c r="C824" t="s">
        <v>574</v>
      </c>
      <c r="D824">
        <v>1.4199942359365292</v>
      </c>
    </row>
    <row r="825" spans="1:4" x14ac:dyDescent="0.3">
      <c r="A825" t="s">
        <v>665</v>
      </c>
      <c r="B825" t="s">
        <v>168</v>
      </c>
      <c r="C825" t="s">
        <v>517</v>
      </c>
      <c r="D825">
        <v>246.96738838050052</v>
      </c>
    </row>
    <row r="826" spans="1:4" x14ac:dyDescent="0.3">
      <c r="A826" t="s">
        <v>665</v>
      </c>
      <c r="B826" t="s">
        <v>168</v>
      </c>
      <c r="C826" t="s">
        <v>8</v>
      </c>
      <c r="D826">
        <v>-0.56799769437461167</v>
      </c>
    </row>
    <row r="827" spans="1:4" x14ac:dyDescent="0.3">
      <c r="A827" t="s">
        <v>665</v>
      </c>
      <c r="B827" t="s">
        <v>168</v>
      </c>
      <c r="C827" t="s">
        <v>174</v>
      </c>
      <c r="D827" t="s">
        <v>650</v>
      </c>
    </row>
    <row r="828" spans="1:4" x14ac:dyDescent="0.3">
      <c r="A828" t="s">
        <v>665</v>
      </c>
      <c r="B828" t="s">
        <v>168</v>
      </c>
      <c r="C828" t="s">
        <v>243</v>
      </c>
      <c r="D828" t="s">
        <v>650</v>
      </c>
    </row>
    <row r="829" spans="1:4" x14ac:dyDescent="0.3">
      <c r="A829" t="s">
        <v>665</v>
      </c>
      <c r="B829" t="s">
        <v>168</v>
      </c>
      <c r="C829" t="s">
        <v>287</v>
      </c>
      <c r="D829" t="s">
        <v>650</v>
      </c>
    </row>
    <row r="830" spans="1:4" x14ac:dyDescent="0.3">
      <c r="A830" t="s">
        <v>665</v>
      </c>
      <c r="B830" t="s">
        <v>168</v>
      </c>
      <c r="C830" t="s">
        <v>340</v>
      </c>
      <c r="D830">
        <v>0.28399884718730584</v>
      </c>
    </row>
    <row r="831" spans="1:4" x14ac:dyDescent="0.3">
      <c r="A831" t="s">
        <v>665</v>
      </c>
      <c r="B831" t="s">
        <v>168</v>
      </c>
      <c r="C831" t="s">
        <v>381</v>
      </c>
      <c r="D831" t="s">
        <v>650</v>
      </c>
    </row>
    <row r="832" spans="1:4" x14ac:dyDescent="0.3">
      <c r="A832" t="s">
        <v>665</v>
      </c>
      <c r="B832" t="s">
        <v>168</v>
      </c>
      <c r="C832" t="s">
        <v>606</v>
      </c>
      <c r="D832" t="s">
        <v>650</v>
      </c>
    </row>
    <row r="833" spans="1:4" x14ac:dyDescent="0.3">
      <c r="A833" t="s">
        <v>665</v>
      </c>
      <c r="B833" t="s">
        <v>168</v>
      </c>
      <c r="C833" t="s">
        <v>447</v>
      </c>
      <c r="D833">
        <v>0.56799769437461167</v>
      </c>
    </row>
    <row r="834" spans="1:4" x14ac:dyDescent="0.3">
      <c r="A834" t="s">
        <v>665</v>
      </c>
      <c r="B834" t="s">
        <v>168</v>
      </c>
      <c r="C834" t="s">
        <v>574</v>
      </c>
      <c r="D834" t="s">
        <v>650</v>
      </c>
    </row>
    <row r="835" spans="1:4" x14ac:dyDescent="0.3">
      <c r="A835" t="s">
        <v>665</v>
      </c>
      <c r="B835" t="s">
        <v>651</v>
      </c>
      <c r="C835" t="s">
        <v>517</v>
      </c>
      <c r="D835" t="s">
        <v>650</v>
      </c>
    </row>
    <row r="836" spans="1:4" x14ac:dyDescent="0.3">
      <c r="A836" t="s">
        <v>665</v>
      </c>
      <c r="B836" t="s">
        <v>651</v>
      </c>
      <c r="C836" t="s">
        <v>8</v>
      </c>
      <c r="D836" t="s">
        <v>650</v>
      </c>
    </row>
    <row r="837" spans="1:4" x14ac:dyDescent="0.3">
      <c r="A837" t="s">
        <v>665</v>
      </c>
      <c r="B837" t="s">
        <v>651</v>
      </c>
      <c r="C837" t="s">
        <v>174</v>
      </c>
      <c r="D837" t="s">
        <v>650</v>
      </c>
    </row>
    <row r="838" spans="1:4" x14ac:dyDescent="0.3">
      <c r="A838" t="s">
        <v>665</v>
      </c>
      <c r="B838" t="s">
        <v>651</v>
      </c>
      <c r="C838" t="s">
        <v>243</v>
      </c>
      <c r="D838" t="s">
        <v>650</v>
      </c>
    </row>
    <row r="839" spans="1:4" x14ac:dyDescent="0.3">
      <c r="A839" t="s">
        <v>665</v>
      </c>
      <c r="B839" t="s">
        <v>651</v>
      </c>
      <c r="C839" t="s">
        <v>287</v>
      </c>
      <c r="D839" t="s">
        <v>650</v>
      </c>
    </row>
    <row r="840" spans="1:4" x14ac:dyDescent="0.3">
      <c r="A840" t="s">
        <v>665</v>
      </c>
      <c r="B840" t="s">
        <v>651</v>
      </c>
      <c r="C840" t="s">
        <v>340</v>
      </c>
      <c r="D840" t="s">
        <v>650</v>
      </c>
    </row>
    <row r="841" spans="1:4" x14ac:dyDescent="0.3">
      <c r="A841" t="s">
        <v>665</v>
      </c>
      <c r="B841" t="s">
        <v>651</v>
      </c>
      <c r="C841" t="s">
        <v>381</v>
      </c>
      <c r="D841" t="s">
        <v>650</v>
      </c>
    </row>
    <row r="842" spans="1:4" x14ac:dyDescent="0.3">
      <c r="A842" t="s">
        <v>665</v>
      </c>
      <c r="B842" t="s">
        <v>651</v>
      </c>
      <c r="C842" t="s">
        <v>606</v>
      </c>
      <c r="D842" t="s">
        <v>650</v>
      </c>
    </row>
    <row r="843" spans="1:4" x14ac:dyDescent="0.3">
      <c r="A843" t="s">
        <v>665</v>
      </c>
      <c r="B843" t="s">
        <v>651</v>
      </c>
      <c r="C843" t="s">
        <v>447</v>
      </c>
      <c r="D843" t="s">
        <v>650</v>
      </c>
    </row>
    <row r="844" spans="1:4" x14ac:dyDescent="0.3">
      <c r="A844" t="s">
        <v>665</v>
      </c>
      <c r="B844" t="s">
        <v>651</v>
      </c>
      <c r="C844" t="s">
        <v>574</v>
      </c>
      <c r="D844" t="s">
        <v>650</v>
      </c>
    </row>
    <row r="845" spans="1:4" x14ac:dyDescent="0.3">
      <c r="A845" t="s">
        <v>665</v>
      </c>
      <c r="B845" t="s">
        <v>652</v>
      </c>
      <c r="C845" t="s">
        <v>517</v>
      </c>
      <c r="D845" t="s">
        <v>650</v>
      </c>
    </row>
    <row r="846" spans="1:4" x14ac:dyDescent="0.3">
      <c r="A846" t="s">
        <v>665</v>
      </c>
      <c r="B846" t="s">
        <v>652</v>
      </c>
      <c r="C846" t="s">
        <v>8</v>
      </c>
      <c r="D846" t="s">
        <v>650</v>
      </c>
    </row>
    <row r="847" spans="1:4" x14ac:dyDescent="0.3">
      <c r="A847" t="s">
        <v>665</v>
      </c>
      <c r="B847" t="s">
        <v>652</v>
      </c>
      <c r="C847" t="s">
        <v>174</v>
      </c>
      <c r="D847" t="s">
        <v>650</v>
      </c>
    </row>
    <row r="848" spans="1:4" x14ac:dyDescent="0.3">
      <c r="A848" t="s">
        <v>665</v>
      </c>
      <c r="B848" t="s">
        <v>652</v>
      </c>
      <c r="C848" t="s">
        <v>243</v>
      </c>
      <c r="D848" t="s">
        <v>650</v>
      </c>
    </row>
    <row r="849" spans="1:4" x14ac:dyDescent="0.3">
      <c r="A849" t="s">
        <v>665</v>
      </c>
      <c r="B849" t="s">
        <v>652</v>
      </c>
      <c r="C849" t="s">
        <v>287</v>
      </c>
      <c r="D849" t="s">
        <v>650</v>
      </c>
    </row>
    <row r="850" spans="1:4" x14ac:dyDescent="0.3">
      <c r="A850" t="s">
        <v>665</v>
      </c>
      <c r="B850" t="s">
        <v>652</v>
      </c>
      <c r="C850" t="s">
        <v>340</v>
      </c>
      <c r="D850" t="s">
        <v>650</v>
      </c>
    </row>
    <row r="851" spans="1:4" x14ac:dyDescent="0.3">
      <c r="A851" t="s">
        <v>665</v>
      </c>
      <c r="B851" t="s">
        <v>652</v>
      </c>
      <c r="C851" t="s">
        <v>381</v>
      </c>
      <c r="D851" t="s">
        <v>650</v>
      </c>
    </row>
    <row r="852" spans="1:4" x14ac:dyDescent="0.3">
      <c r="A852" t="s">
        <v>665</v>
      </c>
      <c r="B852" t="s">
        <v>652</v>
      </c>
      <c r="C852" t="s">
        <v>606</v>
      </c>
      <c r="D852" t="s">
        <v>650</v>
      </c>
    </row>
    <row r="853" spans="1:4" x14ac:dyDescent="0.3">
      <c r="A853" t="s">
        <v>665</v>
      </c>
      <c r="B853" t="s">
        <v>652</v>
      </c>
      <c r="C853" t="s">
        <v>447</v>
      </c>
      <c r="D853" t="s">
        <v>650</v>
      </c>
    </row>
    <row r="854" spans="1:4" x14ac:dyDescent="0.3">
      <c r="A854" t="s">
        <v>665</v>
      </c>
      <c r="B854" t="s">
        <v>652</v>
      </c>
      <c r="C854" t="s">
        <v>574</v>
      </c>
      <c r="D854" t="s">
        <v>650</v>
      </c>
    </row>
    <row r="855" spans="1:4" x14ac:dyDescent="0.3">
      <c r="A855" t="s">
        <v>665</v>
      </c>
      <c r="B855" t="s">
        <v>653</v>
      </c>
      <c r="C855" t="s">
        <v>517</v>
      </c>
      <c r="D855" t="s">
        <v>650</v>
      </c>
    </row>
    <row r="856" spans="1:4" x14ac:dyDescent="0.3">
      <c r="A856" t="s">
        <v>665</v>
      </c>
      <c r="B856" t="s">
        <v>653</v>
      </c>
      <c r="C856" t="s">
        <v>8</v>
      </c>
      <c r="D856" t="s">
        <v>650</v>
      </c>
    </row>
    <row r="857" spans="1:4" x14ac:dyDescent="0.3">
      <c r="A857" t="s">
        <v>665</v>
      </c>
      <c r="B857" t="s">
        <v>653</v>
      </c>
      <c r="C857" t="s">
        <v>174</v>
      </c>
      <c r="D857" t="s">
        <v>650</v>
      </c>
    </row>
    <row r="858" spans="1:4" x14ac:dyDescent="0.3">
      <c r="A858" t="s">
        <v>665</v>
      </c>
      <c r="B858" t="s">
        <v>653</v>
      </c>
      <c r="C858" t="s">
        <v>243</v>
      </c>
      <c r="D858" t="s">
        <v>650</v>
      </c>
    </row>
    <row r="859" spans="1:4" x14ac:dyDescent="0.3">
      <c r="A859" t="s">
        <v>665</v>
      </c>
      <c r="B859" t="s">
        <v>653</v>
      </c>
      <c r="C859" t="s">
        <v>287</v>
      </c>
      <c r="D859" t="s">
        <v>650</v>
      </c>
    </row>
    <row r="860" spans="1:4" x14ac:dyDescent="0.3">
      <c r="A860" t="s">
        <v>665</v>
      </c>
      <c r="B860" t="s">
        <v>653</v>
      </c>
      <c r="C860" t="s">
        <v>340</v>
      </c>
      <c r="D860" t="s">
        <v>650</v>
      </c>
    </row>
    <row r="861" spans="1:4" x14ac:dyDescent="0.3">
      <c r="A861" t="s">
        <v>665</v>
      </c>
      <c r="B861" t="s">
        <v>653</v>
      </c>
      <c r="C861" t="s">
        <v>381</v>
      </c>
      <c r="D861" t="s">
        <v>650</v>
      </c>
    </row>
    <row r="862" spans="1:4" x14ac:dyDescent="0.3">
      <c r="A862" t="s">
        <v>665</v>
      </c>
      <c r="B862" t="s">
        <v>653</v>
      </c>
      <c r="C862" t="s">
        <v>606</v>
      </c>
      <c r="D862" t="s">
        <v>650</v>
      </c>
    </row>
    <row r="863" spans="1:4" x14ac:dyDescent="0.3">
      <c r="A863" t="s">
        <v>665</v>
      </c>
      <c r="B863" t="s">
        <v>653</v>
      </c>
      <c r="C863" t="s">
        <v>447</v>
      </c>
      <c r="D863" t="s">
        <v>650</v>
      </c>
    </row>
    <row r="864" spans="1:4" x14ac:dyDescent="0.3">
      <c r="A864" t="s">
        <v>665</v>
      </c>
      <c r="B864" t="s">
        <v>653</v>
      </c>
      <c r="C864" t="s">
        <v>574</v>
      </c>
      <c r="D864" t="s">
        <v>650</v>
      </c>
    </row>
    <row r="865" spans="1:4" x14ac:dyDescent="0.3">
      <c r="A865" t="s">
        <v>665</v>
      </c>
      <c r="B865" t="s">
        <v>644</v>
      </c>
      <c r="C865" t="s">
        <v>517</v>
      </c>
      <c r="D865">
        <v>140.23860483007948</v>
      </c>
    </row>
    <row r="866" spans="1:4" x14ac:dyDescent="0.3">
      <c r="A866" t="s">
        <v>665</v>
      </c>
      <c r="B866" t="s">
        <v>644</v>
      </c>
      <c r="C866" t="s">
        <v>8</v>
      </c>
      <c r="D866">
        <v>60.647859356851313</v>
      </c>
    </row>
    <row r="867" spans="1:4" x14ac:dyDescent="0.3">
      <c r="A867" t="s">
        <v>665</v>
      </c>
      <c r="B867" t="s">
        <v>644</v>
      </c>
      <c r="C867" t="s">
        <v>174</v>
      </c>
      <c r="D867">
        <v>61.599827078095871</v>
      </c>
    </row>
    <row r="868" spans="1:4" x14ac:dyDescent="0.3">
      <c r="A868" t="s">
        <v>665</v>
      </c>
      <c r="B868" t="s">
        <v>644</v>
      </c>
      <c r="C868" t="s">
        <v>243</v>
      </c>
      <c r="D868">
        <v>29.015914691860633</v>
      </c>
    </row>
    <row r="869" spans="1:4" x14ac:dyDescent="0.3">
      <c r="A869" t="s">
        <v>665</v>
      </c>
      <c r="B869" t="s">
        <v>644</v>
      </c>
      <c r="C869" t="s">
        <v>287</v>
      </c>
      <c r="D869">
        <v>66.315828230908565</v>
      </c>
    </row>
    <row r="870" spans="1:4" x14ac:dyDescent="0.3">
      <c r="A870" t="s">
        <v>665</v>
      </c>
      <c r="B870" t="s">
        <v>644</v>
      </c>
      <c r="C870" t="s">
        <v>340</v>
      </c>
      <c r="D870">
        <v>36.175926219987574</v>
      </c>
    </row>
    <row r="871" spans="1:4" x14ac:dyDescent="0.3">
      <c r="A871" t="s">
        <v>665</v>
      </c>
      <c r="B871" t="s">
        <v>644</v>
      </c>
      <c r="C871" t="s">
        <v>381</v>
      </c>
      <c r="D871">
        <v>51.671875496229035</v>
      </c>
    </row>
    <row r="872" spans="1:4" x14ac:dyDescent="0.3">
      <c r="A872" t="s">
        <v>665</v>
      </c>
      <c r="B872" t="s">
        <v>644</v>
      </c>
      <c r="C872" t="s">
        <v>606</v>
      </c>
      <c r="D872">
        <v>22.939959651555704</v>
      </c>
    </row>
    <row r="873" spans="1:4" x14ac:dyDescent="0.3">
      <c r="A873" t="s">
        <v>665</v>
      </c>
      <c r="B873" t="s">
        <v>644</v>
      </c>
      <c r="C873" t="s">
        <v>447</v>
      </c>
      <c r="D873">
        <v>29.483941206552601</v>
      </c>
    </row>
    <row r="874" spans="1:4" x14ac:dyDescent="0.3">
      <c r="A874" t="s">
        <v>665</v>
      </c>
      <c r="B874" t="s">
        <v>644</v>
      </c>
      <c r="C874" t="s">
        <v>574</v>
      </c>
      <c r="D874">
        <v>18.359953887492232</v>
      </c>
    </row>
    <row r="875" spans="1:4" x14ac:dyDescent="0.3">
      <c r="A875" t="s">
        <v>665</v>
      </c>
      <c r="B875" t="s">
        <v>644</v>
      </c>
      <c r="C875" t="s">
        <v>517</v>
      </c>
      <c r="D875" t="s">
        <v>650</v>
      </c>
    </row>
    <row r="876" spans="1:4" x14ac:dyDescent="0.3">
      <c r="A876" t="s">
        <v>665</v>
      </c>
      <c r="B876" t="s">
        <v>644</v>
      </c>
      <c r="C876" t="s">
        <v>8</v>
      </c>
      <c r="D876">
        <v>1</v>
      </c>
    </row>
    <row r="877" spans="1:4" x14ac:dyDescent="0.3">
      <c r="A877" t="s">
        <v>665</v>
      </c>
      <c r="B877" t="s">
        <v>644</v>
      </c>
      <c r="C877" t="s">
        <v>174</v>
      </c>
      <c r="D877" t="s">
        <v>650</v>
      </c>
    </row>
    <row r="878" spans="1:4" x14ac:dyDescent="0.3">
      <c r="A878" t="s">
        <v>665</v>
      </c>
      <c r="B878" t="s">
        <v>644</v>
      </c>
      <c r="C878" t="s">
        <v>243</v>
      </c>
      <c r="D878">
        <v>1</v>
      </c>
    </row>
    <row r="879" spans="1:4" x14ac:dyDescent="0.3">
      <c r="A879" t="s">
        <v>665</v>
      </c>
      <c r="B879" t="s">
        <v>644</v>
      </c>
      <c r="C879" t="s">
        <v>287</v>
      </c>
      <c r="D879" t="s">
        <v>650</v>
      </c>
    </row>
    <row r="880" spans="1:4" x14ac:dyDescent="0.3">
      <c r="A880" t="s">
        <v>665</v>
      </c>
      <c r="B880" t="s">
        <v>644</v>
      </c>
      <c r="C880" t="s">
        <v>340</v>
      </c>
      <c r="D880" t="s">
        <v>650</v>
      </c>
    </row>
    <row r="881" spans="1:4" x14ac:dyDescent="0.3">
      <c r="A881" t="s">
        <v>665</v>
      </c>
      <c r="B881" t="s">
        <v>644</v>
      </c>
      <c r="C881" t="s">
        <v>381</v>
      </c>
      <c r="D881">
        <v>2</v>
      </c>
    </row>
    <row r="882" spans="1:4" x14ac:dyDescent="0.3">
      <c r="A882" t="s">
        <v>665</v>
      </c>
      <c r="B882" t="s">
        <v>644</v>
      </c>
      <c r="C882" t="s">
        <v>606</v>
      </c>
      <c r="D882" t="s">
        <v>650</v>
      </c>
    </row>
    <row r="883" spans="1:4" x14ac:dyDescent="0.3">
      <c r="A883" t="s">
        <v>665</v>
      </c>
      <c r="B883" t="s">
        <v>644</v>
      </c>
      <c r="C883" t="s">
        <v>447</v>
      </c>
      <c r="D883" t="s">
        <v>650</v>
      </c>
    </row>
    <row r="884" spans="1:4" x14ac:dyDescent="0.3">
      <c r="A884" t="s">
        <v>665</v>
      </c>
      <c r="B884" t="s">
        <v>644</v>
      </c>
      <c r="C884" t="s">
        <v>574</v>
      </c>
      <c r="D884" t="s">
        <v>650</v>
      </c>
    </row>
    <row r="885" spans="1:4" x14ac:dyDescent="0.3">
      <c r="A885" t="s">
        <v>665</v>
      </c>
      <c r="B885" t="s">
        <v>54</v>
      </c>
      <c r="C885" t="s">
        <v>517</v>
      </c>
      <c r="D885">
        <v>339.16097943802629</v>
      </c>
    </row>
    <row r="886" spans="1:4" x14ac:dyDescent="0.3">
      <c r="A886" t="s">
        <v>665</v>
      </c>
      <c r="B886" t="s">
        <v>54</v>
      </c>
      <c r="C886" t="s">
        <v>8</v>
      </c>
      <c r="D886">
        <v>146.64366453150598</v>
      </c>
    </row>
    <row r="887" spans="1:4" x14ac:dyDescent="0.3">
      <c r="A887" t="s">
        <v>665</v>
      </c>
      <c r="B887" t="s">
        <v>54</v>
      </c>
      <c r="C887" t="s">
        <v>174</v>
      </c>
      <c r="D887">
        <v>127.92766337869331</v>
      </c>
    </row>
    <row r="888" spans="1:4" x14ac:dyDescent="0.3">
      <c r="A888" t="s">
        <v>665</v>
      </c>
      <c r="B888" t="s">
        <v>54</v>
      </c>
      <c r="C888" t="s">
        <v>243</v>
      </c>
      <c r="D888">
        <v>64.463831689346662</v>
      </c>
    </row>
    <row r="889" spans="1:4" x14ac:dyDescent="0.3">
      <c r="A889" t="s">
        <v>665</v>
      </c>
      <c r="B889" t="s">
        <v>54</v>
      </c>
      <c r="C889" t="s">
        <v>287</v>
      </c>
      <c r="D889">
        <v>100.77575329808344</v>
      </c>
    </row>
    <row r="890" spans="1:4" x14ac:dyDescent="0.3">
      <c r="A890" t="s">
        <v>665</v>
      </c>
      <c r="B890" t="s">
        <v>54</v>
      </c>
      <c r="C890" t="s">
        <v>340</v>
      </c>
      <c r="D890">
        <v>52.39988471873059</v>
      </c>
    </row>
    <row r="891" spans="1:4" x14ac:dyDescent="0.3">
      <c r="A891" t="s">
        <v>665</v>
      </c>
      <c r="B891" t="s">
        <v>54</v>
      </c>
      <c r="C891" t="s">
        <v>381</v>
      </c>
      <c r="D891">
        <v>113.57971756088993</v>
      </c>
    </row>
    <row r="892" spans="1:4" x14ac:dyDescent="0.3">
      <c r="A892" t="s">
        <v>665</v>
      </c>
      <c r="B892" t="s">
        <v>54</v>
      </c>
      <c r="C892" t="s">
        <v>606</v>
      </c>
      <c r="D892">
        <v>29.743923914362185</v>
      </c>
    </row>
    <row r="893" spans="1:4" x14ac:dyDescent="0.3">
      <c r="A893" t="s">
        <v>665</v>
      </c>
      <c r="B893" t="s">
        <v>54</v>
      </c>
      <c r="C893" t="s">
        <v>447</v>
      </c>
      <c r="D893">
        <v>52.227865120914785</v>
      </c>
    </row>
    <row r="894" spans="1:4" x14ac:dyDescent="0.3">
      <c r="A894" t="s">
        <v>665</v>
      </c>
      <c r="B894" t="s">
        <v>54</v>
      </c>
      <c r="C894" t="s">
        <v>574</v>
      </c>
      <c r="D894">
        <v>29.435908927797161</v>
      </c>
    </row>
    <row r="895" spans="1:4" x14ac:dyDescent="0.3">
      <c r="A895" t="s">
        <v>665</v>
      </c>
      <c r="B895" t="s">
        <v>170</v>
      </c>
      <c r="C895" t="s">
        <v>517</v>
      </c>
      <c r="D895">
        <v>29</v>
      </c>
    </row>
    <row r="896" spans="1:4" x14ac:dyDescent="0.3">
      <c r="A896" t="s">
        <v>665</v>
      </c>
      <c r="B896" t="s">
        <v>170</v>
      </c>
      <c r="C896" t="s">
        <v>8</v>
      </c>
      <c r="D896">
        <v>16</v>
      </c>
    </row>
    <row r="897" spans="1:4" x14ac:dyDescent="0.3">
      <c r="A897" t="s">
        <v>665</v>
      </c>
      <c r="B897" t="s">
        <v>170</v>
      </c>
      <c r="C897" t="s">
        <v>174</v>
      </c>
      <c r="D897">
        <v>28</v>
      </c>
    </row>
    <row r="898" spans="1:4" x14ac:dyDescent="0.3">
      <c r="A898" t="s">
        <v>665</v>
      </c>
      <c r="B898" t="s">
        <v>170</v>
      </c>
      <c r="C898" t="s">
        <v>243</v>
      </c>
      <c r="D898">
        <v>4</v>
      </c>
    </row>
    <row r="899" spans="1:4" x14ac:dyDescent="0.3">
      <c r="A899" t="s">
        <v>665</v>
      </c>
      <c r="B899" t="s">
        <v>170</v>
      </c>
      <c r="C899" t="s">
        <v>287</v>
      </c>
      <c r="D899">
        <v>8</v>
      </c>
    </row>
    <row r="900" spans="1:4" x14ac:dyDescent="0.3">
      <c r="A900" t="s">
        <v>665</v>
      </c>
      <c r="B900" t="s">
        <v>170</v>
      </c>
      <c r="C900" t="s">
        <v>340</v>
      </c>
      <c r="D900">
        <v>4</v>
      </c>
    </row>
    <row r="901" spans="1:4" x14ac:dyDescent="0.3">
      <c r="A901" t="s">
        <v>665</v>
      </c>
      <c r="B901" t="s">
        <v>170</v>
      </c>
      <c r="C901" t="s">
        <v>381</v>
      </c>
      <c r="D901">
        <v>3</v>
      </c>
    </row>
    <row r="902" spans="1:4" x14ac:dyDescent="0.3">
      <c r="A902" t="s">
        <v>665</v>
      </c>
      <c r="B902" t="s">
        <v>170</v>
      </c>
      <c r="C902" t="s">
        <v>606</v>
      </c>
      <c r="D902">
        <v>4</v>
      </c>
    </row>
    <row r="903" spans="1:4" x14ac:dyDescent="0.3">
      <c r="A903" t="s">
        <v>665</v>
      </c>
      <c r="B903" t="s">
        <v>170</v>
      </c>
      <c r="C903" t="s">
        <v>447</v>
      </c>
      <c r="D903">
        <v>16</v>
      </c>
    </row>
    <row r="904" spans="1:4" x14ac:dyDescent="0.3">
      <c r="A904" t="s">
        <v>665</v>
      </c>
      <c r="B904" t="s">
        <v>170</v>
      </c>
      <c r="C904" t="s">
        <v>574</v>
      </c>
      <c r="D904">
        <v>12</v>
      </c>
    </row>
    <row r="905" spans="1:4" x14ac:dyDescent="0.3">
      <c r="A905" t="s">
        <v>665</v>
      </c>
      <c r="B905" t="s">
        <v>164</v>
      </c>
      <c r="C905" t="s">
        <v>517</v>
      </c>
      <c r="D905">
        <v>735.79929451557348</v>
      </c>
    </row>
    <row r="906" spans="1:4" x14ac:dyDescent="0.3">
      <c r="A906" t="s">
        <v>665</v>
      </c>
      <c r="B906" t="s">
        <v>164</v>
      </c>
      <c r="C906" t="s">
        <v>8</v>
      </c>
      <c r="D906">
        <v>321.59114922423169</v>
      </c>
    </row>
    <row r="907" spans="1:4" x14ac:dyDescent="0.3">
      <c r="A907" t="s">
        <v>665</v>
      </c>
      <c r="B907" t="s">
        <v>164</v>
      </c>
      <c r="C907" t="s">
        <v>174</v>
      </c>
      <c r="D907">
        <v>363.28704085983844</v>
      </c>
    </row>
    <row r="908" spans="1:4" x14ac:dyDescent="0.3">
      <c r="A908" t="s">
        <v>665</v>
      </c>
      <c r="B908" t="s">
        <v>164</v>
      </c>
      <c r="C908" t="s">
        <v>243</v>
      </c>
      <c r="D908">
        <v>191.15943512177986</v>
      </c>
    </row>
    <row r="909" spans="1:4" x14ac:dyDescent="0.3">
      <c r="A909" t="s">
        <v>665</v>
      </c>
      <c r="B909" t="s">
        <v>164</v>
      </c>
      <c r="C909" t="s">
        <v>287</v>
      </c>
      <c r="D909">
        <v>246.39540169021171</v>
      </c>
    </row>
    <row r="910" spans="1:4" x14ac:dyDescent="0.3">
      <c r="A910" t="s">
        <v>665</v>
      </c>
      <c r="B910" t="s">
        <v>164</v>
      </c>
      <c r="C910" t="s">
        <v>340</v>
      </c>
      <c r="D910">
        <v>131.31163340556324</v>
      </c>
    </row>
    <row r="911" spans="1:4" x14ac:dyDescent="0.3">
      <c r="A911" t="s">
        <v>665</v>
      </c>
      <c r="B911" t="s">
        <v>164</v>
      </c>
      <c r="C911" t="s">
        <v>381</v>
      </c>
      <c r="D911">
        <v>289.77127026956464</v>
      </c>
    </row>
    <row r="912" spans="1:4" x14ac:dyDescent="0.3">
      <c r="A912" t="s">
        <v>665</v>
      </c>
      <c r="B912" t="s">
        <v>164</v>
      </c>
      <c r="C912" t="s">
        <v>606</v>
      </c>
      <c r="D912">
        <v>94.579717560889932</v>
      </c>
    </row>
    <row r="913" spans="1:4" x14ac:dyDescent="0.3">
      <c r="A913" t="s">
        <v>665</v>
      </c>
      <c r="B913" t="s">
        <v>164</v>
      </c>
      <c r="C913" t="s">
        <v>447</v>
      </c>
      <c r="D913">
        <v>223.85142013521482</v>
      </c>
    </row>
    <row r="914" spans="1:4" x14ac:dyDescent="0.3">
      <c r="A914" t="s">
        <v>665</v>
      </c>
      <c r="B914" t="s">
        <v>164</v>
      </c>
      <c r="C914" t="s">
        <v>574</v>
      </c>
      <c r="D914">
        <v>89.79976943746118</v>
      </c>
    </row>
    <row r="915" spans="1:4" x14ac:dyDescent="0.3">
      <c r="A915" t="s">
        <v>665</v>
      </c>
      <c r="B915" t="s">
        <v>645</v>
      </c>
      <c r="C915" t="s">
        <v>517</v>
      </c>
      <c r="D915">
        <v>714.05093139551661</v>
      </c>
    </row>
    <row r="916" spans="1:4" x14ac:dyDescent="0.3">
      <c r="A916" t="s">
        <v>665</v>
      </c>
      <c r="B916" t="s">
        <v>645</v>
      </c>
      <c r="C916" t="s">
        <v>8</v>
      </c>
      <c r="D916">
        <v>231.73915268266978</v>
      </c>
    </row>
    <row r="917" spans="1:4" x14ac:dyDescent="0.3">
      <c r="A917" t="s">
        <v>665</v>
      </c>
      <c r="B917" t="s">
        <v>645</v>
      </c>
      <c r="C917" t="s">
        <v>174</v>
      </c>
      <c r="D917">
        <v>270.37109734766051</v>
      </c>
    </row>
    <row r="918" spans="1:4" x14ac:dyDescent="0.3">
      <c r="A918" t="s">
        <v>665</v>
      </c>
      <c r="B918" t="s">
        <v>645</v>
      </c>
      <c r="C918" t="s">
        <v>243</v>
      </c>
      <c r="D918">
        <v>131.72352619398271</v>
      </c>
    </row>
    <row r="919" spans="1:4" x14ac:dyDescent="0.3">
      <c r="A919" t="s">
        <v>665</v>
      </c>
      <c r="B919" t="s">
        <v>645</v>
      </c>
      <c r="C919" t="s">
        <v>287</v>
      </c>
      <c r="D919">
        <v>108.28371064401377</v>
      </c>
    </row>
    <row r="920" spans="1:4" x14ac:dyDescent="0.3">
      <c r="A920" t="s">
        <v>665</v>
      </c>
      <c r="B920" t="s">
        <v>645</v>
      </c>
      <c r="C920" t="s">
        <v>340</v>
      </c>
      <c r="D920">
        <v>29.475839759035509</v>
      </c>
    </row>
    <row r="921" spans="1:4" x14ac:dyDescent="0.3">
      <c r="A921" t="s">
        <v>665</v>
      </c>
      <c r="B921" t="s">
        <v>645</v>
      </c>
      <c r="C921" t="s">
        <v>381</v>
      </c>
      <c r="D921">
        <v>158.93547662303683</v>
      </c>
    </row>
    <row r="922" spans="1:4" x14ac:dyDescent="0.3">
      <c r="A922" t="s">
        <v>665</v>
      </c>
      <c r="B922" t="s">
        <v>645</v>
      </c>
      <c r="C922" t="s">
        <v>606</v>
      </c>
      <c r="D922">
        <v>101.09577635433733</v>
      </c>
    </row>
    <row r="923" spans="1:4" x14ac:dyDescent="0.3">
      <c r="A923" t="s">
        <v>665</v>
      </c>
      <c r="B923" t="s">
        <v>645</v>
      </c>
      <c r="C923" t="s">
        <v>447</v>
      </c>
      <c r="D923">
        <v>124.49566107306792</v>
      </c>
    </row>
    <row r="924" spans="1:4" x14ac:dyDescent="0.3">
      <c r="A924" t="s">
        <v>665</v>
      </c>
      <c r="B924" t="s">
        <v>645</v>
      </c>
      <c r="C924" t="s">
        <v>574</v>
      </c>
      <c r="D924">
        <v>46.227865120914778</v>
      </c>
    </row>
    <row r="925" spans="1:4" x14ac:dyDescent="0.3">
      <c r="A925" t="s">
        <v>665</v>
      </c>
      <c r="B925" t="s">
        <v>644</v>
      </c>
      <c r="C925" t="s">
        <v>517</v>
      </c>
      <c r="D925" t="s">
        <v>650</v>
      </c>
    </row>
    <row r="926" spans="1:4" x14ac:dyDescent="0.3">
      <c r="A926" t="s">
        <v>665</v>
      </c>
      <c r="B926" t="s">
        <v>644</v>
      </c>
      <c r="C926" t="s">
        <v>8</v>
      </c>
      <c r="D926" t="s">
        <v>650</v>
      </c>
    </row>
    <row r="927" spans="1:4" x14ac:dyDescent="0.3">
      <c r="A927" t="s">
        <v>665</v>
      </c>
      <c r="B927" t="s">
        <v>644</v>
      </c>
      <c r="C927" t="s">
        <v>174</v>
      </c>
      <c r="D927" t="s">
        <v>650</v>
      </c>
    </row>
    <row r="928" spans="1:4" x14ac:dyDescent="0.3">
      <c r="A928" t="s">
        <v>665</v>
      </c>
      <c r="B928" t="s">
        <v>644</v>
      </c>
      <c r="C928" t="s">
        <v>243</v>
      </c>
      <c r="D928" t="s">
        <v>650</v>
      </c>
    </row>
    <row r="929" spans="1:4" x14ac:dyDescent="0.3">
      <c r="A929" t="s">
        <v>665</v>
      </c>
      <c r="B929" t="s">
        <v>644</v>
      </c>
      <c r="C929" t="s">
        <v>287</v>
      </c>
      <c r="D929" t="s">
        <v>650</v>
      </c>
    </row>
    <row r="930" spans="1:4" x14ac:dyDescent="0.3">
      <c r="A930" t="s">
        <v>665</v>
      </c>
      <c r="B930" t="s">
        <v>644</v>
      </c>
      <c r="C930" t="s">
        <v>340</v>
      </c>
      <c r="D930" t="s">
        <v>650</v>
      </c>
    </row>
    <row r="931" spans="1:4" x14ac:dyDescent="0.3">
      <c r="A931" t="s">
        <v>665</v>
      </c>
      <c r="B931" t="s">
        <v>644</v>
      </c>
      <c r="C931" t="s">
        <v>381</v>
      </c>
      <c r="D931" t="s">
        <v>650</v>
      </c>
    </row>
    <row r="932" spans="1:4" x14ac:dyDescent="0.3">
      <c r="A932" t="s">
        <v>665</v>
      </c>
      <c r="B932" t="s">
        <v>644</v>
      </c>
      <c r="C932" t="s">
        <v>606</v>
      </c>
      <c r="D932" t="s">
        <v>650</v>
      </c>
    </row>
    <row r="933" spans="1:4" x14ac:dyDescent="0.3">
      <c r="A933" t="s">
        <v>665</v>
      </c>
      <c r="B933" t="s">
        <v>644</v>
      </c>
      <c r="C933" t="s">
        <v>447</v>
      </c>
      <c r="D933" t="s">
        <v>650</v>
      </c>
    </row>
    <row r="934" spans="1:4" x14ac:dyDescent="0.3">
      <c r="A934" t="s">
        <v>665</v>
      </c>
      <c r="B934" t="s">
        <v>644</v>
      </c>
      <c r="C934" t="s">
        <v>574</v>
      </c>
      <c r="D934" t="s">
        <v>650</v>
      </c>
    </row>
    <row r="935" spans="1:4" x14ac:dyDescent="0.3">
      <c r="A935" t="s">
        <v>665</v>
      </c>
      <c r="B935" t="s">
        <v>239</v>
      </c>
      <c r="C935" t="s">
        <v>517</v>
      </c>
      <c r="D935">
        <v>111</v>
      </c>
    </row>
    <row r="936" spans="1:4" x14ac:dyDescent="0.3">
      <c r="A936" t="s">
        <v>665</v>
      </c>
      <c r="B936" t="s">
        <v>239</v>
      </c>
      <c r="C936" t="s">
        <v>8</v>
      </c>
      <c r="D936">
        <v>32</v>
      </c>
    </row>
    <row r="937" spans="1:4" x14ac:dyDescent="0.3">
      <c r="A937" t="s">
        <v>665</v>
      </c>
      <c r="B937" t="s">
        <v>239</v>
      </c>
      <c r="C937" t="s">
        <v>174</v>
      </c>
      <c r="D937">
        <v>23</v>
      </c>
    </row>
    <row r="938" spans="1:4" x14ac:dyDescent="0.3">
      <c r="A938" t="s">
        <v>665</v>
      </c>
      <c r="B938" t="s">
        <v>239</v>
      </c>
      <c r="C938" t="s">
        <v>243</v>
      </c>
      <c r="D938">
        <v>7</v>
      </c>
    </row>
    <row r="939" spans="1:4" x14ac:dyDescent="0.3">
      <c r="A939" t="s">
        <v>665</v>
      </c>
      <c r="B939" t="s">
        <v>239</v>
      </c>
      <c r="C939" t="s">
        <v>287</v>
      </c>
      <c r="D939">
        <v>29</v>
      </c>
    </row>
    <row r="940" spans="1:4" x14ac:dyDescent="0.3">
      <c r="A940" t="s">
        <v>665</v>
      </c>
      <c r="B940" t="s">
        <v>239</v>
      </c>
      <c r="C940" t="s">
        <v>340</v>
      </c>
      <c r="D940">
        <v>30</v>
      </c>
    </row>
    <row r="941" spans="1:4" x14ac:dyDescent="0.3">
      <c r="A941" t="s">
        <v>665</v>
      </c>
      <c r="B941" t="s">
        <v>239</v>
      </c>
      <c r="C941" t="s">
        <v>381</v>
      </c>
      <c r="D941">
        <v>49</v>
      </c>
    </row>
    <row r="942" spans="1:4" x14ac:dyDescent="0.3">
      <c r="A942" t="s">
        <v>665</v>
      </c>
      <c r="B942" t="s">
        <v>239</v>
      </c>
      <c r="C942" t="s">
        <v>606</v>
      </c>
      <c r="D942">
        <v>12</v>
      </c>
    </row>
    <row r="943" spans="1:4" x14ac:dyDescent="0.3">
      <c r="A943" t="s">
        <v>665</v>
      </c>
      <c r="B943" t="s">
        <v>239</v>
      </c>
      <c r="C943" t="s">
        <v>447</v>
      </c>
      <c r="D943">
        <v>30</v>
      </c>
    </row>
    <row r="944" spans="1:4" x14ac:dyDescent="0.3">
      <c r="A944" t="s">
        <v>665</v>
      </c>
      <c r="B944" t="s">
        <v>239</v>
      </c>
      <c r="C944" t="s">
        <v>574</v>
      </c>
      <c r="D944">
        <v>43</v>
      </c>
    </row>
    <row r="945" spans="1:4" x14ac:dyDescent="0.3">
      <c r="A945" t="s">
        <v>665</v>
      </c>
      <c r="B945" t="s">
        <v>654</v>
      </c>
      <c r="C945" t="s">
        <v>517</v>
      </c>
      <c r="D945">
        <v>0</v>
      </c>
    </row>
    <row r="946" spans="1:4" x14ac:dyDescent="0.3">
      <c r="A946" t="s">
        <v>665</v>
      </c>
      <c r="B946" t="s">
        <v>654</v>
      </c>
      <c r="C946" t="s">
        <v>8</v>
      </c>
      <c r="D946">
        <v>0</v>
      </c>
    </row>
    <row r="947" spans="1:4" x14ac:dyDescent="0.3">
      <c r="A947" t="s">
        <v>665</v>
      </c>
      <c r="B947" t="s">
        <v>654</v>
      </c>
      <c r="C947" t="s">
        <v>174</v>
      </c>
      <c r="D947">
        <v>0</v>
      </c>
    </row>
    <row r="948" spans="1:4" x14ac:dyDescent="0.3">
      <c r="A948" t="s">
        <v>665</v>
      </c>
      <c r="B948" t="s">
        <v>654</v>
      </c>
      <c r="C948" t="s">
        <v>243</v>
      </c>
      <c r="D948">
        <v>0</v>
      </c>
    </row>
    <row r="949" spans="1:4" x14ac:dyDescent="0.3">
      <c r="A949" t="s">
        <v>665</v>
      </c>
      <c r="B949" t="s">
        <v>654</v>
      </c>
      <c r="C949" t="s">
        <v>287</v>
      </c>
      <c r="D949">
        <v>0</v>
      </c>
    </row>
    <row r="950" spans="1:4" x14ac:dyDescent="0.3">
      <c r="A950" t="s">
        <v>665</v>
      </c>
      <c r="B950" t="s">
        <v>654</v>
      </c>
      <c r="C950" t="s">
        <v>340</v>
      </c>
      <c r="D950">
        <v>0</v>
      </c>
    </row>
    <row r="951" spans="1:4" x14ac:dyDescent="0.3">
      <c r="A951" t="s">
        <v>665</v>
      </c>
      <c r="B951" t="s">
        <v>654</v>
      </c>
      <c r="C951" t="s">
        <v>381</v>
      </c>
      <c r="D951">
        <v>0</v>
      </c>
    </row>
    <row r="952" spans="1:4" x14ac:dyDescent="0.3">
      <c r="A952" t="s">
        <v>665</v>
      </c>
      <c r="B952" t="s">
        <v>654</v>
      </c>
      <c r="C952" t="s">
        <v>606</v>
      </c>
      <c r="D952">
        <v>0</v>
      </c>
    </row>
    <row r="953" spans="1:4" x14ac:dyDescent="0.3">
      <c r="A953" t="s">
        <v>665</v>
      </c>
      <c r="B953" t="s">
        <v>654</v>
      </c>
      <c r="C953" t="s">
        <v>447</v>
      </c>
      <c r="D953">
        <v>0</v>
      </c>
    </row>
    <row r="954" spans="1:4" x14ac:dyDescent="0.3">
      <c r="A954" t="s">
        <v>665</v>
      </c>
      <c r="B954" t="s">
        <v>654</v>
      </c>
      <c r="C954" t="s">
        <v>574</v>
      </c>
      <c r="D954">
        <v>0</v>
      </c>
    </row>
    <row r="955" spans="1:4" x14ac:dyDescent="0.3">
      <c r="A955" t="s">
        <v>665</v>
      </c>
      <c r="B955" t="s">
        <v>655</v>
      </c>
      <c r="C955" t="s">
        <v>517</v>
      </c>
      <c r="D955" t="s">
        <v>650</v>
      </c>
    </row>
    <row r="956" spans="1:4" x14ac:dyDescent="0.3">
      <c r="A956" t="s">
        <v>665</v>
      </c>
      <c r="B956" t="s">
        <v>655</v>
      </c>
      <c r="C956" t="s">
        <v>8</v>
      </c>
      <c r="D956" t="s">
        <v>650</v>
      </c>
    </row>
    <row r="957" spans="1:4" x14ac:dyDescent="0.3">
      <c r="A957" t="s">
        <v>665</v>
      </c>
      <c r="B957" t="s">
        <v>655</v>
      </c>
      <c r="C957" t="s">
        <v>174</v>
      </c>
      <c r="D957" t="s">
        <v>650</v>
      </c>
    </row>
    <row r="958" spans="1:4" x14ac:dyDescent="0.3">
      <c r="A958" t="s">
        <v>665</v>
      </c>
      <c r="B958" t="s">
        <v>655</v>
      </c>
      <c r="C958" t="s">
        <v>243</v>
      </c>
      <c r="D958" t="s">
        <v>650</v>
      </c>
    </row>
    <row r="959" spans="1:4" x14ac:dyDescent="0.3">
      <c r="A959" t="s">
        <v>665</v>
      </c>
      <c r="B959" t="s">
        <v>655</v>
      </c>
      <c r="C959" t="s">
        <v>287</v>
      </c>
      <c r="D959" t="s">
        <v>650</v>
      </c>
    </row>
    <row r="960" spans="1:4" x14ac:dyDescent="0.3">
      <c r="A960" t="s">
        <v>665</v>
      </c>
      <c r="B960" t="s">
        <v>655</v>
      </c>
      <c r="C960" t="s">
        <v>340</v>
      </c>
      <c r="D960" t="s">
        <v>650</v>
      </c>
    </row>
    <row r="961" spans="1:4" x14ac:dyDescent="0.3">
      <c r="A961" t="s">
        <v>665</v>
      </c>
      <c r="B961" t="s">
        <v>655</v>
      </c>
      <c r="C961" t="s">
        <v>381</v>
      </c>
      <c r="D961" t="s">
        <v>650</v>
      </c>
    </row>
    <row r="962" spans="1:4" x14ac:dyDescent="0.3">
      <c r="A962" t="s">
        <v>665</v>
      </c>
      <c r="B962" t="s">
        <v>655</v>
      </c>
      <c r="C962" t="s">
        <v>606</v>
      </c>
      <c r="D962" t="s">
        <v>650</v>
      </c>
    </row>
    <row r="963" spans="1:4" x14ac:dyDescent="0.3">
      <c r="A963" t="s">
        <v>665</v>
      </c>
      <c r="B963" t="s">
        <v>655</v>
      </c>
      <c r="C963" t="s">
        <v>447</v>
      </c>
      <c r="D963" t="s">
        <v>650</v>
      </c>
    </row>
    <row r="964" spans="1:4" x14ac:dyDescent="0.3">
      <c r="A964" t="s">
        <v>665</v>
      </c>
      <c r="B964" t="s">
        <v>655</v>
      </c>
      <c r="C964" t="s">
        <v>574</v>
      </c>
      <c r="D964" t="s">
        <v>650</v>
      </c>
    </row>
    <row r="965" spans="1:4" x14ac:dyDescent="0.3">
      <c r="A965" t="s">
        <v>665</v>
      </c>
      <c r="B965" t="s">
        <v>656</v>
      </c>
      <c r="C965" t="s">
        <v>517</v>
      </c>
      <c r="D965">
        <v>0.28387056135689726</v>
      </c>
    </row>
    <row r="966" spans="1:4" x14ac:dyDescent="0.3">
      <c r="A966" t="s">
        <v>665</v>
      </c>
      <c r="B966" t="s">
        <v>656</v>
      </c>
      <c r="C966" t="s">
        <v>8</v>
      </c>
      <c r="D966" t="s">
        <v>650</v>
      </c>
    </row>
    <row r="967" spans="1:4" x14ac:dyDescent="0.3">
      <c r="A967" t="s">
        <v>665</v>
      </c>
      <c r="B967" t="s">
        <v>656</v>
      </c>
      <c r="C967" t="s">
        <v>174</v>
      </c>
      <c r="D967">
        <v>0.56799769437461167</v>
      </c>
    </row>
    <row r="968" spans="1:4" x14ac:dyDescent="0.3">
      <c r="A968" t="s">
        <v>665</v>
      </c>
      <c r="B968" t="s">
        <v>656</v>
      </c>
      <c r="C968" t="s">
        <v>243</v>
      </c>
      <c r="D968">
        <v>0.28399884718730584</v>
      </c>
    </row>
    <row r="969" spans="1:4" x14ac:dyDescent="0.3">
      <c r="A969" t="s">
        <v>665</v>
      </c>
      <c r="B969" t="s">
        <v>656</v>
      </c>
      <c r="C969" t="s">
        <v>287</v>
      </c>
      <c r="D969">
        <v>5.8399884718730579</v>
      </c>
    </row>
    <row r="970" spans="1:4" x14ac:dyDescent="0.3">
      <c r="A970" t="s">
        <v>665</v>
      </c>
      <c r="B970" t="s">
        <v>656</v>
      </c>
      <c r="C970" t="s">
        <v>340</v>
      </c>
      <c r="D970" t="s">
        <v>650</v>
      </c>
    </row>
    <row r="971" spans="1:4" x14ac:dyDescent="0.3">
      <c r="A971" t="s">
        <v>665</v>
      </c>
      <c r="B971" t="s">
        <v>656</v>
      </c>
      <c r="C971" t="s">
        <v>381</v>
      </c>
      <c r="D971">
        <v>0.85199654156191751</v>
      </c>
    </row>
    <row r="972" spans="1:4" x14ac:dyDescent="0.3">
      <c r="A972" t="s">
        <v>665</v>
      </c>
      <c r="B972" t="s">
        <v>656</v>
      </c>
      <c r="C972" t="s">
        <v>606</v>
      </c>
      <c r="D972" t="s">
        <v>650</v>
      </c>
    </row>
    <row r="973" spans="1:4" x14ac:dyDescent="0.3">
      <c r="A973" t="s">
        <v>665</v>
      </c>
      <c r="B973" t="s">
        <v>656</v>
      </c>
      <c r="C973" t="s">
        <v>447</v>
      </c>
      <c r="D973" t="s">
        <v>650</v>
      </c>
    </row>
    <row r="974" spans="1:4" x14ac:dyDescent="0.3">
      <c r="A974" t="s">
        <v>665</v>
      </c>
      <c r="B974" t="s">
        <v>656</v>
      </c>
      <c r="C974" t="s">
        <v>574</v>
      </c>
      <c r="D974" t="s">
        <v>650</v>
      </c>
    </row>
    <row r="975" spans="1:4" x14ac:dyDescent="0.3">
      <c r="A975" t="s">
        <v>665</v>
      </c>
      <c r="B975" t="s">
        <v>17</v>
      </c>
      <c r="C975" t="s">
        <v>517</v>
      </c>
      <c r="D975">
        <v>73.020376871086867</v>
      </c>
    </row>
    <row r="976" spans="1:4" x14ac:dyDescent="0.3">
      <c r="A976" t="s">
        <v>665</v>
      </c>
      <c r="B976" t="s">
        <v>17</v>
      </c>
      <c r="C976" t="s">
        <v>8</v>
      </c>
      <c r="D976">
        <v>35.613281456762103</v>
      </c>
    </row>
    <row r="977" spans="1:4" x14ac:dyDescent="0.3">
      <c r="A977" t="s">
        <v>665</v>
      </c>
      <c r="B977" t="s">
        <v>17</v>
      </c>
      <c r="C977" t="s">
        <v>174</v>
      </c>
      <c r="D977">
        <v>73.95587434341634</v>
      </c>
    </row>
    <row r="978" spans="1:4" x14ac:dyDescent="0.3">
      <c r="A978" t="s">
        <v>665</v>
      </c>
      <c r="B978" t="s">
        <v>17</v>
      </c>
      <c r="C978" t="s">
        <v>243</v>
      </c>
      <c r="D978">
        <v>26.099971179682647</v>
      </c>
    </row>
    <row r="979" spans="1:4" x14ac:dyDescent="0.3">
      <c r="A979" t="s">
        <v>665</v>
      </c>
      <c r="B979" t="s">
        <v>17</v>
      </c>
      <c r="C979" t="s">
        <v>287</v>
      </c>
      <c r="D979">
        <v>26.922598650717713</v>
      </c>
    </row>
    <row r="980" spans="1:4" x14ac:dyDescent="0.3">
      <c r="A980" t="s">
        <v>665</v>
      </c>
      <c r="B980" t="s">
        <v>17</v>
      </c>
      <c r="C980" t="s">
        <v>340</v>
      </c>
      <c r="D980">
        <v>6.1119792493715046</v>
      </c>
    </row>
    <row r="981" spans="1:4" x14ac:dyDescent="0.3">
      <c r="A981" t="s">
        <v>665</v>
      </c>
      <c r="B981" t="s">
        <v>17</v>
      </c>
      <c r="C981" t="s">
        <v>381</v>
      </c>
      <c r="D981">
        <v>41.751881260292507</v>
      </c>
    </row>
    <row r="982" spans="1:4" x14ac:dyDescent="0.3">
      <c r="A982" t="s">
        <v>665</v>
      </c>
      <c r="B982" t="s">
        <v>17</v>
      </c>
      <c r="C982" t="s">
        <v>606</v>
      </c>
      <c r="D982">
        <v>16.181279151136707</v>
      </c>
    </row>
    <row r="983" spans="1:4" x14ac:dyDescent="0.3">
      <c r="A983" t="s">
        <v>665</v>
      </c>
      <c r="B983" t="s">
        <v>17</v>
      </c>
      <c r="C983" t="s">
        <v>447</v>
      </c>
      <c r="D983">
        <v>39.725260706133604</v>
      </c>
    </row>
    <row r="984" spans="1:4" x14ac:dyDescent="0.3">
      <c r="A984" t="s">
        <v>665</v>
      </c>
      <c r="B984" t="s">
        <v>17</v>
      </c>
      <c r="C984" t="s">
        <v>574</v>
      </c>
      <c r="D984">
        <v>8.3839700268699513</v>
      </c>
    </row>
    <row r="985" spans="1:4" x14ac:dyDescent="0.3">
      <c r="A985" t="s">
        <v>665</v>
      </c>
      <c r="B985" t="s">
        <v>173</v>
      </c>
      <c r="C985" t="s">
        <v>517</v>
      </c>
      <c r="D985">
        <v>0</v>
      </c>
    </row>
    <row r="986" spans="1:4" x14ac:dyDescent="0.3">
      <c r="A986" t="s">
        <v>665</v>
      </c>
      <c r="B986" t="s">
        <v>173</v>
      </c>
      <c r="C986" t="s">
        <v>8</v>
      </c>
      <c r="D986">
        <v>0</v>
      </c>
    </row>
    <row r="987" spans="1:4" x14ac:dyDescent="0.3">
      <c r="A987" t="s">
        <v>665</v>
      </c>
      <c r="B987" t="s">
        <v>173</v>
      </c>
      <c r="C987" t="s">
        <v>174</v>
      </c>
      <c r="D987">
        <v>0</v>
      </c>
    </row>
    <row r="988" spans="1:4" x14ac:dyDescent="0.3">
      <c r="A988" t="s">
        <v>665</v>
      </c>
      <c r="B988" t="s">
        <v>173</v>
      </c>
      <c r="C988" t="s">
        <v>243</v>
      </c>
      <c r="D988">
        <v>0</v>
      </c>
    </row>
    <row r="989" spans="1:4" x14ac:dyDescent="0.3">
      <c r="A989" t="s">
        <v>665</v>
      </c>
      <c r="B989" t="s">
        <v>173</v>
      </c>
      <c r="C989" t="s">
        <v>287</v>
      </c>
      <c r="D989">
        <v>0</v>
      </c>
    </row>
    <row r="990" spans="1:4" x14ac:dyDescent="0.3">
      <c r="A990" t="s">
        <v>665</v>
      </c>
      <c r="B990" t="s">
        <v>173</v>
      </c>
      <c r="C990" t="s">
        <v>340</v>
      </c>
      <c r="D990">
        <v>0</v>
      </c>
    </row>
    <row r="991" spans="1:4" x14ac:dyDescent="0.3">
      <c r="A991" t="s">
        <v>665</v>
      </c>
      <c r="B991" t="s">
        <v>173</v>
      </c>
      <c r="C991" t="s">
        <v>381</v>
      </c>
      <c r="D991">
        <v>0</v>
      </c>
    </row>
    <row r="992" spans="1:4" x14ac:dyDescent="0.3">
      <c r="A992" t="s">
        <v>665</v>
      </c>
      <c r="B992" t="s">
        <v>173</v>
      </c>
      <c r="C992" t="s">
        <v>606</v>
      </c>
      <c r="D992">
        <v>0</v>
      </c>
    </row>
    <row r="993" spans="1:4" x14ac:dyDescent="0.3">
      <c r="A993" t="s">
        <v>665</v>
      </c>
      <c r="B993" t="s">
        <v>173</v>
      </c>
      <c r="C993" t="s">
        <v>447</v>
      </c>
      <c r="D993">
        <v>0</v>
      </c>
    </row>
    <row r="994" spans="1:4" x14ac:dyDescent="0.3">
      <c r="A994" t="s">
        <v>665</v>
      </c>
      <c r="B994" t="s">
        <v>173</v>
      </c>
      <c r="C994" t="s">
        <v>574</v>
      </c>
      <c r="D994">
        <v>0</v>
      </c>
    </row>
    <row r="995" spans="1:4" x14ac:dyDescent="0.3">
      <c r="A995" t="s">
        <v>665</v>
      </c>
      <c r="B995" t="s">
        <v>657</v>
      </c>
      <c r="C995" t="s">
        <v>517</v>
      </c>
      <c r="D995">
        <v>0</v>
      </c>
    </row>
    <row r="996" spans="1:4" x14ac:dyDescent="0.3">
      <c r="A996" t="s">
        <v>665</v>
      </c>
      <c r="B996" t="s">
        <v>657</v>
      </c>
      <c r="C996" t="s">
        <v>8</v>
      </c>
      <c r="D996">
        <v>0</v>
      </c>
    </row>
    <row r="997" spans="1:4" x14ac:dyDescent="0.3">
      <c r="A997" t="s">
        <v>665</v>
      </c>
      <c r="B997" t="s">
        <v>657</v>
      </c>
      <c r="C997" t="s">
        <v>174</v>
      </c>
      <c r="D997">
        <v>0</v>
      </c>
    </row>
    <row r="998" spans="1:4" x14ac:dyDescent="0.3">
      <c r="A998" t="s">
        <v>665</v>
      </c>
      <c r="B998" t="s">
        <v>657</v>
      </c>
      <c r="C998" t="s">
        <v>243</v>
      </c>
      <c r="D998">
        <v>0</v>
      </c>
    </row>
    <row r="999" spans="1:4" x14ac:dyDescent="0.3">
      <c r="A999" t="s">
        <v>665</v>
      </c>
      <c r="B999" t="s">
        <v>657</v>
      </c>
      <c r="C999" t="s">
        <v>287</v>
      </c>
      <c r="D999">
        <v>0</v>
      </c>
    </row>
    <row r="1000" spans="1:4" x14ac:dyDescent="0.3">
      <c r="A1000" t="s">
        <v>665</v>
      </c>
      <c r="B1000" t="s">
        <v>657</v>
      </c>
      <c r="C1000" t="s">
        <v>340</v>
      </c>
      <c r="D1000">
        <v>0</v>
      </c>
    </row>
    <row r="1001" spans="1:4" x14ac:dyDescent="0.3">
      <c r="A1001" t="s">
        <v>665</v>
      </c>
      <c r="B1001" t="s">
        <v>657</v>
      </c>
      <c r="C1001" t="s">
        <v>381</v>
      </c>
      <c r="D1001">
        <v>0</v>
      </c>
    </row>
    <row r="1002" spans="1:4" x14ac:dyDescent="0.3">
      <c r="A1002" t="s">
        <v>665</v>
      </c>
      <c r="B1002" t="s">
        <v>657</v>
      </c>
      <c r="C1002" t="s">
        <v>606</v>
      </c>
      <c r="D1002">
        <v>0</v>
      </c>
    </row>
    <row r="1003" spans="1:4" x14ac:dyDescent="0.3">
      <c r="A1003" t="s">
        <v>665</v>
      </c>
      <c r="B1003" t="s">
        <v>657</v>
      </c>
      <c r="C1003" t="s">
        <v>447</v>
      </c>
      <c r="D1003">
        <v>0</v>
      </c>
    </row>
    <row r="1004" spans="1:4" x14ac:dyDescent="0.3">
      <c r="A1004" t="s">
        <v>665</v>
      </c>
      <c r="B1004" t="s">
        <v>657</v>
      </c>
      <c r="C1004" t="s">
        <v>574</v>
      </c>
      <c r="D1004">
        <v>0</v>
      </c>
    </row>
    <row r="1005" spans="1:4" x14ac:dyDescent="0.3">
      <c r="A1005" t="s">
        <v>665</v>
      </c>
      <c r="B1005" t="s">
        <v>139</v>
      </c>
      <c r="C1005" t="s">
        <v>517</v>
      </c>
      <c r="D1005">
        <v>0</v>
      </c>
    </row>
    <row r="1006" spans="1:4" x14ac:dyDescent="0.3">
      <c r="A1006" t="s">
        <v>665</v>
      </c>
      <c r="B1006" t="s">
        <v>139</v>
      </c>
      <c r="C1006" t="s">
        <v>8</v>
      </c>
      <c r="D1006" t="s">
        <v>650</v>
      </c>
    </row>
    <row r="1007" spans="1:4" x14ac:dyDescent="0.3">
      <c r="A1007" t="s">
        <v>665</v>
      </c>
      <c r="B1007" t="s">
        <v>139</v>
      </c>
      <c r="C1007" t="s">
        <v>174</v>
      </c>
      <c r="D1007" t="s">
        <v>650</v>
      </c>
    </row>
    <row r="1008" spans="1:4" x14ac:dyDescent="0.3">
      <c r="A1008" t="s">
        <v>665</v>
      </c>
      <c r="B1008" t="s">
        <v>139</v>
      </c>
      <c r="C1008" t="s">
        <v>243</v>
      </c>
      <c r="D1008" t="s">
        <v>650</v>
      </c>
    </row>
    <row r="1009" spans="1:4" x14ac:dyDescent="0.3">
      <c r="A1009" t="s">
        <v>665</v>
      </c>
      <c r="B1009" t="s">
        <v>139</v>
      </c>
      <c r="C1009" t="s">
        <v>287</v>
      </c>
      <c r="D1009" t="s">
        <v>650</v>
      </c>
    </row>
    <row r="1010" spans="1:4" x14ac:dyDescent="0.3">
      <c r="A1010" t="s">
        <v>665</v>
      </c>
      <c r="B1010" t="s">
        <v>139</v>
      </c>
      <c r="C1010" t="s">
        <v>340</v>
      </c>
      <c r="D1010" t="s">
        <v>650</v>
      </c>
    </row>
    <row r="1011" spans="1:4" x14ac:dyDescent="0.3">
      <c r="A1011" t="s">
        <v>665</v>
      </c>
      <c r="B1011" t="s">
        <v>139</v>
      </c>
      <c r="C1011" t="s">
        <v>381</v>
      </c>
      <c r="D1011" t="s">
        <v>650</v>
      </c>
    </row>
    <row r="1012" spans="1:4" x14ac:dyDescent="0.3">
      <c r="A1012" t="s">
        <v>665</v>
      </c>
      <c r="B1012" t="s">
        <v>139</v>
      </c>
      <c r="C1012" t="s">
        <v>606</v>
      </c>
      <c r="D1012" t="s">
        <v>650</v>
      </c>
    </row>
    <row r="1013" spans="1:4" x14ac:dyDescent="0.3">
      <c r="A1013" t="s">
        <v>665</v>
      </c>
      <c r="B1013" t="s">
        <v>139</v>
      </c>
      <c r="C1013" t="s">
        <v>447</v>
      </c>
      <c r="D1013" t="s">
        <v>650</v>
      </c>
    </row>
    <row r="1014" spans="1:4" x14ac:dyDescent="0.3">
      <c r="A1014" t="s">
        <v>665</v>
      </c>
      <c r="B1014" t="s">
        <v>139</v>
      </c>
      <c r="C1014" t="s">
        <v>574</v>
      </c>
      <c r="D1014" t="s">
        <v>650</v>
      </c>
    </row>
    <row r="1015" spans="1:4" x14ac:dyDescent="0.3">
      <c r="A1015" t="s">
        <v>665</v>
      </c>
      <c r="B1015" t="s">
        <v>81</v>
      </c>
      <c r="C1015" t="s">
        <v>517</v>
      </c>
      <c r="D1015" t="s">
        <v>650</v>
      </c>
    </row>
    <row r="1016" spans="1:4" x14ac:dyDescent="0.3">
      <c r="A1016" t="s">
        <v>665</v>
      </c>
      <c r="B1016" t="s">
        <v>81</v>
      </c>
      <c r="C1016" t="s">
        <v>8</v>
      </c>
      <c r="D1016" t="s">
        <v>650</v>
      </c>
    </row>
    <row r="1017" spans="1:4" x14ac:dyDescent="0.3">
      <c r="A1017" t="s">
        <v>665</v>
      </c>
      <c r="B1017" t="s">
        <v>81</v>
      </c>
      <c r="C1017" t="s">
        <v>174</v>
      </c>
      <c r="D1017" t="s">
        <v>650</v>
      </c>
    </row>
    <row r="1018" spans="1:4" x14ac:dyDescent="0.3">
      <c r="A1018" t="s">
        <v>665</v>
      </c>
      <c r="B1018" t="s">
        <v>81</v>
      </c>
      <c r="C1018" t="s">
        <v>243</v>
      </c>
      <c r="D1018" t="s">
        <v>650</v>
      </c>
    </row>
    <row r="1019" spans="1:4" x14ac:dyDescent="0.3">
      <c r="A1019" t="s">
        <v>665</v>
      </c>
      <c r="B1019" t="s">
        <v>81</v>
      </c>
      <c r="C1019" t="s">
        <v>287</v>
      </c>
      <c r="D1019" t="s">
        <v>650</v>
      </c>
    </row>
    <row r="1020" spans="1:4" x14ac:dyDescent="0.3">
      <c r="A1020" t="s">
        <v>665</v>
      </c>
      <c r="B1020" t="s">
        <v>81</v>
      </c>
      <c r="C1020" t="s">
        <v>340</v>
      </c>
      <c r="D1020" t="s">
        <v>650</v>
      </c>
    </row>
    <row r="1021" spans="1:4" x14ac:dyDescent="0.3">
      <c r="A1021" t="s">
        <v>665</v>
      </c>
      <c r="B1021" t="s">
        <v>81</v>
      </c>
      <c r="C1021" t="s">
        <v>381</v>
      </c>
      <c r="D1021" t="s">
        <v>650</v>
      </c>
    </row>
    <row r="1022" spans="1:4" x14ac:dyDescent="0.3">
      <c r="A1022" t="s">
        <v>665</v>
      </c>
      <c r="B1022" t="s">
        <v>81</v>
      </c>
      <c r="C1022" t="s">
        <v>606</v>
      </c>
      <c r="D1022" t="s">
        <v>650</v>
      </c>
    </row>
    <row r="1023" spans="1:4" x14ac:dyDescent="0.3">
      <c r="A1023" t="s">
        <v>665</v>
      </c>
      <c r="B1023" t="s">
        <v>81</v>
      </c>
      <c r="C1023" t="s">
        <v>447</v>
      </c>
      <c r="D1023" t="s">
        <v>650</v>
      </c>
    </row>
    <row r="1024" spans="1:4" x14ac:dyDescent="0.3">
      <c r="A1024" t="s">
        <v>665</v>
      </c>
      <c r="B1024" t="s">
        <v>81</v>
      </c>
      <c r="C1024" t="s">
        <v>574</v>
      </c>
      <c r="D1024" t="s">
        <v>650</v>
      </c>
    </row>
    <row r="1025" spans="1:4" x14ac:dyDescent="0.3">
      <c r="A1025" t="s">
        <v>665</v>
      </c>
      <c r="B1025" t="s">
        <v>9</v>
      </c>
      <c r="C1025" t="s">
        <v>517</v>
      </c>
      <c r="D1025" t="s">
        <v>650</v>
      </c>
    </row>
    <row r="1026" spans="1:4" x14ac:dyDescent="0.3">
      <c r="A1026" t="s">
        <v>665</v>
      </c>
      <c r="B1026" t="s">
        <v>9</v>
      </c>
      <c r="C1026" t="s">
        <v>8</v>
      </c>
      <c r="D1026" t="s">
        <v>650</v>
      </c>
    </row>
    <row r="1027" spans="1:4" x14ac:dyDescent="0.3">
      <c r="A1027" t="s">
        <v>665</v>
      </c>
      <c r="B1027" t="s">
        <v>9</v>
      </c>
      <c r="C1027" t="s">
        <v>174</v>
      </c>
      <c r="D1027" t="s">
        <v>650</v>
      </c>
    </row>
    <row r="1028" spans="1:4" x14ac:dyDescent="0.3">
      <c r="A1028" t="s">
        <v>665</v>
      </c>
      <c r="B1028" t="s">
        <v>9</v>
      </c>
      <c r="C1028" t="s">
        <v>243</v>
      </c>
      <c r="D1028" t="s">
        <v>650</v>
      </c>
    </row>
    <row r="1029" spans="1:4" x14ac:dyDescent="0.3">
      <c r="A1029" t="s">
        <v>665</v>
      </c>
      <c r="B1029" t="s">
        <v>9</v>
      </c>
      <c r="C1029" t="s">
        <v>287</v>
      </c>
      <c r="D1029" t="s">
        <v>650</v>
      </c>
    </row>
    <row r="1030" spans="1:4" x14ac:dyDescent="0.3">
      <c r="A1030" t="s">
        <v>665</v>
      </c>
      <c r="B1030" t="s">
        <v>9</v>
      </c>
      <c r="C1030" t="s">
        <v>340</v>
      </c>
      <c r="D1030" t="s">
        <v>650</v>
      </c>
    </row>
    <row r="1031" spans="1:4" x14ac:dyDescent="0.3">
      <c r="A1031" t="s">
        <v>665</v>
      </c>
      <c r="B1031" t="s">
        <v>9</v>
      </c>
      <c r="C1031" t="s">
        <v>381</v>
      </c>
      <c r="D1031" t="s">
        <v>650</v>
      </c>
    </row>
    <row r="1032" spans="1:4" x14ac:dyDescent="0.3">
      <c r="A1032" t="s">
        <v>665</v>
      </c>
      <c r="B1032" t="s">
        <v>9</v>
      </c>
      <c r="C1032" t="s">
        <v>606</v>
      </c>
      <c r="D1032" t="s">
        <v>650</v>
      </c>
    </row>
    <row r="1033" spans="1:4" x14ac:dyDescent="0.3">
      <c r="A1033" t="s">
        <v>665</v>
      </c>
      <c r="B1033" t="s">
        <v>9</v>
      </c>
      <c r="C1033" t="s">
        <v>447</v>
      </c>
      <c r="D1033" t="s">
        <v>650</v>
      </c>
    </row>
    <row r="1034" spans="1:4" x14ac:dyDescent="0.3">
      <c r="A1034" t="s">
        <v>665</v>
      </c>
      <c r="B1034" t="s">
        <v>9</v>
      </c>
      <c r="C1034" t="s">
        <v>574</v>
      </c>
      <c r="D1034" t="s">
        <v>650</v>
      </c>
    </row>
    <row r="1035" spans="1:4" x14ac:dyDescent="0.3">
      <c r="A1035" t="s">
        <v>665</v>
      </c>
      <c r="B1035" t="s">
        <v>658</v>
      </c>
      <c r="C1035" t="s">
        <v>517</v>
      </c>
      <c r="D1035">
        <v>0</v>
      </c>
    </row>
    <row r="1036" spans="1:4" x14ac:dyDescent="0.3">
      <c r="A1036" t="s">
        <v>665</v>
      </c>
      <c r="B1036" t="s">
        <v>658</v>
      </c>
      <c r="C1036" t="s">
        <v>8</v>
      </c>
      <c r="D1036">
        <v>0</v>
      </c>
    </row>
    <row r="1037" spans="1:4" x14ac:dyDescent="0.3">
      <c r="A1037" t="s">
        <v>665</v>
      </c>
      <c r="B1037" t="s">
        <v>658</v>
      </c>
      <c r="C1037" t="s">
        <v>174</v>
      </c>
      <c r="D1037">
        <v>0</v>
      </c>
    </row>
    <row r="1038" spans="1:4" x14ac:dyDescent="0.3">
      <c r="A1038" t="s">
        <v>665</v>
      </c>
      <c r="B1038" t="s">
        <v>658</v>
      </c>
      <c r="C1038" t="s">
        <v>243</v>
      </c>
      <c r="D1038">
        <v>0</v>
      </c>
    </row>
    <row r="1039" spans="1:4" x14ac:dyDescent="0.3">
      <c r="A1039" t="s">
        <v>665</v>
      </c>
      <c r="B1039" t="s">
        <v>658</v>
      </c>
      <c r="C1039" t="s">
        <v>287</v>
      </c>
      <c r="D1039">
        <v>0</v>
      </c>
    </row>
    <row r="1040" spans="1:4" x14ac:dyDescent="0.3">
      <c r="A1040" t="s">
        <v>665</v>
      </c>
      <c r="B1040" t="s">
        <v>658</v>
      </c>
      <c r="C1040" t="s">
        <v>340</v>
      </c>
      <c r="D1040">
        <v>0</v>
      </c>
    </row>
    <row r="1041" spans="1:4" x14ac:dyDescent="0.3">
      <c r="A1041" t="s">
        <v>665</v>
      </c>
      <c r="B1041" t="s">
        <v>658</v>
      </c>
      <c r="C1041" t="s">
        <v>381</v>
      </c>
      <c r="D1041">
        <v>0</v>
      </c>
    </row>
    <row r="1042" spans="1:4" x14ac:dyDescent="0.3">
      <c r="A1042" t="s">
        <v>665</v>
      </c>
      <c r="B1042" t="s">
        <v>658</v>
      </c>
      <c r="C1042" t="s">
        <v>606</v>
      </c>
      <c r="D1042">
        <v>0</v>
      </c>
    </row>
    <row r="1043" spans="1:4" x14ac:dyDescent="0.3">
      <c r="A1043" t="s">
        <v>665</v>
      </c>
      <c r="B1043" t="s">
        <v>658</v>
      </c>
      <c r="C1043" t="s">
        <v>447</v>
      </c>
      <c r="D1043">
        <v>0</v>
      </c>
    </row>
    <row r="1044" spans="1:4" x14ac:dyDescent="0.3">
      <c r="A1044" t="s">
        <v>665</v>
      </c>
      <c r="B1044" t="s">
        <v>658</v>
      </c>
      <c r="C1044" t="s">
        <v>574</v>
      </c>
      <c r="D1044">
        <v>0</v>
      </c>
    </row>
  </sheetData>
  <autoFilter ref="A1:D261" xr:uid="{1A48A752-29D7-42C6-93A1-DD2AF1E9CA0B}"/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C9600-A7E9-4883-A34E-AEDA79FA96E3}">
  <dimension ref="A1"/>
  <sheetViews>
    <sheetView workbookViewId="0"/>
  </sheetViews>
  <sheetFormatPr defaultRowHeight="14.4" x14ac:dyDescent="0.3"/>
  <sheetData>
    <row r="1" spans="1:1" x14ac:dyDescent="0.3">
      <c r="A1" t="s">
        <v>646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e882393-2744-4d86-b319-76a87c80bc5a">
      <Terms xmlns="http://schemas.microsoft.com/office/infopath/2007/PartnerControls"/>
    </lcf76f155ced4ddcb4097134ff3c332f>
    <TaxCatchAll xmlns="b51d5aa8-d092-4cd7-80a5-49acaba1ca64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1FCE07318A1814584838CBAD5908D62" ma:contentTypeVersion="12" ma:contentTypeDescription="Crie um novo documento." ma:contentTypeScope="" ma:versionID="a1bab300ec39fe626d5df437ad79fe57">
  <xsd:schema xmlns:xsd="http://www.w3.org/2001/XMLSchema" xmlns:xs="http://www.w3.org/2001/XMLSchema" xmlns:p="http://schemas.microsoft.com/office/2006/metadata/properties" xmlns:ns2="3e882393-2744-4d86-b319-76a87c80bc5a" xmlns:ns3="b51d5aa8-d092-4cd7-80a5-49acaba1ca64" targetNamespace="http://schemas.microsoft.com/office/2006/metadata/properties" ma:root="true" ma:fieldsID="485dd4fda7d9371f833ace765ec112d1" ns2:_="" ns3:_="">
    <xsd:import namespace="3e882393-2744-4d86-b319-76a87c80bc5a"/>
    <xsd:import namespace="b51d5aa8-d092-4cd7-80a5-49acaba1ca6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882393-2744-4d86-b319-76a87c80bc5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Marcações de imagem" ma:readOnly="false" ma:fieldId="{5cf76f15-5ced-4ddc-b409-7134ff3c332f}" ma:taxonomyMulti="true" ma:sspId="1c8a3b58-1317-4067-bbdf-e53778bd947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1d5aa8-d092-4cd7-80a5-49acaba1ca64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3323ae28-f984-42f9-8623-043e3117a243}" ma:internalName="TaxCatchAll" ma:showField="CatchAllData" ma:web="b51d5aa8-d092-4cd7-80a5-49acaba1ca6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A551279-482C-4A69-8C1D-E165A8DC974C}">
  <ds:schemaRefs>
    <ds:schemaRef ds:uri="http://schemas.microsoft.com/office/2006/metadata/properties"/>
    <ds:schemaRef ds:uri="http://schemas.microsoft.com/office/infopath/2007/PartnerControls"/>
    <ds:schemaRef ds:uri="3e882393-2744-4d86-b319-76a87c80bc5a"/>
    <ds:schemaRef ds:uri="b51d5aa8-d092-4cd7-80a5-49acaba1ca64"/>
  </ds:schemaRefs>
</ds:datastoreItem>
</file>

<file path=customXml/itemProps2.xml><?xml version="1.0" encoding="utf-8"?>
<ds:datastoreItem xmlns:ds="http://schemas.openxmlformats.org/officeDocument/2006/customXml" ds:itemID="{961F18DC-6487-4DE5-9884-E24F3B882F2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991EF2A-B412-47BE-A9C5-057843ACC41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882393-2744-4d86-b319-76a87c80bc5a"/>
    <ds:schemaRef ds:uri="b51d5aa8-d092-4cd7-80a5-49acaba1ca6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TEND_CANAIS</vt:lpstr>
      <vt:lpstr>LIGACOE_FIXA</vt:lpstr>
      <vt:lpstr>PEDIDOS_FIXA</vt:lpstr>
      <vt:lpstr>PEDIDOS_MÓVEL</vt:lpstr>
      <vt:lpstr>BASE_FIXA_TEND</vt:lpstr>
      <vt:lpstr>BASE_MOVEL_TEND</vt:lpstr>
      <vt:lpstr>obs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THIAGO JUNIO DE ALMEIDA</dc:creator>
  <cp:lastModifiedBy>THIAGO JUNIO DE ALMEIDA</cp:lastModifiedBy>
  <dcterms:created xsi:type="dcterms:W3CDTF">2026-02-11T12:58:18Z</dcterms:created>
  <dcterms:modified xsi:type="dcterms:W3CDTF">2026-02-12T16:43:10Z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0x010100B1FCE07318A1814584838CBAD5908D62</vt:lpwstr>
  </property>
</Properties>
</file>